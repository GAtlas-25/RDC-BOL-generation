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usa-my.sharepoint.com/personal/l_close_atlasconcordeusa_com/Documents/MY DOCS/"/>
    </mc:Choice>
  </mc:AlternateContent>
  <xr:revisionPtr revIDLastSave="892" documentId="8_{7C6AF06F-4241-4844-8023-0E924D11C47B}" xr6:coauthVersionLast="47" xr6:coauthVersionMax="47" xr10:uidLastSave="{08D54DB0-D111-41B2-86B4-08F58D2867D9}"/>
  <bookViews>
    <workbookView xWindow="11070" yWindow="930" windowWidth="16980" windowHeight="13050" tabRatio="769" xr2:uid="{00000000-000D-0000-FFFF-FFFF00000000}"/>
  </bookViews>
  <sheets>
    <sheet name="Carrier Codes" sheetId="1" r:id="rId1"/>
    <sheet name="Pallet&amp;Carton count" sheetId="2" state="hidden" r:id="rId2"/>
    <sheet name="Sheet1" sheetId="3" state="hidden" r:id="rId3"/>
  </sheets>
  <definedNames>
    <definedName name="_xlnm._FilterDatabase" localSheetId="0" hidden="1">'Carrier Codes'!$A$1:$E$128</definedName>
    <definedName name="_xlnm._FilterDatabase" localSheetId="1" hidden="1">'Pallet&amp;Carton count'!$A$1:$D$1</definedName>
    <definedName name="_xlnm.Print_Area" localSheetId="0">'Carrier Codes'!$A$1:$E$45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D17" i="2" s="1"/>
  <c r="C3" i="2"/>
  <c r="D3" i="2" s="1"/>
  <c r="C14" i="2" l="1"/>
  <c r="D14" i="2" s="1"/>
  <c r="C12" i="2" l="1"/>
  <c r="D12" i="2" s="1"/>
  <c r="C13" i="2" l="1"/>
  <c r="D13" i="2" s="1"/>
  <c r="C9" i="2" l="1"/>
  <c r="D9" i="2" s="1"/>
  <c r="C15" i="2"/>
  <c r="D15" i="2" s="1"/>
  <c r="C10" i="2"/>
  <c r="D10" i="2" s="1"/>
  <c r="A26" i="2" l="1"/>
  <c r="C18" i="2"/>
  <c r="D18" i="2" s="1"/>
  <c r="C19" i="2" l="1"/>
  <c r="D19" i="2" s="1"/>
  <c r="C21" i="2" l="1"/>
  <c r="D21" i="2" s="1"/>
  <c r="C22" i="2"/>
  <c r="D22" i="2" s="1"/>
  <c r="C23" i="2" l="1"/>
  <c r="D23" i="2" s="1"/>
  <c r="C5" i="2"/>
  <c r="D5" i="2" s="1"/>
  <c r="C6" i="2"/>
  <c r="D6" i="2" s="1"/>
  <c r="C7" i="2"/>
  <c r="D7" i="2" s="1"/>
  <c r="C16" i="2"/>
  <c r="D16" i="2" s="1"/>
  <c r="C24" i="2"/>
  <c r="D24" i="2" s="1"/>
  <c r="C25" i="2"/>
  <c r="D25" i="2" s="1"/>
  <c r="C8" i="2"/>
  <c r="D8" i="2" s="1"/>
  <c r="C11" i="2"/>
  <c r="D11" i="2" s="1"/>
  <c r="C20" i="2" l="1"/>
  <c r="D20" i="2" s="1"/>
  <c r="C4" i="2"/>
  <c r="D4" i="2" s="1"/>
  <c r="C2" i="2"/>
  <c r="D2" i="2" s="1"/>
  <c r="D26" i="2" l="1"/>
  <c r="C26" i="2"/>
</calcChain>
</file>

<file path=xl/sharedStrings.xml><?xml version="1.0" encoding="utf-8"?>
<sst xmlns="http://schemas.openxmlformats.org/spreadsheetml/2006/main" count="802" uniqueCount="642">
  <si>
    <t xml:space="preserve">SCAC Code </t>
  </si>
  <si>
    <t xml:space="preserve">Carrier </t>
  </si>
  <si>
    <t>Contact Number</t>
  </si>
  <si>
    <t>Address</t>
  </si>
  <si>
    <t>Code</t>
  </si>
  <si>
    <t>B&amp;G</t>
  </si>
  <si>
    <t>Emails</t>
  </si>
  <si>
    <t>2nd email</t>
  </si>
  <si>
    <t>3rd email</t>
  </si>
  <si>
    <t xml:space="preserve">AACT </t>
  </si>
  <si>
    <t xml:space="preserve">AAA COOPER TRANSPORTATION </t>
  </si>
  <si>
    <t>800-633-7571</t>
  </si>
  <si>
    <t>1751 Kinsey Road Dothan AL 36303-5877</t>
  </si>
  <si>
    <t>NA</t>
  </si>
  <si>
    <t>Heather.Helton@aaacooper.com</t>
  </si>
  <si>
    <t>WESTON.HUSKEY@aaacooper.com</t>
  </si>
  <si>
    <t>ABFS</t>
  </si>
  <si>
    <t>ABF FREIGHT SYSTEM INC</t>
  </si>
  <si>
    <t>(800) 610-5544</t>
  </si>
  <si>
    <t xml:space="preserve">3801 OLD GREENWOOD ROAD FORT SMITH, AR 72903 </t>
  </si>
  <si>
    <t>homedepotvendorsupport@arcb.com</t>
  </si>
  <si>
    <t>ACRL</t>
  </si>
  <si>
    <t>AMERICAN CENTRAL TRANSPORT </t>
  </si>
  <si>
    <t>(816) 781-9600</t>
  </si>
  <si>
    <t>1700 E. Old State Rt 210 Liberty, MO 64068</t>
  </si>
  <si>
    <t>sent</t>
  </si>
  <si>
    <t>homedepot@americancentral.com</t>
  </si>
  <si>
    <t>ANTT</t>
  </si>
  <si>
    <t>ARNOLD TRANSPORTATION SE</t>
  </si>
  <si>
    <t>(904) 262-4285</t>
  </si>
  <si>
    <t>9523 FLORIDA MINING BLVD JACKSONVILLE,FL32257US</t>
  </si>
  <si>
    <t>44801 </t>
  </si>
  <si>
    <t>ARKY</t>
  </si>
  <si>
    <t>ARKA EXPRESS INC</t>
  </si>
  <si>
    <t>(404) 800-1010 ext. 170</t>
  </si>
  <si>
    <t>2202 W 166TH ST MARKHAM,IL60428US</t>
  </si>
  <si>
    <t>ARVY</t>
  </si>
  <si>
    <t xml:space="preserve">50107  </t>
  </si>
  <si>
    <t>yes</t>
  </si>
  <si>
    <t>homedepot@arrivelogistics.com</t>
  </si>
  <si>
    <t>ASCR</t>
  </si>
  <si>
    <t>ASCEND LLC</t>
  </si>
  <si>
    <t>(731) 723-3063</t>
  </si>
  <si>
    <t>79 Sand Pebble Drive Jackson, TN 38305</t>
  </si>
  <si>
    <t>homedepot@ascend.net</t>
  </si>
  <si>
    <t>AVQD</t>
  </si>
  <si>
    <t>DM TRANS LLC - AVQD</t>
  </si>
  <si>
    <t>(888)399-0162</t>
  </si>
  <si>
    <t>7701 METROPOLIS DR BLDG 15 AUSTIN, TX 78744 US</t>
  </si>
  <si>
    <t xml:space="preserve">55897  </t>
  </si>
  <si>
    <t>no</t>
  </si>
  <si>
    <t>BGXP</t>
  </si>
  <si>
    <t>BIG G EXPRESS, INC</t>
  </si>
  <si>
    <t>800-684-9140 - EXT 7014</t>
  </si>
  <si>
    <t>190 HAWKINS DR SHELBYVILLE,TN37160US</t>
  </si>
  <si>
    <t>NO</t>
  </si>
  <si>
    <t>TabiBaker@biggexpress.com</t>
  </si>
  <si>
    <t>BMAV</t>
  </si>
  <si>
    <t>BIG M TRANSPORTATION</t>
  </si>
  <si>
    <t>(662) 815-5000</t>
  </si>
  <si>
    <t>6341 B Highway 15 Blue Mountain, MS 38610</t>
  </si>
  <si>
    <t>homedepot@bigm.com</t>
  </si>
  <si>
    <t>BNLG</t>
  </si>
  <si>
    <t>BNSF LOGISTICS LLC</t>
  </si>
  <si>
    <t>855-476-9364</t>
  </si>
  <si>
    <t>75 REMITTANCE DRIVE CHICAGO,IL60675US</t>
  </si>
  <si>
    <t xml:space="preserve">  </t>
  </si>
  <si>
    <t>BNLS</t>
  </si>
  <si>
    <t>BNOU</t>
  </si>
  <si>
    <t>BARR-NUNN TRANSPORTATION</t>
  </si>
  <si>
    <t>(515) 999-3204</t>
  </si>
  <si>
    <t>1803 BURR OAK BLVD GRANGER,IA50109</t>
  </si>
  <si>
    <t>BNUN</t>
  </si>
  <si>
    <t>CCNI</t>
  </si>
  <si>
    <t>CARDINAL LOGISTICS MGMT</t>
  </si>
  <si>
    <t>(704) 789-2000</t>
  </si>
  <si>
    <t>5333 Davidson Hwy. Concord,NC28027US</t>
  </si>
  <si>
    <t>CELC</t>
  </si>
  <si>
    <t>CELTIC INTERNATIONAL LLC</t>
  </si>
  <si>
    <t>(708) 532-9200</t>
  </si>
  <si>
    <t>8505 W. 183RD ST STE H TINLEY PARK, IL 60487</t>
  </si>
  <si>
    <t>THD@UBERFREIGHT.COM</t>
  </si>
  <si>
    <t>kaitlyn.ryske@uberfreight.com</t>
  </si>
  <si>
    <t>CLLQ</t>
  </si>
  <si>
    <t>COYOTE LOGISTICS LLC</t>
  </si>
  <si>
    <t>(847) 810-4706</t>
  </si>
  <si>
    <t>4400 ALEXANDER DRIVE ALPHARETTA, GA 30022 US</t>
  </si>
  <si>
    <t xml:space="preserve"> </t>
  </si>
  <si>
    <t>COYY</t>
  </si>
  <si>
    <t>CRCR</t>
  </si>
  <si>
    <t>CRETE CARRIER CORPORATION - TL</t>
  </si>
  <si>
    <t>400 NW 56th Street Lincoln, NE 68528 US</t>
  </si>
  <si>
    <t>podrequest@cretecarrier.com</t>
  </si>
  <si>
    <t>CRPS</t>
  </si>
  <si>
    <t>CRST VAN EXPEDITED, INC</t>
  </si>
  <si>
    <t>info@crst.com</t>
  </si>
  <si>
    <t>1332 EDGEWOOD RD SW CEDAR RAPIDS, IA 52404US</t>
  </si>
  <si>
    <t>CSNY</t>
  </si>
  <si>
    <t>CORNERSTONE SYSTEMS INC</t>
  </si>
  <si>
    <t>800-278-7677</t>
  </si>
  <si>
    <t>3250 Players Club Pkwy Memphis, TN 38125 US</t>
  </si>
  <si>
    <t>CTII</t>
  </si>
  <si>
    <t>CENTRAL TRANSPORT</t>
  </si>
  <si>
    <t>586) 467-1900</t>
  </si>
  <si>
    <t>2464 Couchville Pike, Nashville, TN 37217</t>
  </si>
  <si>
    <t>cs.pickup@centraltransport.com</t>
  </si>
  <si>
    <t>psacha@centraltransport.com</t>
  </si>
  <si>
    <t>CTRQ</t>
  </si>
  <si>
    <t>CONTRACT FREIGHTERS INC</t>
  </si>
  <si>
    <t>800-641-4747</t>
  </si>
  <si>
    <t>4701 EAST 32ND JOPLIN, MO 64803 US</t>
  </si>
  <si>
    <t>Home.depot@cfidrive.com</t>
  </si>
  <si>
    <t>CVEN</t>
  </si>
  <si>
    <t>COVENANT TRANSPORT INC</t>
  </si>
  <si>
    <t>(423) 821-1212</t>
  </si>
  <si>
    <t>400 BIRMINGHAM HIGHWAY CHATTANOOGA, TN 37419 US</t>
  </si>
  <si>
    <t>CThurman@covenantlogistics.com</t>
  </si>
  <si>
    <t>HomeDepot2@covenanttransport.com</t>
  </si>
  <si>
    <t>CVYI</t>
  </si>
  <si>
    <t>CONVOY, INC</t>
  </si>
  <si>
    <t>(425) 214-1769</t>
  </si>
  <si>
    <t>1700 7th Avenue, Suite 116 SEATTLE, WA  98101</t>
  </si>
  <si>
    <t>homedepot@convoy.com</t>
  </si>
  <si>
    <t>DAFG</t>
  </si>
  <si>
    <t>DAYTON FREIGHT - LTL</t>
  </si>
  <si>
    <t>(972) 880-9859</t>
  </si>
  <si>
    <t>6450 Poe Avenue Ste 311 Dayton OH 45414</t>
  </si>
  <si>
    <t>homedepot@daytonfreight.com</t>
  </si>
  <si>
    <t>DART</t>
  </si>
  <si>
    <t>DART TRANSIT COMPANY</t>
  </si>
  <si>
    <t>(651) 683-1305</t>
  </si>
  <si>
    <t>2820 DANIELDALE ROAD LANCASTER, TX 75134 US</t>
  </si>
  <si>
    <t>DEDX</t>
  </si>
  <si>
    <t>CHAINALYTICS</t>
  </si>
  <si>
    <t>770-433-1566</t>
  </si>
  <si>
    <t>2500 Cumberland Pkwy SE #550, Atlanta, GA 30339</t>
  </si>
  <si>
    <t>DTNF</t>
  </si>
  <si>
    <t>DAVIS TRANSFER COMPANY I</t>
  </si>
  <si>
    <t>(706) 384-2030</t>
  </si>
  <si>
    <t>520 BUSHA RD CARNESVILLE, GA 30521 US</t>
  </si>
  <si>
    <t>EETO</t>
  </si>
  <si>
    <t>866-312-1314</t>
  </si>
  <si>
    <t>2555 DOLLARD AVE STE 300 LASALLE,QCH8N 3A9CA</t>
  </si>
  <si>
    <t>YES</t>
  </si>
  <si>
    <t>hdtracking@shipenergy.com</t>
  </si>
  <si>
    <t>gcampbell@shipenergy.com</t>
  </si>
  <si>
    <t>EFW</t>
  </si>
  <si>
    <t>ESTES FORWARDIND WORLDWIDE</t>
  </si>
  <si>
    <t>804-205-5907</t>
  </si>
  <si>
    <t>100 Gateway Centre Parkway, Suite 210</t>
  </si>
  <si>
    <t xml:space="preserve">49423  </t>
  </si>
  <si>
    <t>EPES</t>
  </si>
  <si>
    <t>EPES TRANSPORT</t>
  </si>
  <si>
    <t>800-659-1117</t>
  </si>
  <si>
    <t>3400 Edgefield Ct, Greensboro, NC 27409</t>
  </si>
  <si>
    <t>amy.pearson@epestransport.com</t>
  </si>
  <si>
    <t>EPSG</t>
  </si>
  <si>
    <t>EPES LOGISTICS</t>
  </si>
  <si>
    <t>southot@epeslogistics.com</t>
  </si>
  <si>
    <t>nathaniel.betts@epeslogistics.com</t>
  </si>
  <si>
    <t>EXLA</t>
  </si>
  <si>
    <t>EXPRESS LINE (ESTES)</t>
  </si>
  <si>
    <t>866-378-3748</t>
  </si>
  <si>
    <t>510 Plaza Dr #1860, Atlanta, GA 30349</t>
  </si>
  <si>
    <t>Steve.Brannen@estes-express.com</t>
  </si>
  <si>
    <t>cdhuntsvilleal@estes-express.com</t>
  </si>
  <si>
    <t>FCLC</t>
  </si>
  <si>
    <t>CARROLL FULMER LOGISTICS</t>
  </si>
  <si>
    <t>(800) 468-9400 x1001</t>
  </si>
  <si>
    <t>8340 AMERICAN WAY GROVELAND, FL 34736 US</t>
  </si>
  <si>
    <t>FLSJ</t>
  </si>
  <si>
    <t>FLS TRANSPORTATION</t>
  </si>
  <si>
    <t>800-739-0939</t>
  </si>
  <si>
    <t>4480 COTE DE LIESSE SUITE 220 MONT-ROYAL, QCH4N2R1CA</t>
  </si>
  <si>
    <t>FRCI</t>
  </si>
  <si>
    <t>FREMONT CONTRACT CARRIER</t>
  </si>
  <si>
    <t>(866) 946-4322 </t>
  </si>
  <si>
    <t>865 SOUTH BUD BLVD FREMONT, NE 68025 US</t>
  </si>
  <si>
    <t>cathy.kastanek@fcc-inc.com</t>
  </si>
  <si>
    <t>fcchomedepot@fcc-inc.com</t>
  </si>
  <si>
    <t>tammy.spears@fcc-inc.com</t>
  </si>
  <si>
    <t>FZAS</t>
  </si>
  <si>
    <t>FORZA TRANSPORTATION SER</t>
  </si>
  <si>
    <t>(956) 517 2341</t>
  </si>
  <si>
    <t>16360 US-83, Laredo, TX 78045</t>
  </si>
  <si>
    <t>uaguilar@forzatrans.com</t>
  </si>
  <si>
    <t>homedepot@forzatrans.com</t>
  </si>
  <si>
    <t>eberttolini@forzatrans.com</t>
  </si>
  <si>
    <t>GELJ</t>
  </si>
  <si>
    <t>GLOBALTRANZ ENTERPRISES</t>
  </si>
  <si>
    <t>866-275-1407</t>
  </si>
  <si>
    <t>7350 North Dobson Rd, Ste 130 Scottsdale, AZ 85256</t>
  </si>
  <si>
    <t>HAEI</t>
  </si>
  <si>
    <t>(319) 626-3600</t>
  </si>
  <si>
    <t>901 North Kansas Avenue North Liberty, IA 52317 US</t>
  </si>
  <si>
    <t>HomeDepot@heartlandexpress.com</t>
  </si>
  <si>
    <t>HCOH</t>
  </si>
  <si>
    <t>HUB GROUP</t>
  </si>
  <si>
    <t>404-267-2166</t>
  </si>
  <si>
    <t>2987 Clairmont Rd #500, Atlanta, GA 30329</t>
  </si>
  <si>
    <t xml:space="preserve">43887  </t>
  </si>
  <si>
    <t>thdsoutheast@hubgroup.com</t>
  </si>
  <si>
    <t>diedreyoung@hubgroup.com</t>
  </si>
  <si>
    <t>HHWY</t>
  </si>
  <si>
    <t>DIEDREYOUNG@hubgroup.com</t>
  </si>
  <si>
    <t>HJBL</t>
  </si>
  <si>
    <t>JB HUNT</t>
  </si>
  <si>
    <t>800-452-4868</t>
  </si>
  <si>
    <t>615 J B Hunt Corporate Dr, Lowell, AR 72745</t>
  </si>
  <si>
    <t>HJBT</t>
  </si>
  <si>
    <t>43884 </t>
  </si>
  <si>
    <t>thd_jbh_hsappts@jbhunt.com</t>
  </si>
  <si>
    <t>HJCS</t>
  </si>
  <si>
    <t xml:space="preserve">Hd_ohio@jbhunt.com  </t>
  </si>
  <si>
    <t>Nathan.McElwee@jbhunt.com</t>
  </si>
  <si>
    <t>Ian.Barton@jbhunt.com</t>
  </si>
  <si>
    <t>justin.smith@jbhunt.com</t>
  </si>
  <si>
    <t>HMES</t>
  </si>
  <si>
    <t>USF HOLLAND</t>
  </si>
  <si>
    <t>866-465-5263</t>
  </si>
  <si>
    <t>700 S Waverly Rd, Holland, MI 49423</t>
  </si>
  <si>
    <t>HRMN</t>
  </si>
  <si>
    <t>Hermann Services Inc</t>
  </si>
  <si>
    <t>800-524-0067</t>
  </si>
  <si>
    <t>83 Stults Road Dayton, NJ 08810</t>
  </si>
  <si>
    <t>HUBO</t>
  </si>
  <si>
    <t>IPNS</t>
  </si>
  <si>
    <t>INTERSTATE TRANSPORT</t>
  </si>
  <si>
    <t>866-281-1281</t>
  </si>
  <si>
    <t>324 1st Avenue North</t>
  </si>
  <si>
    <t>48041 </t>
  </si>
  <si>
    <t>KNIG</t>
  </si>
  <si>
    <t>KNIGHT TRANSPORTATION</t>
  </si>
  <si>
    <t>(901) 483-0252</t>
  </si>
  <si>
    <t>23623 COLONIAL PARKWAY KATY, TX 77492 US</t>
  </si>
  <si>
    <t>45999 </t>
  </si>
  <si>
    <t>new</t>
  </si>
  <si>
    <t>HomeDepotAM@knighttrans.com</t>
  </si>
  <si>
    <t>Alex.Dezember@knighttrans.com</t>
  </si>
  <si>
    <t>KTSW</t>
  </si>
  <si>
    <t>(712) 396-2117</t>
  </si>
  <si>
    <t>25 Main Place Ste 300 Council Bluffs, IA  51503</t>
  </si>
  <si>
    <t>de</t>
  </si>
  <si>
    <t>KYSO</t>
  </si>
  <si>
    <t>KEYSTONE FREIGHT CORP - TL</t>
  </si>
  <si>
    <t>(201) 330-1900</t>
  </si>
  <si>
    <t xml:space="preserve">PO BOX 2697,  SECAUCUS,NJ 07096 </t>
  </si>
  <si>
    <t>KCSCustomer@nrsonline.com</t>
  </si>
  <si>
    <t>Taylor.Sattler@nrsonline.com</t>
  </si>
  <si>
    <t>Tiffany.Hogle@nrsonline.com</t>
  </si>
  <si>
    <t>LIBA</t>
  </si>
  <si>
    <t>LOADSMART INC</t>
  </si>
  <si>
    <t>HOME.DEPOT@LOADSMART.COM</t>
  </si>
  <si>
    <t>150 N Michigan Ave Ste 1900 Chicago, IL 60601</t>
  </si>
  <si>
    <t>LLWL</t>
  </si>
  <si>
    <t>LIPSEY LOGISTICS WORLDWIDE - TL</t>
  </si>
  <si>
    <t>1701 OAKBROOK DRIVE, SUITE D NORCROSS, GA 30093 US</t>
  </si>
  <si>
    <t>LOAA</t>
  </si>
  <si>
    <t>(646) 887-6278</t>
  </si>
  <si>
    <t>39 WOOSTER ST 3RD FL NEW YORK, NY 10013</t>
  </si>
  <si>
    <t>home.depot@loadsmart.com</t>
  </si>
  <si>
    <t>LPYK</t>
  </si>
  <si>
    <t>5600 BRAINERD RD STE E-2 CHATTANOOGA, TN 37411 US</t>
  </si>
  <si>
    <t>LRGR - Shasko</t>
  </si>
  <si>
    <t>LANDSTAR RANGER</t>
  </si>
  <si>
    <t>(904) 398-9400</t>
  </si>
  <si>
    <t>13410 Sutton Park Dr. South Jacksonville, FL 32224 US</t>
  </si>
  <si>
    <t>homedepot@shasko.com</t>
  </si>
  <si>
    <t>LRGR - JBX</t>
  </si>
  <si>
    <t>anthony.lemay@landstarmail.com</t>
  </si>
  <si>
    <t>HOMEDEPOT.JBX@LANDSTARMAIL.COM</t>
  </si>
  <si>
    <t>MOLY</t>
  </si>
  <si>
    <t>MOLO SOLUTIONS - TL</t>
  </si>
  <si>
    <t>847-306-3557</t>
  </si>
  <si>
    <t>120 N RACINE ST CHICAGO, IL 60607</t>
  </si>
  <si>
    <t>HomeDepot@shipmolo.com</t>
  </si>
  <si>
    <t>DJM LOGISTICS, LLC</t>
  </si>
  <si>
    <t>MTLE</t>
  </si>
  <si>
    <t>MODE TRANSPORTATION</t>
  </si>
  <si>
    <t>800-434-8881</t>
  </si>
  <si>
    <t>14785 Preston Road, Suite 850, Dallas, TX 75254</t>
  </si>
  <si>
    <t>thd@modetransportation.com</t>
  </si>
  <si>
    <t>NEMF</t>
  </si>
  <si>
    <t>NEW ENGLAND MOTOR FREIGHT</t>
  </si>
  <si>
    <t>(908) 965-0100 x221</t>
  </si>
  <si>
    <t>1-71 NORTH AVENUE ELIZABETH, NJ  07206</t>
  </si>
  <si>
    <t>NPME</t>
  </si>
  <si>
    <t>NEW PENN</t>
  </si>
  <si>
    <t>(717) 274-2521</t>
  </si>
  <si>
    <t>625 S 5th Ave, Lebanon, PA 17042</t>
  </si>
  <si>
    <t>NTGO</t>
  </si>
  <si>
    <t>NOLAN TRANSPORTATION GRO</t>
  </si>
  <si>
    <t>(770) 509-9611</t>
  </si>
  <si>
    <t>365 NORTHRIDGE RD STE 100 ATLANTA, GA 30350</t>
  </si>
  <si>
    <t>HOMEDEPOT@NTGFREIGHT.COM</t>
  </si>
  <si>
    <t>Andrea.Navarro@ntgfreight.com</t>
  </si>
  <si>
    <t>Amira.Legesse@ntgfreight.com</t>
  </si>
  <si>
    <t>NTVY</t>
  </si>
  <si>
    <t>NORMANDIN TRANSPORTATION</t>
  </si>
  <si>
    <t>(508) 278-6579</t>
  </si>
  <si>
    <t xml:space="preserve"> 148 IRONSTONE ST UXBRIDGE, MA 01569 US</t>
  </si>
  <si>
    <t>PAMT</t>
  </si>
  <si>
    <t>PAM TRANSPORT, INC</t>
  </si>
  <si>
    <t>(800) 283-5113</t>
  </si>
  <si>
    <t>297 West Henri de Tonti Blvd Tontitown, AR 72770</t>
  </si>
  <si>
    <t>homedepot@pamt.com</t>
  </si>
  <si>
    <t>AVERS@pamt.com</t>
  </si>
  <si>
    <t>PASC</t>
  </si>
  <si>
    <t>PASCHALL TRUCK LINES INC</t>
  </si>
  <si>
    <t>(800) 785-0374</t>
  </si>
  <si>
    <t>3443 H. 641 SOUTH, MURRAY, KY</t>
  </si>
  <si>
    <t>homedepot@ptl-inc.com</t>
  </si>
  <si>
    <t>jordunez@ptl-inc.com</t>
  </si>
  <si>
    <t>mnavan@ptl-inc.com</t>
  </si>
  <si>
    <t>PAYL</t>
  </si>
  <si>
    <t>PAYSTAR LOGISTICS INC</t>
  </si>
  <si>
    <t>800-393-2902</t>
  </si>
  <si>
    <t>9300 STATESVILLE RD STE 202 CORNELIUS, NC 28031 US</t>
  </si>
  <si>
    <t xml:space="preserve">49967  </t>
  </si>
  <si>
    <t>PESD</t>
  </si>
  <si>
    <t>PANTHER EXPEDITED</t>
  </si>
  <si>
    <t>(678) 836-4209</t>
  </si>
  <si>
    <t>4940 PANTHER PARKWAY SEVILLE, OH 44273 US</t>
  </si>
  <si>
    <t>PITD</t>
  </si>
  <si>
    <t>PITT-OHIO EXPRESS</t>
  </si>
  <si>
    <t>(800) 366-7488</t>
  </si>
  <si>
    <t>15 27th St, Pittsburgh, PA 15222</t>
  </si>
  <si>
    <t>PLCY</t>
  </si>
  <si>
    <t>PEPSI LOGISTICS COMPANY</t>
  </si>
  <si>
    <t>(972) 963-1920</t>
  </si>
  <si>
    <t xml:space="preserve">5600 HEADQUARTERS DR PLANO, TX 75024 </t>
  </si>
  <si>
    <t xml:space="preserve">50366  </t>
  </si>
  <si>
    <t>PTWT</t>
  </si>
  <si>
    <t>4940 PANTHER PARKWAY SEVILLE, OH 44273</t>
  </si>
  <si>
    <t>QPMT</t>
  </si>
  <si>
    <t>jbh_thd_team@jbhunt.com</t>
  </si>
  <si>
    <t>RBCH</t>
  </si>
  <si>
    <t>C.H. ROBINSON</t>
  </si>
  <si>
    <t>(952) 683-2800</t>
  </si>
  <si>
    <t>14701 Charlson Road Eden Prairie, MN 55347</t>
  </si>
  <si>
    <t>HOMEDEPOT@CHROBINSON.COM</t>
  </si>
  <si>
    <t>HomeDepotInbox@chrobinson.com</t>
  </si>
  <si>
    <t>RCXB</t>
  </si>
  <si>
    <t>RED CLASSIC TRANSPORTATION</t>
  </si>
  <si>
    <t>(866) 768-8809</t>
  </si>
  <si>
    <t>1800 CONTINENTAL BLVD STE 400 CHARLOTTE,NC28273U</t>
  </si>
  <si>
    <t xml:space="preserve">49478  </t>
  </si>
  <si>
    <t>ROEV</t>
  </si>
  <si>
    <t>ROEHL TRANSPORT INC</t>
  </si>
  <si>
    <t>866-516-1992</t>
  </si>
  <si>
    <t>1916 East 29th St. MARSHFIELD, WI 54449</t>
  </si>
  <si>
    <t>HomeDepotReports@Roehl.net</t>
  </si>
  <si>
    <t>SAIA</t>
  </si>
  <si>
    <t>SAIA MOTOR FREIGHT LINE</t>
  </si>
  <si>
    <t>800-765-7242</t>
  </si>
  <si>
    <t>11465 JOHNS CREEK PARKWAY, SUITE 400 JOHNS CREEK, GA 30097 US</t>
  </si>
  <si>
    <t>SCIG</t>
  </si>
  <si>
    <t>Schneider National Carriers</t>
  </si>
  <si>
    <t>800-558-6767</t>
  </si>
  <si>
    <t>2841 Charles City Rd, Henrico, VA 23231</t>
  </si>
  <si>
    <t>SCNN</t>
  </si>
  <si>
    <t>SCHNEIDER NATIONAL CARRIERS</t>
  </si>
  <si>
    <t>csretailresponse@schneider.com</t>
  </si>
  <si>
    <t>SEFL</t>
  </si>
  <si>
    <t>SCHNEIDER NATIONAL</t>
  </si>
  <si>
    <t>954-783-6140</t>
  </si>
  <si>
    <t xml:space="preserve">933 SW 12TH AVENUE POMPANO BEACH, FL 33069   </t>
  </si>
  <si>
    <t>972-579-9955</t>
  </si>
  <si>
    <t>4149 EAST STAMFORD STREET ABILENE, TX 79601</t>
  </si>
  <si>
    <t>800-451-7335</t>
  </si>
  <si>
    <t>420 Davega Road Lexington, SC 29073</t>
  </si>
  <si>
    <t xml:space="preserve">SELJ </t>
  </si>
  <si>
    <t>615.590.8744</t>
  </si>
  <si>
    <t>111 BOLAND ST FORT WORTH, TX 76107</t>
  </si>
  <si>
    <t>homedepot@smitheagle.com</t>
  </si>
  <si>
    <t>SFQL</t>
  </si>
  <si>
    <t>SaferHDAppointments@saferlogistics.com</t>
  </si>
  <si>
    <t>SLCY</t>
  </si>
  <si>
    <t>SMTA</t>
  </si>
  <si>
    <t>(904) 261-5007</t>
  </si>
  <si>
    <t>331 E. Closson Rd. Roaring Spring, PA 16673 US</t>
  </si>
  <si>
    <t>SNCF</t>
  </si>
  <si>
    <t>SNCK</t>
  </si>
  <si>
    <t>3101 Packerland Dr. Green Bay, Wisconsin 54313-6187.</t>
  </si>
  <si>
    <t>CSRetailResponse@schneider.com</t>
  </si>
  <si>
    <t>SNCY</t>
  </si>
  <si>
    <t>SNNE</t>
  </si>
  <si>
    <t>SRKD</t>
  </si>
  <si>
    <t>(314) 396-6922</t>
  </si>
  <si>
    <t>3088 ELM PT INDUSTRIAL DR SAINT CHARLES, MO 63301</t>
  </si>
  <si>
    <t>HOMEDEPOT@STLTRUCKERS.COM</t>
  </si>
  <si>
    <t>david@stltruckers.com</t>
  </si>
  <si>
    <t>SUSE</t>
  </si>
  <si>
    <t>Super Service</t>
  </si>
  <si>
    <t>800-669-8658</t>
  </si>
  <si>
    <t>2665 Campbell Blvd, Ellenwood, GA 30294</t>
  </si>
  <si>
    <t>SWFC</t>
  </si>
  <si>
    <t>SWIFT TRANSPORTATION CO</t>
  </si>
  <si>
    <t>(901) 355-7186</t>
  </si>
  <si>
    <t>2200 S. 75th AVENUE PHOENIX, AZ 85043 US</t>
  </si>
  <si>
    <t xml:space="preserve">SWFT </t>
  </si>
  <si>
    <t xml:space="preserve">SWIFT TRANSPORTATION </t>
  </si>
  <si>
    <t>800-800-2200</t>
  </si>
  <si>
    <t>centralacct5@swifttrans.com</t>
  </si>
  <si>
    <t>SWIF</t>
  </si>
  <si>
    <t>2200 S. 75TH AVENUE PHOENIX, AZ 85043</t>
  </si>
  <si>
    <t>homedepotimc@swifttrans.com</t>
  </si>
  <si>
    <t>TCWI</t>
  </si>
  <si>
    <t>TCW, INC</t>
  </si>
  <si>
    <t>(615) 742-6126</t>
  </si>
  <si>
    <t>22 STANLEY ST NASHVILLE, TN 37210 US</t>
  </si>
  <si>
    <t>thehomedepot@tcwonline.com</t>
  </si>
  <si>
    <t>nmount@tcwonline.com</t>
  </si>
  <si>
    <t>TDDS</t>
  </si>
  <si>
    <t>TEST DRIVE LLC</t>
  </si>
  <si>
    <t>(616)551-3061</t>
  </si>
  <si>
    <t>6310 FULTON ST E ADA, MI 49301</t>
  </si>
  <si>
    <t>KatieS@tdusa.us</t>
  </si>
  <si>
    <t>HomeDepot@tdusa.us</t>
  </si>
  <si>
    <t>TFXH</t>
  </si>
  <si>
    <t>TRANSFIX, INC - TL</t>
  </si>
  <si>
    <t>(646) 844-2200</t>
  </si>
  <si>
    <t>498 7th AVE 19th FL NEW YORK, NY 10018</t>
  </si>
  <si>
    <t>TQYL</t>
  </si>
  <si>
    <t>TOTAL QUALITY LOGISTICS</t>
  </si>
  <si>
    <t>(800) 580-3101</t>
  </si>
  <si>
    <t>4289 IVY POINTE BLVD CINCINNATI, OH 45245 US</t>
  </si>
  <si>
    <t>BMillette@tql.com</t>
  </si>
  <si>
    <t>TTMS</t>
  </si>
  <si>
    <t xml:space="preserve">TOTAL TRANSPORTATION </t>
  </si>
  <si>
    <t>(800) 942-2104 x7313</t>
  </si>
  <si>
    <t>125 RIVERVIEW DRIVE RICHLAND, MS 39218 US</t>
  </si>
  <si>
    <t>TUBG</t>
  </si>
  <si>
    <t>RXO CAPACITY SOLUTIONS</t>
  </si>
  <si>
    <t>(312) 854-1390</t>
  </si>
  <si>
    <t>27724 NETWORK PLACE CHICAGO, IL 60673 US</t>
  </si>
  <si>
    <t>48105 </t>
  </si>
  <si>
    <t>homedepot@rxo.com</t>
  </si>
  <si>
    <t>christian.winne@rxo.com</t>
  </si>
  <si>
    <t>TXOK</t>
  </si>
  <si>
    <t>TRANSPORTATION ONE LLC</t>
  </si>
  <si>
    <t>212 W SUPERIOR ST STE 204 CHICAGO, IL 60654 US</t>
  </si>
  <si>
    <t>HOMEDEPOT@TRANSPORTATIONONE.COM</t>
  </si>
  <si>
    <t>UFLB</t>
  </si>
  <si>
    <t>UBER FREIGHT LLC</t>
  </si>
  <si>
    <t>(877) 289-8237</t>
  </si>
  <si>
    <t>1455 MARKET ST 4TH FL SAN FRANCISCO,CA 94103</t>
  </si>
  <si>
    <t>ULIQ</t>
  </si>
  <si>
    <t>UNITEDLINK, INC</t>
  </si>
  <si>
    <t>(972) 200-0606</t>
  </si>
  <si>
    <t>16414 SAN PEDRO AVE # 635 SAN ANTONIO, TX 78232 US</t>
  </si>
  <si>
    <t>homedepot@unilinktransportation.com</t>
  </si>
  <si>
    <t>sgutierrez@unilinktransportation.com</t>
  </si>
  <si>
    <t>dcastro@unilinktransportation.com</t>
  </si>
  <si>
    <t>dfw4@unilinktransportation.com</t>
  </si>
  <si>
    <t>UPGF</t>
  </si>
  <si>
    <t>UPS FREIGHT</t>
  </si>
  <si>
    <t>800-333-7400</t>
  </si>
  <si>
    <t>2427 Moreland Ave SE, Atlanta, GA 30315</t>
  </si>
  <si>
    <t>USIL</t>
  </si>
  <si>
    <t>USA Truck</t>
  </si>
  <si>
    <t>800-251-6291</t>
  </si>
  <si>
    <t>4080 Jenkins Road, Chattanooga, TN 37421</t>
  </si>
  <si>
    <t>USIT</t>
  </si>
  <si>
    <t>USA TRUCK</t>
  </si>
  <si>
    <t>USXD</t>
  </si>
  <si>
    <t>US Xpress</t>
  </si>
  <si>
    <t>USXF</t>
  </si>
  <si>
    <t>USXI</t>
  </si>
  <si>
    <t>US EXPRESS</t>
  </si>
  <si>
    <t>bhuff@usxpress.com</t>
  </si>
  <si>
    <t>mnewberry@usxpress.com</t>
  </si>
  <si>
    <t>usxischeduling@usxpress.com</t>
  </si>
  <si>
    <t>USXR</t>
  </si>
  <si>
    <t>US XPRESS</t>
  </si>
  <si>
    <t>USXRSCHEDULING@USXPRESS.COM</t>
  </si>
  <si>
    <t>VLLQ</t>
  </si>
  <si>
    <t>VERDE LOGISTICS LLC</t>
  </si>
  <si>
    <t>(915) 791-4034</t>
  </si>
  <si>
    <t>9525 Escobar Drive EL PASO,TX 79907 US</t>
  </si>
  <si>
    <t>MVTVERDE@M-V-T.COM</t>
  </si>
  <si>
    <t>WENP</t>
  </si>
  <si>
    <t>WERNER ENTERPRISES</t>
  </si>
  <si>
    <t>(770) 739-3600</t>
  </si>
  <si>
    <t>14507 FRONTIER ROAD OMAHA, NE68138 US</t>
  </si>
  <si>
    <t>sent 2</t>
  </si>
  <si>
    <t>homedepotob@werner.com</t>
  </si>
  <si>
    <t>bbrooks@werner.com</t>
  </si>
  <si>
    <t>KyMorris@werner.com</t>
  </si>
  <si>
    <t>Braulio.Arenas@werner.com</t>
  </si>
  <si>
    <t>WFLY</t>
  </si>
  <si>
    <t>WESTERN FLYER EXPRESS</t>
  </si>
  <si>
    <t>(405) 946-7289</t>
  </si>
  <si>
    <t>4050 W I-40 SERVICE RD OKLAHOMA CITY, OK 73108</t>
  </si>
  <si>
    <t>HOMEDEPOT@WESTERNFLYEREXPRESS.COM</t>
  </si>
  <si>
    <t>WRBH</t>
  </si>
  <si>
    <t>14507 FRONTIER ROAD OMAHA, NE 68138 US</t>
  </si>
  <si>
    <t>WSXI</t>
  </si>
  <si>
    <t xml:space="preserve">WESTERN EXPRESS </t>
  </si>
  <si>
    <t>(615) 720-6170</t>
  </si>
  <si>
    <t>7135 Centennial Place Nashville, TN 37209 US</t>
  </si>
  <si>
    <t>HomeDepot@westernexp.com</t>
  </si>
  <si>
    <t>jramusovic@westernexp.com</t>
  </si>
  <si>
    <t>tvail@westernexp.com</t>
  </si>
  <si>
    <t>XDIR</t>
  </si>
  <si>
    <t>US XPRESS ENTERPRISES IN</t>
  </si>
  <si>
    <t>(423) 510-3202</t>
  </si>
  <si>
    <t>4080 JENKINS ROAD CHATTANOOGA TN 37421</t>
  </si>
  <si>
    <t>xdirscheduling@usxpress.com</t>
  </si>
  <si>
    <t>amcwilliam@usxpress.com</t>
  </si>
  <si>
    <t>XONE</t>
  </si>
  <si>
    <t>(800)-251-6291</t>
  </si>
  <si>
    <t>XPO</t>
  </si>
  <si>
    <t>XPO LOGISTICS</t>
  </si>
  <si>
    <t>(800) 755-2728</t>
  </si>
  <si>
    <t>2211 Old Earhart Road, Ann Arbor, MI 48105-2751</t>
  </si>
  <si>
    <t>XPOG</t>
  </si>
  <si>
    <t>STG INTERMODAL SOLUTIONS</t>
  </si>
  <si>
    <t>(614) 923-1400</t>
  </si>
  <si>
    <t>5165 EMERALD PKWY DUBLIN, OH 43017 US</t>
  </si>
  <si>
    <t>railcustomerservice@stgusa.com</t>
  </si>
  <si>
    <t>Andres.Higuera.EXT@stgusa.com</t>
  </si>
  <si>
    <t>ZUUM</t>
  </si>
  <si>
    <t>ZUUM TRANSPORTATION INC</t>
  </si>
  <si>
    <t>(800) 410-1563</t>
  </si>
  <si>
    <t>18100 VON KARMAN AVE STE 100 IRVINE, CA 92612 US</t>
  </si>
  <si>
    <t>Homedepot@zuumapp.com</t>
  </si>
  <si>
    <t>mmeneses@zuumapp.com</t>
  </si>
  <si>
    <t># cartons</t>
  </si>
  <si>
    <t>pallet size</t>
  </si>
  <si>
    <t>pallet #</t>
  </si>
  <si>
    <t>weight</t>
  </si>
  <si>
    <t>Impero Black</t>
  </si>
  <si>
    <t>Selva Ash</t>
  </si>
  <si>
    <t>Unico Pearl</t>
  </si>
  <si>
    <t>120sp</t>
  </si>
  <si>
    <t>TTFE</t>
  </si>
  <si>
    <t xml:space="preserve">TITAN </t>
  </si>
  <si>
    <t>chelsey@shasko.com</t>
  </si>
  <si>
    <t>STL TRUCKERS *BANNED*</t>
  </si>
  <si>
    <t>valeria.jimenez@loadsmart.com</t>
  </si>
  <si>
    <t>wendy.mattos@loadsmart.com</t>
  </si>
  <si>
    <t>RSexton@tql.com</t>
  </si>
  <si>
    <t>MoreyGroupAdmin@tql.com</t>
  </si>
  <si>
    <t>jose.calderon@loadsmart.com</t>
  </si>
  <si>
    <t>Michelle.Roberts@saferlogistics.com</t>
  </si>
  <si>
    <t>amorgan@titantransferinc.com</t>
  </si>
  <si>
    <t>brooke.coder@usa-truck.com</t>
  </si>
  <si>
    <t>mark.fergeson@usa-truck.com</t>
  </si>
  <si>
    <t>Alpe Graphite</t>
  </si>
  <si>
    <t>12x24</t>
  </si>
  <si>
    <t>24x48</t>
  </si>
  <si>
    <t>Impero Tuscan Gray</t>
  </si>
  <si>
    <t>Impero White Everest</t>
  </si>
  <si>
    <t>Pietra Dune</t>
  </si>
  <si>
    <t xml:space="preserve">12x24 </t>
  </si>
  <si>
    <t>Pietra Limestone White</t>
  </si>
  <si>
    <t>8x40</t>
  </si>
  <si>
    <t>Taj Mahal Ivory 24x48</t>
  </si>
  <si>
    <t>Travertine Almond</t>
  </si>
  <si>
    <t>Urban Earth Ivory</t>
  </si>
  <si>
    <t>60sp</t>
  </si>
  <si>
    <t>HomeDepot@rxo.com</t>
  </si>
  <si>
    <t>harun.akengin@rxo.com</t>
  </si>
  <si>
    <t>kim.chaltry@roehl.net</t>
  </si>
  <si>
    <t>Alberto's weight</t>
  </si>
  <si>
    <t>jwatkins@transportationone.com</t>
  </si>
  <si>
    <t>HDIntermodal@werner.com</t>
  </si>
  <si>
    <t>ARRIVE LOGISTICS - TL</t>
  </si>
  <si>
    <t>HOMEDEPOT-UF@UBER.COM</t>
  </si>
  <si>
    <t>rhuerta@transportationone.com</t>
  </si>
  <si>
    <t>Nathaniel Jackson &lt;nathaniel_jacksonjr@swifttrans.com&gt;</t>
  </si>
  <si>
    <t>Alexis.Gunn@knighttrans.com</t>
  </si>
  <si>
    <t>sheily.jimenez@loadsmart.com</t>
  </si>
  <si>
    <t>Monica.Lopez@usa-truck.com</t>
  </si>
  <si>
    <t>Stefano's weight</t>
  </si>
  <si>
    <t>mdaleywalters@hubgroup.com</t>
  </si>
  <si>
    <t>Selva Venice / Selva Sky</t>
  </si>
  <si>
    <t>Impero Prestige White 24X48 / Alpe Ivory 24x48</t>
  </si>
  <si>
    <t>Taj Mahal Ivory 12x24 / Ray Taupe 12x24</t>
  </si>
  <si>
    <t>Alpe Ivory / Alpe Limestone / Alpe Black 12x24</t>
  </si>
  <si>
    <t>homedepot@cretecarrier.com</t>
  </si>
  <si>
    <t>LHadenfeldt@cretecarrier.com</t>
  </si>
  <si>
    <t>knorman@heartlandexpress.com</t>
  </si>
  <si>
    <t>WXLO</t>
  </si>
  <si>
    <t>WESTERN EXPRESS INC - TL</t>
  </si>
  <si>
    <t>Hdlogs@westernexp.com</t>
  </si>
  <si>
    <t>7135 Centennial Place Nashville, TN 37209</t>
  </si>
  <si>
    <t>(800) 316-7160</t>
  </si>
  <si>
    <t>Slate Black (Hero Coal)</t>
  </si>
  <si>
    <t>khadley@westernexp.com</t>
  </si>
  <si>
    <t>lleft@westernexp.com</t>
  </si>
  <si>
    <t>Impero Black 7.04 CUBE 944 LBS</t>
  </si>
  <si>
    <t>Arka_THD@arkaexpress.com</t>
  </si>
  <si>
    <t xml:space="preserve">Megan.reeves@usa-truck.com </t>
  </si>
  <si>
    <t>ENERGY EXPRESS TRUCKING - TL</t>
  </si>
  <si>
    <t>HOMEDEPOTXDIR@USXPRESS.COM</t>
  </si>
  <si>
    <t>FLSY</t>
  </si>
  <si>
    <t>FUZE LOGISTICS SERVICES - TL</t>
  </si>
  <si>
    <t>THD-USA@fuzelogistics.com</t>
  </si>
  <si>
    <t>13601 80th Cir N Suite 301, Maple Grove, MN 55369</t>
  </si>
  <si>
    <t>Alpe Black 12x24</t>
  </si>
  <si>
    <t>Taj Mahal Ivory 12x24</t>
  </si>
  <si>
    <t>Alpe Ivory 24x48</t>
  </si>
  <si>
    <t>Alpe Gray 24x24</t>
  </si>
  <si>
    <t>Alpe Gray 24x48</t>
  </si>
  <si>
    <t>Bluestone Natural Cleft 24x24</t>
  </si>
  <si>
    <t>Bluestone Natural Cleft 24x48</t>
  </si>
  <si>
    <t>Flagstone Gold 24x24</t>
  </si>
  <si>
    <t>Pietra Chrome 24x24</t>
  </si>
  <si>
    <t>Pietra Jerusalem 24x24</t>
  </si>
  <si>
    <t>Slate Black (Hero Coal) 12x24</t>
  </si>
  <si>
    <t>Selva Ash 8x40</t>
  </si>
  <si>
    <t>Selva Venice 8x40</t>
  </si>
  <si>
    <t>Selva Sky 8x40</t>
  </si>
  <si>
    <t>Impero White Everest 24x48</t>
  </si>
  <si>
    <t>Impero Tuscan Gray 24x48</t>
  </si>
  <si>
    <t xml:space="preserve">Impero Prestige White 24x48 </t>
  </si>
  <si>
    <t>Unico Pearl 12x24</t>
  </si>
  <si>
    <t>Impero Black 12x24</t>
  </si>
  <si>
    <t>Alpe Graphite 12x24</t>
  </si>
  <si>
    <t>Alpe Ivory  12x24</t>
  </si>
  <si>
    <t>Alpe Limestone 12x24</t>
  </si>
  <si>
    <t>Travertine Almond 12x24</t>
  </si>
  <si>
    <t>Urban Earth Ivory 12x24</t>
  </si>
  <si>
    <t>Pietra Dune 12x24</t>
  </si>
  <si>
    <t>Pietra Limestone White 12x24</t>
  </si>
  <si>
    <t>Alpe White 24x24</t>
  </si>
  <si>
    <t>Ray Taupe 12x24</t>
  </si>
  <si>
    <t>HD Weight</t>
  </si>
  <si>
    <t>SAP Weight</t>
  </si>
  <si>
    <t>Stefano's Weight</t>
  </si>
  <si>
    <t>HEARTLAND EXPRESS SERVICE</t>
  </si>
  <si>
    <t>SAFER LOGISTICS, LLC</t>
  </si>
  <si>
    <t>rudina.renacia@nfiindustries.com</t>
  </si>
  <si>
    <t>hd@nfiindustries.com</t>
  </si>
  <si>
    <t>CHNS</t>
  </si>
  <si>
    <t>CHRISTENSON TRANSPORTATION</t>
  </si>
  <si>
    <t>417-866-5993</t>
  </si>
  <si>
    <t>2301 U.S. RTE 66 STRAFFORD, MO 65757</t>
  </si>
  <si>
    <t>homedepot@christensontrans.com</t>
  </si>
  <si>
    <t>Revised as of 07/29/2026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</si>
</sst>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B3E6"/>
        <bgColor indexed="64"/>
      </patternFill>
    </fill>
    <fill>
      <patternFill patternType="solid">
        <fgColor rgb="FFFFE7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0" fillId="0" borderId="0" xfId="0" applyNumberFormat="1"/>
    <xf numFmtId="164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0" borderId="1" xfId="0" applyFont="1" applyBorder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7" borderId="2" xfId="0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3" fontId="0" fillId="10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3" fontId="0" fillId="9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3" fontId="0" fillId="8" borderId="2" xfId="0" applyNumberFormat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3" fillId="0" borderId="0" xfId="1" applyFont="1"/>
    <xf numFmtId="164" fontId="3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AF3FA"/>
      <color rgb="FFFFE7F3"/>
      <color rgb="FFFFB3E6"/>
      <color rgb="FFFFFF99"/>
      <color rgb="FFFFE5FF"/>
      <color rgb="FFC5F0FF"/>
      <color rgb="FFCCFF99"/>
      <color rgb="FFFFFFCC"/>
      <color rgb="FFA3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tel:1-866-312-1314" TargetMode="External"/><Relationship Id="rId1" Type="http://schemas.openxmlformats.org/officeDocument/2006/relationships/hyperlink" Target="https://www.google.com/search?ei=sm-yWs-GFIvSjwStz5SoDw&amp;q=landstar+jacksonville+fl+phone+number&amp;oq=landstar+ranger+phone+number&amp;gs_l=psy-ab.1.1.0i71k1l8.0.0.0.9200.0.0.0.0.0.0.0.0..0.0....0...1c..64.psy-ab..0.0.0....0.WA7KG4T2SWc" TargetMode="External"/><Relationship Id="rId6" Type="http://schemas.openxmlformats.org/officeDocument/2006/relationships/hyperlink" Target="https://www.google.com/search?ei=xSm3XLLmKpGWtQX39oPQAw&amp;q=xpo+logistics++llc+chicago&amp;oq=xpo+logistics++llc+chicago&amp;gs_l=psy-ab.3...1646.2561..3260...0.0..0.100.655.6j1......0....1..gws-wiz.......0i71j0i7i30.JgjAgjMYq5g" TargetMode="External"/><Relationship Id="rId5" Type="http://schemas.openxmlformats.org/officeDocument/2006/relationships/hyperlink" Target="tel:+1-866-281-1281" TargetMode="External"/><Relationship Id="rId4" Type="http://schemas.openxmlformats.org/officeDocument/2006/relationships/hyperlink" Target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TP131"/>
  <sheetViews>
    <sheetView tabSelected="1" zoomScaleNormal="100" workbookViewId="0">
      <selection activeCell="F131" sqref="F131"/>
    </sheetView>
  </sheetViews>
  <sheetFormatPr defaultRowHeight="15" x14ac:dyDescent="0.25"/>
  <cols>
    <col min="1" max="1" width="10.140625" style="2" customWidth="1"/>
    <col min="2" max="2" width="33.85546875" style="2" customWidth="1"/>
    <col min="3" max="3" width="14.85546875" style="5" hidden="1" customWidth="1"/>
    <col min="4" max="4" width="60.140625" style="2" hidden="1" customWidth="1"/>
    <col min="5" max="5" width="7.5703125" style="1" bestFit="1" customWidth="1"/>
    <col min="6" max="6" width="5.85546875" style="17" customWidth="1"/>
    <col min="7" max="7" width="35" style="2" customWidth="1"/>
    <col min="8" max="8" width="34.85546875" style="2" bestFit="1" customWidth="1"/>
    <col min="9" max="9" width="31.5703125" style="2" bestFit="1" customWidth="1"/>
    <col min="10" max="10" width="31.28515625" style="2" customWidth="1"/>
    <col min="11" max="11" width="29.5703125" style="2" bestFit="1" customWidth="1"/>
    <col min="12" max="525" width="8.85546875" style="2" customWidth="1"/>
    <col min="526" max="12282" width="8.85546875" style="2"/>
    <col min="12283" max="16084" width="9.140625" style="2" customWidth="1"/>
    <col min="16085" max="16383" width="8.85546875" style="2"/>
    <col min="16384" max="16384" width="8.85546875" style="2" customWidth="1"/>
  </cols>
  <sheetData>
    <row r="1" spans="1:10" x14ac:dyDescent="0.25">
      <c r="A1" s="2" t="s">
        <v>0</v>
      </c>
      <c r="B1" s="2" t="s">
        <v>1</v>
      </c>
      <c r="C1" s="5" t="s">
        <v>2</v>
      </c>
      <c r="D1" s="2" t="s">
        <v>3</v>
      </c>
      <c r="E1" s="1" t="s">
        <v>4</v>
      </c>
      <c r="F1" s="15" t="s">
        <v>5</v>
      </c>
      <c r="G1" s="2" t="s">
        <v>6</v>
      </c>
      <c r="H1" s="2" t="s">
        <v>7</v>
      </c>
      <c r="I1" s="5" t="s">
        <v>8</v>
      </c>
    </row>
    <row r="2" spans="1:10" x14ac:dyDescent="0.25">
      <c r="A2" s="9" t="s">
        <v>9</v>
      </c>
      <c r="B2" s="9" t="s">
        <v>10</v>
      </c>
      <c r="C2" s="10" t="s">
        <v>11</v>
      </c>
      <c r="D2" s="11" t="s">
        <v>12</v>
      </c>
      <c r="E2" s="12">
        <v>43564</v>
      </c>
      <c r="F2" s="16" t="s">
        <v>13</v>
      </c>
      <c r="G2" s="9" t="s">
        <v>14</v>
      </c>
      <c r="H2" s="9" t="s">
        <v>15</v>
      </c>
      <c r="I2" s="10"/>
      <c r="J2" s="11"/>
    </row>
    <row r="3" spans="1:10" hidden="1" x14ac:dyDescent="0.25">
      <c r="A3" s="2" t="s">
        <v>16</v>
      </c>
      <c r="B3" s="2" t="s">
        <v>17</v>
      </c>
      <c r="C3" s="5" t="s">
        <v>18</v>
      </c>
      <c r="D3" s="2" t="s">
        <v>19</v>
      </c>
      <c r="E3" s="1">
        <v>55153</v>
      </c>
      <c r="F3" s="15" t="s">
        <v>13</v>
      </c>
      <c r="G3" s="2" t="s">
        <v>20</v>
      </c>
      <c r="I3" s="5"/>
    </row>
    <row r="4" spans="1:10" hidden="1" x14ac:dyDescent="0.25">
      <c r="A4" s="9" t="s">
        <v>21</v>
      </c>
      <c r="B4" s="9" t="s">
        <v>22</v>
      </c>
      <c r="C4" s="10" t="s">
        <v>23</v>
      </c>
      <c r="D4" s="11" t="s">
        <v>24</v>
      </c>
      <c r="E4" s="12">
        <v>43559</v>
      </c>
      <c r="F4" s="16" t="s">
        <v>25</v>
      </c>
      <c r="G4" s="9" t="s">
        <v>26</v>
      </c>
      <c r="H4" s="9"/>
      <c r="I4" s="10"/>
      <c r="J4" s="11"/>
    </row>
    <row r="5" spans="1:10" hidden="1" x14ac:dyDescent="0.25">
      <c r="A5" s="2" t="s">
        <v>27</v>
      </c>
      <c r="B5" s="2" t="s">
        <v>28</v>
      </c>
      <c r="C5" s="5" t="s">
        <v>29</v>
      </c>
      <c r="D5" s="2" t="s">
        <v>30</v>
      </c>
      <c r="E5" s="1" t="s">
        <v>31</v>
      </c>
      <c r="F5" s="15"/>
      <c r="I5" s="5"/>
    </row>
    <row r="6" spans="1:10" x14ac:dyDescent="0.25">
      <c r="A6" s="9" t="s">
        <v>32</v>
      </c>
      <c r="B6" s="9" t="s">
        <v>33</v>
      </c>
      <c r="C6" s="10" t="s">
        <v>34</v>
      </c>
      <c r="D6" s="11" t="s">
        <v>35</v>
      </c>
      <c r="E6" s="12">
        <v>49297</v>
      </c>
      <c r="F6" s="16"/>
      <c r="G6" s="9" t="s">
        <v>593</v>
      </c>
      <c r="H6" s="9"/>
      <c r="I6" s="10"/>
      <c r="J6" s="11"/>
    </row>
    <row r="7" spans="1:10" x14ac:dyDescent="0.25">
      <c r="A7" s="2" t="s">
        <v>36</v>
      </c>
      <c r="B7" s="2" t="s">
        <v>568</v>
      </c>
      <c r="E7" s="1" t="s">
        <v>37</v>
      </c>
      <c r="F7" s="15" t="s">
        <v>38</v>
      </c>
      <c r="G7" s="48" t="s">
        <v>39</v>
      </c>
      <c r="I7" s="5"/>
    </row>
    <row r="8" spans="1:10" hidden="1" x14ac:dyDescent="0.25">
      <c r="A8" s="9" t="s">
        <v>40</v>
      </c>
      <c r="B8" s="9" t="s">
        <v>41</v>
      </c>
      <c r="C8" s="10" t="s">
        <v>42</v>
      </c>
      <c r="D8" s="11" t="s">
        <v>43</v>
      </c>
      <c r="E8" s="12">
        <v>53231</v>
      </c>
      <c r="F8" s="16"/>
      <c r="G8" s="9" t="s">
        <v>44</v>
      </c>
      <c r="H8" s="9"/>
      <c r="I8" s="10"/>
      <c r="J8" s="11"/>
    </row>
    <row r="9" spans="1:10" s="9" customFormat="1" x14ac:dyDescent="0.25">
      <c r="A9" s="9" t="s">
        <v>45</v>
      </c>
      <c r="B9" s="9" t="s">
        <v>46</v>
      </c>
      <c r="C9" s="10" t="s">
        <v>47</v>
      </c>
      <c r="D9" s="9" t="s">
        <v>48</v>
      </c>
      <c r="E9" s="12" t="s">
        <v>49</v>
      </c>
      <c r="F9" s="16" t="s">
        <v>50</v>
      </c>
      <c r="G9" s="9" t="s">
        <v>39</v>
      </c>
      <c r="I9" s="10"/>
    </row>
    <row r="10" spans="1:10" x14ac:dyDescent="0.25">
      <c r="A10" s="9" t="s">
        <v>51</v>
      </c>
      <c r="B10" s="9" t="s">
        <v>52</v>
      </c>
      <c r="C10" s="10" t="s">
        <v>53</v>
      </c>
      <c r="D10" s="11" t="s">
        <v>54</v>
      </c>
      <c r="E10" s="12">
        <v>44946</v>
      </c>
      <c r="F10" s="16" t="s">
        <v>55</v>
      </c>
      <c r="G10" s="9" t="s">
        <v>56</v>
      </c>
      <c r="H10" s="9"/>
      <c r="I10" s="10"/>
      <c r="J10" s="11"/>
    </row>
    <row r="11" spans="1:10" hidden="1" x14ac:dyDescent="0.25">
      <c r="A11" s="2" t="s">
        <v>57</v>
      </c>
      <c r="B11" s="2" t="s">
        <v>58</v>
      </c>
      <c r="C11" s="5" t="s">
        <v>59</v>
      </c>
      <c r="D11" s="2" t="s">
        <v>60</v>
      </c>
      <c r="E11" s="1">
        <v>55350</v>
      </c>
      <c r="F11" s="15" t="s">
        <v>50</v>
      </c>
      <c r="G11" s="2" t="s">
        <v>61</v>
      </c>
      <c r="I11" s="5"/>
    </row>
    <row r="12" spans="1:10" hidden="1" x14ac:dyDescent="0.25">
      <c r="A12" s="9" t="s">
        <v>62</v>
      </c>
      <c r="B12" s="9" t="s">
        <v>63</v>
      </c>
      <c r="C12" s="10" t="s">
        <v>64</v>
      </c>
      <c r="D12" s="11" t="s">
        <v>65</v>
      </c>
      <c r="E12" s="12">
        <v>46759</v>
      </c>
      <c r="F12" s="16"/>
      <c r="G12" s="9"/>
      <c r="H12" s="9"/>
      <c r="I12" s="10" t="s">
        <v>66</v>
      </c>
      <c r="J12" s="11"/>
    </row>
    <row r="13" spans="1:10" hidden="1" x14ac:dyDescent="0.25">
      <c r="A13" s="2" t="s">
        <v>67</v>
      </c>
      <c r="B13" s="2" t="s">
        <v>63</v>
      </c>
      <c r="C13" s="5" t="s">
        <v>64</v>
      </c>
      <c r="D13" s="2" t="s">
        <v>65</v>
      </c>
      <c r="E13" s="1">
        <v>50106</v>
      </c>
      <c r="F13" s="15"/>
      <c r="I13" s="5"/>
    </row>
    <row r="14" spans="1:10" hidden="1" x14ac:dyDescent="0.25">
      <c r="A14" s="9" t="s">
        <v>68</v>
      </c>
      <c r="B14" s="9" t="s">
        <v>69</v>
      </c>
      <c r="C14" s="10" t="s">
        <v>70</v>
      </c>
      <c r="D14" s="11" t="s">
        <v>71</v>
      </c>
      <c r="E14" s="12">
        <v>49327</v>
      </c>
      <c r="F14" s="16"/>
      <c r="G14" s="9"/>
      <c r="H14" s="9"/>
      <c r="I14" s="10"/>
      <c r="J14" s="11"/>
    </row>
    <row r="15" spans="1:10" hidden="1" x14ac:dyDescent="0.25">
      <c r="A15" s="2" t="s">
        <v>72</v>
      </c>
      <c r="B15" s="2" t="s">
        <v>69</v>
      </c>
      <c r="C15" s="5" t="s">
        <v>70</v>
      </c>
      <c r="D15" s="2" t="s">
        <v>71</v>
      </c>
      <c r="E15" s="1">
        <v>52602</v>
      </c>
      <c r="F15" s="15"/>
      <c r="I15" s="5"/>
    </row>
    <row r="16" spans="1:10" hidden="1" x14ac:dyDescent="0.25">
      <c r="A16" s="9" t="s">
        <v>73</v>
      </c>
      <c r="B16" s="9" t="s">
        <v>74</v>
      </c>
      <c r="C16" s="10" t="s">
        <v>75</v>
      </c>
      <c r="D16" s="11" t="s">
        <v>76</v>
      </c>
      <c r="E16" s="12">
        <v>44113</v>
      </c>
      <c r="F16" s="16"/>
      <c r="G16" s="9"/>
      <c r="H16" s="9"/>
      <c r="I16" s="10"/>
      <c r="J16" s="11"/>
    </row>
    <row r="17" spans="1:10" s="18" customFormat="1" hidden="1" x14ac:dyDescent="0.25">
      <c r="A17" s="2" t="s">
        <v>77</v>
      </c>
      <c r="B17" s="2" t="s">
        <v>78</v>
      </c>
      <c r="C17" s="5" t="s">
        <v>79</v>
      </c>
      <c r="D17" s="2" t="s">
        <v>80</v>
      </c>
      <c r="E17" s="1">
        <v>55068</v>
      </c>
      <c r="F17" s="15" t="s">
        <v>38</v>
      </c>
      <c r="G17" s="2" t="s">
        <v>81</v>
      </c>
      <c r="H17" s="2" t="s">
        <v>82</v>
      </c>
      <c r="I17" s="5"/>
      <c r="J17" s="2"/>
    </row>
    <row r="18" spans="1:10" x14ac:dyDescent="0.25">
      <c r="A18" s="2" t="s">
        <v>636</v>
      </c>
      <c r="B18" s="2" t="s">
        <v>637</v>
      </c>
      <c r="C18" s="5" t="s">
        <v>638</v>
      </c>
      <c r="D18" s="2" t="s">
        <v>639</v>
      </c>
      <c r="E18" s="1">
        <v>60226</v>
      </c>
      <c r="G18" s="25" t="s">
        <v>640</v>
      </c>
    </row>
    <row r="19" spans="1:10" hidden="1" x14ac:dyDescent="0.25">
      <c r="A19" s="9" t="s">
        <v>83</v>
      </c>
      <c r="B19" s="9" t="s">
        <v>84</v>
      </c>
      <c r="C19" s="10" t="s">
        <v>85</v>
      </c>
      <c r="D19" s="11" t="s">
        <v>86</v>
      </c>
      <c r="E19" s="12">
        <v>43864</v>
      </c>
      <c r="F19" s="16"/>
      <c r="G19" s="9" t="s">
        <v>562</v>
      </c>
      <c r="H19" s="9" t="s">
        <v>563</v>
      </c>
      <c r="I19" s="10"/>
      <c r="J19" s="11"/>
    </row>
    <row r="20" spans="1:10" hidden="1" x14ac:dyDescent="0.25">
      <c r="A20" s="2" t="s">
        <v>88</v>
      </c>
      <c r="B20" s="2" t="s">
        <v>84</v>
      </c>
      <c r="D20" s="2" t="s">
        <v>86</v>
      </c>
      <c r="E20" s="1">
        <v>44014</v>
      </c>
      <c r="F20" s="15"/>
      <c r="I20" s="5"/>
    </row>
    <row r="21" spans="1:10" x14ac:dyDescent="0.25">
      <c r="A21" s="9" t="s">
        <v>89</v>
      </c>
      <c r="B21" s="9" t="s">
        <v>90</v>
      </c>
      <c r="C21" s="10"/>
      <c r="D21" s="11" t="s">
        <v>91</v>
      </c>
      <c r="E21" s="12">
        <v>43857</v>
      </c>
      <c r="F21" s="16" t="s">
        <v>38</v>
      </c>
      <c r="G21" s="9" t="s">
        <v>581</v>
      </c>
      <c r="H21" s="9" t="s">
        <v>582</v>
      </c>
      <c r="I21" s="10"/>
      <c r="J21" s="11" t="s">
        <v>92</v>
      </c>
    </row>
    <row r="22" spans="1:10" hidden="1" x14ac:dyDescent="0.25">
      <c r="A22" s="2" t="s">
        <v>93</v>
      </c>
      <c r="B22" s="2" t="s">
        <v>94</v>
      </c>
      <c r="C22" s="5" t="s">
        <v>95</v>
      </c>
      <c r="D22" s="2" t="s">
        <v>96</v>
      </c>
      <c r="E22" s="1">
        <v>50950</v>
      </c>
      <c r="F22" s="15"/>
      <c r="I22" s="5"/>
    </row>
    <row r="23" spans="1:10" hidden="1" x14ac:dyDescent="0.25">
      <c r="A23" s="9" t="s">
        <v>97</v>
      </c>
      <c r="B23" s="9" t="s">
        <v>98</v>
      </c>
      <c r="C23" s="10" t="s">
        <v>99</v>
      </c>
      <c r="D23" s="11" t="s">
        <v>100</v>
      </c>
      <c r="E23" s="12">
        <v>50186</v>
      </c>
      <c r="F23" s="16"/>
      <c r="G23" s="9"/>
      <c r="H23" s="9"/>
      <c r="I23" s="10"/>
      <c r="J23" s="11"/>
    </row>
    <row r="24" spans="1:10" x14ac:dyDescent="0.25">
      <c r="A24" s="2" t="s">
        <v>101</v>
      </c>
      <c r="B24" s="2" t="s">
        <v>102</v>
      </c>
      <c r="C24" s="5" t="s">
        <v>103</v>
      </c>
      <c r="D24" s="2" t="s">
        <v>104</v>
      </c>
      <c r="E24" s="1">
        <v>48617</v>
      </c>
      <c r="F24" s="15" t="s">
        <v>13</v>
      </c>
      <c r="G24" s="2" t="s">
        <v>105</v>
      </c>
      <c r="H24" s="2" t="s">
        <v>106</v>
      </c>
      <c r="I24" s="5"/>
    </row>
    <row r="25" spans="1:10" hidden="1" x14ac:dyDescent="0.25">
      <c r="A25" s="9" t="s">
        <v>107</v>
      </c>
      <c r="B25" s="9" t="s">
        <v>108</v>
      </c>
      <c r="C25" s="10" t="s">
        <v>109</v>
      </c>
      <c r="D25" s="11" t="s">
        <v>110</v>
      </c>
      <c r="E25" s="12">
        <v>46760</v>
      </c>
      <c r="F25" s="16"/>
      <c r="G25" s="9" t="s">
        <v>111</v>
      </c>
      <c r="H25" s="9"/>
      <c r="I25" s="10"/>
      <c r="J25" s="11"/>
    </row>
    <row r="26" spans="1:10" s="9" customFormat="1" x14ac:dyDescent="0.25">
      <c r="A26" s="9" t="s">
        <v>112</v>
      </c>
      <c r="B26" s="9" t="s">
        <v>113</v>
      </c>
      <c r="C26" s="10" t="s">
        <v>114</v>
      </c>
      <c r="D26" s="9" t="s">
        <v>115</v>
      </c>
      <c r="E26" s="12">
        <v>49009</v>
      </c>
      <c r="F26" s="16" t="s">
        <v>50</v>
      </c>
      <c r="G26" s="9" t="s">
        <v>116</v>
      </c>
      <c r="H26" s="9" t="s">
        <v>117</v>
      </c>
      <c r="I26" s="10"/>
    </row>
    <row r="27" spans="1:10" hidden="1" x14ac:dyDescent="0.25">
      <c r="A27" s="9" t="s">
        <v>118</v>
      </c>
      <c r="B27" s="9" t="s">
        <v>119</v>
      </c>
      <c r="C27" s="10" t="s">
        <v>120</v>
      </c>
      <c r="D27" s="11" t="s">
        <v>121</v>
      </c>
      <c r="E27" s="12">
        <v>52923</v>
      </c>
      <c r="F27" s="16"/>
      <c r="G27" s="9" t="s">
        <v>122</v>
      </c>
      <c r="H27" s="9"/>
      <c r="I27" s="10"/>
      <c r="J27" s="11"/>
    </row>
    <row r="28" spans="1:10" hidden="1" x14ac:dyDescent="0.25">
      <c r="A28" s="2" t="s">
        <v>123</v>
      </c>
      <c r="B28" s="2" t="s">
        <v>124</v>
      </c>
      <c r="C28" s="5" t="s">
        <v>125</v>
      </c>
      <c r="D28" s="2" t="s">
        <v>126</v>
      </c>
      <c r="E28" s="1">
        <v>52371</v>
      </c>
      <c r="F28" s="15"/>
      <c r="G28" s="2" t="s">
        <v>127</v>
      </c>
      <c r="I28" s="5"/>
    </row>
    <row r="29" spans="1:10" hidden="1" x14ac:dyDescent="0.25">
      <c r="A29" s="9" t="s">
        <v>128</v>
      </c>
      <c r="B29" s="9" t="s">
        <v>129</v>
      </c>
      <c r="C29" s="10" t="s">
        <v>130</v>
      </c>
      <c r="D29" s="11" t="s">
        <v>131</v>
      </c>
      <c r="E29" s="12">
        <v>46319</v>
      </c>
      <c r="F29" s="16"/>
      <c r="G29" s="9"/>
      <c r="H29" s="9"/>
      <c r="I29" s="10"/>
      <c r="J29" s="11"/>
    </row>
    <row r="30" spans="1:10" hidden="1" x14ac:dyDescent="0.25">
      <c r="A30" s="2" t="s">
        <v>132</v>
      </c>
      <c r="B30" s="2" t="s">
        <v>133</v>
      </c>
      <c r="C30" s="5" t="s">
        <v>134</v>
      </c>
      <c r="D30" s="2" t="s">
        <v>135</v>
      </c>
      <c r="E30" s="1">
        <v>51389</v>
      </c>
      <c r="F30" s="15"/>
      <c r="I30" s="5"/>
      <c r="J30" s="2" t="s">
        <v>87</v>
      </c>
    </row>
    <row r="31" spans="1:10" hidden="1" x14ac:dyDescent="0.25">
      <c r="A31" s="9" t="s">
        <v>136</v>
      </c>
      <c r="B31" s="9" t="s">
        <v>137</v>
      </c>
      <c r="C31" s="10" t="s">
        <v>138</v>
      </c>
      <c r="D31" s="11" t="s">
        <v>139</v>
      </c>
      <c r="E31" s="12">
        <v>48616</v>
      </c>
      <c r="F31" s="16"/>
      <c r="G31" s="9"/>
      <c r="H31" s="9"/>
      <c r="I31" s="10"/>
      <c r="J31" s="11"/>
    </row>
    <row r="32" spans="1:10" x14ac:dyDescent="0.25">
      <c r="A32" s="2" t="s">
        <v>140</v>
      </c>
      <c r="B32" s="2" t="s">
        <v>595</v>
      </c>
      <c r="C32" s="5" t="s">
        <v>141</v>
      </c>
      <c r="D32" s="2" t="s">
        <v>142</v>
      </c>
      <c r="E32" s="1">
        <v>46641</v>
      </c>
      <c r="F32" s="15" t="s">
        <v>143</v>
      </c>
      <c r="G32" s="2" t="s">
        <v>144</v>
      </c>
      <c r="H32" s="5" t="s">
        <v>145</v>
      </c>
    </row>
    <row r="33" spans="1:10" hidden="1" x14ac:dyDescent="0.25">
      <c r="A33" s="9" t="s">
        <v>146</v>
      </c>
      <c r="B33" s="9" t="s">
        <v>147</v>
      </c>
      <c r="C33" s="10" t="s">
        <v>148</v>
      </c>
      <c r="D33" s="11" t="s">
        <v>149</v>
      </c>
      <c r="E33" s="12" t="s">
        <v>150</v>
      </c>
      <c r="F33" s="16"/>
      <c r="G33" s="9"/>
      <c r="H33" s="9"/>
      <c r="I33" s="10"/>
      <c r="J33" s="11"/>
    </row>
    <row r="34" spans="1:10" ht="13.35" hidden="1" customHeight="1" x14ac:dyDescent="0.25">
      <c r="A34" s="2" t="s">
        <v>151</v>
      </c>
      <c r="B34" s="2" t="s">
        <v>152</v>
      </c>
      <c r="C34" s="5" t="s">
        <v>153</v>
      </c>
      <c r="D34" s="2" t="s">
        <v>154</v>
      </c>
      <c r="E34" s="1">
        <v>43707</v>
      </c>
      <c r="F34" s="15" t="s">
        <v>38</v>
      </c>
      <c r="G34" s="2" t="s">
        <v>155</v>
      </c>
      <c r="I34" s="5"/>
    </row>
    <row r="35" spans="1:10" x14ac:dyDescent="0.25">
      <c r="A35" s="9" t="s">
        <v>156</v>
      </c>
      <c r="B35" s="9" t="s">
        <v>157</v>
      </c>
      <c r="C35" s="10" t="s">
        <v>153</v>
      </c>
      <c r="D35" s="11" t="s">
        <v>154</v>
      </c>
      <c r="E35" s="12">
        <v>43706</v>
      </c>
      <c r="F35" s="16" t="s">
        <v>38</v>
      </c>
      <c r="G35" s="9" t="s">
        <v>158</v>
      </c>
      <c r="H35" s="9" t="s">
        <v>159</v>
      </c>
      <c r="I35" s="10"/>
      <c r="J35" s="11"/>
    </row>
    <row r="36" spans="1:10" x14ac:dyDescent="0.25">
      <c r="A36" s="2" t="s">
        <v>160</v>
      </c>
      <c r="B36" s="2" t="s">
        <v>161</v>
      </c>
      <c r="C36" s="5" t="s">
        <v>162</v>
      </c>
      <c r="D36" s="2" t="s">
        <v>163</v>
      </c>
      <c r="E36" s="1">
        <v>43558</v>
      </c>
      <c r="F36" s="15" t="s">
        <v>13</v>
      </c>
      <c r="G36" s="2" t="s">
        <v>164</v>
      </c>
      <c r="H36" s="2" t="s">
        <v>165</v>
      </c>
      <c r="I36" s="5"/>
    </row>
    <row r="37" spans="1:10" hidden="1" x14ac:dyDescent="0.25">
      <c r="A37" s="9" t="s">
        <v>166</v>
      </c>
      <c r="B37" s="9" t="s">
        <v>167</v>
      </c>
      <c r="C37" s="10" t="s">
        <v>168</v>
      </c>
      <c r="D37" s="11" t="s">
        <v>169</v>
      </c>
      <c r="E37" s="12">
        <v>44800</v>
      </c>
      <c r="F37" s="16"/>
      <c r="G37" s="9"/>
      <c r="H37" s="9"/>
      <c r="I37" s="10"/>
      <c r="J37" s="11"/>
    </row>
    <row r="38" spans="1:10" hidden="1" x14ac:dyDescent="0.25">
      <c r="A38" s="2" t="s">
        <v>170</v>
      </c>
      <c r="B38" s="2" t="s">
        <v>171</v>
      </c>
      <c r="C38" s="5" t="s">
        <v>172</v>
      </c>
      <c r="D38" s="2" t="s">
        <v>173</v>
      </c>
      <c r="E38" s="1">
        <v>43849</v>
      </c>
      <c r="F38" s="15"/>
      <c r="I38" s="5"/>
    </row>
    <row r="39" spans="1:10" x14ac:dyDescent="0.25">
      <c r="A39" s="2" t="s">
        <v>597</v>
      </c>
      <c r="B39" s="2" t="s">
        <v>598</v>
      </c>
      <c r="C39" s="49">
        <v>7634323680</v>
      </c>
      <c r="D39" s="2" t="s">
        <v>600</v>
      </c>
      <c r="E39" s="1">
        <v>60082</v>
      </c>
      <c r="F39" s="15" t="s">
        <v>50</v>
      </c>
      <c r="G39" s="25" t="s">
        <v>599</v>
      </c>
    </row>
    <row r="40" spans="1:10" hidden="1" x14ac:dyDescent="0.25">
      <c r="A40" s="9" t="s">
        <v>174</v>
      </c>
      <c r="B40" s="9" t="s">
        <v>175</v>
      </c>
      <c r="C40" s="10" t="s">
        <v>176</v>
      </c>
      <c r="D40" s="11" t="s">
        <v>177</v>
      </c>
      <c r="E40" s="12">
        <v>50190</v>
      </c>
      <c r="F40" s="16" t="s">
        <v>50</v>
      </c>
      <c r="G40" s="9" t="s">
        <v>178</v>
      </c>
      <c r="H40" s="9" t="s">
        <v>179</v>
      </c>
      <c r="I40" s="10" t="s">
        <v>180</v>
      </c>
      <c r="J40" s="11"/>
    </row>
    <row r="41" spans="1:10" hidden="1" x14ac:dyDescent="0.25">
      <c r="A41" s="2" t="s">
        <v>181</v>
      </c>
      <c r="B41" s="2" t="s">
        <v>182</v>
      </c>
      <c r="C41" s="5" t="s">
        <v>183</v>
      </c>
      <c r="D41" s="2" t="s">
        <v>184</v>
      </c>
      <c r="E41" s="1">
        <v>55056</v>
      </c>
      <c r="F41" s="15" t="s">
        <v>38</v>
      </c>
      <c r="G41" s="2" t="s">
        <v>185</v>
      </c>
      <c r="H41" s="2" t="s">
        <v>186</v>
      </c>
      <c r="I41" s="5" t="s">
        <v>187</v>
      </c>
    </row>
    <row r="42" spans="1:10" hidden="1" x14ac:dyDescent="0.25">
      <c r="A42" s="9" t="s">
        <v>188</v>
      </c>
      <c r="B42" s="9" t="s">
        <v>189</v>
      </c>
      <c r="C42" s="10" t="s">
        <v>190</v>
      </c>
      <c r="D42" s="11" t="s">
        <v>191</v>
      </c>
      <c r="E42" s="12">
        <v>52061</v>
      </c>
      <c r="F42" s="16"/>
      <c r="G42" s="9"/>
      <c r="H42" s="9"/>
      <c r="I42" s="10"/>
      <c r="J42" s="11"/>
    </row>
    <row r="43" spans="1:10" s="9" customFormat="1" x14ac:dyDescent="0.25">
      <c r="A43" s="9" t="s">
        <v>192</v>
      </c>
      <c r="B43" s="9" t="s">
        <v>632</v>
      </c>
      <c r="C43" s="10" t="s">
        <v>193</v>
      </c>
      <c r="D43" s="9" t="s">
        <v>194</v>
      </c>
      <c r="E43" s="12">
        <v>44923</v>
      </c>
      <c r="F43" s="16" t="s">
        <v>38</v>
      </c>
      <c r="G43" s="9" t="s">
        <v>583</v>
      </c>
      <c r="H43" s="9" t="s">
        <v>195</v>
      </c>
      <c r="I43" s="10"/>
    </row>
    <row r="44" spans="1:10" hidden="1" x14ac:dyDescent="0.25">
      <c r="A44" s="9" t="s">
        <v>196</v>
      </c>
      <c r="B44" s="9" t="s">
        <v>197</v>
      </c>
      <c r="C44" s="10" t="s">
        <v>198</v>
      </c>
      <c r="D44" s="11" t="s">
        <v>199</v>
      </c>
      <c r="E44" s="12" t="s">
        <v>200</v>
      </c>
      <c r="F44" s="16" t="s">
        <v>38</v>
      </c>
      <c r="G44" s="9" t="s">
        <v>201</v>
      </c>
      <c r="H44" s="9" t="s">
        <v>202</v>
      </c>
      <c r="I44" s="10"/>
      <c r="J44" s="11"/>
    </row>
    <row r="45" spans="1:10" x14ac:dyDescent="0.25">
      <c r="A45" s="2" t="s">
        <v>203</v>
      </c>
      <c r="B45" s="2" t="s">
        <v>197</v>
      </c>
      <c r="C45" s="5" t="s">
        <v>198</v>
      </c>
      <c r="D45" s="2" t="s">
        <v>199</v>
      </c>
      <c r="E45" s="1">
        <v>43883</v>
      </c>
      <c r="F45" s="15" t="s">
        <v>38</v>
      </c>
      <c r="G45" s="2" t="s">
        <v>201</v>
      </c>
      <c r="H45" s="2" t="s">
        <v>204</v>
      </c>
      <c r="I45" s="5"/>
    </row>
    <row r="46" spans="1:10" hidden="1" x14ac:dyDescent="0.25">
      <c r="A46" s="9" t="s">
        <v>205</v>
      </c>
      <c r="B46" s="9" t="s">
        <v>206</v>
      </c>
      <c r="C46" s="10" t="s">
        <v>207</v>
      </c>
      <c r="D46" s="11" t="s">
        <v>208</v>
      </c>
      <c r="E46" s="12">
        <v>48280</v>
      </c>
      <c r="F46" s="16" t="s">
        <v>38</v>
      </c>
      <c r="G46" s="9"/>
      <c r="H46" s="9"/>
      <c r="I46" s="10"/>
      <c r="J46" s="11"/>
    </row>
    <row r="47" spans="1:10" x14ac:dyDescent="0.25">
      <c r="A47" s="2" t="s">
        <v>209</v>
      </c>
      <c r="B47" s="2" t="s">
        <v>206</v>
      </c>
      <c r="C47" s="5" t="s">
        <v>207</v>
      </c>
      <c r="D47" s="2" t="s">
        <v>208</v>
      </c>
      <c r="E47" s="1" t="s">
        <v>210</v>
      </c>
      <c r="F47" s="15" t="s">
        <v>38</v>
      </c>
      <c r="G47" s="2" t="s">
        <v>211</v>
      </c>
      <c r="I47" s="5"/>
    </row>
    <row r="48" spans="1:10" x14ac:dyDescent="0.25">
      <c r="A48" s="9" t="s">
        <v>212</v>
      </c>
      <c r="B48" s="9" t="s">
        <v>206</v>
      </c>
      <c r="C48" s="10" t="s">
        <v>207</v>
      </c>
      <c r="D48" s="11" t="s">
        <v>208</v>
      </c>
      <c r="E48" s="12">
        <v>43710</v>
      </c>
      <c r="F48" s="16" t="s">
        <v>38</v>
      </c>
      <c r="G48" s="2" t="s">
        <v>213</v>
      </c>
      <c r="H48" s="2" t="s">
        <v>214</v>
      </c>
      <c r="I48" s="5" t="s">
        <v>215</v>
      </c>
      <c r="J48" s="11" t="s">
        <v>216</v>
      </c>
    </row>
    <row r="49" spans="1:16084" hidden="1" x14ac:dyDescent="0.25">
      <c r="A49" s="2" t="s">
        <v>217</v>
      </c>
      <c r="B49" s="2" t="s">
        <v>218</v>
      </c>
      <c r="C49" s="5" t="s">
        <v>219</v>
      </c>
      <c r="D49" s="2" t="s">
        <v>220</v>
      </c>
      <c r="E49" s="1">
        <v>43553</v>
      </c>
      <c r="F49" s="15"/>
      <c r="I49" s="5"/>
    </row>
    <row r="50" spans="1:16084" hidden="1" x14ac:dyDescent="0.25">
      <c r="A50" s="9" t="s">
        <v>221</v>
      </c>
      <c r="B50" s="9" t="s">
        <v>222</v>
      </c>
      <c r="C50" s="10" t="s">
        <v>223</v>
      </c>
      <c r="D50" s="11" t="s">
        <v>224</v>
      </c>
      <c r="E50" s="12">
        <v>43705</v>
      </c>
      <c r="F50" s="16"/>
      <c r="G50" s="9"/>
      <c r="H50" s="9"/>
      <c r="I50" s="10"/>
      <c r="J50" s="11"/>
    </row>
    <row r="51" spans="1:16084" x14ac:dyDescent="0.25">
      <c r="A51" s="2" t="s">
        <v>225</v>
      </c>
      <c r="B51" s="2" t="s">
        <v>197</v>
      </c>
      <c r="C51" s="5" t="s">
        <v>198</v>
      </c>
      <c r="D51" s="2" t="s">
        <v>199</v>
      </c>
      <c r="E51" s="1">
        <v>43709</v>
      </c>
      <c r="F51" s="15" t="s">
        <v>38</v>
      </c>
      <c r="G51" s="2" t="s">
        <v>201</v>
      </c>
      <c r="H51" s="2" t="s">
        <v>576</v>
      </c>
      <c r="I51" s="2" t="s">
        <v>204</v>
      </c>
    </row>
    <row r="52" spans="1:16084" s="3" customFormat="1" hidden="1" x14ac:dyDescent="0.25">
      <c r="A52" s="9" t="s">
        <v>226</v>
      </c>
      <c r="B52" s="9" t="s">
        <v>227</v>
      </c>
      <c r="C52" s="10" t="s">
        <v>228</v>
      </c>
      <c r="D52" s="11" t="s">
        <v>229</v>
      </c>
      <c r="E52" s="12" t="s">
        <v>230</v>
      </c>
      <c r="F52" s="16"/>
      <c r="G52" s="9"/>
      <c r="H52" s="9"/>
      <c r="I52" s="10"/>
      <c r="J52" s="1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/>
      <c r="ASZ52" s="2"/>
      <c r="ATA52" s="2"/>
      <c r="ATB52" s="2"/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/>
      <c r="ATQ52" s="2"/>
      <c r="ATR52" s="2"/>
      <c r="ATS52" s="2"/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/>
      <c r="AUH52" s="2"/>
      <c r="AUI52" s="2"/>
      <c r="AUJ52" s="2"/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/>
      <c r="AUY52" s="2"/>
      <c r="AUZ52" s="2"/>
      <c r="AVA52" s="2"/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/>
      <c r="AVP52" s="2"/>
      <c r="AVQ52" s="2"/>
      <c r="AVR52" s="2"/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/>
      <c r="AWG52" s="2"/>
      <c r="AWH52" s="2"/>
      <c r="AWI52" s="2"/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/>
      <c r="AXO52" s="2"/>
      <c r="AXP52" s="2"/>
      <c r="AXQ52" s="2"/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/>
      <c r="AYF52" s="2"/>
      <c r="AYG52" s="2"/>
      <c r="AYH52" s="2"/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2"/>
      <c r="AYT52" s="2"/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/>
      <c r="AZN52" s="2"/>
      <c r="AZO52" s="2"/>
      <c r="AZP52" s="2"/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/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/>
      <c r="BAV52" s="2"/>
      <c r="BAW52" s="2"/>
      <c r="BAX52" s="2"/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/>
      <c r="BCD52" s="2"/>
      <c r="BCE52" s="2"/>
      <c r="BCF52" s="2"/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/>
      <c r="BCU52" s="2"/>
      <c r="BCV52" s="2"/>
      <c r="BCW52" s="2"/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/>
      <c r="BDL52" s="2"/>
      <c r="BDM52" s="2"/>
      <c r="BDN52" s="2"/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/>
      <c r="BFI52" s="2"/>
      <c r="BFJ52" s="2"/>
      <c r="BFK52" s="2"/>
      <c r="BFL52" s="2"/>
      <c r="BFM52" s="2"/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/>
      <c r="BGB52" s="2"/>
      <c r="BGC52" s="2"/>
      <c r="BGD52" s="2"/>
      <c r="BGE52" s="2"/>
      <c r="BGF52" s="2"/>
      <c r="BGG52" s="2"/>
      <c r="BGH52" s="2"/>
      <c r="BGI52" s="2"/>
      <c r="BGJ52" s="2"/>
      <c r="BGK52" s="2"/>
      <c r="BGL52" s="2"/>
      <c r="BGM52" s="2"/>
      <c r="BGN52" s="2"/>
      <c r="BGO52" s="2"/>
      <c r="BGP52" s="2"/>
      <c r="BGQ52" s="2"/>
      <c r="BGR52" s="2"/>
      <c r="BGS52" s="2"/>
      <c r="BGT52" s="2"/>
      <c r="BGU52" s="2"/>
      <c r="BGV52" s="2"/>
      <c r="BGW52" s="2"/>
      <c r="BGX52" s="2"/>
      <c r="BGY52" s="2"/>
      <c r="BGZ52" s="2"/>
      <c r="BHA52" s="2"/>
      <c r="BHB52" s="2"/>
      <c r="BHC52" s="2"/>
      <c r="BHD52" s="2"/>
      <c r="BHE52" s="2"/>
      <c r="BHF52" s="2"/>
      <c r="BHG52" s="2"/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/>
      <c r="BHV52" s="2"/>
      <c r="BHW52" s="2"/>
      <c r="BHX52" s="2"/>
      <c r="BHY52" s="2"/>
      <c r="BHZ52" s="2"/>
      <c r="BIA52" s="2"/>
      <c r="BIB52" s="2"/>
      <c r="BIC52" s="2"/>
      <c r="BID52" s="2"/>
      <c r="BIE52" s="2"/>
      <c r="BIF52" s="2"/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/>
      <c r="BJE52" s="2"/>
      <c r="BJF52" s="2"/>
      <c r="BJG52" s="2"/>
      <c r="BJH52" s="2"/>
      <c r="BJI52" s="2"/>
      <c r="BJJ52" s="2"/>
      <c r="BJK52" s="2"/>
      <c r="BJL52" s="2"/>
      <c r="BJM52" s="2"/>
      <c r="BJN52" s="2"/>
      <c r="BJO52" s="2"/>
      <c r="BJP52" s="2"/>
      <c r="BJQ52" s="2"/>
      <c r="BJR52" s="2"/>
      <c r="BJS52" s="2"/>
      <c r="BJT52" s="2"/>
      <c r="BJU52" s="2"/>
      <c r="BJV52" s="2"/>
      <c r="BJW52" s="2"/>
      <c r="BJX52" s="2"/>
      <c r="BJY52" s="2"/>
      <c r="BJZ52" s="2"/>
      <c r="BKA52" s="2"/>
      <c r="BKB52" s="2"/>
      <c r="BKC52" s="2"/>
      <c r="BKD52" s="2"/>
      <c r="BKE52" s="2"/>
      <c r="BKF52" s="2"/>
      <c r="BKG52" s="2"/>
      <c r="BKH52" s="2"/>
      <c r="BKI52" s="2"/>
      <c r="BKJ52" s="2"/>
      <c r="BKK52" s="2"/>
      <c r="BKL52" s="2"/>
      <c r="BKM52" s="2"/>
      <c r="BKN52" s="2"/>
      <c r="BKO52" s="2"/>
      <c r="BKP52" s="2"/>
      <c r="BKQ52" s="2"/>
      <c r="BKR52" s="2"/>
      <c r="BKS52" s="2"/>
      <c r="BKT52" s="2"/>
      <c r="BKU52" s="2"/>
      <c r="BKV52" s="2"/>
      <c r="BKW52" s="2"/>
      <c r="BKX52" s="2"/>
      <c r="BKY52" s="2"/>
      <c r="BKZ52" s="2"/>
      <c r="BLA52" s="2"/>
      <c r="BLB52" s="2"/>
      <c r="BLC52" s="2"/>
      <c r="BLD52" s="2"/>
      <c r="BLE52" s="2"/>
      <c r="BLF52" s="2"/>
      <c r="BLG52" s="2"/>
      <c r="BLH52" s="2"/>
      <c r="BLI52" s="2"/>
      <c r="BLJ52" s="2"/>
      <c r="BLK52" s="2"/>
      <c r="BLL52" s="2"/>
      <c r="BLM52" s="2"/>
      <c r="BLN52" s="2"/>
      <c r="BLO52" s="2"/>
      <c r="BLP52" s="2"/>
      <c r="BLQ52" s="2"/>
      <c r="BLR52" s="2"/>
      <c r="BLS52" s="2"/>
      <c r="BLT52" s="2"/>
      <c r="BLU52" s="2"/>
      <c r="BLV52" s="2"/>
      <c r="BLW52" s="2"/>
      <c r="BLX52" s="2"/>
      <c r="BLY52" s="2"/>
      <c r="BLZ52" s="2"/>
      <c r="BMA52" s="2"/>
      <c r="BMB52" s="2"/>
      <c r="BMC52" s="2"/>
      <c r="BMD52" s="2"/>
      <c r="BME52" s="2"/>
      <c r="BMF52" s="2"/>
      <c r="BMG52" s="2"/>
      <c r="BMH52" s="2"/>
      <c r="BMI52" s="2"/>
      <c r="BMJ52" s="2"/>
      <c r="BMK52" s="2"/>
      <c r="BML52" s="2"/>
      <c r="BMM52" s="2"/>
      <c r="BMN52" s="2"/>
      <c r="BMO52" s="2"/>
      <c r="BMP52" s="2"/>
      <c r="BMQ52" s="2"/>
      <c r="BMR52" s="2"/>
      <c r="BMS52" s="2"/>
      <c r="BMT52" s="2"/>
      <c r="BMU52" s="2"/>
      <c r="BMV52" s="2"/>
      <c r="BMW52" s="2"/>
      <c r="BMX52" s="2"/>
      <c r="BMY52" s="2"/>
      <c r="BMZ52" s="2"/>
      <c r="BNA52" s="2"/>
      <c r="BNB52" s="2"/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/>
      <c r="BNW52" s="2"/>
      <c r="BNX52" s="2"/>
      <c r="BNY52" s="2"/>
      <c r="BNZ52" s="2"/>
      <c r="BOA52" s="2"/>
      <c r="BOB52" s="2"/>
      <c r="BOC52" s="2"/>
      <c r="BOD52" s="2"/>
      <c r="BOE52" s="2"/>
      <c r="BOF52" s="2"/>
      <c r="BOG52" s="2"/>
      <c r="BOH52" s="2"/>
      <c r="BOI52" s="2"/>
      <c r="BOJ52" s="2"/>
      <c r="BOK52" s="2"/>
      <c r="BOL52" s="2"/>
      <c r="BOM52" s="2"/>
      <c r="BON52" s="2"/>
      <c r="BOO52" s="2"/>
      <c r="BOP52" s="2"/>
      <c r="BOQ52" s="2"/>
      <c r="BOR52" s="2"/>
      <c r="BOS52" s="2"/>
      <c r="BOT52" s="2"/>
      <c r="BOU52" s="2"/>
      <c r="BOV52" s="2"/>
      <c r="BOW52" s="2"/>
      <c r="BOX52" s="2"/>
      <c r="BOY52" s="2"/>
      <c r="BOZ52" s="2"/>
      <c r="BPA52" s="2"/>
      <c r="BPB52" s="2"/>
      <c r="BPC52" s="2"/>
      <c r="BPD52" s="2"/>
      <c r="BPE52" s="2"/>
      <c r="BPF52" s="2"/>
      <c r="BPG52" s="2"/>
      <c r="BPH52" s="2"/>
      <c r="BPI52" s="2"/>
      <c r="BPJ52" s="2"/>
      <c r="BPK52" s="2"/>
      <c r="BPL52" s="2"/>
      <c r="BPM52" s="2"/>
      <c r="BPN52" s="2"/>
      <c r="BPO52" s="2"/>
      <c r="BPP52" s="2"/>
      <c r="BPQ52" s="2"/>
      <c r="BPR52" s="2"/>
      <c r="BPS52" s="2"/>
      <c r="BPT52" s="2"/>
      <c r="BPU52" s="2"/>
      <c r="BPV52" s="2"/>
      <c r="BPW52" s="2"/>
      <c r="BPX52" s="2"/>
      <c r="BPY52" s="2"/>
      <c r="BPZ52" s="2"/>
      <c r="BQA52" s="2"/>
      <c r="BQB52" s="2"/>
      <c r="BQC52" s="2"/>
      <c r="BQD52" s="2"/>
      <c r="BQE52" s="2"/>
      <c r="BQF52" s="2"/>
      <c r="BQG52" s="2"/>
      <c r="BQH52" s="2"/>
      <c r="BQI52" s="2"/>
      <c r="BQJ52" s="2"/>
      <c r="BQK52" s="2"/>
      <c r="BQL52" s="2"/>
      <c r="BQM52" s="2"/>
      <c r="BQN52" s="2"/>
      <c r="BQO52" s="2"/>
      <c r="BQP52" s="2"/>
      <c r="BQQ52" s="2"/>
      <c r="BQR52" s="2"/>
      <c r="BQS52" s="2"/>
      <c r="BQT52" s="2"/>
      <c r="BQU52" s="2"/>
      <c r="BQV52" s="2"/>
      <c r="BQW52" s="2"/>
      <c r="BQX52" s="2"/>
      <c r="BQY52" s="2"/>
      <c r="BQZ52" s="2"/>
      <c r="BRA52" s="2"/>
      <c r="BRB52" s="2"/>
      <c r="BRC52" s="2"/>
      <c r="BRD52" s="2"/>
      <c r="BRE52" s="2"/>
      <c r="BRF52" s="2"/>
      <c r="BRG52" s="2"/>
      <c r="BRH52" s="2"/>
      <c r="BRI52" s="2"/>
      <c r="BRJ52" s="2"/>
      <c r="BRK52" s="2"/>
      <c r="BRL52" s="2"/>
      <c r="BRM52" s="2"/>
      <c r="BRN52" s="2"/>
      <c r="BRO52" s="2"/>
      <c r="BRP52" s="2"/>
      <c r="BRQ52" s="2"/>
      <c r="BRR52" s="2"/>
      <c r="BRS52" s="2"/>
      <c r="BRT52" s="2"/>
      <c r="BRU52" s="2"/>
      <c r="BRV52" s="2"/>
      <c r="BRW52" s="2"/>
      <c r="BRX52" s="2"/>
      <c r="BRY52" s="2"/>
      <c r="BRZ52" s="2"/>
      <c r="BSA52" s="2"/>
      <c r="BSB52" s="2"/>
      <c r="BSC52" s="2"/>
      <c r="BSD52" s="2"/>
      <c r="BSE52" s="2"/>
      <c r="BSF52" s="2"/>
      <c r="BSG52" s="2"/>
      <c r="BSH52" s="2"/>
      <c r="BSI52" s="2"/>
      <c r="BSJ52" s="2"/>
      <c r="BSK52" s="2"/>
      <c r="BSL52" s="2"/>
      <c r="BSM52" s="2"/>
      <c r="BSN52" s="2"/>
      <c r="BSO52" s="2"/>
      <c r="BSP52" s="2"/>
      <c r="BSQ52" s="2"/>
      <c r="BSR52" s="2"/>
      <c r="BSS52" s="2"/>
      <c r="BST52" s="2"/>
      <c r="BSU52" s="2"/>
      <c r="BSV52" s="2"/>
      <c r="BSW52" s="2"/>
      <c r="BSX52" s="2"/>
      <c r="BSY52" s="2"/>
      <c r="BSZ52" s="2"/>
      <c r="BTA52" s="2"/>
      <c r="BTB52" s="2"/>
      <c r="BTC52" s="2"/>
      <c r="BTD52" s="2"/>
      <c r="BTE52" s="2"/>
      <c r="BTF52" s="2"/>
      <c r="BTG52" s="2"/>
      <c r="BTH52" s="2"/>
      <c r="BTI52" s="2"/>
      <c r="BTJ52" s="2"/>
      <c r="BTK52" s="2"/>
      <c r="BTL52" s="2"/>
      <c r="BTM52" s="2"/>
      <c r="BTN52" s="2"/>
      <c r="BTO52" s="2"/>
      <c r="BTP52" s="2"/>
      <c r="BTQ52" s="2"/>
      <c r="BTR52" s="2"/>
      <c r="BTS52" s="2"/>
      <c r="BTT52" s="2"/>
      <c r="BTU52" s="2"/>
      <c r="BTV52" s="2"/>
      <c r="BTW52" s="2"/>
      <c r="BTX52" s="2"/>
      <c r="BTY52" s="2"/>
      <c r="BTZ52" s="2"/>
      <c r="BUA52" s="2"/>
      <c r="BUB52" s="2"/>
      <c r="BUC52" s="2"/>
      <c r="BUD52" s="2"/>
      <c r="BUE52" s="2"/>
      <c r="BUF52" s="2"/>
      <c r="BUG52" s="2"/>
      <c r="BUH52" s="2"/>
      <c r="BUI52" s="2"/>
      <c r="BUJ52" s="2"/>
      <c r="BUK52" s="2"/>
      <c r="BUL52" s="2"/>
      <c r="BUM52" s="2"/>
      <c r="BUN52" s="2"/>
      <c r="BUO52" s="2"/>
      <c r="BUP52" s="2"/>
      <c r="BUQ52" s="2"/>
      <c r="BUR52" s="2"/>
      <c r="BUS52" s="2"/>
      <c r="BUT52" s="2"/>
      <c r="BUU52" s="2"/>
      <c r="BUV52" s="2"/>
      <c r="BUW52" s="2"/>
      <c r="BUX52" s="2"/>
      <c r="BUY52" s="2"/>
      <c r="BUZ52" s="2"/>
      <c r="BVA52" s="2"/>
      <c r="BVB52" s="2"/>
      <c r="BVC52" s="2"/>
      <c r="BVD52" s="2"/>
      <c r="BVE52" s="2"/>
      <c r="BVF52" s="2"/>
      <c r="BVG52" s="2"/>
      <c r="BVH52" s="2"/>
      <c r="BVI52" s="2"/>
      <c r="BVJ52" s="2"/>
      <c r="BVK52" s="2"/>
      <c r="BVL52" s="2"/>
      <c r="BVM52" s="2"/>
      <c r="BVN52" s="2"/>
      <c r="BVO52" s="2"/>
      <c r="BVP52" s="2"/>
      <c r="BVQ52" s="2"/>
      <c r="BVR52" s="2"/>
      <c r="BVS52" s="2"/>
      <c r="BVT52" s="2"/>
      <c r="BVU52" s="2"/>
      <c r="BVV52" s="2"/>
      <c r="BVW52" s="2"/>
      <c r="BVX52" s="2"/>
      <c r="BVY52" s="2"/>
      <c r="BVZ52" s="2"/>
      <c r="BWA52" s="2"/>
      <c r="BWB52" s="2"/>
      <c r="BWC52" s="2"/>
      <c r="BWD52" s="2"/>
      <c r="BWE52" s="2"/>
      <c r="BWF52" s="2"/>
      <c r="BWG52" s="2"/>
      <c r="BWH52" s="2"/>
      <c r="BWI52" s="2"/>
      <c r="BWJ52" s="2"/>
      <c r="BWK52" s="2"/>
      <c r="BWL52" s="2"/>
      <c r="BWM52" s="2"/>
      <c r="BWN52" s="2"/>
      <c r="BWO52" s="2"/>
      <c r="BWP52" s="2"/>
      <c r="BWQ52" s="2"/>
      <c r="BWR52" s="2"/>
      <c r="BWS52" s="2"/>
      <c r="BWT52" s="2"/>
      <c r="BWU52" s="2"/>
      <c r="BWV52" s="2"/>
      <c r="BWW52" s="2"/>
      <c r="BWX52" s="2"/>
      <c r="BWY52" s="2"/>
      <c r="BWZ52" s="2"/>
      <c r="BXA52" s="2"/>
      <c r="BXB52" s="2"/>
      <c r="BXC52" s="2"/>
      <c r="BXD52" s="2"/>
      <c r="BXE52" s="2"/>
      <c r="BXF52" s="2"/>
      <c r="BXG52" s="2"/>
      <c r="BXH52" s="2"/>
      <c r="BXI52" s="2"/>
      <c r="BXJ52" s="2"/>
      <c r="BXK52" s="2"/>
      <c r="BXL52" s="2"/>
      <c r="BXM52" s="2"/>
      <c r="BXN52" s="2"/>
      <c r="BXO52" s="2"/>
      <c r="BXP52" s="2"/>
      <c r="BXQ52" s="2"/>
      <c r="BXR52" s="2"/>
      <c r="BXS52" s="2"/>
      <c r="BXT52" s="2"/>
      <c r="BXU52" s="2"/>
      <c r="BXV52" s="2"/>
      <c r="BXW52" s="2"/>
      <c r="BXX52" s="2"/>
      <c r="BXY52" s="2"/>
      <c r="BXZ52" s="2"/>
      <c r="BYA52" s="2"/>
      <c r="BYB52" s="2"/>
      <c r="BYC52" s="2"/>
      <c r="BYD52" s="2"/>
      <c r="BYE52" s="2"/>
      <c r="BYF52" s="2"/>
      <c r="BYG52" s="2"/>
      <c r="BYH52" s="2"/>
      <c r="BYI52" s="2"/>
      <c r="BYJ52" s="2"/>
      <c r="BYK52" s="2"/>
      <c r="BYL52" s="2"/>
      <c r="BYM52" s="2"/>
      <c r="BYN52" s="2"/>
      <c r="BYO52" s="2"/>
      <c r="BYP52" s="2"/>
      <c r="BYQ52" s="2"/>
      <c r="BYR52" s="2"/>
      <c r="BYS52" s="2"/>
      <c r="BYT52" s="2"/>
      <c r="BYU52" s="2"/>
      <c r="BYV52" s="2"/>
      <c r="BYW52" s="2"/>
      <c r="BYX52" s="2"/>
      <c r="BYY52" s="2"/>
      <c r="BYZ52" s="2"/>
      <c r="BZA52" s="2"/>
      <c r="BZB52" s="2"/>
      <c r="BZC52" s="2"/>
      <c r="BZD52" s="2"/>
      <c r="BZE52" s="2"/>
      <c r="BZF52" s="2"/>
      <c r="BZG52" s="2"/>
      <c r="BZH52" s="2"/>
      <c r="BZI52" s="2"/>
      <c r="BZJ52" s="2"/>
      <c r="BZK52" s="2"/>
      <c r="BZL52" s="2"/>
      <c r="BZM52" s="2"/>
      <c r="BZN52" s="2"/>
      <c r="BZO52" s="2"/>
      <c r="BZP52" s="2"/>
      <c r="BZQ52" s="2"/>
      <c r="BZR52" s="2"/>
      <c r="BZS52" s="2"/>
      <c r="BZT52" s="2"/>
      <c r="BZU52" s="2"/>
      <c r="BZV52" s="2"/>
      <c r="BZW52" s="2"/>
      <c r="BZX52" s="2"/>
      <c r="BZY52" s="2"/>
      <c r="BZZ52" s="2"/>
      <c r="CAA52" s="2"/>
      <c r="CAB52" s="2"/>
      <c r="CAC52" s="2"/>
      <c r="CAD52" s="2"/>
      <c r="CAE52" s="2"/>
      <c r="CAF52" s="2"/>
      <c r="CAG52" s="2"/>
      <c r="CAH52" s="2"/>
      <c r="CAI52" s="2"/>
      <c r="CAJ52" s="2"/>
      <c r="CAK52" s="2"/>
      <c r="CAL52" s="2"/>
      <c r="CAM52" s="2"/>
      <c r="CAN52" s="2"/>
      <c r="CAO52" s="2"/>
      <c r="CAP52" s="2"/>
      <c r="CAQ52" s="2"/>
      <c r="CAR52" s="2"/>
      <c r="CAS52" s="2"/>
      <c r="CAT52" s="2"/>
      <c r="CAU52" s="2"/>
      <c r="CAV52" s="2"/>
      <c r="CAW52" s="2"/>
      <c r="CAX52" s="2"/>
      <c r="CAY52" s="2"/>
      <c r="CAZ52" s="2"/>
      <c r="CBA52" s="2"/>
      <c r="CBB52" s="2"/>
      <c r="CBC52" s="2"/>
      <c r="CBD52" s="2"/>
      <c r="CBE52" s="2"/>
      <c r="CBF52" s="2"/>
      <c r="CBG52" s="2"/>
      <c r="CBH52" s="2"/>
      <c r="CBI52" s="2"/>
      <c r="CBJ52" s="2"/>
      <c r="CBK52" s="2"/>
      <c r="CBL52" s="2"/>
      <c r="CBM52" s="2"/>
      <c r="CBN52" s="2"/>
      <c r="CBO52" s="2"/>
      <c r="CBP52" s="2"/>
      <c r="CBQ52" s="2"/>
      <c r="CBR52" s="2"/>
      <c r="CBS52" s="2"/>
      <c r="CBT52" s="2"/>
      <c r="CBU52" s="2"/>
      <c r="CBV52" s="2"/>
      <c r="CBW52" s="2"/>
      <c r="CBX52" s="2"/>
      <c r="CBY52" s="2"/>
      <c r="CBZ52" s="2"/>
      <c r="CCA52" s="2"/>
      <c r="CCB52" s="2"/>
      <c r="CCC52" s="2"/>
      <c r="CCD52" s="2"/>
      <c r="CCE52" s="2"/>
      <c r="CCF52" s="2"/>
      <c r="CCG52" s="2"/>
      <c r="CCH52" s="2"/>
      <c r="CCI52" s="2"/>
      <c r="CCJ52" s="2"/>
      <c r="CCK52" s="2"/>
      <c r="CCL52" s="2"/>
      <c r="CCM52" s="2"/>
      <c r="CCN52" s="2"/>
      <c r="CCO52" s="2"/>
      <c r="CCP52" s="2"/>
      <c r="CCQ52" s="2"/>
      <c r="CCR52" s="2"/>
      <c r="CCS52" s="2"/>
      <c r="CCT52" s="2"/>
      <c r="CCU52" s="2"/>
      <c r="CCV52" s="2"/>
      <c r="CCW52" s="2"/>
      <c r="CCX52" s="2"/>
      <c r="CCY52" s="2"/>
      <c r="CCZ52" s="2"/>
      <c r="CDA52" s="2"/>
      <c r="CDB52" s="2"/>
      <c r="CDC52" s="2"/>
      <c r="CDD52" s="2"/>
      <c r="CDE52" s="2"/>
      <c r="CDF52" s="2"/>
      <c r="CDG52" s="2"/>
      <c r="CDH52" s="2"/>
      <c r="CDI52" s="2"/>
      <c r="CDJ52" s="2"/>
      <c r="CDK52" s="2"/>
      <c r="CDL52" s="2"/>
      <c r="CDM52" s="2"/>
      <c r="CDN52" s="2"/>
      <c r="CDO52" s="2"/>
      <c r="CDP52" s="2"/>
      <c r="CDQ52" s="2"/>
      <c r="CDR52" s="2"/>
      <c r="CDS52" s="2"/>
      <c r="CDT52" s="2"/>
      <c r="CDU52" s="2"/>
      <c r="CDV52" s="2"/>
      <c r="CDW52" s="2"/>
      <c r="CDX52" s="2"/>
      <c r="CDY52" s="2"/>
      <c r="CDZ52" s="2"/>
      <c r="CEA52" s="2"/>
      <c r="CEB52" s="2"/>
      <c r="CEC52" s="2"/>
      <c r="CED52" s="2"/>
      <c r="CEE52" s="2"/>
      <c r="CEF52" s="2"/>
      <c r="CEG52" s="2"/>
      <c r="CEH52" s="2"/>
      <c r="CEI52" s="2"/>
      <c r="CEJ52" s="2"/>
      <c r="CEK52" s="2"/>
      <c r="CEL52" s="2"/>
      <c r="CEM52" s="2"/>
      <c r="CEN52" s="2"/>
      <c r="CEO52" s="2"/>
      <c r="CEP52" s="2"/>
      <c r="CEQ52" s="2"/>
      <c r="CER52" s="2"/>
      <c r="CES52" s="2"/>
      <c r="CET52" s="2"/>
      <c r="CEU52" s="2"/>
      <c r="CEV52" s="2"/>
      <c r="CEW52" s="2"/>
      <c r="CEX52" s="2"/>
      <c r="CEY52" s="2"/>
      <c r="CEZ52" s="2"/>
      <c r="CFA52" s="2"/>
      <c r="CFB52" s="2"/>
      <c r="CFC52" s="2"/>
      <c r="CFD52" s="2"/>
      <c r="CFE52" s="2"/>
      <c r="CFF52" s="2"/>
      <c r="CFG52" s="2"/>
      <c r="CFH52" s="2"/>
      <c r="CFI52" s="2"/>
      <c r="CFJ52" s="2"/>
      <c r="CFK52" s="2"/>
      <c r="CFL52" s="2"/>
      <c r="CFM52" s="2"/>
      <c r="CFN52" s="2"/>
      <c r="CFO52" s="2"/>
      <c r="CFP52" s="2"/>
      <c r="CFQ52" s="2"/>
      <c r="CFR52" s="2"/>
      <c r="CFS52" s="2"/>
      <c r="CFT52" s="2"/>
      <c r="CFU52" s="2"/>
      <c r="CFV52" s="2"/>
      <c r="CFW52" s="2"/>
      <c r="CFX52" s="2"/>
      <c r="CFY52" s="2"/>
      <c r="CFZ52" s="2"/>
      <c r="CGA52" s="2"/>
      <c r="CGB52" s="2"/>
      <c r="CGC52" s="2"/>
      <c r="CGD52" s="2"/>
      <c r="CGE52" s="2"/>
      <c r="CGF52" s="2"/>
      <c r="CGG52" s="2"/>
      <c r="CGH52" s="2"/>
      <c r="CGI52" s="2"/>
      <c r="CGJ52" s="2"/>
      <c r="CGK52" s="2"/>
      <c r="CGL52" s="2"/>
      <c r="CGM52" s="2"/>
      <c r="CGN52" s="2"/>
      <c r="CGO52" s="2"/>
      <c r="CGP52" s="2"/>
      <c r="CGQ52" s="2"/>
      <c r="CGR52" s="2"/>
      <c r="CGS52" s="2"/>
      <c r="CGT52" s="2"/>
      <c r="CGU52" s="2"/>
      <c r="CGV52" s="2"/>
      <c r="CGW52" s="2"/>
      <c r="CGX52" s="2"/>
      <c r="CGY52" s="2"/>
      <c r="CGZ52" s="2"/>
      <c r="CHA52" s="2"/>
      <c r="CHB52" s="2"/>
      <c r="CHC52" s="2"/>
      <c r="CHD52" s="2"/>
      <c r="CHE52" s="2"/>
      <c r="CHF52" s="2"/>
      <c r="CHG52" s="2"/>
      <c r="CHH52" s="2"/>
      <c r="CHI52" s="2"/>
      <c r="CHJ52" s="2"/>
      <c r="CHK52" s="2"/>
      <c r="CHL52" s="2"/>
      <c r="CHM52" s="2"/>
      <c r="CHN52" s="2"/>
      <c r="CHO52" s="2"/>
      <c r="CHP52" s="2"/>
      <c r="CHQ52" s="2"/>
      <c r="CHR52" s="2"/>
      <c r="CHS52" s="2"/>
      <c r="CHT52" s="2"/>
      <c r="CHU52" s="2"/>
      <c r="CHV52" s="2"/>
      <c r="CHW52" s="2"/>
      <c r="CHX52" s="2"/>
      <c r="CHY52" s="2"/>
      <c r="CHZ52" s="2"/>
      <c r="CIA52" s="2"/>
      <c r="CIB52" s="2"/>
      <c r="CIC52" s="2"/>
      <c r="CID52" s="2"/>
      <c r="CIE52" s="2"/>
      <c r="CIF52" s="2"/>
      <c r="CIG52" s="2"/>
      <c r="CIH52" s="2"/>
      <c r="CII52" s="2"/>
      <c r="CIJ52" s="2"/>
      <c r="CIK52" s="2"/>
      <c r="CIL52" s="2"/>
      <c r="CIM52" s="2"/>
      <c r="CIN52" s="2"/>
      <c r="CIO52" s="2"/>
      <c r="CIP52" s="2"/>
      <c r="CIQ52" s="2"/>
      <c r="CIR52" s="2"/>
      <c r="CIS52" s="2"/>
      <c r="CIT52" s="2"/>
      <c r="CIU52" s="2"/>
      <c r="CIV52" s="2"/>
      <c r="CIW52" s="2"/>
      <c r="CIX52" s="2"/>
      <c r="CIY52" s="2"/>
      <c r="CIZ52" s="2"/>
      <c r="CJA52" s="2"/>
      <c r="CJB52" s="2"/>
      <c r="CJC52" s="2"/>
      <c r="CJD52" s="2"/>
      <c r="CJE52" s="2"/>
      <c r="CJF52" s="2"/>
      <c r="CJG52" s="2"/>
      <c r="CJH52" s="2"/>
      <c r="CJI52" s="2"/>
      <c r="CJJ52" s="2"/>
      <c r="CJK52" s="2"/>
      <c r="CJL52" s="2"/>
      <c r="CJM52" s="2"/>
      <c r="CJN52" s="2"/>
      <c r="CJO52" s="2"/>
      <c r="CJP52" s="2"/>
      <c r="CJQ52" s="2"/>
      <c r="CJR52" s="2"/>
      <c r="CJS52" s="2"/>
      <c r="CJT52" s="2"/>
      <c r="CJU52" s="2"/>
      <c r="CJV52" s="2"/>
      <c r="CJW52" s="2"/>
      <c r="CJX52" s="2"/>
      <c r="CJY52" s="2"/>
      <c r="CJZ52" s="2"/>
      <c r="CKA52" s="2"/>
      <c r="CKB52" s="2"/>
      <c r="CKC52" s="2"/>
      <c r="CKD52" s="2"/>
      <c r="CKE52" s="2"/>
      <c r="CKF52" s="2"/>
      <c r="CKG52" s="2"/>
      <c r="CKH52" s="2"/>
      <c r="CKI52" s="2"/>
      <c r="CKJ52" s="2"/>
      <c r="CKK52" s="2"/>
      <c r="CKL52" s="2"/>
      <c r="CKM52" s="2"/>
      <c r="CKN52" s="2"/>
      <c r="CKO52" s="2"/>
      <c r="CKP52" s="2"/>
      <c r="CKQ52" s="2"/>
      <c r="CKR52" s="2"/>
      <c r="CKS52" s="2"/>
      <c r="CKT52" s="2"/>
      <c r="CKU52" s="2"/>
      <c r="CKV52" s="2"/>
      <c r="CKW52" s="2"/>
      <c r="CKX52" s="2"/>
      <c r="CKY52" s="2"/>
      <c r="CKZ52" s="2"/>
      <c r="CLA52" s="2"/>
      <c r="CLB52" s="2"/>
      <c r="CLC52" s="2"/>
      <c r="CLD52" s="2"/>
      <c r="CLE52" s="2"/>
      <c r="CLF52" s="2"/>
      <c r="CLG52" s="2"/>
      <c r="CLH52" s="2"/>
      <c r="CLI52" s="2"/>
      <c r="CLJ52" s="2"/>
      <c r="CLK52" s="2"/>
      <c r="CLL52" s="2"/>
      <c r="CLM52" s="2"/>
      <c r="CLN52" s="2"/>
      <c r="CLO52" s="2"/>
      <c r="CLP52" s="2"/>
      <c r="CLQ52" s="2"/>
      <c r="CLR52" s="2"/>
      <c r="CLS52" s="2"/>
      <c r="CLT52" s="2"/>
      <c r="CLU52" s="2"/>
      <c r="CLV52" s="2"/>
      <c r="CLW52" s="2"/>
      <c r="CLX52" s="2"/>
      <c r="CLY52" s="2"/>
      <c r="CLZ52" s="2"/>
      <c r="CMA52" s="2"/>
      <c r="CMB52" s="2"/>
      <c r="CMC52" s="2"/>
      <c r="CMD52" s="2"/>
      <c r="CME52" s="2"/>
      <c r="CMF52" s="2"/>
      <c r="CMG52" s="2"/>
      <c r="CMH52" s="2"/>
      <c r="CMI52" s="2"/>
      <c r="CMJ52" s="2"/>
      <c r="CMK52" s="2"/>
      <c r="CML52" s="2"/>
      <c r="CMM52" s="2"/>
      <c r="CMN52" s="2"/>
      <c r="CMO52" s="2"/>
      <c r="CMP52" s="2"/>
      <c r="CMQ52" s="2"/>
      <c r="CMR52" s="2"/>
      <c r="CMS52" s="2"/>
      <c r="CMT52" s="2"/>
      <c r="CMU52" s="2"/>
      <c r="CMV52" s="2"/>
      <c r="CMW52" s="2"/>
      <c r="CMX52" s="2"/>
      <c r="CMY52" s="2"/>
      <c r="CMZ52" s="2"/>
      <c r="CNA52" s="2"/>
      <c r="CNB52" s="2"/>
      <c r="CNC52" s="2"/>
      <c r="CND52" s="2"/>
      <c r="CNE52" s="2"/>
      <c r="CNF52" s="2"/>
      <c r="CNG52" s="2"/>
      <c r="CNH52" s="2"/>
      <c r="CNI52" s="2"/>
      <c r="CNJ52" s="2"/>
      <c r="CNK52" s="2"/>
      <c r="CNL52" s="2"/>
      <c r="CNM52" s="2"/>
      <c r="CNN52" s="2"/>
      <c r="CNO52" s="2"/>
      <c r="CNP52" s="2"/>
      <c r="CNQ52" s="2"/>
      <c r="CNR52" s="2"/>
      <c r="CNS52" s="2"/>
      <c r="CNT52" s="2"/>
      <c r="CNU52" s="2"/>
      <c r="CNV52" s="2"/>
      <c r="CNW52" s="2"/>
      <c r="CNX52" s="2"/>
      <c r="CNY52" s="2"/>
      <c r="CNZ52" s="2"/>
      <c r="COA52" s="2"/>
      <c r="COB52" s="2"/>
      <c r="COC52" s="2"/>
      <c r="COD52" s="2"/>
      <c r="COE52" s="2"/>
      <c r="COF52" s="2"/>
      <c r="COG52" s="2"/>
      <c r="COH52" s="2"/>
      <c r="COI52" s="2"/>
      <c r="COJ52" s="2"/>
      <c r="COK52" s="2"/>
      <c r="COL52" s="2"/>
      <c r="COM52" s="2"/>
      <c r="CON52" s="2"/>
      <c r="COO52" s="2"/>
      <c r="COP52" s="2"/>
      <c r="COQ52" s="2"/>
      <c r="COR52" s="2"/>
      <c r="COS52" s="2"/>
      <c r="COT52" s="2"/>
      <c r="COU52" s="2"/>
      <c r="COV52" s="2"/>
      <c r="COW52" s="2"/>
      <c r="COX52" s="2"/>
      <c r="COY52" s="2"/>
      <c r="COZ52" s="2"/>
      <c r="CPA52" s="2"/>
      <c r="CPB52" s="2"/>
      <c r="CPC52" s="2"/>
      <c r="CPD52" s="2"/>
      <c r="CPE52" s="2"/>
      <c r="CPF52" s="2"/>
      <c r="CPG52" s="2"/>
      <c r="CPH52" s="2"/>
      <c r="CPI52" s="2"/>
      <c r="CPJ52" s="2"/>
      <c r="CPK52" s="2"/>
      <c r="CPL52" s="2"/>
      <c r="CPM52" s="2"/>
      <c r="CPN52" s="2"/>
      <c r="CPO52" s="2"/>
      <c r="CPP52" s="2"/>
      <c r="CPQ52" s="2"/>
      <c r="CPR52" s="2"/>
      <c r="CPS52" s="2"/>
      <c r="CPT52" s="2"/>
      <c r="CPU52" s="2"/>
      <c r="CPV52" s="2"/>
      <c r="CPW52" s="2"/>
      <c r="CPX52" s="2"/>
      <c r="CPY52" s="2"/>
      <c r="CPZ52" s="2"/>
      <c r="CQA52" s="2"/>
      <c r="CQB52" s="2"/>
      <c r="CQC52" s="2"/>
      <c r="CQD52" s="2"/>
      <c r="CQE52" s="2"/>
      <c r="CQF52" s="2"/>
      <c r="CQG52" s="2"/>
      <c r="CQH52" s="2"/>
      <c r="CQI52" s="2"/>
      <c r="CQJ52" s="2"/>
      <c r="CQK52" s="2"/>
      <c r="CQL52" s="2"/>
      <c r="CQM52" s="2"/>
      <c r="CQN52" s="2"/>
      <c r="CQO52" s="2"/>
      <c r="CQP52" s="2"/>
      <c r="CQQ52" s="2"/>
      <c r="CQR52" s="2"/>
      <c r="CQS52" s="2"/>
      <c r="CQT52" s="2"/>
      <c r="CQU52" s="2"/>
      <c r="CQV52" s="2"/>
      <c r="CQW52" s="2"/>
      <c r="CQX52" s="2"/>
      <c r="CQY52" s="2"/>
      <c r="CQZ52" s="2"/>
      <c r="CRA52" s="2"/>
      <c r="CRB52" s="2"/>
      <c r="CRC52" s="2"/>
      <c r="CRD52" s="2"/>
      <c r="CRE52" s="2"/>
      <c r="CRF52" s="2"/>
      <c r="CRG52" s="2"/>
      <c r="CRH52" s="2"/>
      <c r="CRI52" s="2"/>
      <c r="CRJ52" s="2"/>
      <c r="CRK52" s="2"/>
      <c r="CRL52" s="2"/>
      <c r="CRM52" s="2"/>
      <c r="CRN52" s="2"/>
      <c r="CRO52" s="2"/>
      <c r="CRP52" s="2"/>
      <c r="CRQ52" s="2"/>
      <c r="CRR52" s="2"/>
      <c r="CRS52" s="2"/>
      <c r="CRT52" s="2"/>
      <c r="CRU52" s="2"/>
      <c r="CRV52" s="2"/>
      <c r="CRW52" s="2"/>
      <c r="CRX52" s="2"/>
      <c r="CRY52" s="2"/>
      <c r="CRZ52" s="2"/>
      <c r="CSA52" s="2"/>
      <c r="CSB52" s="2"/>
      <c r="CSC52" s="2"/>
      <c r="CSD52" s="2"/>
      <c r="CSE52" s="2"/>
      <c r="CSF52" s="2"/>
      <c r="CSG52" s="2"/>
      <c r="CSH52" s="2"/>
      <c r="CSI52" s="2"/>
      <c r="CSJ52" s="2"/>
      <c r="CSK52" s="2"/>
      <c r="CSL52" s="2"/>
      <c r="CSM52" s="2"/>
      <c r="CSN52" s="2"/>
      <c r="CSO52" s="2"/>
      <c r="CSP52" s="2"/>
      <c r="CSQ52" s="2"/>
      <c r="CSR52" s="2"/>
      <c r="CSS52" s="2"/>
      <c r="CST52" s="2"/>
      <c r="CSU52" s="2"/>
      <c r="CSV52" s="2"/>
      <c r="CSW52" s="2"/>
      <c r="CSX52" s="2"/>
      <c r="CSY52" s="2"/>
      <c r="CSZ52" s="2"/>
      <c r="CTA52" s="2"/>
      <c r="CTB52" s="2"/>
      <c r="CTC52" s="2"/>
      <c r="CTD52" s="2"/>
      <c r="CTE52" s="2"/>
      <c r="CTF52" s="2"/>
      <c r="CTG52" s="2"/>
      <c r="CTH52" s="2"/>
      <c r="CTI52" s="2"/>
      <c r="CTJ52" s="2"/>
      <c r="CTK52" s="2"/>
      <c r="CTL52" s="2"/>
      <c r="CTM52" s="2"/>
      <c r="CTN52" s="2"/>
      <c r="CTO52" s="2"/>
      <c r="CTP52" s="2"/>
      <c r="CTQ52" s="2"/>
      <c r="CTR52" s="2"/>
      <c r="CTS52" s="2"/>
      <c r="CTT52" s="2"/>
      <c r="CTU52" s="2"/>
      <c r="CTV52" s="2"/>
      <c r="CTW52" s="2"/>
      <c r="CTX52" s="2"/>
      <c r="CTY52" s="2"/>
      <c r="CTZ52" s="2"/>
      <c r="CUA52" s="2"/>
      <c r="CUB52" s="2"/>
      <c r="CUC52" s="2"/>
      <c r="CUD52" s="2"/>
      <c r="CUE52" s="2"/>
      <c r="CUF52" s="2"/>
      <c r="CUG52" s="2"/>
      <c r="CUH52" s="2"/>
      <c r="CUI52" s="2"/>
      <c r="CUJ52" s="2"/>
      <c r="CUK52" s="2"/>
      <c r="CUL52" s="2"/>
      <c r="CUM52" s="2"/>
      <c r="CUN52" s="2"/>
      <c r="CUO52" s="2"/>
      <c r="CUP52" s="2"/>
      <c r="CUQ52" s="2"/>
      <c r="CUR52" s="2"/>
      <c r="CUS52" s="2"/>
      <c r="CUT52" s="2"/>
      <c r="CUU52" s="2"/>
      <c r="CUV52" s="2"/>
      <c r="CUW52" s="2"/>
      <c r="CUX52" s="2"/>
      <c r="CUY52" s="2"/>
      <c r="CUZ52" s="2"/>
      <c r="CVA52" s="2"/>
      <c r="CVB52" s="2"/>
      <c r="CVC52" s="2"/>
      <c r="CVD52" s="2"/>
      <c r="CVE52" s="2"/>
      <c r="CVF52" s="2"/>
      <c r="CVG52" s="2"/>
      <c r="CVH52" s="2"/>
      <c r="CVI52" s="2"/>
      <c r="CVJ52" s="2"/>
      <c r="CVK52" s="2"/>
      <c r="CVL52" s="2"/>
      <c r="CVM52" s="2"/>
      <c r="CVN52" s="2"/>
      <c r="CVO52" s="2"/>
      <c r="CVP52" s="2"/>
      <c r="CVQ52" s="2"/>
      <c r="CVR52" s="2"/>
      <c r="CVS52" s="2"/>
      <c r="CVT52" s="2"/>
      <c r="CVU52" s="2"/>
      <c r="CVV52" s="2"/>
      <c r="CVW52" s="2"/>
      <c r="CVX52" s="2"/>
      <c r="CVY52" s="2"/>
      <c r="CVZ52" s="2"/>
      <c r="CWA52" s="2"/>
      <c r="CWB52" s="2"/>
      <c r="CWC52" s="2"/>
      <c r="CWD52" s="2"/>
      <c r="CWE52" s="2"/>
      <c r="CWF52" s="2"/>
      <c r="CWG52" s="2"/>
      <c r="CWH52" s="2"/>
      <c r="CWI52" s="2"/>
      <c r="CWJ52" s="2"/>
      <c r="CWK52" s="2"/>
      <c r="CWL52" s="2"/>
      <c r="CWM52" s="2"/>
      <c r="CWN52" s="2"/>
      <c r="CWO52" s="2"/>
      <c r="CWP52" s="2"/>
      <c r="CWQ52" s="2"/>
      <c r="CWR52" s="2"/>
      <c r="CWS52" s="2"/>
      <c r="CWT52" s="2"/>
      <c r="CWU52" s="2"/>
      <c r="CWV52" s="2"/>
      <c r="CWW52" s="2"/>
      <c r="CWX52" s="2"/>
      <c r="CWY52" s="2"/>
      <c r="CWZ52" s="2"/>
      <c r="CXA52" s="2"/>
      <c r="CXB52" s="2"/>
      <c r="CXC52" s="2"/>
      <c r="CXD52" s="2"/>
      <c r="CXE52" s="2"/>
      <c r="CXF52" s="2"/>
      <c r="CXG52" s="2"/>
      <c r="CXH52" s="2"/>
      <c r="CXI52" s="2"/>
      <c r="CXJ52" s="2"/>
      <c r="CXK52" s="2"/>
      <c r="CXL52" s="2"/>
      <c r="CXM52" s="2"/>
      <c r="CXN52" s="2"/>
      <c r="CXO52" s="2"/>
      <c r="CXP52" s="2"/>
      <c r="CXQ52" s="2"/>
      <c r="CXR52" s="2"/>
      <c r="CXS52" s="2"/>
      <c r="CXT52" s="2"/>
      <c r="CXU52" s="2"/>
      <c r="CXV52" s="2"/>
      <c r="CXW52" s="2"/>
      <c r="CXX52" s="2"/>
      <c r="CXY52" s="2"/>
      <c r="CXZ52" s="2"/>
      <c r="CYA52" s="2"/>
      <c r="CYB52" s="2"/>
      <c r="CYC52" s="2"/>
      <c r="CYD52" s="2"/>
      <c r="CYE52" s="2"/>
      <c r="CYF52" s="2"/>
      <c r="CYG52" s="2"/>
      <c r="CYH52" s="2"/>
      <c r="CYI52" s="2"/>
      <c r="CYJ52" s="2"/>
      <c r="CYK52" s="2"/>
      <c r="CYL52" s="2"/>
      <c r="CYM52" s="2"/>
      <c r="CYN52" s="2"/>
      <c r="CYO52" s="2"/>
      <c r="CYP52" s="2"/>
      <c r="CYQ52" s="2"/>
      <c r="CYR52" s="2"/>
      <c r="CYS52" s="2"/>
      <c r="CYT52" s="2"/>
      <c r="CYU52" s="2"/>
      <c r="CYV52" s="2"/>
      <c r="CYW52" s="2"/>
      <c r="CYX52" s="2"/>
      <c r="CYY52" s="2"/>
      <c r="CYZ52" s="2"/>
      <c r="CZA52" s="2"/>
      <c r="CZB52" s="2"/>
      <c r="CZC52" s="2"/>
      <c r="CZD52" s="2"/>
      <c r="CZE52" s="2"/>
      <c r="CZF52" s="2"/>
      <c r="CZG52" s="2"/>
      <c r="CZH52" s="2"/>
      <c r="CZI52" s="2"/>
      <c r="CZJ52" s="2"/>
      <c r="CZK52" s="2"/>
      <c r="CZL52" s="2"/>
      <c r="CZM52" s="2"/>
      <c r="CZN52" s="2"/>
      <c r="CZO52" s="2"/>
      <c r="CZP52" s="2"/>
      <c r="CZQ52" s="2"/>
      <c r="CZR52" s="2"/>
      <c r="CZS52" s="2"/>
      <c r="CZT52" s="2"/>
      <c r="CZU52" s="2"/>
      <c r="CZV52" s="2"/>
      <c r="CZW52" s="2"/>
      <c r="CZX52" s="2"/>
      <c r="CZY52" s="2"/>
      <c r="CZZ52" s="2"/>
      <c r="DAA52" s="2"/>
      <c r="DAB52" s="2"/>
      <c r="DAC52" s="2"/>
      <c r="DAD52" s="2"/>
      <c r="DAE52" s="2"/>
      <c r="DAF52" s="2"/>
      <c r="DAG52" s="2"/>
      <c r="DAH52" s="2"/>
      <c r="DAI52" s="2"/>
      <c r="DAJ52" s="2"/>
      <c r="DAK52" s="2"/>
      <c r="DAL52" s="2"/>
      <c r="DAM52" s="2"/>
      <c r="DAN52" s="2"/>
      <c r="DAO52" s="2"/>
      <c r="DAP52" s="2"/>
      <c r="DAQ52" s="2"/>
      <c r="DAR52" s="2"/>
      <c r="DAS52" s="2"/>
      <c r="DAT52" s="2"/>
      <c r="DAU52" s="2"/>
      <c r="DAV52" s="2"/>
      <c r="DAW52" s="2"/>
      <c r="DAX52" s="2"/>
      <c r="DAY52" s="2"/>
      <c r="DAZ52" s="2"/>
      <c r="DBA52" s="2"/>
      <c r="DBB52" s="2"/>
      <c r="DBC52" s="2"/>
      <c r="DBD52" s="2"/>
      <c r="DBE52" s="2"/>
      <c r="DBF52" s="2"/>
      <c r="DBG52" s="2"/>
      <c r="DBH52" s="2"/>
      <c r="DBI52" s="2"/>
      <c r="DBJ52" s="2"/>
      <c r="DBK52" s="2"/>
      <c r="DBL52" s="2"/>
      <c r="DBM52" s="2"/>
      <c r="DBN52" s="2"/>
      <c r="DBO52" s="2"/>
      <c r="DBP52" s="2"/>
      <c r="DBQ52" s="2"/>
      <c r="DBR52" s="2"/>
      <c r="DBS52" s="2"/>
      <c r="DBT52" s="2"/>
      <c r="DBU52" s="2"/>
      <c r="DBV52" s="2"/>
      <c r="DBW52" s="2"/>
      <c r="DBX52" s="2"/>
      <c r="DBY52" s="2"/>
      <c r="DBZ52" s="2"/>
      <c r="DCA52" s="2"/>
      <c r="DCB52" s="2"/>
      <c r="DCC52" s="2"/>
      <c r="DCD52" s="2"/>
      <c r="DCE52" s="2"/>
      <c r="DCF52" s="2"/>
      <c r="DCG52" s="2"/>
      <c r="DCH52" s="2"/>
      <c r="DCI52" s="2"/>
      <c r="DCJ52" s="2"/>
      <c r="DCK52" s="2"/>
      <c r="DCL52" s="2"/>
      <c r="DCM52" s="2"/>
      <c r="DCN52" s="2"/>
      <c r="DCO52" s="2"/>
      <c r="DCP52" s="2"/>
      <c r="DCQ52" s="2"/>
      <c r="DCR52" s="2"/>
      <c r="DCS52" s="2"/>
      <c r="DCT52" s="2"/>
      <c r="DCU52" s="2"/>
      <c r="DCV52" s="2"/>
      <c r="DCW52" s="2"/>
      <c r="DCX52" s="2"/>
      <c r="DCY52" s="2"/>
      <c r="DCZ52" s="2"/>
      <c r="DDA52" s="2"/>
      <c r="DDB52" s="2"/>
      <c r="DDC52" s="2"/>
      <c r="DDD52" s="2"/>
      <c r="DDE52" s="2"/>
      <c r="DDF52" s="2"/>
      <c r="DDG52" s="2"/>
      <c r="DDH52" s="2"/>
      <c r="DDI52" s="2"/>
      <c r="DDJ52" s="2"/>
      <c r="DDK52" s="2"/>
      <c r="DDL52" s="2"/>
      <c r="DDM52" s="2"/>
      <c r="DDN52" s="2"/>
      <c r="DDO52" s="2"/>
      <c r="DDP52" s="2"/>
      <c r="DDQ52" s="2"/>
      <c r="DDR52" s="2"/>
      <c r="DDS52" s="2"/>
      <c r="DDT52" s="2"/>
      <c r="DDU52" s="2"/>
      <c r="DDV52" s="2"/>
      <c r="DDW52" s="2"/>
      <c r="DDX52" s="2"/>
      <c r="DDY52" s="2"/>
      <c r="DDZ52" s="2"/>
      <c r="DEA52" s="2"/>
      <c r="DEB52" s="2"/>
      <c r="DEC52" s="2"/>
      <c r="DED52" s="2"/>
      <c r="DEE52" s="2"/>
      <c r="DEF52" s="2"/>
      <c r="DEG52" s="2"/>
      <c r="DEH52" s="2"/>
      <c r="DEI52" s="2"/>
      <c r="DEJ52" s="2"/>
      <c r="DEK52" s="2"/>
      <c r="DEL52" s="2"/>
      <c r="DEM52" s="2"/>
      <c r="DEN52" s="2"/>
      <c r="DEO52" s="2"/>
      <c r="DEP52" s="2"/>
      <c r="DEQ52" s="2"/>
      <c r="DER52" s="2"/>
      <c r="DES52" s="2"/>
      <c r="DET52" s="2"/>
      <c r="DEU52" s="2"/>
      <c r="DEV52" s="2"/>
      <c r="DEW52" s="2"/>
      <c r="DEX52" s="2"/>
      <c r="DEY52" s="2"/>
      <c r="DEZ52" s="2"/>
      <c r="DFA52" s="2"/>
      <c r="DFB52" s="2"/>
      <c r="DFC52" s="2"/>
      <c r="DFD52" s="2"/>
      <c r="DFE52" s="2"/>
      <c r="DFF52" s="2"/>
      <c r="DFG52" s="2"/>
      <c r="DFH52" s="2"/>
      <c r="DFI52" s="2"/>
      <c r="DFJ52" s="2"/>
      <c r="DFK52" s="2"/>
      <c r="DFL52" s="2"/>
      <c r="DFM52" s="2"/>
      <c r="DFN52" s="2"/>
      <c r="DFO52" s="2"/>
      <c r="DFP52" s="2"/>
      <c r="DFQ52" s="2"/>
      <c r="DFR52" s="2"/>
      <c r="DFS52" s="2"/>
      <c r="DFT52" s="2"/>
      <c r="DFU52" s="2"/>
      <c r="DFV52" s="2"/>
      <c r="DFW52" s="2"/>
      <c r="DFX52" s="2"/>
      <c r="DFY52" s="2"/>
      <c r="DFZ52" s="2"/>
      <c r="DGA52" s="2"/>
      <c r="DGB52" s="2"/>
      <c r="DGC52" s="2"/>
      <c r="DGD52" s="2"/>
      <c r="DGE52" s="2"/>
      <c r="DGF52" s="2"/>
      <c r="DGG52" s="2"/>
      <c r="DGH52" s="2"/>
      <c r="DGI52" s="2"/>
      <c r="DGJ52" s="2"/>
      <c r="DGK52" s="2"/>
      <c r="DGL52" s="2"/>
      <c r="DGM52" s="2"/>
      <c r="DGN52" s="2"/>
      <c r="DGO52" s="2"/>
      <c r="DGP52" s="2"/>
      <c r="DGQ52" s="2"/>
      <c r="DGR52" s="2"/>
      <c r="DGS52" s="2"/>
      <c r="DGT52" s="2"/>
      <c r="DGU52" s="2"/>
      <c r="DGV52" s="2"/>
      <c r="DGW52" s="2"/>
      <c r="DGX52" s="2"/>
      <c r="DGY52" s="2"/>
      <c r="DGZ52" s="2"/>
      <c r="DHA52" s="2"/>
      <c r="DHB52" s="2"/>
      <c r="DHC52" s="2"/>
      <c r="DHD52" s="2"/>
      <c r="DHE52" s="2"/>
      <c r="DHF52" s="2"/>
      <c r="DHG52" s="2"/>
      <c r="DHH52" s="2"/>
      <c r="DHI52" s="2"/>
      <c r="DHJ52" s="2"/>
      <c r="DHK52" s="2"/>
      <c r="DHL52" s="2"/>
      <c r="DHM52" s="2"/>
      <c r="DHN52" s="2"/>
      <c r="DHO52" s="2"/>
      <c r="DHP52" s="2"/>
      <c r="DHQ52" s="2"/>
      <c r="DHR52" s="2"/>
      <c r="DHS52" s="2"/>
      <c r="DHT52" s="2"/>
      <c r="DHU52" s="2"/>
      <c r="DHV52" s="2"/>
      <c r="DHW52" s="2"/>
      <c r="DHX52" s="2"/>
      <c r="DHY52" s="2"/>
      <c r="DHZ52" s="2"/>
      <c r="DIA52" s="2"/>
      <c r="DIB52" s="2"/>
      <c r="DIC52" s="2"/>
      <c r="DID52" s="2"/>
      <c r="DIE52" s="2"/>
      <c r="DIF52" s="2"/>
      <c r="DIG52" s="2"/>
      <c r="DIH52" s="2"/>
      <c r="DII52" s="2"/>
      <c r="DIJ52" s="2"/>
      <c r="DIK52" s="2"/>
      <c r="DIL52" s="2"/>
      <c r="DIM52" s="2"/>
      <c r="DIN52" s="2"/>
      <c r="DIO52" s="2"/>
      <c r="DIP52" s="2"/>
      <c r="DIQ52" s="2"/>
      <c r="DIR52" s="2"/>
      <c r="DIS52" s="2"/>
      <c r="DIT52" s="2"/>
      <c r="DIU52" s="2"/>
      <c r="DIV52" s="2"/>
      <c r="DIW52" s="2"/>
      <c r="DIX52" s="2"/>
      <c r="DIY52" s="2"/>
      <c r="DIZ52" s="2"/>
      <c r="DJA52" s="2"/>
      <c r="DJB52" s="2"/>
      <c r="DJC52" s="2"/>
      <c r="DJD52" s="2"/>
      <c r="DJE52" s="2"/>
      <c r="DJF52" s="2"/>
      <c r="DJG52" s="2"/>
      <c r="DJH52" s="2"/>
      <c r="DJI52" s="2"/>
      <c r="DJJ52" s="2"/>
      <c r="DJK52" s="2"/>
      <c r="DJL52" s="2"/>
      <c r="DJM52" s="2"/>
      <c r="DJN52" s="2"/>
      <c r="DJO52" s="2"/>
      <c r="DJP52" s="2"/>
      <c r="DJQ52" s="2"/>
      <c r="DJR52" s="2"/>
      <c r="DJS52" s="2"/>
      <c r="DJT52" s="2"/>
      <c r="DJU52" s="2"/>
      <c r="DJV52" s="2"/>
      <c r="DJW52" s="2"/>
      <c r="DJX52" s="2"/>
      <c r="DJY52" s="2"/>
      <c r="DJZ52" s="2"/>
      <c r="DKA52" s="2"/>
      <c r="DKB52" s="2"/>
      <c r="DKC52" s="2"/>
      <c r="DKD52" s="2"/>
      <c r="DKE52" s="2"/>
      <c r="DKF52" s="2"/>
      <c r="DKG52" s="2"/>
      <c r="DKH52" s="2"/>
      <c r="DKI52" s="2"/>
      <c r="DKJ52" s="2"/>
      <c r="DKK52" s="2"/>
      <c r="DKL52" s="2"/>
      <c r="DKM52" s="2"/>
      <c r="DKN52" s="2"/>
      <c r="DKO52" s="2"/>
      <c r="DKP52" s="2"/>
      <c r="DKQ52" s="2"/>
      <c r="DKR52" s="2"/>
      <c r="DKS52" s="2"/>
      <c r="DKT52" s="2"/>
      <c r="DKU52" s="2"/>
      <c r="DKV52" s="2"/>
      <c r="DKW52" s="2"/>
      <c r="DKX52" s="2"/>
      <c r="DKY52" s="2"/>
      <c r="DKZ52" s="2"/>
      <c r="DLA52" s="2"/>
      <c r="DLB52" s="2"/>
      <c r="DLC52" s="2"/>
      <c r="DLD52" s="2"/>
      <c r="DLE52" s="2"/>
      <c r="DLF52" s="2"/>
      <c r="DLG52" s="2"/>
      <c r="DLH52" s="2"/>
      <c r="DLI52" s="2"/>
      <c r="DLJ52" s="2"/>
      <c r="DLK52" s="2"/>
      <c r="DLL52" s="2"/>
      <c r="DLM52" s="2"/>
      <c r="DLN52" s="2"/>
      <c r="DLO52" s="2"/>
      <c r="DLP52" s="2"/>
      <c r="DLQ52" s="2"/>
      <c r="DLR52" s="2"/>
      <c r="DLS52" s="2"/>
      <c r="DLT52" s="2"/>
      <c r="DLU52" s="2"/>
      <c r="DLV52" s="2"/>
      <c r="DLW52" s="2"/>
      <c r="DLX52" s="2"/>
      <c r="DLY52" s="2"/>
      <c r="DLZ52" s="2"/>
      <c r="DMA52" s="2"/>
      <c r="DMB52" s="2"/>
      <c r="DMC52" s="2"/>
      <c r="DMD52" s="2"/>
      <c r="DME52" s="2"/>
      <c r="DMF52" s="2"/>
      <c r="DMG52" s="2"/>
      <c r="DMH52" s="2"/>
      <c r="DMI52" s="2"/>
      <c r="DMJ52" s="2"/>
      <c r="DMK52" s="2"/>
      <c r="DML52" s="2"/>
      <c r="DMM52" s="2"/>
      <c r="DMN52" s="2"/>
      <c r="DMO52" s="2"/>
      <c r="DMP52" s="2"/>
      <c r="DMQ52" s="2"/>
      <c r="DMR52" s="2"/>
      <c r="DMS52" s="2"/>
      <c r="DMT52" s="2"/>
      <c r="DMU52" s="2"/>
      <c r="DMV52" s="2"/>
      <c r="DMW52" s="2"/>
      <c r="DMX52" s="2"/>
      <c r="DMY52" s="2"/>
      <c r="DMZ52" s="2"/>
      <c r="DNA52" s="2"/>
      <c r="DNB52" s="2"/>
      <c r="DNC52" s="2"/>
      <c r="DND52" s="2"/>
      <c r="DNE52" s="2"/>
      <c r="DNF52" s="2"/>
      <c r="DNG52" s="2"/>
      <c r="DNH52" s="2"/>
      <c r="DNI52" s="2"/>
      <c r="DNJ52" s="2"/>
      <c r="DNK52" s="2"/>
      <c r="DNL52" s="2"/>
      <c r="DNM52" s="2"/>
      <c r="DNN52" s="2"/>
      <c r="DNO52" s="2"/>
      <c r="DNP52" s="2"/>
      <c r="DNQ52" s="2"/>
      <c r="DNR52" s="2"/>
      <c r="DNS52" s="2"/>
      <c r="DNT52" s="2"/>
      <c r="DNU52" s="2"/>
      <c r="DNV52" s="2"/>
      <c r="DNW52" s="2"/>
      <c r="DNX52" s="2"/>
      <c r="DNY52" s="2"/>
      <c r="DNZ52" s="2"/>
      <c r="DOA52" s="2"/>
      <c r="DOB52" s="2"/>
      <c r="DOC52" s="2"/>
      <c r="DOD52" s="2"/>
      <c r="DOE52" s="2"/>
      <c r="DOF52" s="2"/>
      <c r="DOG52" s="2"/>
      <c r="DOH52" s="2"/>
      <c r="DOI52" s="2"/>
      <c r="DOJ52" s="2"/>
      <c r="DOK52" s="2"/>
      <c r="DOL52" s="2"/>
      <c r="DOM52" s="2"/>
      <c r="DON52" s="2"/>
      <c r="DOO52" s="2"/>
      <c r="DOP52" s="2"/>
      <c r="DOQ52" s="2"/>
      <c r="DOR52" s="2"/>
      <c r="DOS52" s="2"/>
      <c r="DOT52" s="2"/>
      <c r="DOU52" s="2"/>
      <c r="DOV52" s="2"/>
      <c r="DOW52" s="2"/>
      <c r="DOX52" s="2"/>
      <c r="DOY52" s="2"/>
      <c r="DOZ52" s="2"/>
      <c r="DPA52" s="2"/>
      <c r="DPB52" s="2"/>
      <c r="DPC52" s="2"/>
      <c r="DPD52" s="2"/>
      <c r="DPE52" s="2"/>
      <c r="DPF52" s="2"/>
      <c r="DPG52" s="2"/>
      <c r="DPH52" s="2"/>
      <c r="DPI52" s="2"/>
      <c r="DPJ52" s="2"/>
      <c r="DPK52" s="2"/>
      <c r="DPL52" s="2"/>
      <c r="DPM52" s="2"/>
      <c r="DPN52" s="2"/>
      <c r="DPO52" s="2"/>
      <c r="DPP52" s="2"/>
      <c r="DPQ52" s="2"/>
      <c r="DPR52" s="2"/>
      <c r="DPS52" s="2"/>
      <c r="DPT52" s="2"/>
      <c r="DPU52" s="2"/>
      <c r="DPV52" s="2"/>
      <c r="DPW52" s="2"/>
      <c r="DPX52" s="2"/>
      <c r="DPY52" s="2"/>
      <c r="DPZ52" s="2"/>
      <c r="DQA52" s="2"/>
      <c r="DQB52" s="2"/>
      <c r="DQC52" s="2"/>
      <c r="DQD52" s="2"/>
      <c r="DQE52" s="2"/>
      <c r="DQF52" s="2"/>
      <c r="DQG52" s="2"/>
      <c r="DQH52" s="2"/>
      <c r="DQI52" s="2"/>
      <c r="DQJ52" s="2"/>
      <c r="DQK52" s="2"/>
      <c r="DQL52" s="2"/>
      <c r="DQM52" s="2"/>
      <c r="DQN52" s="2"/>
      <c r="DQO52" s="2"/>
      <c r="DQP52" s="2"/>
      <c r="DQQ52" s="2"/>
      <c r="DQR52" s="2"/>
      <c r="DQS52" s="2"/>
      <c r="DQT52" s="2"/>
      <c r="DQU52" s="2"/>
      <c r="DQV52" s="2"/>
      <c r="DQW52" s="2"/>
      <c r="DQX52" s="2"/>
      <c r="DQY52" s="2"/>
      <c r="DQZ52" s="2"/>
      <c r="DRA52" s="2"/>
      <c r="DRB52" s="2"/>
      <c r="DRC52" s="2"/>
      <c r="DRD52" s="2"/>
      <c r="DRE52" s="2"/>
      <c r="DRF52" s="2"/>
      <c r="DRG52" s="2"/>
      <c r="DRH52" s="2"/>
      <c r="DRI52" s="2"/>
      <c r="DRJ52" s="2"/>
      <c r="DRK52" s="2"/>
      <c r="DRL52" s="2"/>
      <c r="DRM52" s="2"/>
      <c r="DRN52" s="2"/>
      <c r="DRO52" s="2"/>
      <c r="DRP52" s="2"/>
      <c r="DRQ52" s="2"/>
      <c r="DRR52" s="2"/>
      <c r="DRS52" s="2"/>
      <c r="DRT52" s="2"/>
      <c r="DRU52" s="2"/>
      <c r="DRV52" s="2"/>
      <c r="DRW52" s="2"/>
      <c r="DRX52" s="2"/>
      <c r="DRY52" s="2"/>
      <c r="DRZ52" s="2"/>
      <c r="DSA52" s="2"/>
      <c r="DSB52" s="2"/>
      <c r="DSC52" s="2"/>
      <c r="DSD52" s="2"/>
      <c r="DSE52" s="2"/>
      <c r="DSF52" s="2"/>
      <c r="DSG52" s="2"/>
      <c r="DSH52" s="2"/>
      <c r="DSI52" s="2"/>
      <c r="DSJ52" s="2"/>
      <c r="DSK52" s="2"/>
      <c r="DSL52" s="2"/>
      <c r="DSM52" s="2"/>
      <c r="DSN52" s="2"/>
      <c r="DSO52" s="2"/>
      <c r="DSP52" s="2"/>
      <c r="DSQ52" s="2"/>
      <c r="DSR52" s="2"/>
      <c r="DSS52" s="2"/>
      <c r="DST52" s="2"/>
      <c r="DSU52" s="2"/>
      <c r="DSV52" s="2"/>
      <c r="DSW52" s="2"/>
      <c r="DSX52" s="2"/>
      <c r="DSY52" s="2"/>
      <c r="DSZ52" s="2"/>
      <c r="DTA52" s="2"/>
      <c r="DTB52" s="2"/>
      <c r="DTC52" s="2"/>
      <c r="DTD52" s="2"/>
      <c r="DTE52" s="2"/>
      <c r="DTF52" s="2"/>
      <c r="DTG52" s="2"/>
      <c r="DTH52" s="2"/>
      <c r="DTI52" s="2"/>
      <c r="DTJ52" s="2"/>
      <c r="DTK52" s="2"/>
      <c r="DTL52" s="2"/>
      <c r="DTM52" s="2"/>
      <c r="DTN52" s="2"/>
      <c r="DTO52" s="2"/>
      <c r="DTP52" s="2"/>
      <c r="DTQ52" s="2"/>
      <c r="DTR52" s="2"/>
      <c r="DTS52" s="2"/>
      <c r="DTT52" s="2"/>
      <c r="DTU52" s="2"/>
      <c r="DTV52" s="2"/>
      <c r="DTW52" s="2"/>
      <c r="DTX52" s="2"/>
      <c r="DTY52" s="2"/>
      <c r="DTZ52" s="2"/>
      <c r="DUA52" s="2"/>
      <c r="DUB52" s="2"/>
      <c r="DUC52" s="2"/>
      <c r="DUD52" s="2"/>
      <c r="DUE52" s="2"/>
      <c r="DUF52" s="2"/>
      <c r="DUG52" s="2"/>
      <c r="DUH52" s="2"/>
      <c r="DUI52" s="2"/>
      <c r="DUJ52" s="2"/>
      <c r="DUK52" s="2"/>
      <c r="DUL52" s="2"/>
      <c r="DUM52" s="2"/>
      <c r="DUN52" s="2"/>
      <c r="DUO52" s="2"/>
      <c r="DUP52" s="2"/>
      <c r="DUQ52" s="2"/>
      <c r="DUR52" s="2"/>
      <c r="DUS52" s="2"/>
      <c r="DUT52" s="2"/>
      <c r="DUU52" s="2"/>
      <c r="DUV52" s="2"/>
      <c r="DUW52" s="2"/>
      <c r="DUX52" s="2"/>
      <c r="DUY52" s="2"/>
      <c r="DUZ52" s="2"/>
      <c r="DVA52" s="2"/>
      <c r="DVB52" s="2"/>
      <c r="DVC52" s="2"/>
      <c r="DVD52" s="2"/>
      <c r="DVE52" s="2"/>
      <c r="DVF52" s="2"/>
      <c r="DVG52" s="2"/>
      <c r="DVH52" s="2"/>
      <c r="DVI52" s="2"/>
      <c r="DVJ52" s="2"/>
      <c r="DVK52" s="2"/>
      <c r="DVL52" s="2"/>
      <c r="DVM52" s="2"/>
      <c r="DVN52" s="2"/>
      <c r="DVO52" s="2"/>
      <c r="DVP52" s="2"/>
      <c r="DVQ52" s="2"/>
      <c r="DVR52" s="2"/>
      <c r="DVS52" s="2"/>
      <c r="DVT52" s="2"/>
      <c r="DVU52" s="2"/>
      <c r="DVV52" s="2"/>
      <c r="DVW52" s="2"/>
      <c r="DVX52" s="2"/>
      <c r="DVY52" s="2"/>
      <c r="DVZ52" s="2"/>
      <c r="DWA52" s="2"/>
      <c r="DWB52" s="2"/>
      <c r="DWC52" s="2"/>
      <c r="DWD52" s="2"/>
      <c r="DWE52" s="2"/>
      <c r="DWF52" s="2"/>
      <c r="DWG52" s="2"/>
      <c r="DWH52" s="2"/>
      <c r="DWI52" s="2"/>
      <c r="DWJ52" s="2"/>
      <c r="DWK52" s="2"/>
      <c r="DWL52" s="2"/>
      <c r="DWM52" s="2"/>
      <c r="DWN52" s="2"/>
      <c r="DWO52" s="2"/>
      <c r="DWP52" s="2"/>
      <c r="DWQ52" s="2"/>
      <c r="DWR52" s="2"/>
      <c r="DWS52" s="2"/>
      <c r="DWT52" s="2"/>
      <c r="DWU52" s="2"/>
      <c r="DWV52" s="2"/>
      <c r="DWW52" s="2"/>
      <c r="DWX52" s="2"/>
      <c r="DWY52" s="2"/>
      <c r="DWZ52" s="2"/>
      <c r="DXA52" s="2"/>
      <c r="DXB52" s="2"/>
      <c r="DXC52" s="2"/>
      <c r="DXD52" s="2"/>
      <c r="DXE52" s="2"/>
      <c r="DXF52" s="2"/>
      <c r="DXG52" s="2"/>
      <c r="DXH52" s="2"/>
      <c r="DXI52" s="2"/>
      <c r="DXJ52" s="2"/>
      <c r="DXK52" s="2"/>
      <c r="DXL52" s="2"/>
      <c r="DXM52" s="2"/>
      <c r="DXN52" s="2"/>
      <c r="DXO52" s="2"/>
      <c r="DXP52" s="2"/>
      <c r="DXQ52" s="2"/>
      <c r="DXR52" s="2"/>
      <c r="DXS52" s="2"/>
      <c r="DXT52" s="2"/>
      <c r="DXU52" s="2"/>
      <c r="DXV52" s="2"/>
      <c r="DXW52" s="2"/>
      <c r="DXX52" s="2"/>
      <c r="DXY52" s="2"/>
      <c r="DXZ52" s="2"/>
      <c r="DYA52" s="2"/>
      <c r="DYB52" s="2"/>
      <c r="DYC52" s="2"/>
      <c r="DYD52" s="2"/>
      <c r="DYE52" s="2"/>
      <c r="DYF52" s="2"/>
      <c r="DYG52" s="2"/>
      <c r="DYH52" s="2"/>
      <c r="DYI52" s="2"/>
      <c r="DYJ52" s="2"/>
      <c r="DYK52" s="2"/>
      <c r="DYL52" s="2"/>
      <c r="DYM52" s="2"/>
      <c r="DYN52" s="2"/>
      <c r="DYO52" s="2"/>
      <c r="DYP52" s="2"/>
      <c r="DYQ52" s="2"/>
      <c r="DYR52" s="2"/>
      <c r="DYS52" s="2"/>
      <c r="DYT52" s="2"/>
      <c r="DYU52" s="2"/>
      <c r="DYV52" s="2"/>
      <c r="DYW52" s="2"/>
      <c r="DYX52" s="2"/>
      <c r="DYY52" s="2"/>
      <c r="DYZ52" s="2"/>
      <c r="DZA52" s="2"/>
      <c r="DZB52" s="2"/>
      <c r="DZC52" s="2"/>
      <c r="DZD52" s="2"/>
      <c r="DZE52" s="2"/>
      <c r="DZF52" s="2"/>
      <c r="DZG52" s="2"/>
      <c r="DZH52" s="2"/>
      <c r="DZI52" s="2"/>
      <c r="DZJ52" s="2"/>
      <c r="DZK52" s="2"/>
      <c r="DZL52" s="2"/>
      <c r="DZM52" s="2"/>
      <c r="DZN52" s="2"/>
      <c r="DZO52" s="2"/>
      <c r="DZP52" s="2"/>
      <c r="DZQ52" s="2"/>
      <c r="DZR52" s="2"/>
      <c r="DZS52" s="2"/>
      <c r="DZT52" s="2"/>
      <c r="DZU52" s="2"/>
      <c r="DZV52" s="2"/>
      <c r="DZW52" s="2"/>
      <c r="DZX52" s="2"/>
      <c r="DZY52" s="2"/>
      <c r="DZZ52" s="2"/>
      <c r="EAA52" s="2"/>
      <c r="EAB52" s="2"/>
      <c r="EAC52" s="2"/>
      <c r="EAD52" s="2"/>
      <c r="EAE52" s="2"/>
      <c r="EAF52" s="2"/>
      <c r="EAG52" s="2"/>
      <c r="EAH52" s="2"/>
      <c r="EAI52" s="2"/>
      <c r="EAJ52" s="2"/>
      <c r="EAK52" s="2"/>
      <c r="EAL52" s="2"/>
      <c r="EAM52" s="2"/>
      <c r="EAN52" s="2"/>
      <c r="EAO52" s="2"/>
      <c r="EAP52" s="2"/>
      <c r="EAQ52" s="2"/>
      <c r="EAR52" s="2"/>
      <c r="EAS52" s="2"/>
      <c r="EAT52" s="2"/>
      <c r="EAU52" s="2"/>
      <c r="EAV52" s="2"/>
      <c r="EAW52" s="2"/>
      <c r="EAX52" s="2"/>
      <c r="EAY52" s="2"/>
      <c r="EAZ52" s="2"/>
      <c r="EBA52" s="2"/>
      <c r="EBB52" s="2"/>
      <c r="EBC52" s="2"/>
      <c r="EBD52" s="2"/>
      <c r="EBE52" s="2"/>
      <c r="EBF52" s="2"/>
      <c r="EBG52" s="2"/>
      <c r="EBH52" s="2"/>
      <c r="EBI52" s="2"/>
      <c r="EBJ52" s="2"/>
      <c r="EBK52" s="2"/>
      <c r="EBL52" s="2"/>
      <c r="EBM52" s="2"/>
      <c r="EBN52" s="2"/>
      <c r="EBO52" s="2"/>
      <c r="EBP52" s="2"/>
      <c r="EBQ52" s="2"/>
      <c r="EBR52" s="2"/>
      <c r="EBS52" s="2"/>
      <c r="EBT52" s="2"/>
      <c r="EBU52" s="2"/>
      <c r="EBV52" s="2"/>
      <c r="EBW52" s="2"/>
      <c r="EBX52" s="2"/>
      <c r="EBY52" s="2"/>
      <c r="EBZ52" s="2"/>
      <c r="ECA52" s="2"/>
      <c r="ECB52" s="2"/>
      <c r="ECC52" s="2"/>
      <c r="ECD52" s="2"/>
      <c r="ECE52" s="2"/>
      <c r="ECF52" s="2"/>
      <c r="ECG52" s="2"/>
      <c r="ECH52" s="2"/>
      <c r="ECI52" s="2"/>
      <c r="ECJ52" s="2"/>
      <c r="ECK52" s="2"/>
      <c r="ECL52" s="2"/>
      <c r="ECM52" s="2"/>
      <c r="ECN52" s="2"/>
      <c r="ECO52" s="2"/>
      <c r="ECP52" s="2"/>
      <c r="ECQ52" s="2"/>
      <c r="ECR52" s="2"/>
      <c r="ECS52" s="2"/>
      <c r="ECT52" s="2"/>
      <c r="ECU52" s="2"/>
      <c r="ECV52" s="2"/>
      <c r="ECW52" s="2"/>
      <c r="ECX52" s="2"/>
      <c r="ECY52" s="2"/>
      <c r="ECZ52" s="2"/>
      <c r="EDA52" s="2"/>
      <c r="EDB52" s="2"/>
      <c r="EDC52" s="2"/>
      <c r="EDD52" s="2"/>
      <c r="EDE52" s="2"/>
      <c r="EDF52" s="2"/>
      <c r="EDG52" s="2"/>
      <c r="EDH52" s="2"/>
      <c r="EDI52" s="2"/>
      <c r="EDJ52" s="2"/>
      <c r="EDK52" s="2"/>
      <c r="EDL52" s="2"/>
      <c r="EDM52" s="2"/>
      <c r="EDN52" s="2"/>
      <c r="EDO52" s="2"/>
      <c r="EDP52" s="2"/>
      <c r="EDQ52" s="2"/>
      <c r="EDR52" s="2"/>
      <c r="EDS52" s="2"/>
      <c r="EDT52" s="2"/>
      <c r="EDU52" s="2"/>
      <c r="EDV52" s="2"/>
      <c r="EDW52" s="2"/>
      <c r="EDX52" s="2"/>
      <c r="EDY52" s="2"/>
      <c r="EDZ52" s="2"/>
      <c r="EEA52" s="2"/>
      <c r="EEB52" s="2"/>
      <c r="EEC52" s="2"/>
      <c r="EED52" s="2"/>
      <c r="EEE52" s="2"/>
      <c r="EEF52" s="2"/>
      <c r="EEG52" s="2"/>
      <c r="EEH52" s="2"/>
      <c r="EEI52" s="2"/>
      <c r="EEJ52" s="2"/>
      <c r="EEK52" s="2"/>
      <c r="EEL52" s="2"/>
      <c r="EEM52" s="2"/>
      <c r="EEN52" s="2"/>
      <c r="EEO52" s="2"/>
      <c r="EEP52" s="2"/>
      <c r="EEQ52" s="2"/>
      <c r="EER52" s="2"/>
      <c r="EES52" s="2"/>
      <c r="EET52" s="2"/>
      <c r="EEU52" s="2"/>
      <c r="EEV52" s="2"/>
      <c r="EEW52" s="2"/>
      <c r="EEX52" s="2"/>
      <c r="EEY52" s="2"/>
      <c r="EEZ52" s="2"/>
      <c r="EFA52" s="2"/>
      <c r="EFB52" s="2"/>
      <c r="EFC52" s="2"/>
      <c r="EFD52" s="2"/>
      <c r="EFE52" s="2"/>
      <c r="EFF52" s="2"/>
      <c r="EFG52" s="2"/>
      <c r="EFH52" s="2"/>
      <c r="EFI52" s="2"/>
      <c r="EFJ52" s="2"/>
      <c r="EFK52" s="2"/>
      <c r="EFL52" s="2"/>
      <c r="EFM52" s="2"/>
      <c r="EFN52" s="2"/>
      <c r="EFO52" s="2"/>
      <c r="EFP52" s="2"/>
      <c r="EFQ52" s="2"/>
      <c r="EFR52" s="2"/>
      <c r="EFS52" s="2"/>
      <c r="EFT52" s="2"/>
      <c r="EFU52" s="2"/>
      <c r="EFV52" s="2"/>
      <c r="EFW52" s="2"/>
      <c r="EFX52" s="2"/>
      <c r="EFY52" s="2"/>
      <c r="EFZ52" s="2"/>
      <c r="EGA52" s="2"/>
      <c r="EGB52" s="2"/>
      <c r="EGC52" s="2"/>
      <c r="EGD52" s="2"/>
      <c r="EGE52" s="2"/>
      <c r="EGF52" s="2"/>
      <c r="EGG52" s="2"/>
      <c r="EGH52" s="2"/>
      <c r="EGI52" s="2"/>
      <c r="EGJ52" s="2"/>
      <c r="EGK52" s="2"/>
      <c r="EGL52" s="2"/>
      <c r="EGM52" s="2"/>
      <c r="EGN52" s="2"/>
      <c r="EGO52" s="2"/>
      <c r="EGP52" s="2"/>
      <c r="EGQ52" s="2"/>
      <c r="EGR52" s="2"/>
      <c r="EGS52" s="2"/>
      <c r="EGT52" s="2"/>
      <c r="EGU52" s="2"/>
      <c r="EGV52" s="2"/>
      <c r="EGW52" s="2"/>
      <c r="EGX52" s="2"/>
      <c r="EGY52" s="2"/>
      <c r="EGZ52" s="2"/>
      <c r="EHA52" s="2"/>
      <c r="EHB52" s="2"/>
      <c r="EHC52" s="2"/>
      <c r="EHD52" s="2"/>
      <c r="EHE52" s="2"/>
      <c r="EHF52" s="2"/>
      <c r="EHG52" s="2"/>
      <c r="EHH52" s="2"/>
      <c r="EHI52" s="2"/>
      <c r="EHJ52" s="2"/>
      <c r="EHK52" s="2"/>
      <c r="EHL52" s="2"/>
      <c r="EHM52" s="2"/>
      <c r="EHN52" s="2"/>
      <c r="EHO52" s="2"/>
      <c r="EHP52" s="2"/>
      <c r="EHQ52" s="2"/>
      <c r="EHR52" s="2"/>
      <c r="EHS52" s="2"/>
      <c r="EHT52" s="2"/>
      <c r="EHU52" s="2"/>
      <c r="EHV52" s="2"/>
      <c r="EHW52" s="2"/>
      <c r="EHX52" s="2"/>
      <c r="EHY52" s="2"/>
      <c r="EHZ52" s="2"/>
      <c r="EIA52" s="2"/>
      <c r="EIB52" s="2"/>
      <c r="EIC52" s="2"/>
      <c r="EID52" s="2"/>
      <c r="EIE52" s="2"/>
      <c r="EIF52" s="2"/>
      <c r="EIG52" s="2"/>
      <c r="EIH52" s="2"/>
      <c r="EII52" s="2"/>
      <c r="EIJ52" s="2"/>
      <c r="EIK52" s="2"/>
      <c r="EIL52" s="2"/>
      <c r="EIM52" s="2"/>
      <c r="EIN52" s="2"/>
      <c r="EIO52" s="2"/>
      <c r="EIP52" s="2"/>
      <c r="EIQ52" s="2"/>
      <c r="EIR52" s="2"/>
      <c r="EIS52" s="2"/>
      <c r="EIT52" s="2"/>
      <c r="EIU52" s="2"/>
      <c r="EIV52" s="2"/>
      <c r="EIW52" s="2"/>
      <c r="EIX52" s="2"/>
      <c r="EIY52" s="2"/>
      <c r="EIZ52" s="2"/>
      <c r="EJA52" s="2"/>
      <c r="EJB52" s="2"/>
      <c r="EJC52" s="2"/>
      <c r="EJD52" s="2"/>
      <c r="EJE52" s="2"/>
      <c r="EJF52" s="2"/>
      <c r="EJG52" s="2"/>
      <c r="EJH52" s="2"/>
      <c r="EJI52" s="2"/>
      <c r="EJJ52" s="2"/>
      <c r="EJK52" s="2"/>
      <c r="EJL52" s="2"/>
      <c r="EJM52" s="2"/>
      <c r="EJN52" s="2"/>
      <c r="EJO52" s="2"/>
      <c r="EJP52" s="2"/>
      <c r="EJQ52" s="2"/>
      <c r="EJR52" s="2"/>
      <c r="EJS52" s="2"/>
      <c r="EJT52" s="2"/>
      <c r="EJU52" s="2"/>
      <c r="EJV52" s="2"/>
      <c r="EJW52" s="2"/>
      <c r="EJX52" s="2"/>
      <c r="EJY52" s="2"/>
      <c r="EJZ52" s="2"/>
      <c r="EKA52" s="2"/>
      <c r="EKB52" s="2"/>
      <c r="EKC52" s="2"/>
      <c r="EKD52" s="2"/>
      <c r="EKE52" s="2"/>
      <c r="EKF52" s="2"/>
      <c r="EKG52" s="2"/>
      <c r="EKH52" s="2"/>
      <c r="EKI52" s="2"/>
      <c r="EKJ52" s="2"/>
      <c r="EKK52" s="2"/>
      <c r="EKL52" s="2"/>
      <c r="EKM52" s="2"/>
      <c r="EKN52" s="2"/>
      <c r="EKO52" s="2"/>
      <c r="EKP52" s="2"/>
      <c r="EKQ52" s="2"/>
      <c r="EKR52" s="2"/>
      <c r="EKS52" s="2"/>
      <c r="EKT52" s="2"/>
      <c r="EKU52" s="2"/>
      <c r="EKV52" s="2"/>
      <c r="EKW52" s="2"/>
      <c r="EKX52" s="2"/>
      <c r="EKY52" s="2"/>
      <c r="EKZ52" s="2"/>
      <c r="ELA52" s="2"/>
      <c r="ELB52" s="2"/>
      <c r="ELC52" s="2"/>
      <c r="ELD52" s="2"/>
      <c r="ELE52" s="2"/>
      <c r="ELF52" s="2"/>
      <c r="ELG52" s="2"/>
      <c r="ELH52" s="2"/>
      <c r="ELI52" s="2"/>
      <c r="ELJ52" s="2"/>
      <c r="ELK52" s="2"/>
      <c r="ELL52" s="2"/>
      <c r="ELM52" s="2"/>
      <c r="ELN52" s="2"/>
      <c r="ELO52" s="2"/>
      <c r="ELP52" s="2"/>
      <c r="ELQ52" s="2"/>
      <c r="ELR52" s="2"/>
      <c r="ELS52" s="2"/>
      <c r="ELT52" s="2"/>
      <c r="ELU52" s="2"/>
      <c r="ELV52" s="2"/>
      <c r="ELW52" s="2"/>
      <c r="ELX52" s="2"/>
      <c r="ELY52" s="2"/>
      <c r="ELZ52" s="2"/>
      <c r="EMA52" s="2"/>
      <c r="EMB52" s="2"/>
      <c r="EMC52" s="2"/>
      <c r="EMD52" s="2"/>
      <c r="EME52" s="2"/>
      <c r="EMF52" s="2"/>
      <c r="EMG52" s="2"/>
      <c r="EMH52" s="2"/>
      <c r="EMI52" s="2"/>
      <c r="EMJ52" s="2"/>
      <c r="EMK52" s="2"/>
      <c r="EML52" s="2"/>
      <c r="EMM52" s="2"/>
      <c r="EMN52" s="2"/>
      <c r="EMO52" s="2"/>
      <c r="EMP52" s="2"/>
      <c r="EMQ52" s="2"/>
      <c r="EMR52" s="2"/>
      <c r="EMS52" s="2"/>
      <c r="EMT52" s="2"/>
      <c r="EMU52" s="2"/>
      <c r="EMV52" s="2"/>
      <c r="EMW52" s="2"/>
      <c r="EMX52" s="2"/>
      <c r="EMY52" s="2"/>
      <c r="EMZ52" s="2"/>
      <c r="ENA52" s="2"/>
      <c r="ENB52" s="2"/>
      <c r="ENC52" s="2"/>
      <c r="END52" s="2"/>
      <c r="ENE52" s="2"/>
      <c r="ENF52" s="2"/>
      <c r="ENG52" s="2"/>
      <c r="ENH52" s="2"/>
      <c r="ENI52" s="2"/>
      <c r="ENJ52" s="2"/>
      <c r="ENK52" s="2"/>
      <c r="ENL52" s="2"/>
      <c r="ENM52" s="2"/>
      <c r="ENN52" s="2"/>
      <c r="ENO52" s="2"/>
      <c r="ENP52" s="2"/>
      <c r="ENQ52" s="2"/>
      <c r="ENR52" s="2"/>
      <c r="ENS52" s="2"/>
      <c r="ENT52" s="2"/>
      <c r="ENU52" s="2"/>
      <c r="ENV52" s="2"/>
      <c r="ENW52" s="2"/>
      <c r="ENX52" s="2"/>
      <c r="ENY52" s="2"/>
      <c r="ENZ52" s="2"/>
      <c r="EOA52" s="2"/>
      <c r="EOB52" s="2"/>
      <c r="EOC52" s="2"/>
      <c r="EOD52" s="2"/>
      <c r="EOE52" s="2"/>
      <c r="EOF52" s="2"/>
      <c r="EOG52" s="2"/>
      <c r="EOH52" s="2"/>
      <c r="EOI52" s="2"/>
      <c r="EOJ52" s="2"/>
      <c r="EOK52" s="2"/>
      <c r="EOL52" s="2"/>
      <c r="EOM52" s="2"/>
      <c r="EON52" s="2"/>
      <c r="EOO52" s="2"/>
      <c r="EOP52" s="2"/>
      <c r="EOQ52" s="2"/>
      <c r="EOR52" s="2"/>
      <c r="EOS52" s="2"/>
      <c r="EOT52" s="2"/>
      <c r="EOU52" s="2"/>
      <c r="EOV52" s="2"/>
      <c r="EOW52" s="2"/>
      <c r="EOX52" s="2"/>
      <c r="EOY52" s="2"/>
      <c r="EOZ52" s="2"/>
      <c r="EPA52" s="2"/>
      <c r="EPB52" s="2"/>
      <c r="EPC52" s="2"/>
      <c r="EPD52" s="2"/>
      <c r="EPE52" s="2"/>
      <c r="EPF52" s="2"/>
      <c r="EPG52" s="2"/>
      <c r="EPH52" s="2"/>
      <c r="EPI52" s="2"/>
      <c r="EPJ52" s="2"/>
      <c r="EPK52" s="2"/>
      <c r="EPL52" s="2"/>
      <c r="EPM52" s="2"/>
      <c r="EPN52" s="2"/>
      <c r="EPO52" s="2"/>
      <c r="EPP52" s="2"/>
      <c r="EPQ52" s="2"/>
      <c r="EPR52" s="2"/>
      <c r="EPS52" s="2"/>
      <c r="EPT52" s="2"/>
      <c r="EPU52" s="2"/>
      <c r="EPV52" s="2"/>
      <c r="EPW52" s="2"/>
      <c r="EPX52" s="2"/>
      <c r="EPY52" s="2"/>
      <c r="EPZ52" s="2"/>
      <c r="EQA52" s="2"/>
      <c r="EQB52" s="2"/>
      <c r="EQC52" s="2"/>
      <c r="EQD52" s="2"/>
      <c r="EQE52" s="2"/>
      <c r="EQF52" s="2"/>
      <c r="EQG52" s="2"/>
      <c r="EQH52" s="2"/>
      <c r="EQI52" s="2"/>
      <c r="EQJ52" s="2"/>
      <c r="EQK52" s="2"/>
      <c r="EQL52" s="2"/>
      <c r="EQM52" s="2"/>
      <c r="EQN52" s="2"/>
      <c r="EQO52" s="2"/>
      <c r="EQP52" s="2"/>
      <c r="EQQ52" s="2"/>
      <c r="EQR52" s="2"/>
      <c r="EQS52" s="2"/>
      <c r="EQT52" s="2"/>
      <c r="EQU52" s="2"/>
      <c r="EQV52" s="2"/>
      <c r="EQW52" s="2"/>
      <c r="EQX52" s="2"/>
      <c r="EQY52" s="2"/>
      <c r="EQZ52" s="2"/>
      <c r="ERA52" s="2"/>
      <c r="ERB52" s="2"/>
      <c r="ERC52" s="2"/>
      <c r="ERD52" s="2"/>
      <c r="ERE52" s="2"/>
      <c r="ERF52" s="2"/>
      <c r="ERG52" s="2"/>
      <c r="ERH52" s="2"/>
      <c r="ERI52" s="2"/>
      <c r="ERJ52" s="2"/>
      <c r="ERK52" s="2"/>
      <c r="ERL52" s="2"/>
      <c r="ERM52" s="2"/>
      <c r="ERN52" s="2"/>
      <c r="ERO52" s="2"/>
      <c r="ERP52" s="2"/>
      <c r="ERQ52" s="2"/>
      <c r="ERR52" s="2"/>
      <c r="ERS52" s="2"/>
      <c r="ERT52" s="2"/>
      <c r="ERU52" s="2"/>
      <c r="ERV52" s="2"/>
      <c r="ERW52" s="2"/>
      <c r="ERX52" s="2"/>
      <c r="ERY52" s="2"/>
      <c r="ERZ52" s="2"/>
      <c r="ESA52" s="2"/>
      <c r="ESB52" s="2"/>
      <c r="ESC52" s="2"/>
      <c r="ESD52" s="2"/>
      <c r="ESE52" s="2"/>
      <c r="ESF52" s="2"/>
      <c r="ESG52" s="2"/>
      <c r="ESH52" s="2"/>
      <c r="ESI52" s="2"/>
      <c r="ESJ52" s="2"/>
      <c r="ESK52" s="2"/>
      <c r="ESL52" s="2"/>
      <c r="ESM52" s="2"/>
      <c r="ESN52" s="2"/>
      <c r="ESO52" s="2"/>
      <c r="ESP52" s="2"/>
      <c r="ESQ52" s="2"/>
      <c r="ESR52" s="2"/>
      <c r="ESS52" s="2"/>
      <c r="EST52" s="2"/>
      <c r="ESU52" s="2"/>
      <c r="ESV52" s="2"/>
      <c r="ESW52" s="2"/>
      <c r="ESX52" s="2"/>
      <c r="ESY52" s="2"/>
      <c r="ESZ52" s="2"/>
      <c r="ETA52" s="2"/>
      <c r="ETB52" s="2"/>
      <c r="ETC52" s="2"/>
      <c r="ETD52" s="2"/>
      <c r="ETE52" s="2"/>
      <c r="ETF52" s="2"/>
      <c r="ETG52" s="2"/>
      <c r="ETH52" s="2"/>
      <c r="ETI52" s="2"/>
      <c r="ETJ52" s="2"/>
      <c r="ETK52" s="2"/>
      <c r="ETL52" s="2"/>
      <c r="ETM52" s="2"/>
      <c r="ETN52" s="2"/>
      <c r="ETO52" s="2"/>
      <c r="ETP52" s="2"/>
      <c r="ETQ52" s="2"/>
      <c r="ETR52" s="2"/>
      <c r="ETS52" s="2"/>
      <c r="ETT52" s="2"/>
      <c r="ETU52" s="2"/>
      <c r="ETV52" s="2"/>
      <c r="ETW52" s="2"/>
      <c r="ETX52" s="2"/>
      <c r="ETY52" s="2"/>
      <c r="ETZ52" s="2"/>
      <c r="EUA52" s="2"/>
      <c r="EUB52" s="2"/>
      <c r="EUC52" s="2"/>
      <c r="EUD52" s="2"/>
      <c r="EUE52" s="2"/>
      <c r="EUF52" s="2"/>
      <c r="EUG52" s="2"/>
      <c r="EUH52" s="2"/>
      <c r="EUI52" s="2"/>
      <c r="EUJ52" s="2"/>
      <c r="EUK52" s="2"/>
      <c r="EUL52" s="2"/>
      <c r="EUM52" s="2"/>
      <c r="EUN52" s="2"/>
      <c r="EUO52" s="2"/>
      <c r="EUP52" s="2"/>
      <c r="EUQ52" s="2"/>
      <c r="EUR52" s="2"/>
      <c r="EUS52" s="2"/>
      <c r="EUT52" s="2"/>
      <c r="EUU52" s="2"/>
      <c r="EUV52" s="2"/>
      <c r="EUW52" s="2"/>
      <c r="EUX52" s="2"/>
      <c r="EUY52" s="2"/>
      <c r="EUZ52" s="2"/>
      <c r="EVA52" s="2"/>
      <c r="EVB52" s="2"/>
      <c r="EVC52" s="2"/>
      <c r="EVD52" s="2"/>
      <c r="EVE52" s="2"/>
      <c r="EVF52" s="2"/>
      <c r="EVG52" s="2"/>
      <c r="EVH52" s="2"/>
      <c r="EVI52" s="2"/>
      <c r="EVJ52" s="2"/>
      <c r="EVK52" s="2"/>
      <c r="EVL52" s="2"/>
      <c r="EVM52" s="2"/>
      <c r="EVN52" s="2"/>
      <c r="EVO52" s="2"/>
      <c r="EVP52" s="2"/>
      <c r="EVQ52" s="2"/>
      <c r="EVR52" s="2"/>
      <c r="EVS52" s="2"/>
      <c r="EVT52" s="2"/>
      <c r="EVU52" s="2"/>
      <c r="EVV52" s="2"/>
      <c r="EVW52" s="2"/>
      <c r="EVX52" s="2"/>
      <c r="EVY52" s="2"/>
      <c r="EVZ52" s="2"/>
      <c r="EWA52" s="2"/>
      <c r="EWB52" s="2"/>
      <c r="EWC52" s="2"/>
      <c r="EWD52" s="2"/>
      <c r="EWE52" s="2"/>
      <c r="EWF52" s="2"/>
      <c r="EWG52" s="2"/>
      <c r="EWH52" s="2"/>
      <c r="EWI52" s="2"/>
      <c r="EWJ52" s="2"/>
      <c r="EWK52" s="2"/>
      <c r="EWL52" s="2"/>
      <c r="EWM52" s="2"/>
      <c r="EWN52" s="2"/>
      <c r="EWO52" s="2"/>
      <c r="EWP52" s="2"/>
      <c r="EWQ52" s="2"/>
      <c r="EWR52" s="2"/>
      <c r="EWS52" s="2"/>
      <c r="EWT52" s="2"/>
      <c r="EWU52" s="2"/>
      <c r="EWV52" s="2"/>
      <c r="EWW52" s="2"/>
      <c r="EWX52" s="2"/>
      <c r="EWY52" s="2"/>
      <c r="EWZ52" s="2"/>
      <c r="EXA52" s="2"/>
      <c r="EXB52" s="2"/>
      <c r="EXC52" s="2"/>
      <c r="EXD52" s="2"/>
      <c r="EXE52" s="2"/>
      <c r="EXF52" s="2"/>
      <c r="EXG52" s="2"/>
      <c r="EXH52" s="2"/>
      <c r="EXI52" s="2"/>
      <c r="EXJ52" s="2"/>
      <c r="EXK52" s="2"/>
      <c r="EXL52" s="2"/>
      <c r="EXM52" s="2"/>
      <c r="EXN52" s="2"/>
      <c r="EXO52" s="2"/>
      <c r="EXP52" s="2"/>
      <c r="EXQ52" s="2"/>
      <c r="EXR52" s="2"/>
      <c r="EXS52" s="2"/>
      <c r="EXT52" s="2"/>
      <c r="EXU52" s="2"/>
      <c r="EXV52" s="2"/>
      <c r="EXW52" s="2"/>
      <c r="EXX52" s="2"/>
      <c r="EXY52" s="2"/>
      <c r="EXZ52" s="2"/>
      <c r="EYA52" s="2"/>
      <c r="EYB52" s="2"/>
      <c r="EYC52" s="2"/>
      <c r="EYD52" s="2"/>
      <c r="EYE52" s="2"/>
      <c r="EYF52" s="2"/>
      <c r="EYG52" s="2"/>
      <c r="EYH52" s="2"/>
      <c r="EYI52" s="2"/>
      <c r="EYJ52" s="2"/>
      <c r="EYK52" s="2"/>
      <c r="EYL52" s="2"/>
      <c r="EYM52" s="2"/>
      <c r="EYN52" s="2"/>
      <c r="EYO52" s="2"/>
      <c r="EYP52" s="2"/>
      <c r="EYQ52" s="2"/>
      <c r="EYR52" s="2"/>
      <c r="EYS52" s="2"/>
      <c r="EYT52" s="2"/>
      <c r="EYU52" s="2"/>
      <c r="EYV52" s="2"/>
      <c r="EYW52" s="2"/>
      <c r="EYX52" s="2"/>
      <c r="EYY52" s="2"/>
      <c r="EYZ52" s="2"/>
      <c r="EZA52" s="2"/>
      <c r="EZB52" s="2"/>
      <c r="EZC52" s="2"/>
      <c r="EZD52" s="2"/>
      <c r="EZE52" s="2"/>
      <c r="EZF52" s="2"/>
      <c r="EZG52" s="2"/>
      <c r="EZH52" s="2"/>
      <c r="EZI52" s="2"/>
      <c r="EZJ52" s="2"/>
      <c r="EZK52" s="2"/>
      <c r="EZL52" s="2"/>
      <c r="EZM52" s="2"/>
      <c r="EZN52" s="2"/>
      <c r="EZO52" s="2"/>
      <c r="EZP52" s="2"/>
      <c r="EZQ52" s="2"/>
      <c r="EZR52" s="2"/>
      <c r="EZS52" s="2"/>
      <c r="EZT52" s="2"/>
      <c r="EZU52" s="2"/>
      <c r="EZV52" s="2"/>
      <c r="EZW52" s="2"/>
      <c r="EZX52" s="2"/>
      <c r="EZY52" s="2"/>
      <c r="EZZ52" s="2"/>
      <c r="FAA52" s="2"/>
      <c r="FAB52" s="2"/>
      <c r="FAC52" s="2"/>
      <c r="FAD52" s="2"/>
      <c r="FAE52" s="2"/>
      <c r="FAF52" s="2"/>
      <c r="FAG52" s="2"/>
      <c r="FAH52" s="2"/>
      <c r="FAI52" s="2"/>
      <c r="FAJ52" s="2"/>
      <c r="FAK52" s="2"/>
      <c r="FAL52" s="2"/>
      <c r="FAM52" s="2"/>
      <c r="FAN52" s="2"/>
      <c r="FAO52" s="2"/>
      <c r="FAP52" s="2"/>
      <c r="FAQ52" s="2"/>
      <c r="FAR52" s="2"/>
      <c r="FAS52" s="2"/>
      <c r="FAT52" s="2"/>
      <c r="FAU52" s="2"/>
      <c r="FAV52" s="2"/>
      <c r="FAW52" s="2"/>
      <c r="FAX52" s="2"/>
      <c r="FAY52" s="2"/>
      <c r="FAZ52" s="2"/>
      <c r="FBA52" s="2"/>
      <c r="FBB52" s="2"/>
      <c r="FBC52" s="2"/>
      <c r="FBD52" s="2"/>
      <c r="FBE52" s="2"/>
      <c r="FBF52" s="2"/>
      <c r="FBG52" s="2"/>
      <c r="FBH52" s="2"/>
      <c r="FBI52" s="2"/>
      <c r="FBJ52" s="2"/>
      <c r="FBK52" s="2"/>
      <c r="FBL52" s="2"/>
      <c r="FBM52" s="2"/>
      <c r="FBN52" s="2"/>
      <c r="FBO52" s="2"/>
      <c r="FBP52" s="2"/>
      <c r="FBQ52" s="2"/>
      <c r="FBR52" s="2"/>
      <c r="FBS52" s="2"/>
      <c r="FBT52" s="2"/>
      <c r="FBU52" s="2"/>
      <c r="FBV52" s="2"/>
      <c r="FBW52" s="2"/>
      <c r="FBX52" s="2"/>
      <c r="FBY52" s="2"/>
      <c r="FBZ52" s="2"/>
      <c r="FCA52" s="2"/>
      <c r="FCB52" s="2"/>
      <c r="FCC52" s="2"/>
      <c r="FCD52" s="2"/>
      <c r="FCE52" s="2"/>
      <c r="FCF52" s="2"/>
      <c r="FCG52" s="2"/>
      <c r="FCH52" s="2"/>
      <c r="FCI52" s="2"/>
      <c r="FCJ52" s="2"/>
      <c r="FCK52" s="2"/>
      <c r="FCL52" s="2"/>
      <c r="FCM52" s="2"/>
      <c r="FCN52" s="2"/>
      <c r="FCO52" s="2"/>
      <c r="FCP52" s="2"/>
      <c r="FCQ52" s="2"/>
      <c r="FCR52" s="2"/>
      <c r="FCS52" s="2"/>
      <c r="FCT52" s="2"/>
      <c r="FCU52" s="2"/>
      <c r="FCV52" s="2"/>
      <c r="FCW52" s="2"/>
      <c r="FCX52" s="2"/>
      <c r="FCY52" s="2"/>
      <c r="FCZ52" s="2"/>
      <c r="FDA52" s="2"/>
      <c r="FDB52" s="2"/>
      <c r="FDC52" s="2"/>
      <c r="FDD52" s="2"/>
      <c r="FDE52" s="2"/>
      <c r="FDF52" s="2"/>
      <c r="FDG52" s="2"/>
      <c r="FDH52" s="2"/>
      <c r="FDI52" s="2"/>
      <c r="FDJ52" s="2"/>
      <c r="FDK52" s="2"/>
      <c r="FDL52" s="2"/>
      <c r="FDM52" s="2"/>
      <c r="FDN52" s="2"/>
      <c r="FDO52" s="2"/>
      <c r="FDP52" s="2"/>
      <c r="FDQ52" s="2"/>
      <c r="FDR52" s="2"/>
      <c r="FDS52" s="2"/>
      <c r="FDT52" s="2"/>
      <c r="FDU52" s="2"/>
      <c r="FDV52" s="2"/>
      <c r="FDW52" s="2"/>
      <c r="FDX52" s="2"/>
      <c r="FDY52" s="2"/>
      <c r="FDZ52" s="2"/>
      <c r="FEA52" s="2"/>
      <c r="FEB52" s="2"/>
      <c r="FEC52" s="2"/>
      <c r="FED52" s="2"/>
      <c r="FEE52" s="2"/>
      <c r="FEF52" s="2"/>
      <c r="FEG52" s="2"/>
      <c r="FEH52" s="2"/>
      <c r="FEI52" s="2"/>
      <c r="FEJ52" s="2"/>
      <c r="FEK52" s="2"/>
      <c r="FEL52" s="2"/>
      <c r="FEM52" s="2"/>
      <c r="FEN52" s="2"/>
      <c r="FEO52" s="2"/>
      <c r="FEP52" s="2"/>
      <c r="FEQ52" s="2"/>
      <c r="FER52" s="2"/>
      <c r="FES52" s="2"/>
      <c r="FET52" s="2"/>
      <c r="FEU52" s="2"/>
      <c r="FEV52" s="2"/>
      <c r="FEW52" s="2"/>
      <c r="FEX52" s="2"/>
      <c r="FEY52" s="2"/>
      <c r="FEZ52" s="2"/>
      <c r="FFA52" s="2"/>
      <c r="FFB52" s="2"/>
      <c r="FFC52" s="2"/>
      <c r="FFD52" s="2"/>
      <c r="FFE52" s="2"/>
      <c r="FFF52" s="2"/>
      <c r="FFG52" s="2"/>
      <c r="FFH52" s="2"/>
      <c r="FFI52" s="2"/>
      <c r="FFJ52" s="2"/>
      <c r="FFK52" s="2"/>
      <c r="FFL52" s="2"/>
      <c r="FFM52" s="2"/>
      <c r="FFN52" s="2"/>
      <c r="FFO52" s="2"/>
      <c r="FFP52" s="2"/>
      <c r="FFQ52" s="2"/>
      <c r="FFR52" s="2"/>
      <c r="FFS52" s="2"/>
      <c r="FFT52" s="2"/>
      <c r="FFU52" s="2"/>
      <c r="FFV52" s="2"/>
      <c r="FFW52" s="2"/>
      <c r="FFX52" s="2"/>
      <c r="FFY52" s="2"/>
      <c r="FFZ52" s="2"/>
      <c r="FGA52" s="2"/>
      <c r="FGB52" s="2"/>
      <c r="FGC52" s="2"/>
      <c r="FGD52" s="2"/>
      <c r="FGE52" s="2"/>
      <c r="FGF52" s="2"/>
      <c r="FGG52" s="2"/>
      <c r="FGH52" s="2"/>
      <c r="FGI52" s="2"/>
      <c r="FGJ52" s="2"/>
      <c r="FGK52" s="2"/>
      <c r="FGL52" s="2"/>
      <c r="FGM52" s="2"/>
      <c r="FGN52" s="2"/>
      <c r="FGO52" s="2"/>
      <c r="FGP52" s="2"/>
      <c r="FGQ52" s="2"/>
      <c r="FGR52" s="2"/>
      <c r="FGS52" s="2"/>
      <c r="FGT52" s="2"/>
      <c r="FGU52" s="2"/>
      <c r="FGV52" s="2"/>
      <c r="FGW52" s="2"/>
      <c r="FGX52" s="2"/>
      <c r="FGY52" s="2"/>
      <c r="FGZ52" s="2"/>
      <c r="FHA52" s="2"/>
      <c r="FHB52" s="2"/>
      <c r="FHC52" s="2"/>
      <c r="FHD52" s="2"/>
      <c r="FHE52" s="2"/>
      <c r="FHF52" s="2"/>
      <c r="FHG52" s="2"/>
      <c r="FHH52" s="2"/>
      <c r="FHI52" s="2"/>
      <c r="FHJ52" s="2"/>
      <c r="FHK52" s="2"/>
      <c r="FHL52" s="2"/>
      <c r="FHM52" s="2"/>
      <c r="FHN52" s="2"/>
      <c r="FHO52" s="2"/>
      <c r="FHP52" s="2"/>
      <c r="FHQ52" s="2"/>
      <c r="FHR52" s="2"/>
      <c r="FHS52" s="2"/>
      <c r="FHT52" s="2"/>
      <c r="FHU52" s="2"/>
      <c r="FHV52" s="2"/>
      <c r="FHW52" s="2"/>
      <c r="FHX52" s="2"/>
      <c r="FHY52" s="2"/>
      <c r="FHZ52" s="2"/>
      <c r="FIA52" s="2"/>
      <c r="FIB52" s="2"/>
      <c r="FIC52" s="2"/>
      <c r="FID52" s="2"/>
      <c r="FIE52" s="2"/>
      <c r="FIF52" s="2"/>
      <c r="FIG52" s="2"/>
      <c r="FIH52" s="2"/>
      <c r="FII52" s="2"/>
      <c r="FIJ52" s="2"/>
      <c r="FIK52" s="2"/>
      <c r="FIL52" s="2"/>
      <c r="FIM52" s="2"/>
      <c r="FIN52" s="2"/>
      <c r="FIO52" s="2"/>
      <c r="FIP52" s="2"/>
      <c r="FIQ52" s="2"/>
      <c r="FIR52" s="2"/>
      <c r="FIS52" s="2"/>
      <c r="FIT52" s="2"/>
      <c r="FIU52" s="2"/>
      <c r="FIV52" s="2"/>
      <c r="FIW52" s="2"/>
      <c r="FIX52" s="2"/>
      <c r="FIY52" s="2"/>
      <c r="FIZ52" s="2"/>
      <c r="FJA52" s="2"/>
      <c r="FJB52" s="2"/>
      <c r="FJC52" s="2"/>
      <c r="FJD52" s="2"/>
      <c r="FJE52" s="2"/>
      <c r="FJF52" s="2"/>
      <c r="FJG52" s="2"/>
      <c r="FJH52" s="2"/>
      <c r="FJI52" s="2"/>
      <c r="FJJ52" s="2"/>
      <c r="FJK52" s="2"/>
      <c r="FJL52" s="2"/>
      <c r="FJM52" s="2"/>
      <c r="FJN52" s="2"/>
      <c r="FJO52" s="2"/>
      <c r="FJP52" s="2"/>
      <c r="FJQ52" s="2"/>
      <c r="FJR52" s="2"/>
      <c r="FJS52" s="2"/>
      <c r="FJT52" s="2"/>
      <c r="FJU52" s="2"/>
      <c r="FJV52" s="2"/>
      <c r="FJW52" s="2"/>
      <c r="FJX52" s="2"/>
      <c r="FJY52" s="2"/>
      <c r="FJZ52" s="2"/>
      <c r="FKA52" s="2"/>
      <c r="FKB52" s="2"/>
      <c r="FKC52" s="2"/>
      <c r="FKD52" s="2"/>
      <c r="FKE52" s="2"/>
      <c r="FKF52" s="2"/>
      <c r="FKG52" s="2"/>
      <c r="FKH52" s="2"/>
      <c r="FKI52" s="2"/>
      <c r="FKJ52" s="2"/>
      <c r="FKK52" s="2"/>
      <c r="FKL52" s="2"/>
      <c r="FKM52" s="2"/>
      <c r="FKN52" s="2"/>
      <c r="FKO52" s="2"/>
      <c r="FKP52" s="2"/>
      <c r="FKQ52" s="2"/>
      <c r="FKR52" s="2"/>
      <c r="FKS52" s="2"/>
      <c r="FKT52" s="2"/>
      <c r="FKU52" s="2"/>
      <c r="FKV52" s="2"/>
      <c r="FKW52" s="2"/>
      <c r="FKX52" s="2"/>
      <c r="FKY52" s="2"/>
      <c r="FKZ52" s="2"/>
      <c r="FLA52" s="2"/>
      <c r="FLB52" s="2"/>
      <c r="FLC52" s="2"/>
      <c r="FLD52" s="2"/>
      <c r="FLE52" s="2"/>
      <c r="FLF52" s="2"/>
      <c r="FLG52" s="2"/>
      <c r="FLH52" s="2"/>
      <c r="FLI52" s="2"/>
      <c r="FLJ52" s="2"/>
      <c r="FLK52" s="2"/>
      <c r="FLL52" s="2"/>
      <c r="FLM52" s="2"/>
      <c r="FLN52" s="2"/>
      <c r="FLO52" s="2"/>
      <c r="FLP52" s="2"/>
      <c r="FLQ52" s="2"/>
      <c r="FLR52" s="2"/>
      <c r="FLS52" s="2"/>
      <c r="FLT52" s="2"/>
      <c r="FLU52" s="2"/>
      <c r="FLV52" s="2"/>
      <c r="FLW52" s="2"/>
      <c r="FLX52" s="2"/>
      <c r="FLY52" s="2"/>
      <c r="FLZ52" s="2"/>
      <c r="FMA52" s="2"/>
      <c r="FMB52" s="2"/>
      <c r="FMC52" s="2"/>
      <c r="FMD52" s="2"/>
      <c r="FME52" s="2"/>
      <c r="FMF52" s="2"/>
      <c r="FMG52" s="2"/>
      <c r="FMH52" s="2"/>
      <c r="FMI52" s="2"/>
      <c r="FMJ52" s="2"/>
      <c r="FMK52" s="2"/>
      <c r="FML52" s="2"/>
      <c r="FMM52" s="2"/>
      <c r="FMN52" s="2"/>
      <c r="FMO52" s="2"/>
      <c r="FMP52" s="2"/>
      <c r="FMQ52" s="2"/>
      <c r="FMR52" s="2"/>
      <c r="FMS52" s="2"/>
      <c r="FMT52" s="2"/>
      <c r="FMU52" s="2"/>
      <c r="FMV52" s="2"/>
      <c r="FMW52" s="2"/>
      <c r="FMX52" s="2"/>
      <c r="FMY52" s="2"/>
      <c r="FMZ52" s="2"/>
      <c r="FNA52" s="2"/>
      <c r="FNB52" s="2"/>
      <c r="FNC52" s="2"/>
      <c r="FND52" s="2"/>
      <c r="FNE52" s="2"/>
      <c r="FNF52" s="2"/>
      <c r="FNG52" s="2"/>
      <c r="FNH52" s="2"/>
      <c r="FNI52" s="2"/>
      <c r="FNJ52" s="2"/>
      <c r="FNK52" s="2"/>
      <c r="FNL52" s="2"/>
      <c r="FNM52" s="2"/>
      <c r="FNN52" s="2"/>
      <c r="FNO52" s="2"/>
      <c r="FNP52" s="2"/>
      <c r="FNQ52" s="2"/>
      <c r="FNR52" s="2"/>
      <c r="FNS52" s="2"/>
      <c r="FNT52" s="2"/>
      <c r="FNU52" s="2"/>
      <c r="FNV52" s="2"/>
      <c r="FNW52" s="2"/>
      <c r="FNX52" s="2"/>
      <c r="FNY52" s="2"/>
      <c r="FNZ52" s="2"/>
      <c r="FOA52" s="2"/>
      <c r="FOB52" s="2"/>
      <c r="FOC52" s="2"/>
      <c r="FOD52" s="2"/>
      <c r="FOE52" s="2"/>
      <c r="FOF52" s="2"/>
      <c r="FOG52" s="2"/>
      <c r="FOH52" s="2"/>
      <c r="FOI52" s="2"/>
      <c r="FOJ52" s="2"/>
      <c r="FOK52" s="2"/>
      <c r="FOL52" s="2"/>
      <c r="FOM52" s="2"/>
      <c r="FON52" s="2"/>
      <c r="FOO52" s="2"/>
      <c r="FOP52" s="2"/>
      <c r="FOQ52" s="2"/>
      <c r="FOR52" s="2"/>
      <c r="FOS52" s="2"/>
      <c r="FOT52" s="2"/>
      <c r="FOU52" s="2"/>
      <c r="FOV52" s="2"/>
      <c r="FOW52" s="2"/>
      <c r="FOX52" s="2"/>
      <c r="FOY52" s="2"/>
      <c r="FOZ52" s="2"/>
      <c r="FPA52" s="2"/>
      <c r="FPB52" s="2"/>
      <c r="FPC52" s="2"/>
      <c r="FPD52" s="2"/>
      <c r="FPE52" s="2"/>
      <c r="FPF52" s="2"/>
      <c r="FPG52" s="2"/>
      <c r="FPH52" s="2"/>
      <c r="FPI52" s="2"/>
      <c r="FPJ52" s="2"/>
      <c r="FPK52" s="2"/>
      <c r="FPL52" s="2"/>
      <c r="FPM52" s="2"/>
      <c r="FPN52" s="2"/>
      <c r="FPO52" s="2"/>
      <c r="FPP52" s="2"/>
      <c r="FPQ52" s="2"/>
      <c r="FPR52" s="2"/>
      <c r="FPS52" s="2"/>
      <c r="FPT52" s="2"/>
      <c r="FPU52" s="2"/>
      <c r="FPV52" s="2"/>
      <c r="FPW52" s="2"/>
      <c r="FPX52" s="2"/>
      <c r="FPY52" s="2"/>
      <c r="FPZ52" s="2"/>
      <c r="FQA52" s="2"/>
      <c r="FQB52" s="2"/>
      <c r="FQC52" s="2"/>
      <c r="FQD52" s="2"/>
      <c r="FQE52" s="2"/>
      <c r="FQF52" s="2"/>
      <c r="FQG52" s="2"/>
      <c r="FQH52" s="2"/>
      <c r="FQI52" s="2"/>
      <c r="FQJ52" s="2"/>
      <c r="FQK52" s="2"/>
      <c r="FQL52" s="2"/>
      <c r="FQM52" s="2"/>
      <c r="FQN52" s="2"/>
      <c r="FQO52" s="2"/>
      <c r="FQP52" s="2"/>
      <c r="FQQ52" s="2"/>
      <c r="FQR52" s="2"/>
      <c r="FQS52" s="2"/>
      <c r="FQT52" s="2"/>
      <c r="FQU52" s="2"/>
      <c r="FQV52" s="2"/>
      <c r="FQW52" s="2"/>
      <c r="FQX52" s="2"/>
      <c r="FQY52" s="2"/>
      <c r="FQZ52" s="2"/>
      <c r="FRA52" s="2"/>
      <c r="FRB52" s="2"/>
      <c r="FRC52" s="2"/>
      <c r="FRD52" s="2"/>
      <c r="FRE52" s="2"/>
      <c r="FRF52" s="2"/>
      <c r="FRG52" s="2"/>
      <c r="FRH52" s="2"/>
      <c r="FRI52" s="2"/>
      <c r="FRJ52" s="2"/>
      <c r="FRK52" s="2"/>
      <c r="FRL52" s="2"/>
      <c r="FRM52" s="2"/>
      <c r="FRN52" s="2"/>
      <c r="FRO52" s="2"/>
      <c r="FRP52" s="2"/>
      <c r="FRQ52" s="2"/>
      <c r="FRR52" s="2"/>
      <c r="FRS52" s="2"/>
      <c r="FRT52" s="2"/>
      <c r="FRU52" s="2"/>
      <c r="FRV52" s="2"/>
      <c r="FRW52" s="2"/>
      <c r="FRX52" s="2"/>
      <c r="FRY52" s="2"/>
      <c r="FRZ52" s="2"/>
      <c r="FSA52" s="2"/>
      <c r="FSB52" s="2"/>
      <c r="FSC52" s="2"/>
      <c r="FSD52" s="2"/>
      <c r="FSE52" s="2"/>
      <c r="FSF52" s="2"/>
      <c r="FSG52" s="2"/>
      <c r="FSH52" s="2"/>
      <c r="FSI52" s="2"/>
      <c r="FSJ52" s="2"/>
      <c r="FSK52" s="2"/>
      <c r="FSL52" s="2"/>
      <c r="FSM52" s="2"/>
      <c r="FSN52" s="2"/>
      <c r="FSO52" s="2"/>
      <c r="FSP52" s="2"/>
      <c r="FSQ52" s="2"/>
      <c r="FSR52" s="2"/>
      <c r="FSS52" s="2"/>
      <c r="FST52" s="2"/>
      <c r="FSU52" s="2"/>
      <c r="FSV52" s="2"/>
      <c r="FSW52" s="2"/>
      <c r="FSX52" s="2"/>
      <c r="FSY52" s="2"/>
      <c r="FSZ52" s="2"/>
      <c r="FTA52" s="2"/>
      <c r="FTB52" s="2"/>
      <c r="FTC52" s="2"/>
      <c r="FTD52" s="2"/>
      <c r="FTE52" s="2"/>
      <c r="FTF52" s="2"/>
      <c r="FTG52" s="2"/>
      <c r="FTH52" s="2"/>
      <c r="FTI52" s="2"/>
      <c r="FTJ52" s="2"/>
      <c r="FTK52" s="2"/>
      <c r="FTL52" s="2"/>
      <c r="FTM52" s="2"/>
      <c r="FTN52" s="2"/>
      <c r="FTO52" s="2"/>
      <c r="FTP52" s="2"/>
      <c r="FTQ52" s="2"/>
      <c r="FTR52" s="2"/>
      <c r="FTS52" s="2"/>
      <c r="FTT52" s="2"/>
      <c r="FTU52" s="2"/>
      <c r="FTV52" s="2"/>
      <c r="FTW52" s="2"/>
      <c r="FTX52" s="2"/>
      <c r="FTY52" s="2"/>
      <c r="FTZ52" s="2"/>
      <c r="FUA52" s="2"/>
      <c r="FUB52" s="2"/>
      <c r="FUC52" s="2"/>
      <c r="FUD52" s="2"/>
      <c r="FUE52" s="2"/>
      <c r="FUF52" s="2"/>
      <c r="FUG52" s="2"/>
      <c r="FUH52" s="2"/>
      <c r="FUI52" s="2"/>
      <c r="FUJ52" s="2"/>
      <c r="FUK52" s="2"/>
      <c r="FUL52" s="2"/>
      <c r="FUM52" s="2"/>
      <c r="FUN52" s="2"/>
      <c r="FUO52" s="2"/>
      <c r="FUP52" s="2"/>
      <c r="FUQ52" s="2"/>
      <c r="FUR52" s="2"/>
      <c r="FUS52" s="2"/>
      <c r="FUT52" s="2"/>
      <c r="FUU52" s="2"/>
      <c r="FUV52" s="2"/>
      <c r="FUW52" s="2"/>
      <c r="FUX52" s="2"/>
      <c r="FUY52" s="2"/>
      <c r="FUZ52" s="2"/>
      <c r="FVA52" s="2"/>
      <c r="FVB52" s="2"/>
      <c r="FVC52" s="2"/>
      <c r="FVD52" s="2"/>
      <c r="FVE52" s="2"/>
      <c r="FVF52" s="2"/>
      <c r="FVG52" s="2"/>
      <c r="FVH52" s="2"/>
      <c r="FVI52" s="2"/>
      <c r="FVJ52" s="2"/>
      <c r="FVK52" s="2"/>
      <c r="FVL52" s="2"/>
      <c r="FVM52" s="2"/>
      <c r="FVN52" s="2"/>
      <c r="FVO52" s="2"/>
      <c r="FVP52" s="2"/>
      <c r="FVQ52" s="2"/>
      <c r="FVR52" s="2"/>
      <c r="FVS52" s="2"/>
      <c r="FVT52" s="2"/>
      <c r="FVU52" s="2"/>
      <c r="FVV52" s="2"/>
      <c r="FVW52" s="2"/>
      <c r="FVX52" s="2"/>
      <c r="FVY52" s="2"/>
      <c r="FVZ52" s="2"/>
      <c r="FWA52" s="2"/>
      <c r="FWB52" s="2"/>
      <c r="FWC52" s="2"/>
      <c r="FWD52" s="2"/>
      <c r="FWE52" s="2"/>
      <c r="FWF52" s="2"/>
      <c r="FWG52" s="2"/>
      <c r="FWH52" s="2"/>
      <c r="FWI52" s="2"/>
      <c r="FWJ52" s="2"/>
      <c r="FWK52" s="2"/>
      <c r="FWL52" s="2"/>
      <c r="FWM52" s="2"/>
      <c r="FWN52" s="2"/>
      <c r="FWO52" s="2"/>
      <c r="FWP52" s="2"/>
      <c r="FWQ52" s="2"/>
      <c r="FWR52" s="2"/>
      <c r="FWS52" s="2"/>
      <c r="FWT52" s="2"/>
      <c r="FWU52" s="2"/>
      <c r="FWV52" s="2"/>
      <c r="FWW52" s="2"/>
      <c r="FWX52" s="2"/>
      <c r="FWY52" s="2"/>
      <c r="FWZ52" s="2"/>
      <c r="FXA52" s="2"/>
      <c r="FXB52" s="2"/>
      <c r="FXC52" s="2"/>
      <c r="FXD52" s="2"/>
      <c r="FXE52" s="2"/>
      <c r="FXF52" s="2"/>
      <c r="FXG52" s="2"/>
      <c r="FXH52" s="2"/>
      <c r="FXI52" s="2"/>
      <c r="FXJ52" s="2"/>
      <c r="FXK52" s="2"/>
      <c r="FXL52" s="2"/>
      <c r="FXM52" s="2"/>
      <c r="FXN52" s="2"/>
      <c r="FXO52" s="2"/>
      <c r="FXP52" s="2"/>
      <c r="FXQ52" s="2"/>
      <c r="FXR52" s="2"/>
      <c r="FXS52" s="2"/>
      <c r="FXT52" s="2"/>
      <c r="FXU52" s="2"/>
      <c r="FXV52" s="2"/>
      <c r="FXW52" s="2"/>
      <c r="FXX52" s="2"/>
      <c r="FXY52" s="2"/>
      <c r="FXZ52" s="2"/>
      <c r="FYA52" s="2"/>
      <c r="FYB52" s="2"/>
      <c r="FYC52" s="2"/>
      <c r="FYD52" s="2"/>
      <c r="FYE52" s="2"/>
      <c r="FYF52" s="2"/>
      <c r="FYG52" s="2"/>
      <c r="FYH52" s="2"/>
      <c r="FYI52" s="2"/>
      <c r="FYJ52" s="2"/>
      <c r="FYK52" s="2"/>
      <c r="FYL52" s="2"/>
      <c r="FYM52" s="2"/>
      <c r="FYN52" s="2"/>
      <c r="FYO52" s="2"/>
      <c r="FYP52" s="2"/>
      <c r="FYQ52" s="2"/>
      <c r="FYR52" s="2"/>
      <c r="FYS52" s="2"/>
      <c r="FYT52" s="2"/>
      <c r="FYU52" s="2"/>
      <c r="FYV52" s="2"/>
      <c r="FYW52" s="2"/>
      <c r="FYX52" s="2"/>
      <c r="FYY52" s="2"/>
      <c r="FYZ52" s="2"/>
      <c r="FZA52" s="2"/>
      <c r="FZB52" s="2"/>
      <c r="FZC52" s="2"/>
      <c r="FZD52" s="2"/>
      <c r="FZE52" s="2"/>
      <c r="FZF52" s="2"/>
      <c r="FZG52" s="2"/>
      <c r="FZH52" s="2"/>
      <c r="FZI52" s="2"/>
      <c r="FZJ52" s="2"/>
      <c r="FZK52" s="2"/>
      <c r="FZL52" s="2"/>
      <c r="FZM52" s="2"/>
      <c r="FZN52" s="2"/>
      <c r="FZO52" s="2"/>
      <c r="FZP52" s="2"/>
      <c r="FZQ52" s="2"/>
      <c r="FZR52" s="2"/>
      <c r="FZS52" s="2"/>
      <c r="FZT52" s="2"/>
      <c r="FZU52" s="2"/>
      <c r="FZV52" s="2"/>
      <c r="FZW52" s="2"/>
      <c r="FZX52" s="2"/>
      <c r="FZY52" s="2"/>
      <c r="FZZ52" s="2"/>
      <c r="GAA52" s="2"/>
      <c r="GAB52" s="2"/>
      <c r="GAC52" s="2"/>
      <c r="GAD52" s="2"/>
      <c r="GAE52" s="2"/>
      <c r="GAF52" s="2"/>
      <c r="GAG52" s="2"/>
      <c r="GAH52" s="2"/>
      <c r="GAI52" s="2"/>
      <c r="GAJ52" s="2"/>
      <c r="GAK52" s="2"/>
      <c r="GAL52" s="2"/>
      <c r="GAM52" s="2"/>
      <c r="GAN52" s="2"/>
      <c r="GAO52" s="2"/>
      <c r="GAP52" s="2"/>
      <c r="GAQ52" s="2"/>
      <c r="GAR52" s="2"/>
      <c r="GAS52" s="2"/>
      <c r="GAT52" s="2"/>
      <c r="GAU52" s="2"/>
      <c r="GAV52" s="2"/>
      <c r="GAW52" s="2"/>
      <c r="GAX52" s="2"/>
      <c r="GAY52" s="2"/>
      <c r="GAZ52" s="2"/>
      <c r="GBA52" s="2"/>
      <c r="GBB52" s="2"/>
      <c r="GBC52" s="2"/>
      <c r="GBD52" s="2"/>
      <c r="GBE52" s="2"/>
      <c r="GBF52" s="2"/>
      <c r="GBG52" s="2"/>
      <c r="GBH52" s="2"/>
      <c r="GBI52" s="2"/>
      <c r="GBJ52" s="2"/>
      <c r="GBK52" s="2"/>
      <c r="GBL52" s="2"/>
      <c r="GBM52" s="2"/>
      <c r="GBN52" s="2"/>
      <c r="GBO52" s="2"/>
      <c r="GBP52" s="2"/>
      <c r="GBQ52" s="2"/>
      <c r="GBR52" s="2"/>
      <c r="GBS52" s="2"/>
      <c r="GBT52" s="2"/>
      <c r="GBU52" s="2"/>
      <c r="GBV52" s="2"/>
      <c r="GBW52" s="2"/>
      <c r="GBX52" s="2"/>
      <c r="GBY52" s="2"/>
      <c r="GBZ52" s="2"/>
      <c r="GCA52" s="2"/>
      <c r="GCB52" s="2"/>
      <c r="GCC52" s="2"/>
      <c r="GCD52" s="2"/>
      <c r="GCE52" s="2"/>
      <c r="GCF52" s="2"/>
      <c r="GCG52" s="2"/>
      <c r="GCH52" s="2"/>
      <c r="GCI52" s="2"/>
      <c r="GCJ52" s="2"/>
      <c r="GCK52" s="2"/>
      <c r="GCL52" s="2"/>
      <c r="GCM52" s="2"/>
      <c r="GCN52" s="2"/>
      <c r="GCO52" s="2"/>
      <c r="GCP52" s="2"/>
      <c r="GCQ52" s="2"/>
      <c r="GCR52" s="2"/>
      <c r="GCS52" s="2"/>
      <c r="GCT52" s="2"/>
      <c r="GCU52" s="2"/>
      <c r="GCV52" s="2"/>
      <c r="GCW52" s="2"/>
      <c r="GCX52" s="2"/>
      <c r="GCY52" s="2"/>
      <c r="GCZ52" s="2"/>
      <c r="GDA52" s="2"/>
      <c r="GDB52" s="2"/>
      <c r="GDC52" s="2"/>
      <c r="GDD52" s="2"/>
      <c r="GDE52" s="2"/>
      <c r="GDF52" s="2"/>
      <c r="GDG52" s="2"/>
      <c r="GDH52" s="2"/>
      <c r="GDI52" s="2"/>
      <c r="GDJ52" s="2"/>
      <c r="GDK52" s="2"/>
      <c r="GDL52" s="2"/>
      <c r="GDM52" s="2"/>
      <c r="GDN52" s="2"/>
      <c r="GDO52" s="2"/>
      <c r="GDP52" s="2"/>
      <c r="GDQ52" s="2"/>
      <c r="GDR52" s="2"/>
      <c r="GDS52" s="2"/>
      <c r="GDT52" s="2"/>
      <c r="GDU52" s="2"/>
      <c r="GDV52" s="2"/>
      <c r="GDW52" s="2"/>
      <c r="GDX52" s="2"/>
      <c r="GDY52" s="2"/>
      <c r="GDZ52" s="2"/>
      <c r="GEA52" s="2"/>
      <c r="GEB52" s="2"/>
      <c r="GEC52" s="2"/>
      <c r="GED52" s="2"/>
      <c r="GEE52" s="2"/>
      <c r="GEF52" s="2"/>
      <c r="GEG52" s="2"/>
      <c r="GEH52" s="2"/>
      <c r="GEI52" s="2"/>
      <c r="GEJ52" s="2"/>
      <c r="GEK52" s="2"/>
      <c r="GEL52" s="2"/>
      <c r="GEM52" s="2"/>
      <c r="GEN52" s="2"/>
      <c r="GEO52" s="2"/>
      <c r="GEP52" s="2"/>
      <c r="GEQ52" s="2"/>
      <c r="GER52" s="2"/>
      <c r="GES52" s="2"/>
      <c r="GET52" s="2"/>
      <c r="GEU52" s="2"/>
      <c r="GEV52" s="2"/>
      <c r="GEW52" s="2"/>
      <c r="GEX52" s="2"/>
      <c r="GEY52" s="2"/>
      <c r="GEZ52" s="2"/>
      <c r="GFA52" s="2"/>
      <c r="GFB52" s="2"/>
      <c r="GFC52" s="2"/>
      <c r="GFD52" s="2"/>
      <c r="GFE52" s="2"/>
      <c r="GFF52" s="2"/>
      <c r="GFG52" s="2"/>
      <c r="GFH52" s="2"/>
      <c r="GFI52" s="2"/>
      <c r="GFJ52" s="2"/>
      <c r="GFK52" s="2"/>
      <c r="GFL52" s="2"/>
      <c r="GFM52" s="2"/>
      <c r="GFN52" s="2"/>
      <c r="GFO52" s="2"/>
      <c r="GFP52" s="2"/>
      <c r="GFQ52" s="2"/>
      <c r="GFR52" s="2"/>
      <c r="GFS52" s="2"/>
      <c r="GFT52" s="2"/>
      <c r="GFU52" s="2"/>
      <c r="GFV52" s="2"/>
      <c r="GFW52" s="2"/>
      <c r="GFX52" s="2"/>
      <c r="GFY52" s="2"/>
      <c r="GFZ52" s="2"/>
      <c r="GGA52" s="2"/>
      <c r="GGB52" s="2"/>
      <c r="GGC52" s="2"/>
      <c r="GGD52" s="2"/>
      <c r="GGE52" s="2"/>
      <c r="GGF52" s="2"/>
      <c r="GGG52" s="2"/>
      <c r="GGH52" s="2"/>
      <c r="GGI52" s="2"/>
      <c r="GGJ52" s="2"/>
      <c r="GGK52" s="2"/>
      <c r="GGL52" s="2"/>
      <c r="GGM52" s="2"/>
      <c r="GGN52" s="2"/>
      <c r="GGO52" s="2"/>
      <c r="GGP52" s="2"/>
      <c r="GGQ52" s="2"/>
      <c r="GGR52" s="2"/>
      <c r="GGS52" s="2"/>
      <c r="GGT52" s="2"/>
      <c r="GGU52" s="2"/>
      <c r="GGV52" s="2"/>
      <c r="GGW52" s="2"/>
      <c r="GGX52" s="2"/>
      <c r="GGY52" s="2"/>
      <c r="GGZ52" s="2"/>
      <c r="GHA52" s="2"/>
      <c r="GHB52" s="2"/>
      <c r="GHC52" s="2"/>
      <c r="GHD52" s="2"/>
      <c r="GHE52" s="2"/>
      <c r="GHF52" s="2"/>
      <c r="GHG52" s="2"/>
      <c r="GHH52" s="2"/>
      <c r="GHI52" s="2"/>
      <c r="GHJ52" s="2"/>
      <c r="GHK52" s="2"/>
      <c r="GHL52" s="2"/>
      <c r="GHM52" s="2"/>
      <c r="GHN52" s="2"/>
      <c r="GHO52" s="2"/>
      <c r="GHP52" s="2"/>
      <c r="GHQ52" s="2"/>
      <c r="GHR52" s="2"/>
      <c r="GHS52" s="2"/>
      <c r="GHT52" s="2"/>
      <c r="GHU52" s="2"/>
      <c r="GHV52" s="2"/>
      <c r="GHW52" s="2"/>
      <c r="GHX52" s="2"/>
      <c r="GHY52" s="2"/>
      <c r="GHZ52" s="2"/>
      <c r="GIA52" s="2"/>
      <c r="GIB52" s="2"/>
      <c r="GIC52" s="2"/>
      <c r="GID52" s="2"/>
      <c r="GIE52" s="2"/>
      <c r="GIF52" s="2"/>
      <c r="GIG52" s="2"/>
      <c r="GIH52" s="2"/>
      <c r="GII52" s="2"/>
      <c r="GIJ52" s="2"/>
      <c r="GIK52" s="2"/>
      <c r="GIL52" s="2"/>
      <c r="GIM52" s="2"/>
      <c r="GIN52" s="2"/>
      <c r="GIO52" s="2"/>
      <c r="GIP52" s="2"/>
      <c r="GIQ52" s="2"/>
      <c r="GIR52" s="2"/>
      <c r="GIS52" s="2"/>
      <c r="GIT52" s="2"/>
      <c r="GIU52" s="2"/>
      <c r="GIV52" s="2"/>
      <c r="GIW52" s="2"/>
      <c r="GIX52" s="2"/>
      <c r="GIY52" s="2"/>
      <c r="GIZ52" s="2"/>
      <c r="GJA52" s="2"/>
      <c r="GJB52" s="2"/>
      <c r="GJC52" s="2"/>
      <c r="GJD52" s="2"/>
      <c r="GJE52" s="2"/>
      <c r="GJF52" s="2"/>
      <c r="GJG52" s="2"/>
      <c r="GJH52" s="2"/>
      <c r="GJI52" s="2"/>
      <c r="GJJ52" s="2"/>
      <c r="GJK52" s="2"/>
      <c r="GJL52" s="2"/>
      <c r="GJM52" s="2"/>
      <c r="GJN52" s="2"/>
      <c r="GJO52" s="2"/>
      <c r="GJP52" s="2"/>
      <c r="GJQ52" s="2"/>
      <c r="GJR52" s="2"/>
      <c r="GJS52" s="2"/>
      <c r="GJT52" s="2"/>
      <c r="GJU52" s="2"/>
      <c r="GJV52" s="2"/>
      <c r="GJW52" s="2"/>
      <c r="GJX52" s="2"/>
      <c r="GJY52" s="2"/>
      <c r="GJZ52" s="2"/>
      <c r="GKA52" s="2"/>
      <c r="GKB52" s="2"/>
      <c r="GKC52" s="2"/>
      <c r="GKD52" s="2"/>
      <c r="GKE52" s="2"/>
      <c r="GKF52" s="2"/>
      <c r="GKG52" s="2"/>
      <c r="GKH52" s="2"/>
      <c r="GKI52" s="2"/>
      <c r="GKJ52" s="2"/>
      <c r="GKK52" s="2"/>
      <c r="GKL52" s="2"/>
      <c r="GKM52" s="2"/>
      <c r="GKN52" s="2"/>
      <c r="GKO52" s="2"/>
      <c r="GKP52" s="2"/>
      <c r="GKQ52" s="2"/>
      <c r="GKR52" s="2"/>
      <c r="GKS52" s="2"/>
      <c r="GKT52" s="2"/>
      <c r="GKU52" s="2"/>
      <c r="GKV52" s="2"/>
      <c r="GKW52" s="2"/>
      <c r="GKX52" s="2"/>
      <c r="GKY52" s="2"/>
      <c r="GKZ52" s="2"/>
      <c r="GLA52" s="2"/>
      <c r="GLB52" s="2"/>
      <c r="GLC52" s="2"/>
      <c r="GLD52" s="2"/>
      <c r="GLE52" s="2"/>
      <c r="GLF52" s="2"/>
      <c r="GLG52" s="2"/>
      <c r="GLH52" s="2"/>
      <c r="GLI52" s="2"/>
      <c r="GLJ52" s="2"/>
      <c r="GLK52" s="2"/>
      <c r="GLL52" s="2"/>
      <c r="GLM52" s="2"/>
      <c r="GLN52" s="2"/>
      <c r="GLO52" s="2"/>
      <c r="GLP52" s="2"/>
      <c r="GLQ52" s="2"/>
      <c r="GLR52" s="2"/>
      <c r="GLS52" s="2"/>
      <c r="GLT52" s="2"/>
      <c r="GLU52" s="2"/>
      <c r="GLV52" s="2"/>
      <c r="GLW52" s="2"/>
      <c r="GLX52" s="2"/>
      <c r="GLY52" s="2"/>
      <c r="GLZ52" s="2"/>
      <c r="GMA52" s="2"/>
      <c r="GMB52" s="2"/>
      <c r="GMC52" s="2"/>
      <c r="GMD52" s="2"/>
      <c r="GME52" s="2"/>
      <c r="GMF52" s="2"/>
      <c r="GMG52" s="2"/>
      <c r="GMH52" s="2"/>
      <c r="GMI52" s="2"/>
      <c r="GMJ52" s="2"/>
      <c r="GMK52" s="2"/>
      <c r="GML52" s="2"/>
      <c r="GMM52" s="2"/>
      <c r="GMN52" s="2"/>
      <c r="GMO52" s="2"/>
      <c r="GMP52" s="2"/>
      <c r="GMQ52" s="2"/>
      <c r="GMR52" s="2"/>
      <c r="GMS52" s="2"/>
      <c r="GMT52" s="2"/>
      <c r="GMU52" s="2"/>
      <c r="GMV52" s="2"/>
      <c r="GMW52" s="2"/>
      <c r="GMX52" s="2"/>
      <c r="GMY52" s="2"/>
      <c r="GMZ52" s="2"/>
      <c r="GNA52" s="2"/>
      <c r="GNB52" s="2"/>
      <c r="GNC52" s="2"/>
      <c r="GND52" s="2"/>
      <c r="GNE52" s="2"/>
      <c r="GNF52" s="2"/>
      <c r="GNG52" s="2"/>
      <c r="GNH52" s="2"/>
      <c r="GNI52" s="2"/>
      <c r="GNJ52" s="2"/>
      <c r="GNK52" s="2"/>
      <c r="GNL52" s="2"/>
      <c r="GNM52" s="2"/>
      <c r="GNN52" s="2"/>
      <c r="GNO52" s="2"/>
      <c r="GNP52" s="2"/>
      <c r="GNQ52" s="2"/>
      <c r="GNR52" s="2"/>
      <c r="GNS52" s="2"/>
      <c r="GNT52" s="2"/>
      <c r="GNU52" s="2"/>
      <c r="GNV52" s="2"/>
      <c r="GNW52" s="2"/>
      <c r="GNX52" s="2"/>
      <c r="GNY52" s="2"/>
      <c r="GNZ52" s="2"/>
      <c r="GOA52" s="2"/>
      <c r="GOB52" s="2"/>
      <c r="GOC52" s="2"/>
      <c r="GOD52" s="2"/>
      <c r="GOE52" s="2"/>
      <c r="GOF52" s="2"/>
      <c r="GOG52" s="2"/>
      <c r="GOH52" s="2"/>
      <c r="GOI52" s="2"/>
      <c r="GOJ52" s="2"/>
      <c r="GOK52" s="2"/>
      <c r="GOL52" s="2"/>
      <c r="GOM52" s="2"/>
      <c r="GON52" s="2"/>
      <c r="GOO52" s="2"/>
      <c r="GOP52" s="2"/>
      <c r="GOQ52" s="2"/>
      <c r="GOR52" s="2"/>
      <c r="GOS52" s="2"/>
      <c r="GOT52" s="2"/>
      <c r="GOU52" s="2"/>
      <c r="GOV52" s="2"/>
      <c r="GOW52" s="2"/>
      <c r="GOX52" s="2"/>
      <c r="GOY52" s="2"/>
      <c r="GOZ52" s="2"/>
      <c r="GPA52" s="2"/>
      <c r="GPB52" s="2"/>
      <c r="GPC52" s="2"/>
      <c r="GPD52" s="2"/>
      <c r="GPE52" s="2"/>
      <c r="GPF52" s="2"/>
      <c r="GPG52" s="2"/>
      <c r="GPH52" s="2"/>
      <c r="GPI52" s="2"/>
      <c r="GPJ52" s="2"/>
      <c r="GPK52" s="2"/>
      <c r="GPL52" s="2"/>
      <c r="GPM52" s="2"/>
      <c r="GPN52" s="2"/>
      <c r="GPO52" s="2"/>
      <c r="GPP52" s="2"/>
      <c r="GPQ52" s="2"/>
      <c r="GPR52" s="2"/>
      <c r="GPS52" s="2"/>
      <c r="GPT52" s="2"/>
      <c r="GPU52" s="2"/>
      <c r="GPV52" s="2"/>
      <c r="GPW52" s="2"/>
      <c r="GPX52" s="2"/>
      <c r="GPY52" s="2"/>
      <c r="GPZ52" s="2"/>
      <c r="GQA52" s="2"/>
      <c r="GQB52" s="2"/>
      <c r="GQC52" s="2"/>
      <c r="GQD52" s="2"/>
      <c r="GQE52" s="2"/>
      <c r="GQF52" s="2"/>
      <c r="GQG52" s="2"/>
      <c r="GQH52" s="2"/>
      <c r="GQI52" s="2"/>
      <c r="GQJ52" s="2"/>
      <c r="GQK52" s="2"/>
      <c r="GQL52" s="2"/>
      <c r="GQM52" s="2"/>
      <c r="GQN52" s="2"/>
      <c r="GQO52" s="2"/>
      <c r="GQP52" s="2"/>
      <c r="GQQ52" s="2"/>
      <c r="GQR52" s="2"/>
      <c r="GQS52" s="2"/>
      <c r="GQT52" s="2"/>
      <c r="GQU52" s="2"/>
      <c r="GQV52" s="2"/>
      <c r="GQW52" s="2"/>
      <c r="GQX52" s="2"/>
      <c r="GQY52" s="2"/>
      <c r="GQZ52" s="2"/>
      <c r="GRA52" s="2"/>
      <c r="GRB52" s="2"/>
      <c r="GRC52" s="2"/>
      <c r="GRD52" s="2"/>
      <c r="GRE52" s="2"/>
      <c r="GRF52" s="2"/>
      <c r="GRG52" s="2"/>
      <c r="GRH52" s="2"/>
      <c r="GRI52" s="2"/>
      <c r="GRJ52" s="2"/>
      <c r="GRK52" s="2"/>
      <c r="GRL52" s="2"/>
      <c r="GRM52" s="2"/>
      <c r="GRN52" s="2"/>
      <c r="GRO52" s="2"/>
      <c r="GRP52" s="2"/>
      <c r="GRQ52" s="2"/>
      <c r="GRR52" s="2"/>
      <c r="GRS52" s="2"/>
      <c r="GRT52" s="2"/>
      <c r="GRU52" s="2"/>
      <c r="GRV52" s="2"/>
      <c r="GRW52" s="2"/>
      <c r="GRX52" s="2"/>
      <c r="GRY52" s="2"/>
      <c r="GRZ52" s="2"/>
      <c r="GSA52" s="2"/>
      <c r="GSB52" s="2"/>
      <c r="GSC52" s="2"/>
      <c r="GSD52" s="2"/>
      <c r="GSE52" s="2"/>
      <c r="GSF52" s="2"/>
      <c r="GSG52" s="2"/>
      <c r="GSH52" s="2"/>
      <c r="GSI52" s="2"/>
      <c r="GSJ52" s="2"/>
      <c r="GSK52" s="2"/>
      <c r="GSL52" s="2"/>
      <c r="GSM52" s="2"/>
      <c r="GSN52" s="2"/>
      <c r="GSO52" s="2"/>
      <c r="GSP52" s="2"/>
      <c r="GSQ52" s="2"/>
      <c r="GSR52" s="2"/>
      <c r="GSS52" s="2"/>
      <c r="GST52" s="2"/>
      <c r="GSU52" s="2"/>
      <c r="GSV52" s="2"/>
      <c r="GSW52" s="2"/>
      <c r="GSX52" s="2"/>
      <c r="GSY52" s="2"/>
      <c r="GSZ52" s="2"/>
      <c r="GTA52" s="2"/>
      <c r="GTB52" s="2"/>
      <c r="GTC52" s="2"/>
      <c r="GTD52" s="2"/>
      <c r="GTE52" s="2"/>
      <c r="GTF52" s="2"/>
      <c r="GTG52" s="2"/>
      <c r="GTH52" s="2"/>
      <c r="GTI52" s="2"/>
      <c r="GTJ52" s="2"/>
      <c r="GTK52" s="2"/>
      <c r="GTL52" s="2"/>
      <c r="GTM52" s="2"/>
      <c r="GTN52" s="2"/>
      <c r="GTO52" s="2"/>
      <c r="GTP52" s="2"/>
      <c r="GTQ52" s="2"/>
      <c r="GTR52" s="2"/>
      <c r="GTS52" s="2"/>
      <c r="GTT52" s="2"/>
      <c r="GTU52" s="2"/>
      <c r="GTV52" s="2"/>
      <c r="GTW52" s="2"/>
      <c r="GTX52" s="2"/>
      <c r="GTY52" s="2"/>
      <c r="GTZ52" s="2"/>
      <c r="GUA52" s="2"/>
      <c r="GUB52" s="2"/>
      <c r="GUC52" s="2"/>
      <c r="GUD52" s="2"/>
      <c r="GUE52" s="2"/>
      <c r="GUF52" s="2"/>
      <c r="GUG52" s="2"/>
      <c r="GUH52" s="2"/>
      <c r="GUI52" s="2"/>
      <c r="GUJ52" s="2"/>
      <c r="GUK52" s="2"/>
      <c r="GUL52" s="2"/>
      <c r="GUM52" s="2"/>
      <c r="GUN52" s="2"/>
      <c r="GUO52" s="2"/>
      <c r="GUP52" s="2"/>
      <c r="GUQ52" s="2"/>
      <c r="GUR52" s="2"/>
      <c r="GUS52" s="2"/>
      <c r="GUT52" s="2"/>
      <c r="GUU52" s="2"/>
      <c r="GUV52" s="2"/>
      <c r="GUW52" s="2"/>
      <c r="GUX52" s="2"/>
      <c r="GUY52" s="2"/>
      <c r="GUZ52" s="2"/>
      <c r="GVA52" s="2"/>
      <c r="GVB52" s="2"/>
      <c r="GVC52" s="2"/>
      <c r="GVD52" s="2"/>
      <c r="GVE52" s="2"/>
      <c r="GVF52" s="2"/>
      <c r="GVG52" s="2"/>
      <c r="GVH52" s="2"/>
      <c r="GVI52" s="2"/>
      <c r="GVJ52" s="2"/>
      <c r="GVK52" s="2"/>
      <c r="GVL52" s="2"/>
      <c r="GVM52" s="2"/>
      <c r="GVN52" s="2"/>
      <c r="GVO52" s="2"/>
      <c r="GVP52" s="2"/>
      <c r="GVQ52" s="2"/>
      <c r="GVR52" s="2"/>
      <c r="GVS52" s="2"/>
      <c r="GVT52" s="2"/>
      <c r="GVU52" s="2"/>
      <c r="GVV52" s="2"/>
      <c r="GVW52" s="2"/>
      <c r="GVX52" s="2"/>
      <c r="GVY52" s="2"/>
      <c r="GVZ52" s="2"/>
      <c r="GWA52" s="2"/>
      <c r="GWB52" s="2"/>
      <c r="GWC52" s="2"/>
      <c r="GWD52" s="2"/>
      <c r="GWE52" s="2"/>
      <c r="GWF52" s="2"/>
      <c r="GWG52" s="2"/>
      <c r="GWH52" s="2"/>
      <c r="GWI52" s="2"/>
      <c r="GWJ52" s="2"/>
      <c r="GWK52" s="2"/>
      <c r="GWL52" s="2"/>
      <c r="GWM52" s="2"/>
      <c r="GWN52" s="2"/>
      <c r="GWO52" s="2"/>
      <c r="GWP52" s="2"/>
      <c r="GWQ52" s="2"/>
      <c r="GWR52" s="2"/>
      <c r="GWS52" s="2"/>
      <c r="GWT52" s="2"/>
      <c r="GWU52" s="2"/>
      <c r="GWV52" s="2"/>
      <c r="GWW52" s="2"/>
      <c r="GWX52" s="2"/>
      <c r="GWY52" s="2"/>
      <c r="GWZ52" s="2"/>
      <c r="GXA52" s="2"/>
      <c r="GXB52" s="2"/>
      <c r="GXC52" s="2"/>
      <c r="GXD52" s="2"/>
      <c r="GXE52" s="2"/>
      <c r="GXF52" s="2"/>
      <c r="GXG52" s="2"/>
      <c r="GXH52" s="2"/>
      <c r="GXI52" s="2"/>
      <c r="GXJ52" s="2"/>
      <c r="GXK52" s="2"/>
      <c r="GXL52" s="2"/>
      <c r="GXM52" s="2"/>
      <c r="GXN52" s="2"/>
      <c r="GXO52" s="2"/>
      <c r="GXP52" s="2"/>
      <c r="GXQ52" s="2"/>
      <c r="GXR52" s="2"/>
      <c r="GXS52" s="2"/>
      <c r="GXT52" s="2"/>
      <c r="GXU52" s="2"/>
      <c r="GXV52" s="2"/>
      <c r="GXW52" s="2"/>
      <c r="GXX52" s="2"/>
      <c r="GXY52" s="2"/>
      <c r="GXZ52" s="2"/>
      <c r="GYA52" s="2"/>
      <c r="GYB52" s="2"/>
      <c r="GYC52" s="2"/>
      <c r="GYD52" s="2"/>
      <c r="GYE52" s="2"/>
      <c r="GYF52" s="2"/>
      <c r="GYG52" s="2"/>
      <c r="GYH52" s="2"/>
      <c r="GYI52" s="2"/>
      <c r="GYJ52" s="2"/>
      <c r="GYK52" s="2"/>
      <c r="GYL52" s="2"/>
      <c r="GYM52" s="2"/>
      <c r="GYN52" s="2"/>
      <c r="GYO52" s="2"/>
      <c r="GYP52" s="2"/>
      <c r="GYQ52" s="2"/>
      <c r="GYR52" s="2"/>
      <c r="GYS52" s="2"/>
      <c r="GYT52" s="2"/>
      <c r="GYU52" s="2"/>
      <c r="GYV52" s="2"/>
      <c r="GYW52" s="2"/>
      <c r="GYX52" s="2"/>
      <c r="GYY52" s="2"/>
      <c r="GYZ52" s="2"/>
      <c r="GZA52" s="2"/>
      <c r="GZB52" s="2"/>
      <c r="GZC52" s="2"/>
      <c r="GZD52" s="2"/>
      <c r="GZE52" s="2"/>
      <c r="GZF52" s="2"/>
      <c r="GZG52" s="2"/>
      <c r="GZH52" s="2"/>
      <c r="GZI52" s="2"/>
      <c r="GZJ52" s="2"/>
      <c r="GZK52" s="2"/>
      <c r="GZL52" s="2"/>
      <c r="GZM52" s="2"/>
      <c r="GZN52" s="2"/>
      <c r="GZO52" s="2"/>
      <c r="GZP52" s="2"/>
      <c r="GZQ52" s="2"/>
      <c r="GZR52" s="2"/>
      <c r="GZS52" s="2"/>
      <c r="GZT52" s="2"/>
      <c r="GZU52" s="2"/>
      <c r="GZV52" s="2"/>
      <c r="GZW52" s="2"/>
      <c r="GZX52" s="2"/>
      <c r="GZY52" s="2"/>
      <c r="GZZ52" s="2"/>
      <c r="HAA52" s="2"/>
      <c r="HAB52" s="2"/>
      <c r="HAC52" s="2"/>
      <c r="HAD52" s="2"/>
      <c r="HAE52" s="2"/>
      <c r="HAF52" s="2"/>
      <c r="HAG52" s="2"/>
      <c r="HAH52" s="2"/>
      <c r="HAI52" s="2"/>
      <c r="HAJ52" s="2"/>
      <c r="HAK52" s="2"/>
      <c r="HAL52" s="2"/>
      <c r="HAM52" s="2"/>
      <c r="HAN52" s="2"/>
      <c r="HAO52" s="2"/>
      <c r="HAP52" s="2"/>
      <c r="HAQ52" s="2"/>
      <c r="HAR52" s="2"/>
      <c r="HAS52" s="2"/>
      <c r="HAT52" s="2"/>
      <c r="HAU52" s="2"/>
      <c r="HAV52" s="2"/>
      <c r="HAW52" s="2"/>
      <c r="HAX52" s="2"/>
      <c r="HAY52" s="2"/>
      <c r="HAZ52" s="2"/>
      <c r="HBA52" s="2"/>
      <c r="HBB52" s="2"/>
      <c r="HBC52" s="2"/>
      <c r="HBD52" s="2"/>
      <c r="HBE52" s="2"/>
      <c r="HBF52" s="2"/>
      <c r="HBG52" s="2"/>
      <c r="HBH52" s="2"/>
      <c r="HBI52" s="2"/>
      <c r="HBJ52" s="2"/>
      <c r="HBK52" s="2"/>
      <c r="HBL52" s="2"/>
      <c r="HBM52" s="2"/>
      <c r="HBN52" s="2"/>
      <c r="HBO52" s="2"/>
      <c r="HBP52" s="2"/>
      <c r="HBQ52" s="2"/>
      <c r="HBR52" s="2"/>
      <c r="HBS52" s="2"/>
      <c r="HBT52" s="2"/>
      <c r="HBU52" s="2"/>
      <c r="HBV52" s="2"/>
      <c r="HBW52" s="2"/>
      <c r="HBX52" s="2"/>
      <c r="HBY52" s="2"/>
      <c r="HBZ52" s="2"/>
      <c r="HCA52" s="2"/>
      <c r="HCB52" s="2"/>
      <c r="HCC52" s="2"/>
      <c r="HCD52" s="2"/>
      <c r="HCE52" s="2"/>
      <c r="HCF52" s="2"/>
      <c r="HCG52" s="2"/>
      <c r="HCH52" s="2"/>
      <c r="HCI52" s="2"/>
      <c r="HCJ52" s="2"/>
      <c r="HCK52" s="2"/>
      <c r="HCL52" s="2"/>
      <c r="HCM52" s="2"/>
      <c r="HCN52" s="2"/>
      <c r="HCO52" s="2"/>
      <c r="HCP52" s="2"/>
      <c r="HCQ52" s="2"/>
      <c r="HCR52" s="2"/>
      <c r="HCS52" s="2"/>
      <c r="HCT52" s="2"/>
      <c r="HCU52" s="2"/>
      <c r="HCV52" s="2"/>
      <c r="HCW52" s="2"/>
      <c r="HCX52" s="2"/>
      <c r="HCY52" s="2"/>
      <c r="HCZ52" s="2"/>
      <c r="HDA52" s="2"/>
      <c r="HDB52" s="2"/>
      <c r="HDC52" s="2"/>
      <c r="HDD52" s="2"/>
      <c r="HDE52" s="2"/>
      <c r="HDF52" s="2"/>
      <c r="HDG52" s="2"/>
      <c r="HDH52" s="2"/>
      <c r="HDI52" s="2"/>
      <c r="HDJ52" s="2"/>
      <c r="HDK52" s="2"/>
      <c r="HDL52" s="2"/>
      <c r="HDM52" s="2"/>
      <c r="HDN52" s="2"/>
      <c r="HDO52" s="2"/>
      <c r="HDP52" s="2"/>
      <c r="HDQ52" s="2"/>
      <c r="HDR52" s="2"/>
      <c r="HDS52" s="2"/>
      <c r="HDT52" s="2"/>
      <c r="HDU52" s="2"/>
      <c r="HDV52" s="2"/>
      <c r="HDW52" s="2"/>
      <c r="HDX52" s="2"/>
      <c r="HDY52" s="2"/>
      <c r="HDZ52" s="2"/>
      <c r="HEA52" s="2"/>
      <c r="HEB52" s="2"/>
      <c r="HEC52" s="2"/>
      <c r="HED52" s="2"/>
      <c r="HEE52" s="2"/>
      <c r="HEF52" s="2"/>
      <c r="HEG52" s="2"/>
      <c r="HEH52" s="2"/>
      <c r="HEI52" s="2"/>
      <c r="HEJ52" s="2"/>
      <c r="HEK52" s="2"/>
      <c r="HEL52" s="2"/>
      <c r="HEM52" s="2"/>
      <c r="HEN52" s="2"/>
      <c r="HEO52" s="2"/>
      <c r="HEP52" s="2"/>
      <c r="HEQ52" s="2"/>
      <c r="HER52" s="2"/>
      <c r="HES52" s="2"/>
      <c r="HET52" s="2"/>
      <c r="HEU52" s="2"/>
      <c r="HEV52" s="2"/>
      <c r="HEW52" s="2"/>
      <c r="HEX52" s="2"/>
      <c r="HEY52" s="2"/>
      <c r="HEZ52" s="2"/>
      <c r="HFA52" s="2"/>
      <c r="HFB52" s="2"/>
      <c r="HFC52" s="2"/>
      <c r="HFD52" s="2"/>
      <c r="HFE52" s="2"/>
      <c r="HFF52" s="2"/>
      <c r="HFG52" s="2"/>
      <c r="HFH52" s="2"/>
      <c r="HFI52" s="2"/>
      <c r="HFJ52" s="2"/>
      <c r="HFK52" s="2"/>
      <c r="HFL52" s="2"/>
      <c r="HFM52" s="2"/>
      <c r="HFN52" s="2"/>
      <c r="HFO52" s="2"/>
      <c r="HFP52" s="2"/>
      <c r="HFQ52" s="2"/>
      <c r="HFR52" s="2"/>
      <c r="HFS52" s="2"/>
      <c r="HFT52" s="2"/>
      <c r="HFU52" s="2"/>
      <c r="HFV52" s="2"/>
      <c r="HFW52" s="2"/>
      <c r="HFX52" s="2"/>
      <c r="HFY52" s="2"/>
      <c r="HFZ52" s="2"/>
      <c r="HGA52" s="2"/>
      <c r="HGB52" s="2"/>
      <c r="HGC52" s="2"/>
      <c r="HGD52" s="2"/>
      <c r="HGE52" s="2"/>
      <c r="HGF52" s="2"/>
      <c r="HGG52" s="2"/>
      <c r="HGH52" s="2"/>
      <c r="HGI52" s="2"/>
      <c r="HGJ52" s="2"/>
      <c r="HGK52" s="2"/>
      <c r="HGL52" s="2"/>
      <c r="HGM52" s="2"/>
      <c r="HGN52" s="2"/>
      <c r="HGO52" s="2"/>
      <c r="HGP52" s="2"/>
      <c r="HGQ52" s="2"/>
      <c r="HGR52" s="2"/>
      <c r="HGS52" s="2"/>
      <c r="HGT52" s="2"/>
      <c r="HGU52" s="2"/>
      <c r="HGV52" s="2"/>
      <c r="HGW52" s="2"/>
      <c r="HGX52" s="2"/>
      <c r="HGY52" s="2"/>
      <c r="HGZ52" s="2"/>
      <c r="HHA52" s="2"/>
      <c r="HHB52" s="2"/>
      <c r="HHC52" s="2"/>
      <c r="HHD52" s="2"/>
      <c r="HHE52" s="2"/>
      <c r="HHF52" s="2"/>
      <c r="HHG52" s="2"/>
      <c r="HHH52" s="2"/>
      <c r="HHI52" s="2"/>
      <c r="HHJ52" s="2"/>
      <c r="HHK52" s="2"/>
      <c r="HHL52" s="2"/>
      <c r="HHM52" s="2"/>
      <c r="HHN52" s="2"/>
      <c r="HHO52" s="2"/>
      <c r="HHP52" s="2"/>
      <c r="HHQ52" s="2"/>
      <c r="HHR52" s="2"/>
      <c r="HHS52" s="2"/>
      <c r="HHT52" s="2"/>
      <c r="HHU52" s="2"/>
      <c r="HHV52" s="2"/>
      <c r="HHW52" s="2"/>
      <c r="HHX52" s="2"/>
      <c r="HHY52" s="2"/>
      <c r="HHZ52" s="2"/>
      <c r="HIA52" s="2"/>
      <c r="HIB52" s="2"/>
      <c r="HIC52" s="2"/>
      <c r="HID52" s="2"/>
      <c r="HIE52" s="2"/>
      <c r="HIF52" s="2"/>
      <c r="HIG52" s="2"/>
      <c r="HIH52" s="2"/>
      <c r="HII52" s="2"/>
      <c r="HIJ52" s="2"/>
      <c r="HIK52" s="2"/>
      <c r="HIL52" s="2"/>
      <c r="HIM52" s="2"/>
      <c r="HIN52" s="2"/>
      <c r="HIO52" s="2"/>
      <c r="HIP52" s="2"/>
      <c r="HIQ52" s="2"/>
      <c r="HIR52" s="2"/>
      <c r="HIS52" s="2"/>
      <c r="HIT52" s="2"/>
      <c r="HIU52" s="2"/>
      <c r="HIV52" s="2"/>
      <c r="HIW52" s="2"/>
      <c r="HIX52" s="2"/>
      <c r="HIY52" s="2"/>
      <c r="HIZ52" s="2"/>
      <c r="HJA52" s="2"/>
      <c r="HJB52" s="2"/>
      <c r="HJC52" s="2"/>
      <c r="HJD52" s="2"/>
      <c r="HJE52" s="2"/>
      <c r="HJF52" s="2"/>
      <c r="HJG52" s="2"/>
      <c r="HJH52" s="2"/>
      <c r="HJI52" s="2"/>
      <c r="HJJ52" s="2"/>
      <c r="HJK52" s="2"/>
      <c r="HJL52" s="2"/>
      <c r="HJM52" s="2"/>
      <c r="HJN52" s="2"/>
      <c r="HJO52" s="2"/>
      <c r="HJP52" s="2"/>
      <c r="HJQ52" s="2"/>
      <c r="HJR52" s="2"/>
      <c r="HJS52" s="2"/>
      <c r="HJT52" s="2"/>
      <c r="HJU52" s="2"/>
      <c r="HJV52" s="2"/>
      <c r="HJW52" s="2"/>
      <c r="HJX52" s="2"/>
      <c r="HJY52" s="2"/>
      <c r="HJZ52" s="2"/>
      <c r="HKA52" s="2"/>
      <c r="HKB52" s="2"/>
      <c r="HKC52" s="2"/>
      <c r="HKD52" s="2"/>
      <c r="HKE52" s="2"/>
      <c r="HKF52" s="2"/>
      <c r="HKG52" s="2"/>
      <c r="HKH52" s="2"/>
      <c r="HKI52" s="2"/>
      <c r="HKJ52" s="2"/>
      <c r="HKK52" s="2"/>
      <c r="HKL52" s="2"/>
      <c r="HKM52" s="2"/>
      <c r="HKN52" s="2"/>
      <c r="HKO52" s="2"/>
      <c r="HKP52" s="2"/>
      <c r="HKQ52" s="2"/>
      <c r="HKR52" s="2"/>
      <c r="HKS52" s="2"/>
      <c r="HKT52" s="2"/>
      <c r="HKU52" s="2"/>
      <c r="HKV52" s="2"/>
      <c r="HKW52" s="2"/>
      <c r="HKX52" s="2"/>
      <c r="HKY52" s="2"/>
      <c r="HKZ52" s="2"/>
      <c r="HLA52" s="2"/>
      <c r="HLB52" s="2"/>
      <c r="HLC52" s="2"/>
      <c r="HLD52" s="2"/>
      <c r="HLE52" s="2"/>
      <c r="HLF52" s="2"/>
      <c r="HLG52" s="2"/>
      <c r="HLH52" s="2"/>
      <c r="HLI52" s="2"/>
      <c r="HLJ52" s="2"/>
      <c r="HLK52" s="2"/>
      <c r="HLL52" s="2"/>
      <c r="HLM52" s="2"/>
      <c r="HLN52" s="2"/>
      <c r="HLO52" s="2"/>
      <c r="HLP52" s="2"/>
      <c r="HLQ52" s="2"/>
      <c r="HLR52" s="2"/>
      <c r="HLS52" s="2"/>
      <c r="HLT52" s="2"/>
      <c r="HLU52" s="2"/>
      <c r="HLV52" s="2"/>
      <c r="HLW52" s="2"/>
      <c r="HLX52" s="2"/>
      <c r="HLY52" s="2"/>
      <c r="HLZ52" s="2"/>
      <c r="HMA52" s="2"/>
      <c r="HMB52" s="2"/>
      <c r="HMC52" s="2"/>
      <c r="HMD52" s="2"/>
      <c r="HME52" s="2"/>
      <c r="HMF52" s="2"/>
      <c r="HMG52" s="2"/>
      <c r="HMH52" s="2"/>
      <c r="HMI52" s="2"/>
      <c r="HMJ52" s="2"/>
      <c r="HMK52" s="2"/>
      <c r="HML52" s="2"/>
      <c r="HMM52" s="2"/>
      <c r="HMN52" s="2"/>
      <c r="HMO52" s="2"/>
      <c r="HMP52" s="2"/>
      <c r="HMQ52" s="2"/>
      <c r="HMR52" s="2"/>
      <c r="HMS52" s="2"/>
      <c r="HMT52" s="2"/>
      <c r="HMU52" s="2"/>
      <c r="HMV52" s="2"/>
      <c r="HMW52" s="2"/>
      <c r="HMX52" s="2"/>
      <c r="HMY52" s="2"/>
      <c r="HMZ52" s="2"/>
      <c r="HNA52" s="2"/>
      <c r="HNB52" s="2"/>
      <c r="HNC52" s="2"/>
      <c r="HND52" s="2"/>
      <c r="HNE52" s="2"/>
      <c r="HNF52" s="2"/>
      <c r="HNG52" s="2"/>
      <c r="HNH52" s="2"/>
      <c r="HNI52" s="2"/>
      <c r="HNJ52" s="2"/>
      <c r="HNK52" s="2"/>
      <c r="HNL52" s="2"/>
      <c r="HNM52" s="2"/>
      <c r="HNN52" s="2"/>
      <c r="HNO52" s="2"/>
      <c r="HNP52" s="2"/>
      <c r="HNQ52" s="2"/>
      <c r="HNR52" s="2"/>
      <c r="HNS52" s="2"/>
      <c r="HNT52" s="2"/>
      <c r="HNU52" s="2"/>
      <c r="HNV52" s="2"/>
      <c r="HNW52" s="2"/>
      <c r="HNX52" s="2"/>
      <c r="HNY52" s="2"/>
      <c r="HNZ52" s="2"/>
      <c r="HOA52" s="2"/>
      <c r="HOB52" s="2"/>
      <c r="HOC52" s="2"/>
      <c r="HOD52" s="2"/>
      <c r="HOE52" s="2"/>
      <c r="HOF52" s="2"/>
      <c r="HOG52" s="2"/>
      <c r="HOH52" s="2"/>
      <c r="HOI52" s="2"/>
      <c r="HOJ52" s="2"/>
      <c r="HOK52" s="2"/>
      <c r="HOL52" s="2"/>
      <c r="HOM52" s="2"/>
      <c r="HON52" s="2"/>
      <c r="HOO52" s="2"/>
      <c r="HOP52" s="2"/>
      <c r="HOQ52" s="2"/>
      <c r="HOR52" s="2"/>
      <c r="HOS52" s="2"/>
      <c r="HOT52" s="2"/>
      <c r="HOU52" s="2"/>
      <c r="HOV52" s="2"/>
      <c r="HOW52" s="2"/>
      <c r="HOX52" s="2"/>
      <c r="HOY52" s="2"/>
      <c r="HOZ52" s="2"/>
      <c r="HPA52" s="2"/>
      <c r="HPB52" s="2"/>
      <c r="HPC52" s="2"/>
      <c r="HPD52" s="2"/>
      <c r="HPE52" s="2"/>
      <c r="HPF52" s="2"/>
      <c r="HPG52" s="2"/>
      <c r="HPH52" s="2"/>
      <c r="HPI52" s="2"/>
      <c r="HPJ52" s="2"/>
      <c r="HPK52" s="2"/>
      <c r="HPL52" s="2"/>
      <c r="HPM52" s="2"/>
      <c r="HPN52" s="2"/>
      <c r="HPO52" s="2"/>
      <c r="HPP52" s="2"/>
      <c r="HPQ52" s="2"/>
      <c r="HPR52" s="2"/>
      <c r="HPS52" s="2"/>
      <c r="HPT52" s="2"/>
      <c r="HPU52" s="2"/>
      <c r="HPV52" s="2"/>
      <c r="HPW52" s="2"/>
      <c r="HPX52" s="2"/>
      <c r="HPY52" s="2"/>
      <c r="HPZ52" s="2"/>
      <c r="HQA52" s="2"/>
      <c r="HQB52" s="2"/>
      <c r="HQC52" s="2"/>
      <c r="HQD52" s="2"/>
      <c r="HQE52" s="2"/>
      <c r="HQF52" s="2"/>
      <c r="HQG52" s="2"/>
      <c r="HQH52" s="2"/>
      <c r="HQI52" s="2"/>
      <c r="HQJ52" s="2"/>
      <c r="HQK52" s="2"/>
      <c r="HQL52" s="2"/>
      <c r="HQM52" s="2"/>
      <c r="HQN52" s="2"/>
      <c r="HQO52" s="2"/>
      <c r="HQP52" s="2"/>
      <c r="HQQ52" s="2"/>
      <c r="HQR52" s="2"/>
      <c r="HQS52" s="2"/>
      <c r="HQT52" s="2"/>
      <c r="HQU52" s="2"/>
      <c r="HQV52" s="2"/>
      <c r="HQW52" s="2"/>
      <c r="HQX52" s="2"/>
      <c r="HQY52" s="2"/>
      <c r="HQZ52" s="2"/>
      <c r="HRA52" s="2"/>
      <c r="HRB52" s="2"/>
      <c r="HRC52" s="2"/>
      <c r="HRD52" s="2"/>
      <c r="HRE52" s="2"/>
      <c r="HRF52" s="2"/>
      <c r="HRG52" s="2"/>
      <c r="HRH52" s="2"/>
      <c r="HRI52" s="2"/>
      <c r="HRJ52" s="2"/>
      <c r="HRK52" s="2"/>
      <c r="HRL52" s="2"/>
      <c r="HRM52" s="2"/>
      <c r="HRN52" s="2"/>
      <c r="HRO52" s="2"/>
      <c r="HRP52" s="2"/>
      <c r="HRQ52" s="2"/>
      <c r="HRR52" s="2"/>
      <c r="HRS52" s="2"/>
      <c r="HRT52" s="2"/>
      <c r="HRU52" s="2"/>
      <c r="HRV52" s="2"/>
      <c r="HRW52" s="2"/>
      <c r="HRX52" s="2"/>
      <c r="HRY52" s="2"/>
      <c r="HRZ52" s="2"/>
      <c r="HSA52" s="2"/>
      <c r="HSB52" s="2"/>
      <c r="HSC52" s="2"/>
      <c r="HSD52" s="2"/>
      <c r="HSE52" s="2"/>
      <c r="HSF52" s="2"/>
      <c r="HSG52" s="2"/>
      <c r="HSH52" s="2"/>
      <c r="HSI52" s="2"/>
      <c r="HSJ52" s="2"/>
      <c r="HSK52" s="2"/>
      <c r="HSL52" s="2"/>
      <c r="HSM52" s="2"/>
      <c r="HSN52" s="2"/>
      <c r="HSO52" s="2"/>
      <c r="HSP52" s="2"/>
      <c r="HSQ52" s="2"/>
      <c r="HSR52" s="2"/>
      <c r="HSS52" s="2"/>
      <c r="HST52" s="2"/>
      <c r="HSU52" s="2"/>
      <c r="HSV52" s="2"/>
      <c r="HSW52" s="2"/>
      <c r="HSX52" s="2"/>
      <c r="HSY52" s="2"/>
      <c r="HSZ52" s="2"/>
      <c r="HTA52" s="2"/>
      <c r="HTB52" s="2"/>
      <c r="HTC52" s="2"/>
      <c r="HTD52" s="2"/>
      <c r="HTE52" s="2"/>
      <c r="HTF52" s="2"/>
      <c r="HTG52" s="2"/>
      <c r="HTH52" s="2"/>
      <c r="HTI52" s="2"/>
      <c r="HTJ52" s="2"/>
      <c r="HTK52" s="2"/>
      <c r="HTL52" s="2"/>
      <c r="HTM52" s="2"/>
      <c r="HTN52" s="2"/>
      <c r="HTO52" s="2"/>
      <c r="HTP52" s="2"/>
      <c r="HTQ52" s="2"/>
      <c r="HTR52" s="2"/>
      <c r="HTS52" s="2"/>
      <c r="HTT52" s="2"/>
      <c r="HTU52" s="2"/>
      <c r="HTV52" s="2"/>
      <c r="HTW52" s="2"/>
      <c r="HTX52" s="2"/>
      <c r="HTY52" s="2"/>
      <c r="HTZ52" s="2"/>
      <c r="HUA52" s="2"/>
      <c r="HUB52" s="2"/>
      <c r="HUC52" s="2"/>
      <c r="HUD52" s="2"/>
      <c r="HUE52" s="2"/>
      <c r="HUF52" s="2"/>
      <c r="HUG52" s="2"/>
      <c r="HUH52" s="2"/>
      <c r="HUI52" s="2"/>
      <c r="HUJ52" s="2"/>
      <c r="HUK52" s="2"/>
      <c r="HUL52" s="2"/>
      <c r="HUM52" s="2"/>
      <c r="HUN52" s="2"/>
      <c r="HUO52" s="2"/>
      <c r="HUP52" s="2"/>
      <c r="HUQ52" s="2"/>
      <c r="HUR52" s="2"/>
      <c r="HUS52" s="2"/>
      <c r="HUT52" s="2"/>
      <c r="HUU52" s="2"/>
      <c r="HUV52" s="2"/>
      <c r="HUW52" s="2"/>
      <c r="HUX52" s="2"/>
      <c r="HUY52" s="2"/>
      <c r="HUZ52" s="2"/>
      <c r="HVA52" s="2"/>
      <c r="HVB52" s="2"/>
      <c r="HVC52" s="2"/>
      <c r="HVD52" s="2"/>
      <c r="HVE52" s="2"/>
      <c r="HVF52" s="2"/>
      <c r="HVG52" s="2"/>
      <c r="HVH52" s="2"/>
      <c r="HVI52" s="2"/>
      <c r="HVJ52" s="2"/>
      <c r="HVK52" s="2"/>
      <c r="HVL52" s="2"/>
      <c r="HVM52" s="2"/>
      <c r="HVN52" s="2"/>
      <c r="HVO52" s="2"/>
      <c r="HVP52" s="2"/>
      <c r="HVQ52" s="2"/>
      <c r="HVR52" s="2"/>
      <c r="HVS52" s="2"/>
      <c r="HVT52" s="2"/>
      <c r="HVU52" s="2"/>
      <c r="HVV52" s="2"/>
      <c r="HVW52" s="2"/>
      <c r="HVX52" s="2"/>
      <c r="HVY52" s="2"/>
      <c r="HVZ52" s="2"/>
      <c r="HWA52" s="2"/>
      <c r="HWB52" s="2"/>
      <c r="HWC52" s="2"/>
      <c r="HWD52" s="2"/>
      <c r="HWE52" s="2"/>
      <c r="HWF52" s="2"/>
      <c r="HWG52" s="2"/>
      <c r="HWH52" s="2"/>
      <c r="HWI52" s="2"/>
      <c r="HWJ52" s="2"/>
      <c r="HWK52" s="2"/>
      <c r="HWL52" s="2"/>
      <c r="HWM52" s="2"/>
      <c r="HWN52" s="2"/>
      <c r="HWO52" s="2"/>
      <c r="HWP52" s="2"/>
      <c r="HWQ52" s="2"/>
      <c r="HWR52" s="2"/>
      <c r="HWS52" s="2"/>
      <c r="HWT52" s="2"/>
      <c r="HWU52" s="2"/>
      <c r="HWV52" s="2"/>
      <c r="HWW52" s="2"/>
      <c r="HWX52" s="2"/>
      <c r="HWY52" s="2"/>
      <c r="HWZ52" s="2"/>
      <c r="HXA52" s="2"/>
      <c r="HXB52" s="2"/>
      <c r="HXC52" s="2"/>
      <c r="HXD52" s="2"/>
      <c r="HXE52" s="2"/>
      <c r="HXF52" s="2"/>
      <c r="HXG52" s="2"/>
      <c r="HXH52" s="2"/>
      <c r="HXI52" s="2"/>
      <c r="HXJ52" s="2"/>
      <c r="HXK52" s="2"/>
      <c r="HXL52" s="2"/>
      <c r="HXM52" s="2"/>
      <c r="HXN52" s="2"/>
      <c r="HXO52" s="2"/>
      <c r="HXP52" s="2"/>
      <c r="HXQ52" s="2"/>
      <c r="HXR52" s="2"/>
      <c r="HXS52" s="2"/>
      <c r="HXT52" s="2"/>
      <c r="HXU52" s="2"/>
      <c r="HXV52" s="2"/>
      <c r="HXW52" s="2"/>
      <c r="HXX52" s="2"/>
      <c r="HXY52" s="2"/>
      <c r="HXZ52" s="2"/>
      <c r="HYA52" s="2"/>
      <c r="HYB52" s="2"/>
      <c r="HYC52" s="2"/>
      <c r="HYD52" s="2"/>
      <c r="HYE52" s="2"/>
      <c r="HYF52" s="2"/>
      <c r="HYG52" s="2"/>
      <c r="HYH52" s="2"/>
      <c r="HYI52" s="2"/>
      <c r="HYJ52" s="2"/>
      <c r="HYK52" s="2"/>
      <c r="HYL52" s="2"/>
      <c r="HYM52" s="2"/>
      <c r="HYN52" s="2"/>
      <c r="HYO52" s="2"/>
      <c r="HYP52" s="2"/>
      <c r="HYQ52" s="2"/>
      <c r="HYR52" s="2"/>
      <c r="HYS52" s="2"/>
      <c r="HYT52" s="2"/>
      <c r="HYU52" s="2"/>
      <c r="HYV52" s="2"/>
      <c r="HYW52" s="2"/>
      <c r="HYX52" s="2"/>
      <c r="HYY52" s="2"/>
      <c r="HYZ52" s="2"/>
      <c r="HZA52" s="2"/>
      <c r="HZB52" s="2"/>
      <c r="HZC52" s="2"/>
      <c r="HZD52" s="2"/>
      <c r="HZE52" s="2"/>
      <c r="HZF52" s="2"/>
      <c r="HZG52" s="2"/>
      <c r="HZH52" s="2"/>
      <c r="HZI52" s="2"/>
      <c r="HZJ52" s="2"/>
      <c r="HZK52" s="2"/>
      <c r="HZL52" s="2"/>
      <c r="HZM52" s="2"/>
      <c r="HZN52" s="2"/>
      <c r="HZO52" s="2"/>
      <c r="HZP52" s="2"/>
      <c r="HZQ52" s="2"/>
      <c r="HZR52" s="2"/>
      <c r="HZS52" s="2"/>
      <c r="HZT52" s="2"/>
      <c r="HZU52" s="2"/>
      <c r="HZV52" s="2"/>
      <c r="HZW52" s="2"/>
      <c r="HZX52" s="2"/>
      <c r="HZY52" s="2"/>
      <c r="HZZ52" s="2"/>
      <c r="IAA52" s="2"/>
      <c r="IAB52" s="2"/>
      <c r="IAC52" s="2"/>
      <c r="IAD52" s="2"/>
      <c r="IAE52" s="2"/>
      <c r="IAF52" s="2"/>
      <c r="IAG52" s="2"/>
      <c r="IAH52" s="2"/>
      <c r="IAI52" s="2"/>
      <c r="IAJ52" s="2"/>
      <c r="IAK52" s="2"/>
      <c r="IAL52" s="2"/>
      <c r="IAM52" s="2"/>
      <c r="IAN52" s="2"/>
      <c r="IAO52" s="2"/>
      <c r="IAP52" s="2"/>
      <c r="IAQ52" s="2"/>
      <c r="IAR52" s="2"/>
      <c r="IAS52" s="2"/>
      <c r="IAT52" s="2"/>
      <c r="IAU52" s="2"/>
      <c r="IAV52" s="2"/>
      <c r="IAW52" s="2"/>
      <c r="IAX52" s="2"/>
      <c r="IAY52" s="2"/>
      <c r="IAZ52" s="2"/>
      <c r="IBA52" s="2"/>
      <c r="IBB52" s="2"/>
      <c r="IBC52" s="2"/>
      <c r="IBD52" s="2"/>
      <c r="IBE52" s="2"/>
      <c r="IBF52" s="2"/>
      <c r="IBG52" s="2"/>
      <c r="IBH52" s="2"/>
      <c r="IBI52" s="2"/>
      <c r="IBJ52" s="2"/>
      <c r="IBK52" s="2"/>
      <c r="IBL52" s="2"/>
      <c r="IBM52" s="2"/>
      <c r="IBN52" s="2"/>
      <c r="IBO52" s="2"/>
      <c r="IBP52" s="2"/>
      <c r="IBQ52" s="2"/>
      <c r="IBR52" s="2"/>
      <c r="IBS52" s="2"/>
      <c r="IBT52" s="2"/>
      <c r="IBU52" s="2"/>
      <c r="IBV52" s="2"/>
      <c r="IBW52" s="2"/>
      <c r="IBX52" s="2"/>
      <c r="IBY52" s="2"/>
      <c r="IBZ52" s="2"/>
      <c r="ICA52" s="2"/>
      <c r="ICB52" s="2"/>
      <c r="ICC52" s="2"/>
      <c r="ICD52" s="2"/>
      <c r="ICE52" s="2"/>
      <c r="ICF52" s="2"/>
      <c r="ICG52" s="2"/>
      <c r="ICH52" s="2"/>
      <c r="ICI52" s="2"/>
      <c r="ICJ52" s="2"/>
      <c r="ICK52" s="2"/>
      <c r="ICL52" s="2"/>
      <c r="ICM52" s="2"/>
      <c r="ICN52" s="2"/>
      <c r="ICO52" s="2"/>
      <c r="ICP52" s="2"/>
      <c r="ICQ52" s="2"/>
      <c r="ICR52" s="2"/>
      <c r="ICS52" s="2"/>
      <c r="ICT52" s="2"/>
      <c r="ICU52" s="2"/>
      <c r="ICV52" s="2"/>
      <c r="ICW52" s="2"/>
      <c r="ICX52" s="2"/>
      <c r="ICY52" s="2"/>
      <c r="ICZ52" s="2"/>
      <c r="IDA52" s="2"/>
      <c r="IDB52" s="2"/>
      <c r="IDC52" s="2"/>
      <c r="IDD52" s="2"/>
      <c r="IDE52" s="2"/>
      <c r="IDF52" s="2"/>
      <c r="IDG52" s="2"/>
      <c r="IDH52" s="2"/>
      <c r="IDI52" s="2"/>
      <c r="IDJ52" s="2"/>
      <c r="IDK52" s="2"/>
      <c r="IDL52" s="2"/>
      <c r="IDM52" s="2"/>
      <c r="IDN52" s="2"/>
      <c r="IDO52" s="2"/>
      <c r="IDP52" s="2"/>
      <c r="IDQ52" s="2"/>
      <c r="IDR52" s="2"/>
      <c r="IDS52" s="2"/>
      <c r="IDT52" s="2"/>
      <c r="IDU52" s="2"/>
      <c r="IDV52" s="2"/>
      <c r="IDW52" s="2"/>
      <c r="IDX52" s="2"/>
      <c r="IDY52" s="2"/>
      <c r="IDZ52" s="2"/>
      <c r="IEA52" s="2"/>
      <c r="IEB52" s="2"/>
      <c r="IEC52" s="2"/>
      <c r="IED52" s="2"/>
      <c r="IEE52" s="2"/>
      <c r="IEF52" s="2"/>
      <c r="IEG52" s="2"/>
      <c r="IEH52" s="2"/>
      <c r="IEI52" s="2"/>
      <c r="IEJ52" s="2"/>
      <c r="IEK52" s="2"/>
      <c r="IEL52" s="2"/>
      <c r="IEM52" s="2"/>
      <c r="IEN52" s="2"/>
      <c r="IEO52" s="2"/>
      <c r="IEP52" s="2"/>
      <c r="IEQ52" s="2"/>
      <c r="IER52" s="2"/>
      <c r="IES52" s="2"/>
      <c r="IET52" s="2"/>
      <c r="IEU52" s="2"/>
      <c r="IEV52" s="2"/>
      <c r="IEW52" s="2"/>
      <c r="IEX52" s="2"/>
      <c r="IEY52" s="2"/>
      <c r="IEZ52" s="2"/>
      <c r="IFA52" s="2"/>
      <c r="IFB52" s="2"/>
      <c r="IFC52" s="2"/>
      <c r="IFD52" s="2"/>
      <c r="IFE52" s="2"/>
      <c r="IFF52" s="2"/>
      <c r="IFG52" s="2"/>
      <c r="IFH52" s="2"/>
      <c r="IFI52" s="2"/>
      <c r="IFJ52" s="2"/>
      <c r="IFK52" s="2"/>
      <c r="IFL52" s="2"/>
      <c r="IFM52" s="2"/>
      <c r="IFN52" s="2"/>
      <c r="IFO52" s="2"/>
      <c r="IFP52" s="2"/>
      <c r="IFQ52" s="2"/>
      <c r="IFR52" s="2"/>
      <c r="IFS52" s="2"/>
      <c r="IFT52" s="2"/>
      <c r="IFU52" s="2"/>
      <c r="IFV52" s="2"/>
      <c r="IFW52" s="2"/>
      <c r="IFX52" s="2"/>
      <c r="IFY52" s="2"/>
      <c r="IFZ52" s="2"/>
      <c r="IGA52" s="2"/>
      <c r="IGB52" s="2"/>
      <c r="IGC52" s="2"/>
      <c r="IGD52" s="2"/>
      <c r="IGE52" s="2"/>
      <c r="IGF52" s="2"/>
      <c r="IGG52" s="2"/>
      <c r="IGH52" s="2"/>
      <c r="IGI52" s="2"/>
      <c r="IGJ52" s="2"/>
      <c r="IGK52" s="2"/>
      <c r="IGL52" s="2"/>
      <c r="IGM52" s="2"/>
      <c r="IGN52" s="2"/>
      <c r="IGO52" s="2"/>
      <c r="IGP52" s="2"/>
      <c r="IGQ52" s="2"/>
      <c r="IGR52" s="2"/>
      <c r="IGS52" s="2"/>
      <c r="IGT52" s="2"/>
      <c r="IGU52" s="2"/>
      <c r="IGV52" s="2"/>
      <c r="IGW52" s="2"/>
      <c r="IGX52" s="2"/>
      <c r="IGY52" s="2"/>
      <c r="IGZ52" s="2"/>
      <c r="IHA52" s="2"/>
      <c r="IHB52" s="2"/>
      <c r="IHC52" s="2"/>
      <c r="IHD52" s="2"/>
      <c r="IHE52" s="2"/>
      <c r="IHF52" s="2"/>
      <c r="IHG52" s="2"/>
      <c r="IHH52" s="2"/>
      <c r="IHI52" s="2"/>
      <c r="IHJ52" s="2"/>
      <c r="IHK52" s="2"/>
      <c r="IHL52" s="2"/>
      <c r="IHM52" s="2"/>
      <c r="IHN52" s="2"/>
      <c r="IHO52" s="2"/>
      <c r="IHP52" s="2"/>
      <c r="IHQ52" s="2"/>
      <c r="IHR52" s="2"/>
      <c r="IHS52" s="2"/>
      <c r="IHT52" s="2"/>
      <c r="IHU52" s="2"/>
      <c r="IHV52" s="2"/>
      <c r="IHW52" s="2"/>
      <c r="IHX52" s="2"/>
      <c r="IHY52" s="2"/>
      <c r="IHZ52" s="2"/>
      <c r="IIA52" s="2"/>
      <c r="IIB52" s="2"/>
      <c r="IIC52" s="2"/>
      <c r="IID52" s="2"/>
      <c r="IIE52" s="2"/>
      <c r="IIF52" s="2"/>
      <c r="IIG52" s="2"/>
      <c r="IIH52" s="2"/>
      <c r="III52" s="2"/>
      <c r="IIJ52" s="2"/>
      <c r="IIK52" s="2"/>
      <c r="IIL52" s="2"/>
      <c r="IIM52" s="2"/>
      <c r="IIN52" s="2"/>
      <c r="IIO52" s="2"/>
      <c r="IIP52" s="2"/>
      <c r="IIQ52" s="2"/>
      <c r="IIR52" s="2"/>
      <c r="IIS52" s="2"/>
      <c r="IIT52" s="2"/>
      <c r="IIU52" s="2"/>
      <c r="IIV52" s="2"/>
      <c r="IIW52" s="2"/>
      <c r="IIX52" s="2"/>
      <c r="IIY52" s="2"/>
      <c r="IIZ52" s="2"/>
      <c r="IJA52" s="2"/>
      <c r="IJB52" s="2"/>
      <c r="IJC52" s="2"/>
      <c r="IJD52" s="2"/>
      <c r="IJE52" s="2"/>
      <c r="IJF52" s="2"/>
      <c r="IJG52" s="2"/>
      <c r="IJH52" s="2"/>
      <c r="IJI52" s="2"/>
      <c r="IJJ52" s="2"/>
      <c r="IJK52" s="2"/>
      <c r="IJL52" s="2"/>
      <c r="IJM52" s="2"/>
      <c r="IJN52" s="2"/>
      <c r="IJO52" s="2"/>
      <c r="IJP52" s="2"/>
      <c r="IJQ52" s="2"/>
      <c r="IJR52" s="2"/>
      <c r="IJS52" s="2"/>
      <c r="IJT52" s="2"/>
      <c r="IJU52" s="2"/>
      <c r="IJV52" s="2"/>
      <c r="IJW52" s="2"/>
      <c r="IJX52" s="2"/>
      <c r="IJY52" s="2"/>
      <c r="IJZ52" s="2"/>
      <c r="IKA52" s="2"/>
      <c r="IKB52" s="2"/>
      <c r="IKC52" s="2"/>
      <c r="IKD52" s="2"/>
      <c r="IKE52" s="2"/>
      <c r="IKF52" s="2"/>
      <c r="IKG52" s="2"/>
      <c r="IKH52" s="2"/>
      <c r="IKI52" s="2"/>
      <c r="IKJ52" s="2"/>
      <c r="IKK52" s="2"/>
      <c r="IKL52" s="2"/>
      <c r="IKM52" s="2"/>
      <c r="IKN52" s="2"/>
      <c r="IKO52" s="2"/>
      <c r="IKP52" s="2"/>
      <c r="IKQ52" s="2"/>
      <c r="IKR52" s="2"/>
      <c r="IKS52" s="2"/>
      <c r="IKT52" s="2"/>
      <c r="IKU52" s="2"/>
      <c r="IKV52" s="2"/>
      <c r="IKW52" s="2"/>
      <c r="IKX52" s="2"/>
      <c r="IKY52" s="2"/>
      <c r="IKZ52" s="2"/>
      <c r="ILA52" s="2"/>
      <c r="ILB52" s="2"/>
      <c r="ILC52" s="2"/>
      <c r="ILD52" s="2"/>
      <c r="ILE52" s="2"/>
      <c r="ILF52" s="2"/>
      <c r="ILG52" s="2"/>
      <c r="ILH52" s="2"/>
      <c r="ILI52" s="2"/>
      <c r="ILJ52" s="2"/>
      <c r="ILK52" s="2"/>
      <c r="ILL52" s="2"/>
      <c r="ILM52" s="2"/>
      <c r="ILN52" s="2"/>
      <c r="ILO52" s="2"/>
      <c r="ILP52" s="2"/>
      <c r="ILQ52" s="2"/>
      <c r="ILR52" s="2"/>
      <c r="ILS52" s="2"/>
      <c r="ILT52" s="2"/>
      <c r="ILU52" s="2"/>
      <c r="ILV52" s="2"/>
      <c r="ILW52" s="2"/>
      <c r="ILX52" s="2"/>
      <c r="ILY52" s="2"/>
      <c r="ILZ52" s="2"/>
      <c r="IMA52" s="2"/>
      <c r="IMB52" s="2"/>
      <c r="IMC52" s="2"/>
      <c r="IMD52" s="2"/>
      <c r="IME52" s="2"/>
      <c r="IMF52" s="2"/>
      <c r="IMG52" s="2"/>
      <c r="IMH52" s="2"/>
      <c r="IMI52" s="2"/>
      <c r="IMJ52" s="2"/>
      <c r="IMK52" s="2"/>
      <c r="IML52" s="2"/>
      <c r="IMM52" s="2"/>
      <c r="IMN52" s="2"/>
      <c r="IMO52" s="2"/>
      <c r="IMP52" s="2"/>
      <c r="IMQ52" s="2"/>
      <c r="IMR52" s="2"/>
      <c r="IMS52" s="2"/>
      <c r="IMT52" s="2"/>
      <c r="IMU52" s="2"/>
      <c r="IMV52" s="2"/>
      <c r="IMW52" s="2"/>
      <c r="IMX52" s="2"/>
      <c r="IMY52" s="2"/>
      <c r="IMZ52" s="2"/>
      <c r="INA52" s="2"/>
      <c r="INB52" s="2"/>
      <c r="INC52" s="2"/>
      <c r="IND52" s="2"/>
      <c r="INE52" s="2"/>
      <c r="INF52" s="2"/>
      <c r="ING52" s="2"/>
      <c r="INH52" s="2"/>
      <c r="INI52" s="2"/>
      <c r="INJ52" s="2"/>
      <c r="INK52" s="2"/>
      <c r="INL52" s="2"/>
      <c r="INM52" s="2"/>
      <c r="INN52" s="2"/>
      <c r="INO52" s="2"/>
      <c r="INP52" s="2"/>
      <c r="INQ52" s="2"/>
      <c r="INR52" s="2"/>
      <c r="INS52" s="2"/>
      <c r="INT52" s="2"/>
      <c r="INU52" s="2"/>
      <c r="INV52" s="2"/>
      <c r="INW52" s="2"/>
      <c r="INX52" s="2"/>
      <c r="INY52" s="2"/>
      <c r="INZ52" s="2"/>
      <c r="IOA52" s="2"/>
      <c r="IOB52" s="2"/>
      <c r="IOC52" s="2"/>
      <c r="IOD52" s="2"/>
      <c r="IOE52" s="2"/>
      <c r="IOF52" s="2"/>
      <c r="IOG52" s="2"/>
      <c r="IOH52" s="2"/>
      <c r="IOI52" s="2"/>
      <c r="IOJ52" s="2"/>
      <c r="IOK52" s="2"/>
      <c r="IOL52" s="2"/>
      <c r="IOM52" s="2"/>
      <c r="ION52" s="2"/>
      <c r="IOO52" s="2"/>
      <c r="IOP52" s="2"/>
      <c r="IOQ52" s="2"/>
      <c r="IOR52" s="2"/>
      <c r="IOS52" s="2"/>
      <c r="IOT52" s="2"/>
      <c r="IOU52" s="2"/>
      <c r="IOV52" s="2"/>
      <c r="IOW52" s="2"/>
      <c r="IOX52" s="2"/>
      <c r="IOY52" s="2"/>
      <c r="IOZ52" s="2"/>
      <c r="IPA52" s="2"/>
      <c r="IPB52" s="2"/>
      <c r="IPC52" s="2"/>
      <c r="IPD52" s="2"/>
      <c r="IPE52" s="2"/>
      <c r="IPF52" s="2"/>
      <c r="IPG52" s="2"/>
      <c r="IPH52" s="2"/>
      <c r="IPI52" s="2"/>
      <c r="IPJ52" s="2"/>
      <c r="IPK52" s="2"/>
      <c r="IPL52" s="2"/>
      <c r="IPM52" s="2"/>
      <c r="IPN52" s="2"/>
      <c r="IPO52" s="2"/>
      <c r="IPP52" s="2"/>
      <c r="IPQ52" s="2"/>
      <c r="IPR52" s="2"/>
      <c r="IPS52" s="2"/>
      <c r="IPT52" s="2"/>
      <c r="IPU52" s="2"/>
      <c r="IPV52" s="2"/>
      <c r="IPW52" s="2"/>
      <c r="IPX52" s="2"/>
      <c r="IPY52" s="2"/>
      <c r="IPZ52" s="2"/>
      <c r="IQA52" s="2"/>
      <c r="IQB52" s="2"/>
      <c r="IQC52" s="2"/>
      <c r="IQD52" s="2"/>
      <c r="IQE52" s="2"/>
      <c r="IQF52" s="2"/>
      <c r="IQG52" s="2"/>
      <c r="IQH52" s="2"/>
      <c r="IQI52" s="2"/>
      <c r="IQJ52" s="2"/>
      <c r="IQK52" s="2"/>
      <c r="IQL52" s="2"/>
      <c r="IQM52" s="2"/>
      <c r="IQN52" s="2"/>
      <c r="IQO52" s="2"/>
      <c r="IQP52" s="2"/>
      <c r="IQQ52" s="2"/>
      <c r="IQR52" s="2"/>
      <c r="IQS52" s="2"/>
      <c r="IQT52" s="2"/>
      <c r="IQU52" s="2"/>
      <c r="IQV52" s="2"/>
      <c r="IQW52" s="2"/>
      <c r="IQX52" s="2"/>
      <c r="IQY52" s="2"/>
      <c r="IQZ52" s="2"/>
      <c r="IRA52" s="2"/>
      <c r="IRB52" s="2"/>
      <c r="IRC52" s="2"/>
      <c r="IRD52" s="2"/>
      <c r="IRE52" s="2"/>
      <c r="IRF52" s="2"/>
      <c r="IRG52" s="2"/>
      <c r="IRH52" s="2"/>
      <c r="IRI52" s="2"/>
      <c r="IRJ52" s="2"/>
      <c r="IRK52" s="2"/>
      <c r="IRL52" s="2"/>
      <c r="IRM52" s="2"/>
      <c r="IRN52" s="2"/>
      <c r="IRO52" s="2"/>
      <c r="IRP52" s="2"/>
      <c r="IRQ52" s="2"/>
      <c r="IRR52" s="2"/>
      <c r="IRS52" s="2"/>
      <c r="IRT52" s="2"/>
      <c r="IRU52" s="2"/>
      <c r="IRV52" s="2"/>
      <c r="IRW52" s="2"/>
      <c r="IRX52" s="2"/>
      <c r="IRY52" s="2"/>
      <c r="IRZ52" s="2"/>
      <c r="ISA52" s="2"/>
      <c r="ISB52" s="2"/>
      <c r="ISC52" s="2"/>
      <c r="ISD52" s="2"/>
      <c r="ISE52" s="2"/>
      <c r="ISF52" s="2"/>
      <c r="ISG52" s="2"/>
      <c r="ISH52" s="2"/>
      <c r="ISI52" s="2"/>
      <c r="ISJ52" s="2"/>
      <c r="ISK52" s="2"/>
      <c r="ISL52" s="2"/>
      <c r="ISM52" s="2"/>
      <c r="ISN52" s="2"/>
      <c r="ISO52" s="2"/>
      <c r="ISP52" s="2"/>
      <c r="ISQ52" s="2"/>
      <c r="ISR52" s="2"/>
      <c r="ISS52" s="2"/>
      <c r="IST52" s="2"/>
      <c r="ISU52" s="2"/>
      <c r="ISV52" s="2"/>
      <c r="ISW52" s="2"/>
      <c r="ISX52" s="2"/>
      <c r="ISY52" s="2"/>
      <c r="ISZ52" s="2"/>
      <c r="ITA52" s="2"/>
      <c r="ITB52" s="2"/>
      <c r="ITC52" s="2"/>
      <c r="ITD52" s="2"/>
      <c r="ITE52" s="2"/>
      <c r="ITF52" s="2"/>
      <c r="ITG52" s="2"/>
      <c r="ITH52" s="2"/>
      <c r="ITI52" s="2"/>
      <c r="ITJ52" s="2"/>
      <c r="ITK52" s="2"/>
      <c r="ITL52" s="2"/>
      <c r="ITM52" s="2"/>
      <c r="ITN52" s="2"/>
      <c r="ITO52" s="2"/>
      <c r="ITP52" s="2"/>
      <c r="ITQ52" s="2"/>
      <c r="ITR52" s="2"/>
      <c r="ITS52" s="2"/>
      <c r="ITT52" s="2"/>
      <c r="ITU52" s="2"/>
      <c r="ITV52" s="2"/>
      <c r="ITW52" s="2"/>
      <c r="ITX52" s="2"/>
      <c r="ITY52" s="2"/>
      <c r="ITZ52" s="2"/>
      <c r="IUA52" s="2"/>
      <c r="IUB52" s="2"/>
      <c r="IUC52" s="2"/>
      <c r="IUD52" s="2"/>
      <c r="IUE52" s="2"/>
      <c r="IUF52" s="2"/>
      <c r="IUG52" s="2"/>
      <c r="IUH52" s="2"/>
      <c r="IUI52" s="2"/>
      <c r="IUJ52" s="2"/>
      <c r="IUK52" s="2"/>
      <c r="IUL52" s="2"/>
      <c r="IUM52" s="2"/>
      <c r="IUN52" s="2"/>
      <c r="IUO52" s="2"/>
      <c r="IUP52" s="2"/>
      <c r="IUQ52" s="2"/>
      <c r="IUR52" s="2"/>
      <c r="IUS52" s="2"/>
      <c r="IUT52" s="2"/>
      <c r="IUU52" s="2"/>
      <c r="IUV52" s="2"/>
      <c r="IUW52" s="2"/>
      <c r="IUX52" s="2"/>
      <c r="IUY52" s="2"/>
      <c r="IUZ52" s="2"/>
      <c r="IVA52" s="2"/>
      <c r="IVB52" s="2"/>
      <c r="IVC52" s="2"/>
      <c r="IVD52" s="2"/>
      <c r="IVE52" s="2"/>
      <c r="IVF52" s="2"/>
      <c r="IVG52" s="2"/>
      <c r="IVH52" s="2"/>
      <c r="IVI52" s="2"/>
      <c r="IVJ52" s="2"/>
      <c r="IVK52" s="2"/>
      <c r="IVL52" s="2"/>
      <c r="IVM52" s="2"/>
      <c r="IVN52" s="2"/>
      <c r="IVO52" s="2"/>
      <c r="IVP52" s="2"/>
      <c r="IVQ52" s="2"/>
      <c r="IVR52" s="2"/>
      <c r="IVS52" s="2"/>
      <c r="IVT52" s="2"/>
      <c r="IVU52" s="2"/>
      <c r="IVV52" s="2"/>
      <c r="IVW52" s="2"/>
      <c r="IVX52" s="2"/>
      <c r="IVY52" s="2"/>
      <c r="IVZ52" s="2"/>
      <c r="IWA52" s="2"/>
      <c r="IWB52" s="2"/>
      <c r="IWC52" s="2"/>
      <c r="IWD52" s="2"/>
      <c r="IWE52" s="2"/>
      <c r="IWF52" s="2"/>
      <c r="IWG52" s="2"/>
      <c r="IWH52" s="2"/>
      <c r="IWI52" s="2"/>
      <c r="IWJ52" s="2"/>
      <c r="IWK52" s="2"/>
      <c r="IWL52" s="2"/>
      <c r="IWM52" s="2"/>
      <c r="IWN52" s="2"/>
      <c r="IWO52" s="2"/>
      <c r="IWP52" s="2"/>
      <c r="IWQ52" s="2"/>
      <c r="IWR52" s="2"/>
      <c r="IWS52" s="2"/>
      <c r="IWT52" s="2"/>
      <c r="IWU52" s="2"/>
      <c r="IWV52" s="2"/>
      <c r="IWW52" s="2"/>
      <c r="IWX52" s="2"/>
      <c r="IWY52" s="2"/>
      <c r="IWZ52" s="2"/>
      <c r="IXA52" s="2"/>
      <c r="IXB52" s="2"/>
      <c r="IXC52" s="2"/>
      <c r="IXD52" s="2"/>
      <c r="IXE52" s="2"/>
      <c r="IXF52" s="2"/>
      <c r="IXG52" s="2"/>
      <c r="IXH52" s="2"/>
      <c r="IXI52" s="2"/>
      <c r="IXJ52" s="2"/>
      <c r="IXK52" s="2"/>
      <c r="IXL52" s="2"/>
      <c r="IXM52" s="2"/>
      <c r="IXN52" s="2"/>
      <c r="IXO52" s="2"/>
      <c r="IXP52" s="2"/>
      <c r="IXQ52" s="2"/>
      <c r="IXR52" s="2"/>
      <c r="IXS52" s="2"/>
      <c r="IXT52" s="2"/>
      <c r="IXU52" s="2"/>
      <c r="IXV52" s="2"/>
      <c r="IXW52" s="2"/>
      <c r="IXX52" s="2"/>
      <c r="IXY52" s="2"/>
      <c r="IXZ52" s="2"/>
      <c r="IYA52" s="2"/>
      <c r="IYB52" s="2"/>
      <c r="IYC52" s="2"/>
      <c r="IYD52" s="2"/>
      <c r="IYE52" s="2"/>
      <c r="IYF52" s="2"/>
      <c r="IYG52" s="2"/>
      <c r="IYH52" s="2"/>
      <c r="IYI52" s="2"/>
      <c r="IYJ52" s="2"/>
      <c r="IYK52" s="2"/>
      <c r="IYL52" s="2"/>
      <c r="IYM52" s="2"/>
      <c r="IYN52" s="2"/>
      <c r="IYO52" s="2"/>
      <c r="IYP52" s="2"/>
      <c r="IYQ52" s="2"/>
      <c r="IYR52" s="2"/>
      <c r="IYS52" s="2"/>
      <c r="IYT52" s="2"/>
      <c r="IYU52" s="2"/>
      <c r="IYV52" s="2"/>
      <c r="IYW52" s="2"/>
      <c r="IYX52" s="2"/>
      <c r="IYY52" s="2"/>
      <c r="IYZ52" s="2"/>
      <c r="IZA52" s="2"/>
      <c r="IZB52" s="2"/>
      <c r="IZC52" s="2"/>
      <c r="IZD52" s="2"/>
      <c r="IZE52" s="2"/>
      <c r="IZF52" s="2"/>
      <c r="IZG52" s="2"/>
      <c r="IZH52" s="2"/>
      <c r="IZI52" s="2"/>
      <c r="IZJ52" s="2"/>
      <c r="IZK52" s="2"/>
      <c r="IZL52" s="2"/>
      <c r="IZM52" s="2"/>
      <c r="IZN52" s="2"/>
      <c r="IZO52" s="2"/>
      <c r="IZP52" s="2"/>
      <c r="IZQ52" s="2"/>
      <c r="IZR52" s="2"/>
      <c r="IZS52" s="2"/>
      <c r="IZT52" s="2"/>
      <c r="IZU52" s="2"/>
      <c r="IZV52" s="2"/>
      <c r="IZW52" s="2"/>
      <c r="IZX52" s="2"/>
      <c r="IZY52" s="2"/>
      <c r="IZZ52" s="2"/>
      <c r="JAA52" s="2"/>
      <c r="JAB52" s="2"/>
      <c r="JAC52" s="2"/>
      <c r="JAD52" s="2"/>
      <c r="JAE52" s="2"/>
      <c r="JAF52" s="2"/>
      <c r="JAG52" s="2"/>
      <c r="JAH52" s="2"/>
      <c r="JAI52" s="2"/>
      <c r="JAJ52" s="2"/>
      <c r="JAK52" s="2"/>
      <c r="JAL52" s="2"/>
      <c r="JAM52" s="2"/>
      <c r="JAN52" s="2"/>
      <c r="JAO52" s="2"/>
      <c r="JAP52" s="2"/>
      <c r="JAQ52" s="2"/>
      <c r="JAR52" s="2"/>
      <c r="JAS52" s="2"/>
      <c r="JAT52" s="2"/>
      <c r="JAU52" s="2"/>
      <c r="JAV52" s="2"/>
      <c r="JAW52" s="2"/>
      <c r="JAX52" s="2"/>
      <c r="JAY52" s="2"/>
      <c r="JAZ52" s="2"/>
      <c r="JBA52" s="2"/>
      <c r="JBB52" s="2"/>
      <c r="JBC52" s="2"/>
      <c r="JBD52" s="2"/>
      <c r="JBE52" s="2"/>
      <c r="JBF52" s="2"/>
      <c r="JBG52" s="2"/>
      <c r="JBH52" s="2"/>
      <c r="JBI52" s="2"/>
      <c r="JBJ52" s="2"/>
      <c r="JBK52" s="2"/>
      <c r="JBL52" s="2"/>
      <c r="JBM52" s="2"/>
      <c r="JBN52" s="2"/>
      <c r="JBO52" s="2"/>
      <c r="JBP52" s="2"/>
      <c r="JBQ52" s="2"/>
      <c r="JBR52" s="2"/>
      <c r="JBS52" s="2"/>
      <c r="JBT52" s="2"/>
      <c r="JBU52" s="2"/>
      <c r="JBV52" s="2"/>
      <c r="JBW52" s="2"/>
      <c r="JBX52" s="2"/>
      <c r="JBY52" s="2"/>
      <c r="JBZ52" s="2"/>
      <c r="JCA52" s="2"/>
      <c r="JCB52" s="2"/>
      <c r="JCC52" s="2"/>
      <c r="JCD52" s="2"/>
      <c r="JCE52" s="2"/>
      <c r="JCF52" s="2"/>
      <c r="JCG52" s="2"/>
      <c r="JCH52" s="2"/>
      <c r="JCI52" s="2"/>
      <c r="JCJ52" s="2"/>
      <c r="JCK52" s="2"/>
      <c r="JCL52" s="2"/>
      <c r="JCM52" s="2"/>
      <c r="JCN52" s="2"/>
      <c r="JCO52" s="2"/>
      <c r="JCP52" s="2"/>
      <c r="JCQ52" s="2"/>
      <c r="JCR52" s="2"/>
      <c r="JCS52" s="2"/>
      <c r="JCT52" s="2"/>
      <c r="JCU52" s="2"/>
      <c r="JCV52" s="2"/>
      <c r="JCW52" s="2"/>
      <c r="JCX52" s="2"/>
      <c r="JCY52" s="2"/>
      <c r="JCZ52" s="2"/>
      <c r="JDA52" s="2"/>
      <c r="JDB52" s="2"/>
      <c r="JDC52" s="2"/>
      <c r="JDD52" s="2"/>
      <c r="JDE52" s="2"/>
      <c r="JDF52" s="2"/>
      <c r="JDG52" s="2"/>
      <c r="JDH52" s="2"/>
      <c r="JDI52" s="2"/>
      <c r="JDJ52" s="2"/>
      <c r="JDK52" s="2"/>
      <c r="JDL52" s="2"/>
      <c r="JDM52" s="2"/>
      <c r="JDN52" s="2"/>
      <c r="JDO52" s="2"/>
      <c r="JDP52" s="2"/>
      <c r="JDQ52" s="2"/>
      <c r="JDR52" s="2"/>
      <c r="JDS52" s="2"/>
      <c r="JDT52" s="2"/>
      <c r="JDU52" s="2"/>
      <c r="JDV52" s="2"/>
      <c r="JDW52" s="2"/>
      <c r="JDX52" s="2"/>
      <c r="JDY52" s="2"/>
      <c r="JDZ52" s="2"/>
      <c r="JEA52" s="2"/>
      <c r="JEB52" s="2"/>
      <c r="JEC52" s="2"/>
      <c r="JED52" s="2"/>
      <c r="JEE52" s="2"/>
      <c r="JEF52" s="2"/>
      <c r="JEG52" s="2"/>
      <c r="JEH52" s="2"/>
      <c r="JEI52" s="2"/>
      <c r="JEJ52" s="2"/>
      <c r="JEK52" s="2"/>
      <c r="JEL52" s="2"/>
      <c r="JEM52" s="2"/>
      <c r="JEN52" s="2"/>
      <c r="JEO52" s="2"/>
      <c r="JEP52" s="2"/>
      <c r="JEQ52" s="2"/>
      <c r="JER52" s="2"/>
      <c r="JES52" s="2"/>
      <c r="JET52" s="2"/>
      <c r="JEU52" s="2"/>
      <c r="JEV52" s="2"/>
      <c r="JEW52" s="2"/>
      <c r="JEX52" s="2"/>
      <c r="JEY52" s="2"/>
      <c r="JEZ52" s="2"/>
      <c r="JFA52" s="2"/>
      <c r="JFB52" s="2"/>
      <c r="JFC52" s="2"/>
      <c r="JFD52" s="2"/>
      <c r="JFE52" s="2"/>
      <c r="JFF52" s="2"/>
      <c r="JFG52" s="2"/>
      <c r="JFH52" s="2"/>
      <c r="JFI52" s="2"/>
      <c r="JFJ52" s="2"/>
      <c r="JFK52" s="2"/>
      <c r="JFL52" s="2"/>
      <c r="JFM52" s="2"/>
      <c r="JFN52" s="2"/>
      <c r="JFO52" s="2"/>
      <c r="JFP52" s="2"/>
      <c r="JFQ52" s="2"/>
      <c r="JFR52" s="2"/>
      <c r="JFS52" s="2"/>
      <c r="JFT52" s="2"/>
      <c r="JFU52" s="2"/>
      <c r="JFV52" s="2"/>
      <c r="JFW52" s="2"/>
      <c r="JFX52" s="2"/>
      <c r="JFY52" s="2"/>
      <c r="JFZ52" s="2"/>
      <c r="JGA52" s="2"/>
      <c r="JGB52" s="2"/>
      <c r="JGC52" s="2"/>
      <c r="JGD52" s="2"/>
      <c r="JGE52" s="2"/>
      <c r="JGF52" s="2"/>
      <c r="JGG52" s="2"/>
      <c r="JGH52" s="2"/>
      <c r="JGI52" s="2"/>
      <c r="JGJ52" s="2"/>
      <c r="JGK52" s="2"/>
      <c r="JGL52" s="2"/>
      <c r="JGM52" s="2"/>
      <c r="JGN52" s="2"/>
      <c r="JGO52" s="2"/>
      <c r="JGP52" s="2"/>
      <c r="JGQ52" s="2"/>
      <c r="JGR52" s="2"/>
      <c r="JGS52" s="2"/>
      <c r="JGT52" s="2"/>
      <c r="JGU52" s="2"/>
      <c r="JGV52" s="2"/>
      <c r="JGW52" s="2"/>
      <c r="JGX52" s="2"/>
      <c r="JGY52" s="2"/>
      <c r="JGZ52" s="2"/>
      <c r="JHA52" s="2"/>
      <c r="JHB52" s="2"/>
      <c r="JHC52" s="2"/>
      <c r="JHD52" s="2"/>
      <c r="JHE52" s="2"/>
      <c r="JHF52" s="2"/>
      <c r="JHG52" s="2"/>
      <c r="JHH52" s="2"/>
      <c r="JHI52" s="2"/>
      <c r="JHJ52" s="2"/>
      <c r="JHK52" s="2"/>
      <c r="JHL52" s="2"/>
      <c r="JHM52" s="2"/>
      <c r="JHN52" s="2"/>
      <c r="JHO52" s="2"/>
      <c r="JHP52" s="2"/>
      <c r="JHQ52" s="2"/>
      <c r="JHR52" s="2"/>
      <c r="JHS52" s="2"/>
      <c r="JHT52" s="2"/>
      <c r="JHU52" s="2"/>
      <c r="JHV52" s="2"/>
      <c r="JHW52" s="2"/>
      <c r="JHX52" s="2"/>
      <c r="JHY52" s="2"/>
      <c r="JHZ52" s="2"/>
      <c r="JIA52" s="2"/>
      <c r="JIB52" s="2"/>
      <c r="JIC52" s="2"/>
      <c r="JID52" s="2"/>
      <c r="JIE52" s="2"/>
      <c r="JIF52" s="2"/>
      <c r="JIG52" s="2"/>
      <c r="JIH52" s="2"/>
      <c r="JII52" s="2"/>
      <c r="JIJ52" s="2"/>
      <c r="JIK52" s="2"/>
      <c r="JIL52" s="2"/>
      <c r="JIM52" s="2"/>
      <c r="JIN52" s="2"/>
      <c r="JIO52" s="2"/>
      <c r="JIP52" s="2"/>
      <c r="JIQ52" s="2"/>
      <c r="JIR52" s="2"/>
      <c r="JIS52" s="2"/>
      <c r="JIT52" s="2"/>
      <c r="JIU52" s="2"/>
      <c r="JIV52" s="2"/>
      <c r="JIW52" s="2"/>
      <c r="JIX52" s="2"/>
      <c r="JIY52" s="2"/>
      <c r="JIZ52" s="2"/>
      <c r="JJA52" s="2"/>
      <c r="JJB52" s="2"/>
      <c r="JJC52" s="2"/>
      <c r="JJD52" s="2"/>
      <c r="JJE52" s="2"/>
      <c r="JJF52" s="2"/>
      <c r="JJG52" s="2"/>
      <c r="JJH52" s="2"/>
      <c r="JJI52" s="2"/>
      <c r="JJJ52" s="2"/>
      <c r="JJK52" s="2"/>
      <c r="JJL52" s="2"/>
      <c r="JJM52" s="2"/>
      <c r="JJN52" s="2"/>
      <c r="JJO52" s="2"/>
      <c r="JJP52" s="2"/>
      <c r="JJQ52" s="2"/>
      <c r="JJR52" s="2"/>
      <c r="JJS52" s="2"/>
      <c r="JJT52" s="2"/>
      <c r="JJU52" s="2"/>
      <c r="JJV52" s="2"/>
      <c r="JJW52" s="2"/>
      <c r="JJX52" s="2"/>
      <c r="JJY52" s="2"/>
      <c r="JJZ52" s="2"/>
      <c r="JKA52" s="2"/>
      <c r="JKB52" s="2"/>
      <c r="JKC52" s="2"/>
      <c r="JKD52" s="2"/>
      <c r="JKE52" s="2"/>
      <c r="JKF52" s="2"/>
      <c r="JKG52" s="2"/>
      <c r="JKH52" s="2"/>
      <c r="JKI52" s="2"/>
      <c r="JKJ52" s="2"/>
      <c r="JKK52" s="2"/>
      <c r="JKL52" s="2"/>
      <c r="JKM52" s="2"/>
      <c r="JKN52" s="2"/>
      <c r="JKO52" s="2"/>
      <c r="JKP52" s="2"/>
      <c r="JKQ52" s="2"/>
      <c r="JKR52" s="2"/>
      <c r="JKS52" s="2"/>
      <c r="JKT52" s="2"/>
      <c r="JKU52" s="2"/>
      <c r="JKV52" s="2"/>
      <c r="JKW52" s="2"/>
      <c r="JKX52" s="2"/>
      <c r="JKY52" s="2"/>
      <c r="JKZ52" s="2"/>
      <c r="JLA52" s="2"/>
      <c r="JLB52" s="2"/>
      <c r="JLC52" s="2"/>
      <c r="JLD52" s="2"/>
      <c r="JLE52" s="2"/>
      <c r="JLF52" s="2"/>
      <c r="JLG52" s="2"/>
      <c r="JLH52" s="2"/>
      <c r="JLI52" s="2"/>
      <c r="JLJ52" s="2"/>
      <c r="JLK52" s="2"/>
      <c r="JLL52" s="2"/>
      <c r="JLM52" s="2"/>
      <c r="JLN52" s="2"/>
      <c r="JLO52" s="2"/>
      <c r="JLP52" s="2"/>
      <c r="JLQ52" s="2"/>
      <c r="JLR52" s="2"/>
      <c r="JLS52" s="2"/>
      <c r="JLT52" s="2"/>
      <c r="JLU52" s="2"/>
      <c r="JLV52" s="2"/>
      <c r="JLW52" s="2"/>
      <c r="JLX52" s="2"/>
      <c r="JLY52" s="2"/>
      <c r="JLZ52" s="2"/>
      <c r="JMA52" s="2"/>
      <c r="JMB52" s="2"/>
      <c r="JMC52" s="2"/>
      <c r="JMD52" s="2"/>
      <c r="JME52" s="2"/>
      <c r="JMF52" s="2"/>
      <c r="JMG52" s="2"/>
      <c r="JMH52" s="2"/>
      <c r="JMI52" s="2"/>
      <c r="JMJ52" s="2"/>
      <c r="JMK52" s="2"/>
      <c r="JML52" s="2"/>
      <c r="JMM52" s="2"/>
      <c r="JMN52" s="2"/>
      <c r="JMO52" s="2"/>
      <c r="JMP52" s="2"/>
      <c r="JMQ52" s="2"/>
      <c r="JMR52" s="2"/>
      <c r="JMS52" s="2"/>
      <c r="JMT52" s="2"/>
      <c r="JMU52" s="2"/>
      <c r="JMV52" s="2"/>
      <c r="JMW52" s="2"/>
      <c r="JMX52" s="2"/>
      <c r="JMY52" s="2"/>
      <c r="JMZ52" s="2"/>
      <c r="JNA52" s="2"/>
      <c r="JNB52" s="2"/>
      <c r="JNC52" s="2"/>
      <c r="JND52" s="2"/>
      <c r="JNE52" s="2"/>
      <c r="JNF52" s="2"/>
      <c r="JNG52" s="2"/>
      <c r="JNH52" s="2"/>
      <c r="JNI52" s="2"/>
      <c r="JNJ52" s="2"/>
      <c r="JNK52" s="2"/>
      <c r="JNL52" s="2"/>
      <c r="JNM52" s="2"/>
      <c r="JNN52" s="2"/>
      <c r="JNO52" s="2"/>
      <c r="JNP52" s="2"/>
      <c r="JNQ52" s="2"/>
      <c r="JNR52" s="2"/>
      <c r="JNS52" s="2"/>
      <c r="JNT52" s="2"/>
      <c r="JNU52" s="2"/>
      <c r="JNV52" s="2"/>
      <c r="JNW52" s="2"/>
      <c r="JNX52" s="2"/>
      <c r="JNY52" s="2"/>
      <c r="JNZ52" s="2"/>
      <c r="JOA52" s="2"/>
      <c r="JOB52" s="2"/>
      <c r="JOC52" s="2"/>
      <c r="JOD52" s="2"/>
      <c r="JOE52" s="2"/>
      <c r="JOF52" s="2"/>
      <c r="JOG52" s="2"/>
      <c r="JOH52" s="2"/>
      <c r="JOI52" s="2"/>
      <c r="JOJ52" s="2"/>
      <c r="JOK52" s="2"/>
      <c r="JOL52" s="2"/>
      <c r="JOM52" s="2"/>
      <c r="JON52" s="2"/>
      <c r="JOO52" s="2"/>
      <c r="JOP52" s="2"/>
      <c r="JOQ52" s="2"/>
      <c r="JOR52" s="2"/>
      <c r="JOS52" s="2"/>
      <c r="JOT52" s="2"/>
      <c r="JOU52" s="2"/>
      <c r="JOV52" s="2"/>
      <c r="JOW52" s="2"/>
      <c r="JOX52" s="2"/>
      <c r="JOY52" s="2"/>
      <c r="JOZ52" s="2"/>
      <c r="JPA52" s="2"/>
      <c r="JPB52" s="2"/>
      <c r="JPC52" s="2"/>
      <c r="JPD52" s="2"/>
      <c r="JPE52" s="2"/>
      <c r="JPF52" s="2"/>
      <c r="JPG52" s="2"/>
      <c r="JPH52" s="2"/>
      <c r="JPI52" s="2"/>
      <c r="JPJ52" s="2"/>
      <c r="JPK52" s="2"/>
      <c r="JPL52" s="2"/>
      <c r="JPM52" s="2"/>
      <c r="JPN52" s="2"/>
      <c r="JPO52" s="2"/>
      <c r="JPP52" s="2"/>
      <c r="JPQ52" s="2"/>
      <c r="JPR52" s="2"/>
      <c r="JPS52" s="2"/>
      <c r="JPT52" s="2"/>
      <c r="JPU52" s="2"/>
      <c r="JPV52" s="2"/>
      <c r="JPW52" s="2"/>
      <c r="JPX52" s="2"/>
      <c r="JPY52" s="2"/>
      <c r="JPZ52" s="2"/>
      <c r="JQA52" s="2"/>
      <c r="JQB52" s="2"/>
      <c r="JQC52" s="2"/>
      <c r="JQD52" s="2"/>
      <c r="JQE52" s="2"/>
      <c r="JQF52" s="2"/>
      <c r="JQG52" s="2"/>
      <c r="JQH52" s="2"/>
      <c r="JQI52" s="2"/>
      <c r="JQJ52" s="2"/>
      <c r="JQK52" s="2"/>
      <c r="JQL52" s="2"/>
      <c r="JQM52" s="2"/>
      <c r="JQN52" s="2"/>
      <c r="JQO52" s="2"/>
      <c r="JQP52" s="2"/>
      <c r="JQQ52" s="2"/>
      <c r="JQR52" s="2"/>
      <c r="JQS52" s="2"/>
      <c r="JQT52" s="2"/>
      <c r="JQU52" s="2"/>
      <c r="JQV52" s="2"/>
      <c r="JQW52" s="2"/>
      <c r="JQX52" s="2"/>
      <c r="JQY52" s="2"/>
      <c r="JQZ52" s="2"/>
      <c r="JRA52" s="2"/>
      <c r="JRB52" s="2"/>
      <c r="JRC52" s="2"/>
      <c r="JRD52" s="2"/>
      <c r="JRE52" s="2"/>
      <c r="JRF52" s="2"/>
      <c r="JRG52" s="2"/>
      <c r="JRH52" s="2"/>
      <c r="JRI52" s="2"/>
      <c r="JRJ52" s="2"/>
      <c r="JRK52" s="2"/>
      <c r="JRL52" s="2"/>
      <c r="JRM52" s="2"/>
      <c r="JRN52" s="2"/>
      <c r="JRO52" s="2"/>
      <c r="JRP52" s="2"/>
      <c r="JRQ52" s="2"/>
      <c r="JRR52" s="2"/>
      <c r="JRS52" s="2"/>
      <c r="JRT52" s="2"/>
      <c r="JRU52" s="2"/>
      <c r="JRV52" s="2"/>
      <c r="JRW52" s="2"/>
      <c r="JRX52" s="2"/>
      <c r="JRY52" s="2"/>
      <c r="JRZ52" s="2"/>
      <c r="JSA52" s="2"/>
      <c r="JSB52" s="2"/>
      <c r="JSC52" s="2"/>
      <c r="JSD52" s="2"/>
      <c r="JSE52" s="2"/>
      <c r="JSF52" s="2"/>
      <c r="JSG52" s="2"/>
      <c r="JSH52" s="2"/>
      <c r="JSI52" s="2"/>
      <c r="JSJ52" s="2"/>
      <c r="JSK52" s="2"/>
      <c r="JSL52" s="2"/>
      <c r="JSM52" s="2"/>
      <c r="JSN52" s="2"/>
      <c r="JSO52" s="2"/>
      <c r="JSP52" s="2"/>
      <c r="JSQ52" s="2"/>
      <c r="JSR52" s="2"/>
      <c r="JSS52" s="2"/>
      <c r="JST52" s="2"/>
      <c r="JSU52" s="2"/>
      <c r="JSV52" s="2"/>
      <c r="JSW52" s="2"/>
      <c r="JSX52" s="2"/>
      <c r="JSY52" s="2"/>
      <c r="JSZ52" s="2"/>
      <c r="JTA52" s="2"/>
      <c r="JTB52" s="2"/>
      <c r="JTC52" s="2"/>
      <c r="JTD52" s="2"/>
      <c r="JTE52" s="2"/>
      <c r="JTF52" s="2"/>
      <c r="JTG52" s="2"/>
      <c r="JTH52" s="2"/>
      <c r="JTI52" s="2"/>
      <c r="JTJ52" s="2"/>
      <c r="JTK52" s="2"/>
      <c r="JTL52" s="2"/>
      <c r="JTM52" s="2"/>
      <c r="JTN52" s="2"/>
      <c r="JTO52" s="2"/>
      <c r="JTP52" s="2"/>
      <c r="JTQ52" s="2"/>
      <c r="JTR52" s="2"/>
      <c r="JTS52" s="2"/>
      <c r="JTT52" s="2"/>
      <c r="JTU52" s="2"/>
      <c r="JTV52" s="2"/>
      <c r="JTW52" s="2"/>
      <c r="JTX52" s="2"/>
      <c r="JTY52" s="2"/>
      <c r="JTZ52" s="2"/>
      <c r="JUA52" s="2"/>
      <c r="JUB52" s="2"/>
      <c r="JUC52" s="2"/>
      <c r="JUD52" s="2"/>
      <c r="JUE52" s="2"/>
      <c r="JUF52" s="2"/>
      <c r="JUG52" s="2"/>
      <c r="JUH52" s="2"/>
      <c r="JUI52" s="2"/>
      <c r="JUJ52" s="2"/>
      <c r="JUK52" s="2"/>
      <c r="JUL52" s="2"/>
      <c r="JUM52" s="2"/>
      <c r="JUN52" s="2"/>
      <c r="JUO52" s="2"/>
      <c r="JUP52" s="2"/>
      <c r="JUQ52" s="2"/>
      <c r="JUR52" s="2"/>
      <c r="JUS52" s="2"/>
      <c r="JUT52" s="2"/>
      <c r="JUU52" s="2"/>
      <c r="JUV52" s="2"/>
      <c r="JUW52" s="2"/>
      <c r="JUX52" s="2"/>
      <c r="JUY52" s="2"/>
      <c r="JUZ52" s="2"/>
      <c r="JVA52" s="2"/>
      <c r="JVB52" s="2"/>
      <c r="JVC52" s="2"/>
      <c r="JVD52" s="2"/>
      <c r="JVE52" s="2"/>
      <c r="JVF52" s="2"/>
      <c r="JVG52" s="2"/>
      <c r="JVH52" s="2"/>
      <c r="JVI52" s="2"/>
      <c r="JVJ52" s="2"/>
      <c r="JVK52" s="2"/>
      <c r="JVL52" s="2"/>
      <c r="JVM52" s="2"/>
      <c r="JVN52" s="2"/>
      <c r="JVO52" s="2"/>
      <c r="JVP52" s="2"/>
      <c r="JVQ52" s="2"/>
      <c r="JVR52" s="2"/>
      <c r="JVS52" s="2"/>
      <c r="JVT52" s="2"/>
      <c r="JVU52" s="2"/>
      <c r="JVV52" s="2"/>
      <c r="JVW52" s="2"/>
      <c r="JVX52" s="2"/>
      <c r="JVY52" s="2"/>
      <c r="JVZ52" s="2"/>
      <c r="JWA52" s="2"/>
      <c r="JWB52" s="2"/>
      <c r="JWC52" s="2"/>
      <c r="JWD52" s="2"/>
      <c r="JWE52" s="2"/>
      <c r="JWF52" s="2"/>
      <c r="JWG52" s="2"/>
      <c r="JWH52" s="2"/>
      <c r="JWI52" s="2"/>
      <c r="JWJ52" s="2"/>
      <c r="JWK52" s="2"/>
      <c r="JWL52" s="2"/>
      <c r="JWM52" s="2"/>
      <c r="JWN52" s="2"/>
      <c r="JWO52" s="2"/>
      <c r="JWP52" s="2"/>
      <c r="JWQ52" s="2"/>
      <c r="JWR52" s="2"/>
      <c r="JWS52" s="2"/>
      <c r="JWT52" s="2"/>
      <c r="JWU52" s="2"/>
      <c r="JWV52" s="2"/>
      <c r="JWW52" s="2"/>
      <c r="JWX52" s="2"/>
      <c r="JWY52" s="2"/>
      <c r="JWZ52" s="2"/>
      <c r="JXA52" s="2"/>
      <c r="JXB52" s="2"/>
      <c r="JXC52" s="2"/>
      <c r="JXD52" s="2"/>
      <c r="JXE52" s="2"/>
      <c r="JXF52" s="2"/>
      <c r="JXG52" s="2"/>
      <c r="JXH52" s="2"/>
      <c r="JXI52" s="2"/>
      <c r="JXJ52" s="2"/>
      <c r="JXK52" s="2"/>
      <c r="JXL52" s="2"/>
      <c r="JXM52" s="2"/>
      <c r="JXN52" s="2"/>
      <c r="JXO52" s="2"/>
      <c r="JXP52" s="2"/>
      <c r="JXQ52" s="2"/>
      <c r="JXR52" s="2"/>
      <c r="JXS52" s="2"/>
      <c r="JXT52" s="2"/>
      <c r="JXU52" s="2"/>
      <c r="JXV52" s="2"/>
      <c r="JXW52" s="2"/>
      <c r="JXX52" s="2"/>
      <c r="JXY52" s="2"/>
      <c r="JXZ52" s="2"/>
      <c r="JYA52" s="2"/>
      <c r="JYB52" s="2"/>
      <c r="JYC52" s="2"/>
      <c r="JYD52" s="2"/>
      <c r="JYE52" s="2"/>
      <c r="JYF52" s="2"/>
      <c r="JYG52" s="2"/>
      <c r="JYH52" s="2"/>
      <c r="JYI52" s="2"/>
      <c r="JYJ52" s="2"/>
      <c r="JYK52" s="2"/>
      <c r="JYL52" s="2"/>
      <c r="JYM52" s="2"/>
      <c r="JYN52" s="2"/>
      <c r="JYO52" s="2"/>
      <c r="JYP52" s="2"/>
      <c r="JYQ52" s="2"/>
      <c r="JYR52" s="2"/>
      <c r="JYS52" s="2"/>
      <c r="JYT52" s="2"/>
      <c r="JYU52" s="2"/>
      <c r="JYV52" s="2"/>
      <c r="JYW52" s="2"/>
      <c r="JYX52" s="2"/>
      <c r="JYY52" s="2"/>
      <c r="JYZ52" s="2"/>
      <c r="JZA52" s="2"/>
      <c r="JZB52" s="2"/>
      <c r="JZC52" s="2"/>
      <c r="JZD52" s="2"/>
      <c r="JZE52" s="2"/>
      <c r="JZF52" s="2"/>
      <c r="JZG52" s="2"/>
      <c r="JZH52" s="2"/>
      <c r="JZI52" s="2"/>
      <c r="JZJ52" s="2"/>
      <c r="JZK52" s="2"/>
      <c r="JZL52" s="2"/>
      <c r="JZM52" s="2"/>
      <c r="JZN52" s="2"/>
      <c r="JZO52" s="2"/>
      <c r="JZP52" s="2"/>
      <c r="JZQ52" s="2"/>
      <c r="JZR52" s="2"/>
      <c r="JZS52" s="2"/>
      <c r="JZT52" s="2"/>
      <c r="JZU52" s="2"/>
      <c r="JZV52" s="2"/>
      <c r="JZW52" s="2"/>
      <c r="JZX52" s="2"/>
      <c r="JZY52" s="2"/>
      <c r="JZZ52" s="2"/>
      <c r="KAA52" s="2"/>
      <c r="KAB52" s="2"/>
      <c r="KAC52" s="2"/>
      <c r="KAD52" s="2"/>
      <c r="KAE52" s="2"/>
      <c r="KAF52" s="2"/>
      <c r="KAG52" s="2"/>
      <c r="KAH52" s="2"/>
      <c r="KAI52" s="2"/>
      <c r="KAJ52" s="2"/>
      <c r="KAK52" s="2"/>
      <c r="KAL52" s="2"/>
      <c r="KAM52" s="2"/>
      <c r="KAN52" s="2"/>
      <c r="KAO52" s="2"/>
      <c r="KAP52" s="2"/>
      <c r="KAQ52" s="2"/>
      <c r="KAR52" s="2"/>
      <c r="KAS52" s="2"/>
      <c r="KAT52" s="2"/>
      <c r="KAU52" s="2"/>
      <c r="KAV52" s="2"/>
      <c r="KAW52" s="2"/>
      <c r="KAX52" s="2"/>
      <c r="KAY52" s="2"/>
      <c r="KAZ52" s="2"/>
      <c r="KBA52" s="2"/>
      <c r="KBB52" s="2"/>
      <c r="KBC52" s="2"/>
      <c r="KBD52" s="2"/>
      <c r="KBE52" s="2"/>
      <c r="KBF52" s="2"/>
      <c r="KBG52" s="2"/>
      <c r="KBH52" s="2"/>
      <c r="KBI52" s="2"/>
      <c r="KBJ52" s="2"/>
      <c r="KBK52" s="2"/>
      <c r="KBL52" s="2"/>
      <c r="KBM52" s="2"/>
      <c r="KBN52" s="2"/>
      <c r="KBO52" s="2"/>
      <c r="KBP52" s="2"/>
      <c r="KBQ52" s="2"/>
      <c r="KBR52" s="2"/>
      <c r="KBS52" s="2"/>
      <c r="KBT52" s="2"/>
      <c r="KBU52" s="2"/>
      <c r="KBV52" s="2"/>
      <c r="KBW52" s="2"/>
      <c r="KBX52" s="2"/>
      <c r="KBY52" s="2"/>
      <c r="KBZ52" s="2"/>
      <c r="KCA52" s="2"/>
      <c r="KCB52" s="2"/>
      <c r="KCC52" s="2"/>
      <c r="KCD52" s="2"/>
      <c r="KCE52" s="2"/>
      <c r="KCF52" s="2"/>
      <c r="KCG52" s="2"/>
      <c r="KCH52" s="2"/>
      <c r="KCI52" s="2"/>
      <c r="KCJ52" s="2"/>
      <c r="KCK52" s="2"/>
      <c r="KCL52" s="2"/>
      <c r="KCM52" s="2"/>
      <c r="KCN52" s="2"/>
      <c r="KCO52" s="2"/>
      <c r="KCP52" s="2"/>
      <c r="KCQ52" s="2"/>
      <c r="KCR52" s="2"/>
      <c r="KCS52" s="2"/>
      <c r="KCT52" s="2"/>
      <c r="KCU52" s="2"/>
      <c r="KCV52" s="2"/>
      <c r="KCW52" s="2"/>
      <c r="KCX52" s="2"/>
      <c r="KCY52" s="2"/>
      <c r="KCZ52" s="2"/>
      <c r="KDA52" s="2"/>
      <c r="KDB52" s="2"/>
      <c r="KDC52" s="2"/>
      <c r="KDD52" s="2"/>
      <c r="KDE52" s="2"/>
      <c r="KDF52" s="2"/>
      <c r="KDG52" s="2"/>
      <c r="KDH52" s="2"/>
      <c r="KDI52" s="2"/>
      <c r="KDJ52" s="2"/>
      <c r="KDK52" s="2"/>
      <c r="KDL52" s="2"/>
      <c r="KDM52" s="2"/>
      <c r="KDN52" s="2"/>
      <c r="KDO52" s="2"/>
      <c r="KDP52" s="2"/>
      <c r="KDQ52" s="2"/>
      <c r="KDR52" s="2"/>
      <c r="KDS52" s="2"/>
      <c r="KDT52" s="2"/>
      <c r="KDU52" s="2"/>
      <c r="KDV52" s="2"/>
      <c r="KDW52" s="2"/>
      <c r="KDX52" s="2"/>
      <c r="KDY52" s="2"/>
      <c r="KDZ52" s="2"/>
      <c r="KEA52" s="2"/>
      <c r="KEB52" s="2"/>
      <c r="KEC52" s="2"/>
      <c r="KED52" s="2"/>
      <c r="KEE52" s="2"/>
      <c r="KEF52" s="2"/>
      <c r="KEG52" s="2"/>
      <c r="KEH52" s="2"/>
      <c r="KEI52" s="2"/>
      <c r="KEJ52" s="2"/>
      <c r="KEK52" s="2"/>
      <c r="KEL52" s="2"/>
      <c r="KEM52" s="2"/>
      <c r="KEN52" s="2"/>
      <c r="KEO52" s="2"/>
      <c r="KEP52" s="2"/>
      <c r="KEQ52" s="2"/>
      <c r="KER52" s="2"/>
      <c r="KES52" s="2"/>
      <c r="KET52" s="2"/>
      <c r="KEU52" s="2"/>
      <c r="KEV52" s="2"/>
      <c r="KEW52" s="2"/>
      <c r="KEX52" s="2"/>
      <c r="KEY52" s="2"/>
      <c r="KEZ52" s="2"/>
      <c r="KFA52" s="2"/>
      <c r="KFB52" s="2"/>
      <c r="KFC52" s="2"/>
      <c r="KFD52" s="2"/>
      <c r="KFE52" s="2"/>
      <c r="KFF52" s="2"/>
      <c r="KFG52" s="2"/>
      <c r="KFH52" s="2"/>
      <c r="KFI52" s="2"/>
      <c r="KFJ52" s="2"/>
      <c r="KFK52" s="2"/>
      <c r="KFL52" s="2"/>
      <c r="KFM52" s="2"/>
      <c r="KFN52" s="2"/>
      <c r="KFO52" s="2"/>
      <c r="KFP52" s="2"/>
      <c r="KFQ52" s="2"/>
      <c r="KFR52" s="2"/>
      <c r="KFS52" s="2"/>
      <c r="KFT52" s="2"/>
      <c r="KFU52" s="2"/>
      <c r="KFV52" s="2"/>
      <c r="KFW52" s="2"/>
      <c r="KFX52" s="2"/>
      <c r="KFY52" s="2"/>
      <c r="KFZ52" s="2"/>
      <c r="KGA52" s="2"/>
      <c r="KGB52" s="2"/>
      <c r="KGC52" s="2"/>
      <c r="KGD52" s="2"/>
      <c r="KGE52" s="2"/>
      <c r="KGF52" s="2"/>
      <c r="KGG52" s="2"/>
      <c r="KGH52" s="2"/>
      <c r="KGI52" s="2"/>
      <c r="KGJ52" s="2"/>
      <c r="KGK52" s="2"/>
      <c r="KGL52" s="2"/>
      <c r="KGM52" s="2"/>
      <c r="KGN52" s="2"/>
      <c r="KGO52" s="2"/>
      <c r="KGP52" s="2"/>
      <c r="KGQ52" s="2"/>
      <c r="KGR52" s="2"/>
      <c r="KGS52" s="2"/>
      <c r="KGT52" s="2"/>
      <c r="KGU52" s="2"/>
      <c r="KGV52" s="2"/>
      <c r="KGW52" s="2"/>
      <c r="KGX52" s="2"/>
      <c r="KGY52" s="2"/>
      <c r="KGZ52" s="2"/>
      <c r="KHA52" s="2"/>
      <c r="KHB52" s="2"/>
      <c r="KHC52" s="2"/>
      <c r="KHD52" s="2"/>
      <c r="KHE52" s="2"/>
      <c r="KHF52" s="2"/>
      <c r="KHG52" s="2"/>
      <c r="KHH52" s="2"/>
      <c r="KHI52" s="2"/>
      <c r="KHJ52" s="2"/>
      <c r="KHK52" s="2"/>
      <c r="KHL52" s="2"/>
      <c r="KHM52" s="2"/>
      <c r="KHN52" s="2"/>
      <c r="KHO52" s="2"/>
      <c r="KHP52" s="2"/>
      <c r="KHQ52" s="2"/>
      <c r="KHR52" s="2"/>
      <c r="KHS52" s="2"/>
      <c r="KHT52" s="2"/>
      <c r="KHU52" s="2"/>
      <c r="KHV52" s="2"/>
      <c r="KHW52" s="2"/>
      <c r="KHX52" s="2"/>
      <c r="KHY52" s="2"/>
      <c r="KHZ52" s="2"/>
      <c r="KIA52" s="2"/>
      <c r="KIB52" s="2"/>
      <c r="KIC52" s="2"/>
      <c r="KID52" s="2"/>
      <c r="KIE52" s="2"/>
      <c r="KIF52" s="2"/>
      <c r="KIG52" s="2"/>
      <c r="KIH52" s="2"/>
      <c r="KII52" s="2"/>
      <c r="KIJ52" s="2"/>
      <c r="KIK52" s="2"/>
      <c r="KIL52" s="2"/>
      <c r="KIM52" s="2"/>
      <c r="KIN52" s="2"/>
      <c r="KIO52" s="2"/>
      <c r="KIP52" s="2"/>
      <c r="KIQ52" s="2"/>
      <c r="KIR52" s="2"/>
      <c r="KIS52" s="2"/>
      <c r="KIT52" s="2"/>
      <c r="KIU52" s="2"/>
      <c r="KIV52" s="2"/>
      <c r="KIW52" s="2"/>
      <c r="KIX52" s="2"/>
      <c r="KIY52" s="2"/>
      <c r="KIZ52" s="2"/>
      <c r="KJA52" s="2"/>
      <c r="KJB52" s="2"/>
      <c r="KJC52" s="2"/>
      <c r="KJD52" s="2"/>
      <c r="KJE52" s="2"/>
      <c r="KJF52" s="2"/>
      <c r="KJG52" s="2"/>
      <c r="KJH52" s="2"/>
      <c r="KJI52" s="2"/>
      <c r="KJJ52" s="2"/>
      <c r="KJK52" s="2"/>
      <c r="KJL52" s="2"/>
      <c r="KJM52" s="2"/>
      <c r="KJN52" s="2"/>
      <c r="KJO52" s="2"/>
      <c r="KJP52" s="2"/>
      <c r="KJQ52" s="2"/>
      <c r="KJR52" s="2"/>
      <c r="KJS52" s="2"/>
      <c r="KJT52" s="2"/>
      <c r="KJU52" s="2"/>
      <c r="KJV52" s="2"/>
      <c r="KJW52" s="2"/>
      <c r="KJX52" s="2"/>
      <c r="KJY52" s="2"/>
      <c r="KJZ52" s="2"/>
      <c r="KKA52" s="2"/>
      <c r="KKB52" s="2"/>
      <c r="KKC52" s="2"/>
      <c r="KKD52" s="2"/>
      <c r="KKE52" s="2"/>
      <c r="KKF52" s="2"/>
      <c r="KKG52" s="2"/>
      <c r="KKH52" s="2"/>
      <c r="KKI52" s="2"/>
      <c r="KKJ52" s="2"/>
      <c r="KKK52" s="2"/>
      <c r="KKL52" s="2"/>
      <c r="KKM52" s="2"/>
      <c r="KKN52" s="2"/>
      <c r="KKO52" s="2"/>
      <c r="KKP52" s="2"/>
      <c r="KKQ52" s="2"/>
      <c r="KKR52" s="2"/>
      <c r="KKS52" s="2"/>
      <c r="KKT52" s="2"/>
      <c r="KKU52" s="2"/>
      <c r="KKV52" s="2"/>
      <c r="KKW52" s="2"/>
      <c r="KKX52" s="2"/>
      <c r="KKY52" s="2"/>
      <c r="KKZ52" s="2"/>
      <c r="KLA52" s="2"/>
      <c r="KLB52" s="2"/>
      <c r="KLC52" s="2"/>
      <c r="KLD52" s="2"/>
      <c r="KLE52" s="2"/>
      <c r="KLF52" s="2"/>
      <c r="KLG52" s="2"/>
      <c r="KLH52" s="2"/>
      <c r="KLI52" s="2"/>
      <c r="KLJ52" s="2"/>
      <c r="KLK52" s="2"/>
      <c r="KLL52" s="2"/>
      <c r="KLM52" s="2"/>
      <c r="KLN52" s="2"/>
      <c r="KLO52" s="2"/>
      <c r="KLP52" s="2"/>
      <c r="KLQ52" s="2"/>
      <c r="KLR52" s="2"/>
      <c r="KLS52" s="2"/>
      <c r="KLT52" s="2"/>
      <c r="KLU52" s="2"/>
      <c r="KLV52" s="2"/>
      <c r="KLW52" s="2"/>
      <c r="KLX52" s="2"/>
      <c r="KLY52" s="2"/>
      <c r="KLZ52" s="2"/>
      <c r="KMA52" s="2"/>
      <c r="KMB52" s="2"/>
      <c r="KMC52" s="2"/>
      <c r="KMD52" s="2"/>
      <c r="KME52" s="2"/>
      <c r="KMF52" s="2"/>
      <c r="KMG52" s="2"/>
      <c r="KMH52" s="2"/>
      <c r="KMI52" s="2"/>
      <c r="KMJ52" s="2"/>
      <c r="KMK52" s="2"/>
      <c r="KML52" s="2"/>
      <c r="KMM52" s="2"/>
      <c r="KMN52" s="2"/>
      <c r="KMO52" s="2"/>
      <c r="KMP52" s="2"/>
      <c r="KMQ52" s="2"/>
      <c r="KMR52" s="2"/>
      <c r="KMS52" s="2"/>
      <c r="KMT52" s="2"/>
      <c r="KMU52" s="2"/>
      <c r="KMV52" s="2"/>
      <c r="KMW52" s="2"/>
      <c r="KMX52" s="2"/>
      <c r="KMY52" s="2"/>
      <c r="KMZ52" s="2"/>
      <c r="KNA52" s="2"/>
      <c r="KNB52" s="2"/>
      <c r="KNC52" s="2"/>
      <c r="KND52" s="2"/>
      <c r="KNE52" s="2"/>
      <c r="KNF52" s="2"/>
      <c r="KNG52" s="2"/>
      <c r="KNH52" s="2"/>
      <c r="KNI52" s="2"/>
      <c r="KNJ52" s="2"/>
      <c r="KNK52" s="2"/>
      <c r="KNL52" s="2"/>
      <c r="KNM52" s="2"/>
      <c r="KNN52" s="2"/>
      <c r="KNO52" s="2"/>
      <c r="KNP52" s="2"/>
      <c r="KNQ52" s="2"/>
      <c r="KNR52" s="2"/>
      <c r="KNS52" s="2"/>
      <c r="KNT52" s="2"/>
      <c r="KNU52" s="2"/>
      <c r="KNV52" s="2"/>
      <c r="KNW52" s="2"/>
      <c r="KNX52" s="2"/>
      <c r="KNY52" s="2"/>
      <c r="KNZ52" s="2"/>
      <c r="KOA52" s="2"/>
      <c r="KOB52" s="2"/>
      <c r="KOC52" s="2"/>
      <c r="KOD52" s="2"/>
      <c r="KOE52" s="2"/>
      <c r="KOF52" s="2"/>
      <c r="KOG52" s="2"/>
      <c r="KOH52" s="2"/>
      <c r="KOI52" s="2"/>
      <c r="KOJ52" s="2"/>
      <c r="KOK52" s="2"/>
      <c r="KOL52" s="2"/>
      <c r="KOM52" s="2"/>
      <c r="KON52" s="2"/>
      <c r="KOO52" s="2"/>
      <c r="KOP52" s="2"/>
      <c r="KOQ52" s="2"/>
      <c r="KOR52" s="2"/>
      <c r="KOS52" s="2"/>
      <c r="KOT52" s="2"/>
      <c r="KOU52" s="2"/>
      <c r="KOV52" s="2"/>
      <c r="KOW52" s="2"/>
      <c r="KOX52" s="2"/>
      <c r="KOY52" s="2"/>
      <c r="KOZ52" s="2"/>
      <c r="KPA52" s="2"/>
      <c r="KPB52" s="2"/>
      <c r="KPC52" s="2"/>
      <c r="KPD52" s="2"/>
      <c r="KPE52" s="2"/>
      <c r="KPF52" s="2"/>
      <c r="KPG52" s="2"/>
      <c r="KPH52" s="2"/>
      <c r="KPI52" s="2"/>
      <c r="KPJ52" s="2"/>
      <c r="KPK52" s="2"/>
      <c r="KPL52" s="2"/>
      <c r="KPM52" s="2"/>
      <c r="KPN52" s="2"/>
      <c r="KPO52" s="2"/>
      <c r="KPP52" s="2"/>
      <c r="KPQ52" s="2"/>
      <c r="KPR52" s="2"/>
      <c r="KPS52" s="2"/>
      <c r="KPT52" s="2"/>
      <c r="KPU52" s="2"/>
      <c r="KPV52" s="2"/>
      <c r="KPW52" s="2"/>
      <c r="KPX52" s="2"/>
      <c r="KPY52" s="2"/>
      <c r="KPZ52" s="2"/>
      <c r="KQA52" s="2"/>
      <c r="KQB52" s="2"/>
      <c r="KQC52" s="2"/>
      <c r="KQD52" s="2"/>
      <c r="KQE52" s="2"/>
      <c r="KQF52" s="2"/>
      <c r="KQG52" s="2"/>
      <c r="KQH52" s="2"/>
      <c r="KQI52" s="2"/>
      <c r="KQJ52" s="2"/>
      <c r="KQK52" s="2"/>
      <c r="KQL52" s="2"/>
      <c r="KQM52" s="2"/>
      <c r="KQN52" s="2"/>
      <c r="KQO52" s="2"/>
      <c r="KQP52" s="2"/>
      <c r="KQQ52" s="2"/>
      <c r="KQR52" s="2"/>
      <c r="KQS52" s="2"/>
      <c r="KQT52" s="2"/>
      <c r="KQU52" s="2"/>
      <c r="KQV52" s="2"/>
      <c r="KQW52" s="2"/>
      <c r="KQX52" s="2"/>
      <c r="KQY52" s="2"/>
      <c r="KQZ52" s="2"/>
      <c r="KRA52" s="2"/>
      <c r="KRB52" s="2"/>
      <c r="KRC52" s="2"/>
      <c r="KRD52" s="2"/>
      <c r="KRE52" s="2"/>
      <c r="KRF52" s="2"/>
      <c r="KRG52" s="2"/>
      <c r="KRH52" s="2"/>
      <c r="KRI52" s="2"/>
      <c r="KRJ52" s="2"/>
      <c r="KRK52" s="2"/>
      <c r="KRL52" s="2"/>
      <c r="KRM52" s="2"/>
      <c r="KRN52" s="2"/>
      <c r="KRO52" s="2"/>
      <c r="KRP52" s="2"/>
      <c r="KRQ52" s="2"/>
      <c r="KRR52" s="2"/>
      <c r="KRS52" s="2"/>
      <c r="KRT52" s="2"/>
      <c r="KRU52" s="2"/>
      <c r="KRV52" s="2"/>
      <c r="KRW52" s="2"/>
      <c r="KRX52" s="2"/>
      <c r="KRY52" s="2"/>
      <c r="KRZ52" s="2"/>
      <c r="KSA52" s="2"/>
      <c r="KSB52" s="2"/>
      <c r="KSC52" s="2"/>
      <c r="KSD52" s="2"/>
      <c r="KSE52" s="2"/>
      <c r="KSF52" s="2"/>
      <c r="KSG52" s="2"/>
      <c r="KSH52" s="2"/>
      <c r="KSI52" s="2"/>
      <c r="KSJ52" s="2"/>
      <c r="KSK52" s="2"/>
      <c r="KSL52" s="2"/>
      <c r="KSM52" s="2"/>
      <c r="KSN52" s="2"/>
      <c r="KSO52" s="2"/>
      <c r="KSP52" s="2"/>
      <c r="KSQ52" s="2"/>
      <c r="KSR52" s="2"/>
      <c r="KSS52" s="2"/>
      <c r="KST52" s="2"/>
      <c r="KSU52" s="2"/>
      <c r="KSV52" s="2"/>
      <c r="KSW52" s="2"/>
      <c r="KSX52" s="2"/>
      <c r="KSY52" s="2"/>
      <c r="KSZ52" s="2"/>
      <c r="KTA52" s="2"/>
      <c r="KTB52" s="2"/>
      <c r="KTC52" s="2"/>
      <c r="KTD52" s="2"/>
      <c r="KTE52" s="2"/>
      <c r="KTF52" s="2"/>
      <c r="KTG52" s="2"/>
      <c r="KTH52" s="2"/>
      <c r="KTI52" s="2"/>
      <c r="KTJ52" s="2"/>
      <c r="KTK52" s="2"/>
      <c r="KTL52" s="2"/>
      <c r="KTM52" s="2"/>
      <c r="KTN52" s="2"/>
      <c r="KTO52" s="2"/>
      <c r="KTP52" s="2"/>
      <c r="KTQ52" s="2"/>
      <c r="KTR52" s="2"/>
      <c r="KTS52" s="2"/>
      <c r="KTT52" s="2"/>
      <c r="KTU52" s="2"/>
      <c r="KTV52" s="2"/>
      <c r="KTW52" s="2"/>
      <c r="KTX52" s="2"/>
      <c r="KTY52" s="2"/>
      <c r="KTZ52" s="2"/>
      <c r="KUA52" s="2"/>
      <c r="KUB52" s="2"/>
      <c r="KUC52" s="2"/>
      <c r="KUD52" s="2"/>
      <c r="KUE52" s="2"/>
      <c r="KUF52" s="2"/>
      <c r="KUG52" s="2"/>
      <c r="KUH52" s="2"/>
      <c r="KUI52" s="2"/>
      <c r="KUJ52" s="2"/>
      <c r="KUK52" s="2"/>
      <c r="KUL52" s="2"/>
      <c r="KUM52" s="2"/>
      <c r="KUN52" s="2"/>
      <c r="KUO52" s="2"/>
      <c r="KUP52" s="2"/>
      <c r="KUQ52" s="2"/>
      <c r="KUR52" s="2"/>
      <c r="KUS52" s="2"/>
      <c r="KUT52" s="2"/>
      <c r="KUU52" s="2"/>
      <c r="KUV52" s="2"/>
      <c r="KUW52" s="2"/>
      <c r="KUX52" s="2"/>
      <c r="KUY52" s="2"/>
      <c r="KUZ52" s="2"/>
      <c r="KVA52" s="2"/>
      <c r="KVB52" s="2"/>
      <c r="KVC52" s="2"/>
      <c r="KVD52" s="2"/>
      <c r="KVE52" s="2"/>
      <c r="KVF52" s="2"/>
      <c r="KVG52" s="2"/>
      <c r="KVH52" s="2"/>
      <c r="KVI52" s="2"/>
      <c r="KVJ52" s="2"/>
      <c r="KVK52" s="2"/>
      <c r="KVL52" s="2"/>
      <c r="KVM52" s="2"/>
      <c r="KVN52" s="2"/>
      <c r="KVO52" s="2"/>
      <c r="KVP52" s="2"/>
      <c r="KVQ52" s="2"/>
      <c r="KVR52" s="2"/>
      <c r="KVS52" s="2"/>
      <c r="KVT52" s="2"/>
      <c r="KVU52" s="2"/>
      <c r="KVV52" s="2"/>
      <c r="KVW52" s="2"/>
      <c r="KVX52" s="2"/>
      <c r="KVY52" s="2"/>
      <c r="KVZ52" s="2"/>
      <c r="KWA52" s="2"/>
      <c r="KWB52" s="2"/>
      <c r="KWC52" s="2"/>
      <c r="KWD52" s="2"/>
      <c r="KWE52" s="2"/>
      <c r="KWF52" s="2"/>
      <c r="KWG52" s="2"/>
      <c r="KWH52" s="2"/>
      <c r="KWI52" s="2"/>
      <c r="KWJ52" s="2"/>
      <c r="KWK52" s="2"/>
      <c r="KWL52" s="2"/>
      <c r="KWM52" s="2"/>
      <c r="KWN52" s="2"/>
      <c r="KWO52" s="2"/>
      <c r="KWP52" s="2"/>
      <c r="KWQ52" s="2"/>
      <c r="KWR52" s="2"/>
      <c r="KWS52" s="2"/>
      <c r="KWT52" s="2"/>
      <c r="KWU52" s="2"/>
      <c r="KWV52" s="2"/>
      <c r="KWW52" s="2"/>
      <c r="KWX52" s="2"/>
      <c r="KWY52" s="2"/>
      <c r="KWZ52" s="2"/>
      <c r="KXA52" s="2"/>
      <c r="KXB52" s="2"/>
      <c r="KXC52" s="2"/>
      <c r="KXD52" s="2"/>
      <c r="KXE52" s="2"/>
      <c r="KXF52" s="2"/>
      <c r="KXG52" s="2"/>
      <c r="KXH52" s="2"/>
      <c r="KXI52" s="2"/>
      <c r="KXJ52" s="2"/>
      <c r="KXK52" s="2"/>
      <c r="KXL52" s="2"/>
      <c r="KXM52" s="2"/>
      <c r="KXN52" s="2"/>
      <c r="KXO52" s="2"/>
      <c r="KXP52" s="2"/>
      <c r="KXQ52" s="2"/>
      <c r="KXR52" s="2"/>
      <c r="KXS52" s="2"/>
      <c r="KXT52" s="2"/>
      <c r="KXU52" s="2"/>
      <c r="KXV52" s="2"/>
      <c r="KXW52" s="2"/>
      <c r="KXX52" s="2"/>
      <c r="KXY52" s="2"/>
      <c r="KXZ52" s="2"/>
      <c r="KYA52" s="2"/>
      <c r="KYB52" s="2"/>
      <c r="KYC52" s="2"/>
      <c r="KYD52" s="2"/>
      <c r="KYE52" s="2"/>
      <c r="KYF52" s="2"/>
      <c r="KYG52" s="2"/>
      <c r="KYH52" s="2"/>
      <c r="KYI52" s="2"/>
      <c r="KYJ52" s="2"/>
      <c r="KYK52" s="2"/>
      <c r="KYL52" s="2"/>
      <c r="KYM52" s="2"/>
      <c r="KYN52" s="2"/>
      <c r="KYO52" s="2"/>
      <c r="KYP52" s="2"/>
      <c r="KYQ52" s="2"/>
      <c r="KYR52" s="2"/>
      <c r="KYS52" s="2"/>
      <c r="KYT52" s="2"/>
      <c r="KYU52" s="2"/>
      <c r="KYV52" s="2"/>
      <c r="KYW52" s="2"/>
      <c r="KYX52" s="2"/>
      <c r="KYY52" s="2"/>
      <c r="KYZ52" s="2"/>
      <c r="KZA52" s="2"/>
      <c r="KZB52" s="2"/>
      <c r="KZC52" s="2"/>
      <c r="KZD52" s="2"/>
      <c r="KZE52" s="2"/>
      <c r="KZF52" s="2"/>
      <c r="KZG52" s="2"/>
      <c r="KZH52" s="2"/>
      <c r="KZI52" s="2"/>
      <c r="KZJ52" s="2"/>
      <c r="KZK52" s="2"/>
      <c r="KZL52" s="2"/>
      <c r="KZM52" s="2"/>
      <c r="KZN52" s="2"/>
      <c r="KZO52" s="2"/>
      <c r="KZP52" s="2"/>
      <c r="KZQ52" s="2"/>
      <c r="KZR52" s="2"/>
      <c r="KZS52" s="2"/>
      <c r="KZT52" s="2"/>
      <c r="KZU52" s="2"/>
      <c r="KZV52" s="2"/>
      <c r="KZW52" s="2"/>
      <c r="KZX52" s="2"/>
      <c r="KZY52" s="2"/>
      <c r="KZZ52" s="2"/>
      <c r="LAA52" s="2"/>
      <c r="LAB52" s="2"/>
      <c r="LAC52" s="2"/>
      <c r="LAD52" s="2"/>
      <c r="LAE52" s="2"/>
      <c r="LAF52" s="2"/>
      <c r="LAG52" s="2"/>
      <c r="LAH52" s="2"/>
      <c r="LAI52" s="2"/>
      <c r="LAJ52" s="2"/>
      <c r="LAK52" s="2"/>
      <c r="LAL52" s="2"/>
      <c r="LAM52" s="2"/>
      <c r="LAN52" s="2"/>
      <c r="LAO52" s="2"/>
      <c r="LAP52" s="2"/>
      <c r="LAQ52" s="2"/>
      <c r="LAR52" s="2"/>
      <c r="LAS52" s="2"/>
      <c r="LAT52" s="2"/>
      <c r="LAU52" s="2"/>
      <c r="LAV52" s="2"/>
      <c r="LAW52" s="2"/>
      <c r="LAX52" s="2"/>
      <c r="LAY52" s="2"/>
      <c r="LAZ52" s="2"/>
      <c r="LBA52" s="2"/>
      <c r="LBB52" s="2"/>
      <c r="LBC52" s="2"/>
      <c r="LBD52" s="2"/>
      <c r="LBE52" s="2"/>
      <c r="LBF52" s="2"/>
      <c r="LBG52" s="2"/>
      <c r="LBH52" s="2"/>
      <c r="LBI52" s="2"/>
      <c r="LBJ52" s="2"/>
      <c r="LBK52" s="2"/>
      <c r="LBL52" s="2"/>
      <c r="LBM52" s="2"/>
      <c r="LBN52" s="2"/>
      <c r="LBO52" s="2"/>
      <c r="LBP52" s="2"/>
      <c r="LBQ52" s="2"/>
      <c r="LBR52" s="2"/>
      <c r="LBS52" s="2"/>
      <c r="LBT52" s="2"/>
      <c r="LBU52" s="2"/>
      <c r="LBV52" s="2"/>
      <c r="LBW52" s="2"/>
      <c r="LBX52" s="2"/>
      <c r="LBY52" s="2"/>
      <c r="LBZ52" s="2"/>
      <c r="LCA52" s="2"/>
      <c r="LCB52" s="2"/>
      <c r="LCC52" s="2"/>
      <c r="LCD52" s="2"/>
      <c r="LCE52" s="2"/>
      <c r="LCF52" s="2"/>
      <c r="LCG52" s="2"/>
      <c r="LCH52" s="2"/>
      <c r="LCI52" s="2"/>
      <c r="LCJ52" s="2"/>
      <c r="LCK52" s="2"/>
      <c r="LCL52" s="2"/>
      <c r="LCM52" s="2"/>
      <c r="LCN52" s="2"/>
      <c r="LCO52" s="2"/>
      <c r="LCP52" s="2"/>
      <c r="LCQ52" s="2"/>
      <c r="LCR52" s="2"/>
      <c r="LCS52" s="2"/>
      <c r="LCT52" s="2"/>
      <c r="LCU52" s="2"/>
      <c r="LCV52" s="2"/>
      <c r="LCW52" s="2"/>
      <c r="LCX52" s="2"/>
      <c r="LCY52" s="2"/>
      <c r="LCZ52" s="2"/>
      <c r="LDA52" s="2"/>
      <c r="LDB52" s="2"/>
      <c r="LDC52" s="2"/>
      <c r="LDD52" s="2"/>
      <c r="LDE52" s="2"/>
      <c r="LDF52" s="2"/>
      <c r="LDG52" s="2"/>
      <c r="LDH52" s="2"/>
      <c r="LDI52" s="2"/>
      <c r="LDJ52" s="2"/>
      <c r="LDK52" s="2"/>
      <c r="LDL52" s="2"/>
      <c r="LDM52" s="2"/>
      <c r="LDN52" s="2"/>
      <c r="LDO52" s="2"/>
      <c r="LDP52" s="2"/>
      <c r="LDQ52" s="2"/>
      <c r="LDR52" s="2"/>
      <c r="LDS52" s="2"/>
      <c r="LDT52" s="2"/>
      <c r="LDU52" s="2"/>
      <c r="LDV52" s="2"/>
      <c r="LDW52" s="2"/>
      <c r="LDX52" s="2"/>
      <c r="LDY52" s="2"/>
      <c r="LDZ52" s="2"/>
      <c r="LEA52" s="2"/>
      <c r="LEB52" s="2"/>
      <c r="LEC52" s="2"/>
      <c r="LED52" s="2"/>
      <c r="LEE52" s="2"/>
      <c r="LEF52" s="2"/>
      <c r="LEG52" s="2"/>
      <c r="LEH52" s="2"/>
      <c r="LEI52" s="2"/>
      <c r="LEJ52" s="2"/>
      <c r="LEK52" s="2"/>
      <c r="LEL52" s="2"/>
      <c r="LEM52" s="2"/>
      <c r="LEN52" s="2"/>
      <c r="LEO52" s="2"/>
      <c r="LEP52" s="2"/>
      <c r="LEQ52" s="2"/>
      <c r="LER52" s="2"/>
      <c r="LES52" s="2"/>
      <c r="LET52" s="2"/>
      <c r="LEU52" s="2"/>
      <c r="LEV52" s="2"/>
      <c r="LEW52" s="2"/>
      <c r="LEX52" s="2"/>
      <c r="LEY52" s="2"/>
      <c r="LEZ52" s="2"/>
      <c r="LFA52" s="2"/>
      <c r="LFB52" s="2"/>
      <c r="LFC52" s="2"/>
      <c r="LFD52" s="2"/>
      <c r="LFE52" s="2"/>
      <c r="LFF52" s="2"/>
      <c r="LFG52" s="2"/>
      <c r="LFH52" s="2"/>
      <c r="LFI52" s="2"/>
      <c r="LFJ52" s="2"/>
      <c r="LFK52" s="2"/>
      <c r="LFL52" s="2"/>
      <c r="LFM52" s="2"/>
      <c r="LFN52" s="2"/>
      <c r="LFO52" s="2"/>
      <c r="LFP52" s="2"/>
      <c r="LFQ52" s="2"/>
      <c r="LFR52" s="2"/>
      <c r="LFS52" s="2"/>
      <c r="LFT52" s="2"/>
      <c r="LFU52" s="2"/>
      <c r="LFV52" s="2"/>
      <c r="LFW52" s="2"/>
      <c r="LFX52" s="2"/>
      <c r="LFY52" s="2"/>
      <c r="LFZ52" s="2"/>
      <c r="LGA52" s="2"/>
      <c r="LGB52" s="2"/>
      <c r="LGC52" s="2"/>
      <c r="LGD52" s="2"/>
      <c r="LGE52" s="2"/>
      <c r="LGF52" s="2"/>
      <c r="LGG52" s="2"/>
      <c r="LGH52" s="2"/>
      <c r="LGI52" s="2"/>
      <c r="LGJ52" s="2"/>
      <c r="LGK52" s="2"/>
      <c r="LGL52" s="2"/>
      <c r="LGM52" s="2"/>
      <c r="LGN52" s="2"/>
      <c r="LGO52" s="2"/>
      <c r="LGP52" s="2"/>
      <c r="LGQ52" s="2"/>
      <c r="LGR52" s="2"/>
      <c r="LGS52" s="2"/>
      <c r="LGT52" s="2"/>
      <c r="LGU52" s="2"/>
      <c r="LGV52" s="2"/>
      <c r="LGW52" s="2"/>
      <c r="LGX52" s="2"/>
      <c r="LGY52" s="2"/>
      <c r="LGZ52" s="2"/>
      <c r="LHA52" s="2"/>
      <c r="LHB52" s="2"/>
      <c r="LHC52" s="2"/>
      <c r="LHD52" s="2"/>
      <c r="LHE52" s="2"/>
      <c r="LHF52" s="2"/>
      <c r="LHG52" s="2"/>
      <c r="LHH52" s="2"/>
      <c r="LHI52" s="2"/>
      <c r="LHJ52" s="2"/>
      <c r="LHK52" s="2"/>
      <c r="LHL52" s="2"/>
      <c r="LHM52" s="2"/>
      <c r="LHN52" s="2"/>
      <c r="LHO52" s="2"/>
      <c r="LHP52" s="2"/>
      <c r="LHQ52" s="2"/>
      <c r="LHR52" s="2"/>
      <c r="LHS52" s="2"/>
      <c r="LHT52" s="2"/>
      <c r="LHU52" s="2"/>
      <c r="LHV52" s="2"/>
      <c r="LHW52" s="2"/>
      <c r="LHX52" s="2"/>
      <c r="LHY52" s="2"/>
      <c r="LHZ52" s="2"/>
      <c r="LIA52" s="2"/>
      <c r="LIB52" s="2"/>
      <c r="LIC52" s="2"/>
      <c r="LID52" s="2"/>
      <c r="LIE52" s="2"/>
      <c r="LIF52" s="2"/>
      <c r="LIG52" s="2"/>
      <c r="LIH52" s="2"/>
      <c r="LII52" s="2"/>
      <c r="LIJ52" s="2"/>
      <c r="LIK52" s="2"/>
      <c r="LIL52" s="2"/>
      <c r="LIM52" s="2"/>
      <c r="LIN52" s="2"/>
      <c r="LIO52" s="2"/>
      <c r="LIP52" s="2"/>
      <c r="LIQ52" s="2"/>
      <c r="LIR52" s="2"/>
      <c r="LIS52" s="2"/>
      <c r="LIT52" s="2"/>
      <c r="LIU52" s="2"/>
      <c r="LIV52" s="2"/>
      <c r="LIW52" s="2"/>
      <c r="LIX52" s="2"/>
      <c r="LIY52" s="2"/>
      <c r="LIZ52" s="2"/>
      <c r="LJA52" s="2"/>
      <c r="LJB52" s="2"/>
      <c r="LJC52" s="2"/>
      <c r="LJD52" s="2"/>
      <c r="LJE52" s="2"/>
      <c r="LJF52" s="2"/>
      <c r="LJG52" s="2"/>
      <c r="LJH52" s="2"/>
      <c r="LJI52" s="2"/>
      <c r="LJJ52" s="2"/>
      <c r="LJK52" s="2"/>
      <c r="LJL52" s="2"/>
      <c r="LJM52" s="2"/>
      <c r="LJN52" s="2"/>
      <c r="LJO52" s="2"/>
      <c r="LJP52" s="2"/>
      <c r="LJQ52" s="2"/>
      <c r="LJR52" s="2"/>
      <c r="LJS52" s="2"/>
      <c r="LJT52" s="2"/>
      <c r="LJU52" s="2"/>
      <c r="LJV52" s="2"/>
      <c r="LJW52" s="2"/>
      <c r="LJX52" s="2"/>
      <c r="LJY52" s="2"/>
      <c r="LJZ52" s="2"/>
      <c r="LKA52" s="2"/>
      <c r="LKB52" s="2"/>
      <c r="LKC52" s="2"/>
      <c r="LKD52" s="2"/>
      <c r="LKE52" s="2"/>
      <c r="LKF52" s="2"/>
      <c r="LKG52" s="2"/>
      <c r="LKH52" s="2"/>
      <c r="LKI52" s="2"/>
      <c r="LKJ52" s="2"/>
      <c r="LKK52" s="2"/>
      <c r="LKL52" s="2"/>
      <c r="LKM52" s="2"/>
      <c r="LKN52" s="2"/>
      <c r="LKO52" s="2"/>
      <c r="LKP52" s="2"/>
      <c r="LKQ52" s="2"/>
      <c r="LKR52" s="2"/>
      <c r="LKS52" s="2"/>
      <c r="LKT52" s="2"/>
      <c r="LKU52" s="2"/>
      <c r="LKV52" s="2"/>
      <c r="LKW52" s="2"/>
      <c r="LKX52" s="2"/>
      <c r="LKY52" s="2"/>
      <c r="LKZ52" s="2"/>
      <c r="LLA52" s="2"/>
      <c r="LLB52" s="2"/>
      <c r="LLC52" s="2"/>
      <c r="LLD52" s="2"/>
      <c r="LLE52" s="2"/>
      <c r="LLF52" s="2"/>
      <c r="LLG52" s="2"/>
      <c r="LLH52" s="2"/>
      <c r="LLI52" s="2"/>
      <c r="LLJ52" s="2"/>
      <c r="LLK52" s="2"/>
      <c r="LLL52" s="2"/>
      <c r="LLM52" s="2"/>
      <c r="LLN52" s="2"/>
      <c r="LLO52" s="2"/>
      <c r="LLP52" s="2"/>
      <c r="LLQ52" s="2"/>
      <c r="LLR52" s="2"/>
      <c r="LLS52" s="2"/>
      <c r="LLT52" s="2"/>
      <c r="LLU52" s="2"/>
      <c r="LLV52" s="2"/>
      <c r="LLW52" s="2"/>
      <c r="LLX52" s="2"/>
      <c r="LLY52" s="2"/>
      <c r="LLZ52" s="2"/>
      <c r="LMA52" s="2"/>
      <c r="LMB52" s="2"/>
      <c r="LMC52" s="2"/>
      <c r="LMD52" s="2"/>
      <c r="LME52" s="2"/>
      <c r="LMF52" s="2"/>
      <c r="LMG52" s="2"/>
      <c r="LMH52" s="2"/>
      <c r="LMI52" s="2"/>
      <c r="LMJ52" s="2"/>
      <c r="LMK52" s="2"/>
      <c r="LML52" s="2"/>
      <c r="LMM52" s="2"/>
      <c r="LMN52" s="2"/>
      <c r="LMO52" s="2"/>
      <c r="LMP52" s="2"/>
      <c r="LMQ52" s="2"/>
      <c r="LMR52" s="2"/>
      <c r="LMS52" s="2"/>
      <c r="LMT52" s="2"/>
      <c r="LMU52" s="2"/>
      <c r="LMV52" s="2"/>
      <c r="LMW52" s="2"/>
      <c r="LMX52" s="2"/>
      <c r="LMY52" s="2"/>
      <c r="LMZ52" s="2"/>
      <c r="LNA52" s="2"/>
      <c r="LNB52" s="2"/>
      <c r="LNC52" s="2"/>
      <c r="LND52" s="2"/>
      <c r="LNE52" s="2"/>
      <c r="LNF52" s="2"/>
      <c r="LNG52" s="2"/>
      <c r="LNH52" s="2"/>
      <c r="LNI52" s="2"/>
      <c r="LNJ52" s="2"/>
      <c r="LNK52" s="2"/>
      <c r="LNL52" s="2"/>
      <c r="LNM52" s="2"/>
      <c r="LNN52" s="2"/>
      <c r="LNO52" s="2"/>
      <c r="LNP52" s="2"/>
      <c r="LNQ52" s="2"/>
      <c r="LNR52" s="2"/>
      <c r="LNS52" s="2"/>
      <c r="LNT52" s="2"/>
      <c r="LNU52" s="2"/>
      <c r="LNV52" s="2"/>
      <c r="LNW52" s="2"/>
      <c r="LNX52" s="2"/>
      <c r="LNY52" s="2"/>
      <c r="LNZ52" s="2"/>
      <c r="LOA52" s="2"/>
      <c r="LOB52" s="2"/>
      <c r="LOC52" s="2"/>
      <c r="LOD52" s="2"/>
      <c r="LOE52" s="2"/>
      <c r="LOF52" s="2"/>
      <c r="LOG52" s="2"/>
      <c r="LOH52" s="2"/>
      <c r="LOI52" s="2"/>
      <c r="LOJ52" s="2"/>
      <c r="LOK52" s="2"/>
      <c r="LOL52" s="2"/>
      <c r="LOM52" s="2"/>
      <c r="LON52" s="2"/>
      <c r="LOO52" s="2"/>
      <c r="LOP52" s="2"/>
      <c r="LOQ52" s="2"/>
      <c r="LOR52" s="2"/>
      <c r="LOS52" s="2"/>
      <c r="LOT52" s="2"/>
      <c r="LOU52" s="2"/>
      <c r="LOV52" s="2"/>
      <c r="LOW52" s="2"/>
      <c r="LOX52" s="2"/>
      <c r="LOY52" s="2"/>
      <c r="LOZ52" s="2"/>
      <c r="LPA52" s="2"/>
      <c r="LPB52" s="2"/>
      <c r="LPC52" s="2"/>
      <c r="LPD52" s="2"/>
      <c r="LPE52" s="2"/>
      <c r="LPF52" s="2"/>
      <c r="LPG52" s="2"/>
      <c r="LPH52" s="2"/>
      <c r="LPI52" s="2"/>
      <c r="LPJ52" s="2"/>
      <c r="LPK52" s="2"/>
      <c r="LPL52" s="2"/>
      <c r="LPM52" s="2"/>
      <c r="LPN52" s="2"/>
      <c r="LPO52" s="2"/>
      <c r="LPP52" s="2"/>
      <c r="LPQ52" s="2"/>
      <c r="LPR52" s="2"/>
      <c r="LPS52" s="2"/>
      <c r="LPT52" s="2"/>
      <c r="LPU52" s="2"/>
      <c r="LPV52" s="2"/>
      <c r="LPW52" s="2"/>
      <c r="LPX52" s="2"/>
      <c r="LPY52" s="2"/>
      <c r="LPZ52" s="2"/>
      <c r="LQA52" s="2"/>
      <c r="LQB52" s="2"/>
      <c r="LQC52" s="2"/>
      <c r="LQD52" s="2"/>
      <c r="LQE52" s="2"/>
      <c r="LQF52" s="2"/>
      <c r="LQG52" s="2"/>
      <c r="LQH52" s="2"/>
      <c r="LQI52" s="2"/>
      <c r="LQJ52" s="2"/>
      <c r="LQK52" s="2"/>
      <c r="LQL52" s="2"/>
      <c r="LQM52" s="2"/>
      <c r="LQN52" s="2"/>
      <c r="LQO52" s="2"/>
      <c r="LQP52" s="2"/>
      <c r="LQQ52" s="2"/>
      <c r="LQR52" s="2"/>
      <c r="LQS52" s="2"/>
      <c r="LQT52" s="2"/>
      <c r="LQU52" s="2"/>
      <c r="LQV52" s="2"/>
      <c r="LQW52" s="2"/>
      <c r="LQX52" s="2"/>
      <c r="LQY52" s="2"/>
      <c r="LQZ52" s="2"/>
      <c r="LRA52" s="2"/>
      <c r="LRB52" s="2"/>
      <c r="LRC52" s="2"/>
      <c r="LRD52" s="2"/>
      <c r="LRE52" s="2"/>
      <c r="LRF52" s="2"/>
      <c r="LRG52" s="2"/>
      <c r="LRH52" s="2"/>
      <c r="LRI52" s="2"/>
      <c r="LRJ52" s="2"/>
      <c r="LRK52" s="2"/>
      <c r="LRL52" s="2"/>
      <c r="LRM52" s="2"/>
      <c r="LRN52" s="2"/>
      <c r="LRO52" s="2"/>
      <c r="LRP52" s="2"/>
      <c r="LRQ52" s="2"/>
      <c r="LRR52" s="2"/>
      <c r="LRS52" s="2"/>
      <c r="LRT52" s="2"/>
      <c r="LRU52" s="2"/>
      <c r="LRV52" s="2"/>
      <c r="LRW52" s="2"/>
      <c r="LRX52" s="2"/>
      <c r="LRY52" s="2"/>
      <c r="LRZ52" s="2"/>
      <c r="LSA52" s="2"/>
      <c r="LSB52" s="2"/>
      <c r="LSC52" s="2"/>
      <c r="LSD52" s="2"/>
      <c r="LSE52" s="2"/>
      <c r="LSF52" s="2"/>
      <c r="LSG52" s="2"/>
      <c r="LSH52" s="2"/>
      <c r="LSI52" s="2"/>
      <c r="LSJ52" s="2"/>
      <c r="LSK52" s="2"/>
      <c r="LSL52" s="2"/>
      <c r="LSM52" s="2"/>
      <c r="LSN52" s="2"/>
      <c r="LSO52" s="2"/>
      <c r="LSP52" s="2"/>
      <c r="LSQ52" s="2"/>
      <c r="LSR52" s="2"/>
      <c r="LSS52" s="2"/>
      <c r="LST52" s="2"/>
      <c r="LSU52" s="2"/>
      <c r="LSV52" s="2"/>
      <c r="LSW52" s="2"/>
      <c r="LSX52" s="2"/>
      <c r="LSY52" s="2"/>
      <c r="LSZ52" s="2"/>
      <c r="LTA52" s="2"/>
      <c r="LTB52" s="2"/>
      <c r="LTC52" s="2"/>
      <c r="LTD52" s="2"/>
      <c r="LTE52" s="2"/>
      <c r="LTF52" s="2"/>
      <c r="LTG52" s="2"/>
      <c r="LTH52" s="2"/>
      <c r="LTI52" s="2"/>
      <c r="LTJ52" s="2"/>
      <c r="LTK52" s="2"/>
      <c r="LTL52" s="2"/>
      <c r="LTM52" s="2"/>
      <c r="LTN52" s="2"/>
      <c r="LTO52" s="2"/>
      <c r="LTP52" s="2"/>
      <c r="LTQ52" s="2"/>
      <c r="LTR52" s="2"/>
      <c r="LTS52" s="2"/>
      <c r="LTT52" s="2"/>
      <c r="LTU52" s="2"/>
      <c r="LTV52" s="2"/>
      <c r="LTW52" s="2"/>
      <c r="LTX52" s="2"/>
      <c r="LTY52" s="2"/>
      <c r="LTZ52" s="2"/>
      <c r="LUA52" s="2"/>
      <c r="LUB52" s="2"/>
      <c r="LUC52" s="2"/>
      <c r="LUD52" s="2"/>
      <c r="LUE52" s="2"/>
      <c r="LUF52" s="2"/>
      <c r="LUG52" s="2"/>
      <c r="LUH52" s="2"/>
      <c r="LUI52" s="2"/>
      <c r="LUJ52" s="2"/>
      <c r="LUK52" s="2"/>
      <c r="LUL52" s="2"/>
      <c r="LUM52" s="2"/>
      <c r="LUN52" s="2"/>
      <c r="LUO52" s="2"/>
      <c r="LUP52" s="2"/>
      <c r="LUQ52" s="2"/>
      <c r="LUR52" s="2"/>
      <c r="LUS52" s="2"/>
      <c r="LUT52" s="2"/>
      <c r="LUU52" s="2"/>
      <c r="LUV52" s="2"/>
      <c r="LUW52" s="2"/>
      <c r="LUX52" s="2"/>
      <c r="LUY52" s="2"/>
      <c r="LUZ52" s="2"/>
      <c r="LVA52" s="2"/>
      <c r="LVB52" s="2"/>
      <c r="LVC52" s="2"/>
      <c r="LVD52" s="2"/>
      <c r="LVE52" s="2"/>
      <c r="LVF52" s="2"/>
      <c r="LVG52" s="2"/>
      <c r="LVH52" s="2"/>
      <c r="LVI52" s="2"/>
      <c r="LVJ52" s="2"/>
      <c r="LVK52" s="2"/>
      <c r="LVL52" s="2"/>
      <c r="LVM52" s="2"/>
      <c r="LVN52" s="2"/>
      <c r="LVO52" s="2"/>
      <c r="LVP52" s="2"/>
      <c r="LVQ52" s="2"/>
      <c r="LVR52" s="2"/>
      <c r="LVS52" s="2"/>
      <c r="LVT52" s="2"/>
      <c r="LVU52" s="2"/>
      <c r="LVV52" s="2"/>
      <c r="LVW52" s="2"/>
      <c r="LVX52" s="2"/>
      <c r="LVY52" s="2"/>
      <c r="LVZ52" s="2"/>
      <c r="LWA52" s="2"/>
      <c r="LWB52" s="2"/>
      <c r="LWC52" s="2"/>
      <c r="LWD52" s="2"/>
      <c r="LWE52" s="2"/>
      <c r="LWF52" s="2"/>
      <c r="LWG52" s="2"/>
      <c r="LWH52" s="2"/>
      <c r="LWI52" s="2"/>
      <c r="LWJ52" s="2"/>
      <c r="LWK52" s="2"/>
      <c r="LWL52" s="2"/>
      <c r="LWM52" s="2"/>
      <c r="LWN52" s="2"/>
      <c r="LWO52" s="2"/>
      <c r="LWP52" s="2"/>
      <c r="LWQ52" s="2"/>
      <c r="LWR52" s="2"/>
      <c r="LWS52" s="2"/>
      <c r="LWT52" s="2"/>
      <c r="LWU52" s="2"/>
      <c r="LWV52" s="2"/>
      <c r="LWW52" s="2"/>
      <c r="LWX52" s="2"/>
      <c r="LWY52" s="2"/>
      <c r="LWZ52" s="2"/>
      <c r="LXA52" s="2"/>
      <c r="LXB52" s="2"/>
      <c r="LXC52" s="2"/>
      <c r="LXD52" s="2"/>
      <c r="LXE52" s="2"/>
      <c r="LXF52" s="2"/>
      <c r="LXG52" s="2"/>
      <c r="LXH52" s="2"/>
      <c r="LXI52" s="2"/>
      <c r="LXJ52" s="2"/>
      <c r="LXK52" s="2"/>
      <c r="LXL52" s="2"/>
      <c r="LXM52" s="2"/>
      <c r="LXN52" s="2"/>
      <c r="LXO52" s="2"/>
      <c r="LXP52" s="2"/>
      <c r="LXQ52" s="2"/>
      <c r="LXR52" s="2"/>
      <c r="LXS52" s="2"/>
      <c r="LXT52" s="2"/>
      <c r="LXU52" s="2"/>
      <c r="LXV52" s="2"/>
      <c r="LXW52" s="2"/>
      <c r="LXX52" s="2"/>
      <c r="LXY52" s="2"/>
      <c r="LXZ52" s="2"/>
      <c r="LYA52" s="2"/>
      <c r="LYB52" s="2"/>
      <c r="LYC52" s="2"/>
      <c r="LYD52" s="2"/>
      <c r="LYE52" s="2"/>
      <c r="LYF52" s="2"/>
      <c r="LYG52" s="2"/>
      <c r="LYH52" s="2"/>
      <c r="LYI52" s="2"/>
      <c r="LYJ52" s="2"/>
      <c r="LYK52" s="2"/>
      <c r="LYL52" s="2"/>
      <c r="LYM52" s="2"/>
      <c r="LYN52" s="2"/>
      <c r="LYO52" s="2"/>
      <c r="LYP52" s="2"/>
      <c r="LYQ52" s="2"/>
      <c r="LYR52" s="2"/>
      <c r="LYS52" s="2"/>
      <c r="LYT52" s="2"/>
      <c r="LYU52" s="2"/>
      <c r="LYV52" s="2"/>
      <c r="LYW52" s="2"/>
      <c r="LYX52" s="2"/>
      <c r="LYY52" s="2"/>
      <c r="LYZ52" s="2"/>
      <c r="LZA52" s="2"/>
      <c r="LZB52" s="2"/>
      <c r="LZC52" s="2"/>
      <c r="LZD52" s="2"/>
      <c r="LZE52" s="2"/>
      <c r="LZF52" s="2"/>
      <c r="LZG52" s="2"/>
      <c r="LZH52" s="2"/>
      <c r="LZI52" s="2"/>
      <c r="LZJ52" s="2"/>
      <c r="LZK52" s="2"/>
      <c r="LZL52" s="2"/>
      <c r="LZM52" s="2"/>
      <c r="LZN52" s="2"/>
      <c r="LZO52" s="2"/>
      <c r="LZP52" s="2"/>
      <c r="LZQ52" s="2"/>
      <c r="LZR52" s="2"/>
      <c r="LZS52" s="2"/>
      <c r="LZT52" s="2"/>
      <c r="LZU52" s="2"/>
      <c r="LZV52" s="2"/>
      <c r="LZW52" s="2"/>
      <c r="LZX52" s="2"/>
      <c r="LZY52" s="2"/>
      <c r="LZZ52" s="2"/>
      <c r="MAA52" s="2"/>
      <c r="MAB52" s="2"/>
      <c r="MAC52" s="2"/>
      <c r="MAD52" s="2"/>
      <c r="MAE52" s="2"/>
      <c r="MAF52" s="2"/>
      <c r="MAG52" s="2"/>
      <c r="MAH52" s="2"/>
      <c r="MAI52" s="2"/>
      <c r="MAJ52" s="2"/>
      <c r="MAK52" s="2"/>
      <c r="MAL52" s="2"/>
      <c r="MAM52" s="2"/>
      <c r="MAN52" s="2"/>
      <c r="MAO52" s="2"/>
      <c r="MAP52" s="2"/>
      <c r="MAQ52" s="2"/>
      <c r="MAR52" s="2"/>
      <c r="MAS52" s="2"/>
      <c r="MAT52" s="2"/>
      <c r="MAU52" s="2"/>
      <c r="MAV52" s="2"/>
      <c r="MAW52" s="2"/>
      <c r="MAX52" s="2"/>
      <c r="MAY52" s="2"/>
      <c r="MAZ52" s="2"/>
      <c r="MBA52" s="2"/>
      <c r="MBB52" s="2"/>
      <c r="MBC52" s="2"/>
      <c r="MBD52" s="2"/>
      <c r="MBE52" s="2"/>
      <c r="MBF52" s="2"/>
      <c r="MBG52" s="2"/>
      <c r="MBH52" s="2"/>
      <c r="MBI52" s="2"/>
      <c r="MBJ52" s="2"/>
      <c r="MBK52" s="2"/>
      <c r="MBL52" s="2"/>
      <c r="MBM52" s="2"/>
      <c r="MBN52" s="2"/>
      <c r="MBO52" s="2"/>
      <c r="MBP52" s="2"/>
      <c r="MBQ52" s="2"/>
      <c r="MBR52" s="2"/>
      <c r="MBS52" s="2"/>
      <c r="MBT52" s="2"/>
      <c r="MBU52" s="2"/>
      <c r="MBV52" s="2"/>
      <c r="MBW52" s="2"/>
      <c r="MBX52" s="2"/>
      <c r="MBY52" s="2"/>
      <c r="MBZ52" s="2"/>
      <c r="MCA52" s="2"/>
      <c r="MCB52" s="2"/>
      <c r="MCC52" s="2"/>
      <c r="MCD52" s="2"/>
      <c r="MCE52" s="2"/>
      <c r="MCF52" s="2"/>
      <c r="MCG52" s="2"/>
      <c r="MCH52" s="2"/>
      <c r="MCI52" s="2"/>
      <c r="MCJ52" s="2"/>
      <c r="MCK52" s="2"/>
      <c r="MCL52" s="2"/>
      <c r="MCM52" s="2"/>
      <c r="MCN52" s="2"/>
      <c r="MCO52" s="2"/>
      <c r="MCP52" s="2"/>
      <c r="MCQ52" s="2"/>
      <c r="MCR52" s="2"/>
      <c r="MCS52" s="2"/>
      <c r="MCT52" s="2"/>
      <c r="MCU52" s="2"/>
      <c r="MCV52" s="2"/>
      <c r="MCW52" s="2"/>
      <c r="MCX52" s="2"/>
      <c r="MCY52" s="2"/>
      <c r="MCZ52" s="2"/>
      <c r="MDA52" s="2"/>
      <c r="MDB52" s="2"/>
      <c r="MDC52" s="2"/>
      <c r="MDD52" s="2"/>
      <c r="MDE52" s="2"/>
      <c r="MDF52" s="2"/>
      <c r="MDG52" s="2"/>
      <c r="MDH52" s="2"/>
      <c r="MDI52" s="2"/>
      <c r="MDJ52" s="2"/>
      <c r="MDK52" s="2"/>
      <c r="MDL52" s="2"/>
      <c r="MDM52" s="2"/>
      <c r="MDN52" s="2"/>
      <c r="MDO52" s="2"/>
      <c r="MDP52" s="2"/>
      <c r="MDQ52" s="2"/>
      <c r="MDR52" s="2"/>
      <c r="MDS52" s="2"/>
      <c r="MDT52" s="2"/>
      <c r="MDU52" s="2"/>
      <c r="MDV52" s="2"/>
      <c r="MDW52" s="2"/>
      <c r="MDX52" s="2"/>
      <c r="MDY52" s="2"/>
      <c r="MDZ52" s="2"/>
      <c r="MEA52" s="2"/>
      <c r="MEB52" s="2"/>
      <c r="MEC52" s="2"/>
      <c r="MED52" s="2"/>
      <c r="MEE52" s="2"/>
      <c r="MEF52" s="2"/>
      <c r="MEG52" s="2"/>
      <c r="MEH52" s="2"/>
      <c r="MEI52" s="2"/>
      <c r="MEJ52" s="2"/>
      <c r="MEK52" s="2"/>
      <c r="MEL52" s="2"/>
      <c r="MEM52" s="2"/>
      <c r="MEN52" s="2"/>
      <c r="MEO52" s="2"/>
      <c r="MEP52" s="2"/>
      <c r="MEQ52" s="2"/>
      <c r="MER52" s="2"/>
      <c r="MES52" s="2"/>
      <c r="MET52" s="2"/>
      <c r="MEU52" s="2"/>
      <c r="MEV52" s="2"/>
      <c r="MEW52" s="2"/>
      <c r="MEX52" s="2"/>
      <c r="MEY52" s="2"/>
      <c r="MEZ52" s="2"/>
      <c r="MFA52" s="2"/>
      <c r="MFB52" s="2"/>
      <c r="MFC52" s="2"/>
      <c r="MFD52" s="2"/>
      <c r="MFE52" s="2"/>
      <c r="MFF52" s="2"/>
      <c r="MFG52" s="2"/>
      <c r="MFH52" s="2"/>
      <c r="MFI52" s="2"/>
      <c r="MFJ52" s="2"/>
      <c r="MFK52" s="2"/>
      <c r="MFL52" s="2"/>
      <c r="MFM52" s="2"/>
      <c r="MFN52" s="2"/>
      <c r="MFO52" s="2"/>
      <c r="MFP52" s="2"/>
      <c r="MFQ52" s="2"/>
      <c r="MFR52" s="2"/>
      <c r="MFS52" s="2"/>
      <c r="MFT52" s="2"/>
      <c r="MFU52" s="2"/>
      <c r="MFV52" s="2"/>
      <c r="MFW52" s="2"/>
      <c r="MFX52" s="2"/>
      <c r="MFY52" s="2"/>
      <c r="MFZ52" s="2"/>
      <c r="MGA52" s="2"/>
      <c r="MGB52" s="2"/>
      <c r="MGC52" s="2"/>
      <c r="MGD52" s="2"/>
      <c r="MGE52" s="2"/>
      <c r="MGF52" s="2"/>
      <c r="MGG52" s="2"/>
      <c r="MGH52" s="2"/>
      <c r="MGI52" s="2"/>
      <c r="MGJ52" s="2"/>
      <c r="MGK52" s="2"/>
      <c r="MGL52" s="2"/>
      <c r="MGM52" s="2"/>
      <c r="MGN52" s="2"/>
      <c r="MGO52" s="2"/>
      <c r="MGP52" s="2"/>
      <c r="MGQ52" s="2"/>
      <c r="MGR52" s="2"/>
      <c r="MGS52" s="2"/>
      <c r="MGT52" s="2"/>
      <c r="MGU52" s="2"/>
      <c r="MGV52" s="2"/>
      <c r="MGW52" s="2"/>
      <c r="MGX52" s="2"/>
      <c r="MGY52" s="2"/>
      <c r="MGZ52" s="2"/>
      <c r="MHA52" s="2"/>
      <c r="MHB52" s="2"/>
      <c r="MHC52" s="2"/>
      <c r="MHD52" s="2"/>
      <c r="MHE52" s="2"/>
      <c r="MHF52" s="2"/>
      <c r="MHG52" s="2"/>
      <c r="MHH52" s="2"/>
      <c r="MHI52" s="2"/>
      <c r="MHJ52" s="2"/>
      <c r="MHK52" s="2"/>
      <c r="MHL52" s="2"/>
      <c r="MHM52" s="2"/>
      <c r="MHN52" s="2"/>
      <c r="MHO52" s="2"/>
      <c r="MHP52" s="2"/>
      <c r="MHQ52" s="2"/>
      <c r="MHR52" s="2"/>
      <c r="MHS52" s="2"/>
      <c r="MHT52" s="2"/>
      <c r="MHU52" s="2"/>
      <c r="MHV52" s="2"/>
      <c r="MHW52" s="2"/>
      <c r="MHX52" s="2"/>
      <c r="MHY52" s="2"/>
      <c r="MHZ52" s="2"/>
      <c r="MIA52" s="2"/>
      <c r="MIB52" s="2"/>
      <c r="MIC52" s="2"/>
      <c r="MID52" s="2"/>
      <c r="MIE52" s="2"/>
      <c r="MIF52" s="2"/>
      <c r="MIG52" s="2"/>
      <c r="MIH52" s="2"/>
      <c r="MII52" s="2"/>
      <c r="MIJ52" s="2"/>
      <c r="MIK52" s="2"/>
      <c r="MIL52" s="2"/>
      <c r="MIM52" s="2"/>
      <c r="MIN52" s="2"/>
      <c r="MIO52" s="2"/>
      <c r="MIP52" s="2"/>
      <c r="MIQ52" s="2"/>
      <c r="MIR52" s="2"/>
      <c r="MIS52" s="2"/>
      <c r="MIT52" s="2"/>
      <c r="MIU52" s="2"/>
      <c r="MIV52" s="2"/>
      <c r="MIW52" s="2"/>
      <c r="MIX52" s="2"/>
      <c r="MIY52" s="2"/>
      <c r="MIZ52" s="2"/>
      <c r="MJA52" s="2"/>
      <c r="MJB52" s="2"/>
      <c r="MJC52" s="2"/>
      <c r="MJD52" s="2"/>
      <c r="MJE52" s="2"/>
      <c r="MJF52" s="2"/>
      <c r="MJG52" s="2"/>
      <c r="MJH52" s="2"/>
      <c r="MJI52" s="2"/>
      <c r="MJJ52" s="2"/>
      <c r="MJK52" s="2"/>
      <c r="MJL52" s="2"/>
      <c r="MJM52" s="2"/>
      <c r="MJN52" s="2"/>
      <c r="MJO52" s="2"/>
      <c r="MJP52" s="2"/>
      <c r="MJQ52" s="2"/>
      <c r="MJR52" s="2"/>
      <c r="MJS52" s="2"/>
      <c r="MJT52" s="2"/>
      <c r="MJU52" s="2"/>
      <c r="MJV52" s="2"/>
      <c r="MJW52" s="2"/>
      <c r="MJX52" s="2"/>
      <c r="MJY52" s="2"/>
      <c r="MJZ52" s="2"/>
      <c r="MKA52" s="2"/>
      <c r="MKB52" s="2"/>
      <c r="MKC52" s="2"/>
      <c r="MKD52" s="2"/>
      <c r="MKE52" s="2"/>
      <c r="MKF52" s="2"/>
      <c r="MKG52" s="2"/>
      <c r="MKH52" s="2"/>
      <c r="MKI52" s="2"/>
      <c r="MKJ52" s="2"/>
      <c r="MKK52" s="2"/>
      <c r="MKL52" s="2"/>
      <c r="MKM52" s="2"/>
      <c r="MKN52" s="2"/>
      <c r="MKO52" s="2"/>
      <c r="MKP52" s="2"/>
      <c r="MKQ52" s="2"/>
      <c r="MKR52" s="2"/>
      <c r="MKS52" s="2"/>
      <c r="MKT52" s="2"/>
      <c r="MKU52" s="2"/>
      <c r="MKV52" s="2"/>
      <c r="MKW52" s="2"/>
      <c r="MKX52" s="2"/>
      <c r="MKY52" s="2"/>
      <c r="MKZ52" s="2"/>
      <c r="MLA52" s="2"/>
      <c r="MLB52" s="2"/>
      <c r="MLC52" s="2"/>
      <c r="MLD52" s="2"/>
      <c r="MLE52" s="2"/>
      <c r="MLF52" s="2"/>
      <c r="MLG52" s="2"/>
      <c r="MLH52" s="2"/>
      <c r="MLI52" s="2"/>
      <c r="MLJ52" s="2"/>
      <c r="MLK52" s="2"/>
      <c r="MLL52" s="2"/>
      <c r="MLM52" s="2"/>
      <c r="MLN52" s="2"/>
      <c r="MLO52" s="2"/>
      <c r="MLP52" s="2"/>
      <c r="MLQ52" s="2"/>
      <c r="MLR52" s="2"/>
      <c r="MLS52" s="2"/>
      <c r="MLT52" s="2"/>
      <c r="MLU52" s="2"/>
      <c r="MLV52" s="2"/>
      <c r="MLW52" s="2"/>
      <c r="MLX52" s="2"/>
      <c r="MLY52" s="2"/>
      <c r="MLZ52" s="2"/>
      <c r="MMA52" s="2"/>
      <c r="MMB52" s="2"/>
      <c r="MMC52" s="2"/>
      <c r="MMD52" s="2"/>
      <c r="MME52" s="2"/>
      <c r="MMF52" s="2"/>
      <c r="MMG52" s="2"/>
      <c r="MMH52" s="2"/>
      <c r="MMI52" s="2"/>
      <c r="MMJ52" s="2"/>
      <c r="MMK52" s="2"/>
      <c r="MML52" s="2"/>
      <c r="MMM52" s="2"/>
      <c r="MMN52" s="2"/>
      <c r="MMO52" s="2"/>
      <c r="MMP52" s="2"/>
      <c r="MMQ52" s="2"/>
      <c r="MMR52" s="2"/>
      <c r="MMS52" s="2"/>
      <c r="MMT52" s="2"/>
      <c r="MMU52" s="2"/>
      <c r="MMV52" s="2"/>
      <c r="MMW52" s="2"/>
      <c r="MMX52" s="2"/>
      <c r="MMY52" s="2"/>
      <c r="MMZ52" s="2"/>
      <c r="MNA52" s="2"/>
      <c r="MNB52" s="2"/>
      <c r="MNC52" s="2"/>
      <c r="MND52" s="2"/>
      <c r="MNE52" s="2"/>
      <c r="MNF52" s="2"/>
      <c r="MNG52" s="2"/>
      <c r="MNH52" s="2"/>
      <c r="MNI52" s="2"/>
      <c r="MNJ52" s="2"/>
      <c r="MNK52" s="2"/>
      <c r="MNL52" s="2"/>
      <c r="MNM52" s="2"/>
      <c r="MNN52" s="2"/>
      <c r="MNO52" s="2"/>
      <c r="MNP52" s="2"/>
      <c r="MNQ52" s="2"/>
      <c r="MNR52" s="2"/>
      <c r="MNS52" s="2"/>
      <c r="MNT52" s="2"/>
      <c r="MNU52" s="2"/>
      <c r="MNV52" s="2"/>
      <c r="MNW52" s="2"/>
      <c r="MNX52" s="2"/>
      <c r="MNY52" s="2"/>
      <c r="MNZ52" s="2"/>
      <c r="MOA52" s="2"/>
      <c r="MOB52" s="2"/>
      <c r="MOC52" s="2"/>
      <c r="MOD52" s="2"/>
      <c r="MOE52" s="2"/>
      <c r="MOF52" s="2"/>
      <c r="MOG52" s="2"/>
      <c r="MOH52" s="2"/>
      <c r="MOI52" s="2"/>
      <c r="MOJ52" s="2"/>
      <c r="MOK52" s="2"/>
      <c r="MOL52" s="2"/>
      <c r="MOM52" s="2"/>
      <c r="MON52" s="2"/>
      <c r="MOO52" s="2"/>
      <c r="MOP52" s="2"/>
      <c r="MOQ52" s="2"/>
      <c r="MOR52" s="2"/>
      <c r="MOS52" s="2"/>
      <c r="MOT52" s="2"/>
      <c r="MOU52" s="2"/>
      <c r="MOV52" s="2"/>
      <c r="MOW52" s="2"/>
      <c r="MOX52" s="2"/>
      <c r="MOY52" s="2"/>
      <c r="MOZ52" s="2"/>
      <c r="MPA52" s="2"/>
      <c r="MPB52" s="2"/>
      <c r="MPC52" s="2"/>
      <c r="MPD52" s="2"/>
      <c r="MPE52" s="2"/>
      <c r="MPF52" s="2"/>
      <c r="MPG52" s="2"/>
      <c r="MPH52" s="2"/>
      <c r="MPI52" s="2"/>
      <c r="MPJ52" s="2"/>
      <c r="MPK52" s="2"/>
      <c r="MPL52" s="2"/>
      <c r="MPM52" s="2"/>
      <c r="MPN52" s="2"/>
      <c r="MPO52" s="2"/>
      <c r="MPP52" s="2"/>
      <c r="MPQ52" s="2"/>
      <c r="MPR52" s="2"/>
      <c r="MPS52" s="2"/>
      <c r="MPT52" s="2"/>
      <c r="MPU52" s="2"/>
      <c r="MPV52" s="2"/>
      <c r="MPW52" s="2"/>
      <c r="MPX52" s="2"/>
      <c r="MPY52" s="2"/>
      <c r="MPZ52" s="2"/>
      <c r="MQA52" s="2"/>
      <c r="MQB52" s="2"/>
      <c r="MQC52" s="2"/>
      <c r="MQD52" s="2"/>
      <c r="MQE52" s="2"/>
      <c r="MQF52" s="2"/>
      <c r="MQG52" s="2"/>
      <c r="MQH52" s="2"/>
      <c r="MQI52" s="2"/>
      <c r="MQJ52" s="2"/>
      <c r="MQK52" s="2"/>
      <c r="MQL52" s="2"/>
      <c r="MQM52" s="2"/>
      <c r="MQN52" s="2"/>
      <c r="MQO52" s="2"/>
      <c r="MQP52" s="2"/>
      <c r="MQQ52" s="2"/>
      <c r="MQR52" s="2"/>
      <c r="MQS52" s="2"/>
      <c r="MQT52" s="2"/>
      <c r="MQU52" s="2"/>
      <c r="MQV52" s="2"/>
      <c r="MQW52" s="2"/>
      <c r="MQX52" s="2"/>
      <c r="MQY52" s="2"/>
      <c r="MQZ52" s="2"/>
      <c r="MRA52" s="2"/>
      <c r="MRB52" s="2"/>
      <c r="MRC52" s="2"/>
      <c r="MRD52" s="2"/>
      <c r="MRE52" s="2"/>
      <c r="MRF52" s="2"/>
      <c r="MRG52" s="2"/>
      <c r="MRH52" s="2"/>
      <c r="MRI52" s="2"/>
      <c r="MRJ52" s="2"/>
      <c r="MRK52" s="2"/>
      <c r="MRL52" s="2"/>
      <c r="MRM52" s="2"/>
      <c r="MRN52" s="2"/>
      <c r="MRO52" s="2"/>
      <c r="MRP52" s="2"/>
      <c r="MRQ52" s="2"/>
      <c r="MRR52" s="2"/>
      <c r="MRS52" s="2"/>
      <c r="MRT52" s="2"/>
      <c r="MRU52" s="2"/>
      <c r="MRV52" s="2"/>
      <c r="MRW52" s="2"/>
      <c r="MRX52" s="2"/>
      <c r="MRY52" s="2"/>
      <c r="MRZ52" s="2"/>
      <c r="MSA52" s="2"/>
      <c r="MSB52" s="2"/>
      <c r="MSC52" s="2"/>
      <c r="MSD52" s="2"/>
      <c r="MSE52" s="2"/>
      <c r="MSF52" s="2"/>
      <c r="MSG52" s="2"/>
      <c r="MSH52" s="2"/>
      <c r="MSI52" s="2"/>
      <c r="MSJ52" s="2"/>
      <c r="MSK52" s="2"/>
      <c r="MSL52" s="2"/>
      <c r="MSM52" s="2"/>
      <c r="MSN52" s="2"/>
      <c r="MSO52" s="2"/>
      <c r="MSP52" s="2"/>
      <c r="MSQ52" s="2"/>
      <c r="MSR52" s="2"/>
      <c r="MSS52" s="2"/>
      <c r="MST52" s="2"/>
      <c r="MSU52" s="2"/>
      <c r="MSV52" s="2"/>
      <c r="MSW52" s="2"/>
      <c r="MSX52" s="2"/>
      <c r="MSY52" s="2"/>
      <c r="MSZ52" s="2"/>
      <c r="MTA52" s="2"/>
      <c r="MTB52" s="2"/>
      <c r="MTC52" s="2"/>
      <c r="MTD52" s="2"/>
      <c r="MTE52" s="2"/>
      <c r="MTF52" s="2"/>
      <c r="MTG52" s="2"/>
      <c r="MTH52" s="2"/>
      <c r="MTI52" s="2"/>
      <c r="MTJ52" s="2"/>
      <c r="MTK52" s="2"/>
      <c r="MTL52" s="2"/>
      <c r="MTM52" s="2"/>
      <c r="MTN52" s="2"/>
      <c r="MTO52" s="2"/>
      <c r="MTP52" s="2"/>
      <c r="MTQ52" s="2"/>
      <c r="MTR52" s="2"/>
      <c r="MTS52" s="2"/>
      <c r="MTT52" s="2"/>
      <c r="MTU52" s="2"/>
      <c r="MTV52" s="2"/>
      <c r="MTW52" s="2"/>
      <c r="MTX52" s="2"/>
      <c r="MTY52" s="2"/>
      <c r="MTZ52" s="2"/>
      <c r="MUA52" s="2"/>
      <c r="MUB52" s="2"/>
      <c r="MUC52" s="2"/>
      <c r="MUD52" s="2"/>
      <c r="MUE52" s="2"/>
      <c r="MUF52" s="2"/>
      <c r="MUG52" s="2"/>
      <c r="MUH52" s="2"/>
      <c r="MUI52" s="2"/>
      <c r="MUJ52" s="2"/>
      <c r="MUK52" s="2"/>
      <c r="MUL52" s="2"/>
      <c r="MUM52" s="2"/>
      <c r="MUN52" s="2"/>
      <c r="MUO52" s="2"/>
      <c r="MUP52" s="2"/>
      <c r="MUQ52" s="2"/>
      <c r="MUR52" s="2"/>
      <c r="MUS52" s="2"/>
      <c r="MUT52" s="2"/>
      <c r="MUU52" s="2"/>
      <c r="MUV52" s="2"/>
      <c r="MUW52" s="2"/>
      <c r="MUX52" s="2"/>
      <c r="MUY52" s="2"/>
      <c r="MUZ52" s="2"/>
      <c r="MVA52" s="2"/>
      <c r="MVB52" s="2"/>
      <c r="MVC52" s="2"/>
      <c r="MVD52" s="2"/>
      <c r="MVE52" s="2"/>
      <c r="MVF52" s="2"/>
      <c r="MVG52" s="2"/>
      <c r="MVH52" s="2"/>
      <c r="MVI52" s="2"/>
      <c r="MVJ52" s="2"/>
      <c r="MVK52" s="2"/>
      <c r="MVL52" s="2"/>
      <c r="MVM52" s="2"/>
      <c r="MVN52" s="2"/>
      <c r="MVO52" s="2"/>
      <c r="MVP52" s="2"/>
      <c r="MVQ52" s="2"/>
      <c r="MVR52" s="2"/>
      <c r="MVS52" s="2"/>
      <c r="MVT52" s="2"/>
      <c r="MVU52" s="2"/>
      <c r="MVV52" s="2"/>
      <c r="MVW52" s="2"/>
      <c r="MVX52" s="2"/>
      <c r="MVY52" s="2"/>
      <c r="MVZ52" s="2"/>
      <c r="MWA52" s="2"/>
      <c r="MWB52" s="2"/>
      <c r="MWC52" s="2"/>
      <c r="MWD52" s="2"/>
      <c r="MWE52" s="2"/>
      <c r="MWF52" s="2"/>
      <c r="MWG52" s="2"/>
      <c r="MWH52" s="2"/>
      <c r="MWI52" s="2"/>
      <c r="MWJ52" s="2"/>
      <c r="MWK52" s="2"/>
      <c r="MWL52" s="2"/>
      <c r="MWM52" s="2"/>
      <c r="MWN52" s="2"/>
      <c r="MWO52" s="2"/>
      <c r="MWP52" s="2"/>
      <c r="MWQ52" s="2"/>
      <c r="MWR52" s="2"/>
      <c r="MWS52" s="2"/>
      <c r="MWT52" s="2"/>
      <c r="MWU52" s="2"/>
      <c r="MWV52" s="2"/>
      <c r="MWW52" s="2"/>
      <c r="MWX52" s="2"/>
      <c r="MWY52" s="2"/>
      <c r="MWZ52" s="2"/>
      <c r="MXA52" s="2"/>
      <c r="MXB52" s="2"/>
      <c r="MXC52" s="2"/>
      <c r="MXD52" s="2"/>
      <c r="MXE52" s="2"/>
      <c r="MXF52" s="2"/>
      <c r="MXG52" s="2"/>
      <c r="MXH52" s="2"/>
      <c r="MXI52" s="2"/>
      <c r="MXJ52" s="2"/>
      <c r="MXK52" s="2"/>
      <c r="MXL52" s="2"/>
      <c r="MXM52" s="2"/>
      <c r="MXN52" s="2"/>
      <c r="MXO52" s="2"/>
      <c r="MXP52" s="2"/>
      <c r="MXQ52" s="2"/>
      <c r="MXR52" s="2"/>
      <c r="MXS52" s="2"/>
      <c r="MXT52" s="2"/>
      <c r="MXU52" s="2"/>
      <c r="MXV52" s="2"/>
      <c r="MXW52" s="2"/>
      <c r="MXX52" s="2"/>
      <c r="MXY52" s="2"/>
      <c r="MXZ52" s="2"/>
      <c r="MYA52" s="2"/>
      <c r="MYB52" s="2"/>
      <c r="MYC52" s="2"/>
      <c r="MYD52" s="2"/>
      <c r="MYE52" s="2"/>
      <c r="MYF52" s="2"/>
      <c r="MYG52" s="2"/>
      <c r="MYH52" s="2"/>
      <c r="MYI52" s="2"/>
      <c r="MYJ52" s="2"/>
      <c r="MYK52" s="2"/>
      <c r="MYL52" s="2"/>
      <c r="MYM52" s="2"/>
      <c r="MYN52" s="2"/>
      <c r="MYO52" s="2"/>
      <c r="MYP52" s="2"/>
      <c r="MYQ52" s="2"/>
      <c r="MYR52" s="2"/>
      <c r="MYS52" s="2"/>
      <c r="MYT52" s="2"/>
      <c r="MYU52" s="2"/>
      <c r="MYV52" s="2"/>
      <c r="MYW52" s="2"/>
      <c r="MYX52" s="2"/>
      <c r="MYY52" s="2"/>
      <c r="MYZ52" s="2"/>
      <c r="MZA52" s="2"/>
      <c r="MZB52" s="2"/>
      <c r="MZC52" s="2"/>
      <c r="MZD52" s="2"/>
      <c r="MZE52" s="2"/>
      <c r="MZF52" s="2"/>
      <c r="MZG52" s="2"/>
      <c r="MZH52" s="2"/>
      <c r="MZI52" s="2"/>
      <c r="MZJ52" s="2"/>
      <c r="MZK52" s="2"/>
      <c r="MZL52" s="2"/>
      <c r="MZM52" s="2"/>
      <c r="MZN52" s="2"/>
      <c r="MZO52" s="2"/>
      <c r="MZP52" s="2"/>
      <c r="MZQ52" s="2"/>
      <c r="MZR52" s="2"/>
      <c r="MZS52" s="2"/>
      <c r="MZT52" s="2"/>
      <c r="MZU52" s="2"/>
      <c r="MZV52" s="2"/>
      <c r="MZW52" s="2"/>
      <c r="MZX52" s="2"/>
      <c r="MZY52" s="2"/>
      <c r="MZZ52" s="2"/>
      <c r="NAA52" s="2"/>
      <c r="NAB52" s="2"/>
      <c r="NAC52" s="2"/>
      <c r="NAD52" s="2"/>
      <c r="NAE52" s="2"/>
      <c r="NAF52" s="2"/>
      <c r="NAG52" s="2"/>
      <c r="NAH52" s="2"/>
      <c r="NAI52" s="2"/>
      <c r="NAJ52" s="2"/>
      <c r="NAK52" s="2"/>
      <c r="NAL52" s="2"/>
      <c r="NAM52" s="2"/>
      <c r="NAN52" s="2"/>
      <c r="NAO52" s="2"/>
      <c r="NAP52" s="2"/>
      <c r="NAQ52" s="2"/>
      <c r="NAR52" s="2"/>
      <c r="NAS52" s="2"/>
      <c r="NAT52" s="2"/>
      <c r="NAU52" s="2"/>
      <c r="NAV52" s="2"/>
      <c r="NAW52" s="2"/>
      <c r="NAX52" s="2"/>
      <c r="NAY52" s="2"/>
      <c r="NAZ52" s="2"/>
      <c r="NBA52" s="2"/>
      <c r="NBB52" s="2"/>
      <c r="NBC52" s="2"/>
      <c r="NBD52" s="2"/>
      <c r="NBE52" s="2"/>
      <c r="NBF52" s="2"/>
      <c r="NBG52" s="2"/>
      <c r="NBH52" s="2"/>
      <c r="NBI52" s="2"/>
      <c r="NBJ52" s="2"/>
      <c r="NBK52" s="2"/>
      <c r="NBL52" s="2"/>
      <c r="NBM52" s="2"/>
      <c r="NBN52" s="2"/>
      <c r="NBO52" s="2"/>
      <c r="NBP52" s="2"/>
      <c r="NBQ52" s="2"/>
      <c r="NBR52" s="2"/>
      <c r="NBS52" s="2"/>
      <c r="NBT52" s="2"/>
      <c r="NBU52" s="2"/>
      <c r="NBV52" s="2"/>
      <c r="NBW52" s="2"/>
      <c r="NBX52" s="2"/>
      <c r="NBY52" s="2"/>
      <c r="NBZ52" s="2"/>
      <c r="NCA52" s="2"/>
      <c r="NCB52" s="2"/>
      <c r="NCC52" s="2"/>
      <c r="NCD52" s="2"/>
      <c r="NCE52" s="2"/>
      <c r="NCF52" s="2"/>
      <c r="NCG52" s="2"/>
      <c r="NCH52" s="2"/>
      <c r="NCI52" s="2"/>
      <c r="NCJ52" s="2"/>
      <c r="NCK52" s="2"/>
      <c r="NCL52" s="2"/>
      <c r="NCM52" s="2"/>
      <c r="NCN52" s="2"/>
      <c r="NCO52" s="2"/>
      <c r="NCP52" s="2"/>
      <c r="NCQ52" s="2"/>
      <c r="NCR52" s="2"/>
      <c r="NCS52" s="2"/>
      <c r="NCT52" s="2"/>
      <c r="NCU52" s="2"/>
      <c r="NCV52" s="2"/>
      <c r="NCW52" s="2"/>
      <c r="NCX52" s="2"/>
      <c r="NCY52" s="2"/>
      <c r="NCZ52" s="2"/>
      <c r="NDA52" s="2"/>
      <c r="NDB52" s="2"/>
      <c r="NDC52" s="2"/>
      <c r="NDD52" s="2"/>
      <c r="NDE52" s="2"/>
      <c r="NDF52" s="2"/>
      <c r="NDG52" s="2"/>
      <c r="NDH52" s="2"/>
      <c r="NDI52" s="2"/>
      <c r="NDJ52" s="2"/>
      <c r="NDK52" s="2"/>
      <c r="NDL52" s="2"/>
      <c r="NDM52" s="2"/>
      <c r="NDN52" s="2"/>
      <c r="NDO52" s="2"/>
      <c r="NDP52" s="2"/>
      <c r="NDQ52" s="2"/>
      <c r="NDR52" s="2"/>
      <c r="NDS52" s="2"/>
      <c r="NDT52" s="2"/>
      <c r="NDU52" s="2"/>
      <c r="NDV52" s="2"/>
      <c r="NDW52" s="2"/>
      <c r="NDX52" s="2"/>
      <c r="NDY52" s="2"/>
      <c r="NDZ52" s="2"/>
      <c r="NEA52" s="2"/>
      <c r="NEB52" s="2"/>
      <c r="NEC52" s="2"/>
      <c r="NED52" s="2"/>
      <c r="NEE52" s="2"/>
      <c r="NEF52" s="2"/>
      <c r="NEG52" s="2"/>
      <c r="NEH52" s="2"/>
      <c r="NEI52" s="2"/>
      <c r="NEJ52" s="2"/>
      <c r="NEK52" s="2"/>
      <c r="NEL52" s="2"/>
      <c r="NEM52" s="2"/>
      <c r="NEN52" s="2"/>
      <c r="NEO52" s="2"/>
      <c r="NEP52" s="2"/>
      <c r="NEQ52" s="2"/>
      <c r="NER52" s="2"/>
      <c r="NES52" s="2"/>
      <c r="NET52" s="2"/>
      <c r="NEU52" s="2"/>
      <c r="NEV52" s="2"/>
      <c r="NEW52" s="2"/>
      <c r="NEX52" s="2"/>
      <c r="NEY52" s="2"/>
      <c r="NEZ52" s="2"/>
      <c r="NFA52" s="2"/>
      <c r="NFB52" s="2"/>
      <c r="NFC52" s="2"/>
      <c r="NFD52" s="2"/>
      <c r="NFE52" s="2"/>
      <c r="NFF52" s="2"/>
      <c r="NFG52" s="2"/>
      <c r="NFH52" s="2"/>
      <c r="NFI52" s="2"/>
      <c r="NFJ52" s="2"/>
      <c r="NFK52" s="2"/>
      <c r="NFL52" s="2"/>
      <c r="NFM52" s="2"/>
      <c r="NFN52" s="2"/>
      <c r="NFO52" s="2"/>
      <c r="NFP52" s="2"/>
      <c r="NFQ52" s="2"/>
      <c r="NFR52" s="2"/>
      <c r="NFS52" s="2"/>
      <c r="NFT52" s="2"/>
      <c r="NFU52" s="2"/>
      <c r="NFV52" s="2"/>
      <c r="NFW52" s="2"/>
      <c r="NFX52" s="2"/>
      <c r="NFY52" s="2"/>
      <c r="NFZ52" s="2"/>
      <c r="NGA52" s="2"/>
      <c r="NGB52" s="2"/>
      <c r="NGC52" s="2"/>
      <c r="NGD52" s="2"/>
      <c r="NGE52" s="2"/>
      <c r="NGF52" s="2"/>
      <c r="NGG52" s="2"/>
      <c r="NGH52" s="2"/>
      <c r="NGI52" s="2"/>
      <c r="NGJ52" s="2"/>
      <c r="NGK52" s="2"/>
      <c r="NGL52" s="2"/>
      <c r="NGM52" s="2"/>
      <c r="NGN52" s="2"/>
      <c r="NGO52" s="2"/>
      <c r="NGP52" s="2"/>
      <c r="NGQ52" s="2"/>
      <c r="NGR52" s="2"/>
      <c r="NGS52" s="2"/>
      <c r="NGT52" s="2"/>
      <c r="NGU52" s="2"/>
      <c r="NGV52" s="2"/>
      <c r="NGW52" s="2"/>
      <c r="NGX52" s="2"/>
      <c r="NGY52" s="2"/>
      <c r="NGZ52" s="2"/>
      <c r="NHA52" s="2"/>
      <c r="NHB52" s="2"/>
      <c r="NHC52" s="2"/>
      <c r="NHD52" s="2"/>
      <c r="NHE52" s="2"/>
      <c r="NHF52" s="2"/>
      <c r="NHG52" s="2"/>
      <c r="NHH52" s="2"/>
      <c r="NHI52" s="2"/>
      <c r="NHJ52" s="2"/>
      <c r="NHK52" s="2"/>
      <c r="NHL52" s="2"/>
      <c r="NHM52" s="2"/>
      <c r="NHN52" s="2"/>
      <c r="NHO52" s="2"/>
      <c r="NHP52" s="2"/>
      <c r="NHQ52" s="2"/>
      <c r="NHR52" s="2"/>
      <c r="NHS52" s="2"/>
      <c r="NHT52" s="2"/>
      <c r="NHU52" s="2"/>
      <c r="NHV52" s="2"/>
      <c r="NHW52" s="2"/>
      <c r="NHX52" s="2"/>
      <c r="NHY52" s="2"/>
      <c r="NHZ52" s="2"/>
      <c r="NIA52" s="2"/>
      <c r="NIB52" s="2"/>
      <c r="NIC52" s="2"/>
      <c r="NID52" s="2"/>
      <c r="NIE52" s="2"/>
      <c r="NIF52" s="2"/>
      <c r="NIG52" s="2"/>
      <c r="NIH52" s="2"/>
      <c r="NII52" s="2"/>
      <c r="NIJ52" s="2"/>
      <c r="NIK52" s="2"/>
      <c r="NIL52" s="2"/>
      <c r="NIM52" s="2"/>
      <c r="NIN52" s="2"/>
      <c r="NIO52" s="2"/>
      <c r="NIP52" s="2"/>
      <c r="NIQ52" s="2"/>
      <c r="NIR52" s="2"/>
      <c r="NIS52" s="2"/>
      <c r="NIT52" s="2"/>
      <c r="NIU52" s="2"/>
      <c r="NIV52" s="2"/>
      <c r="NIW52" s="2"/>
      <c r="NIX52" s="2"/>
      <c r="NIY52" s="2"/>
      <c r="NIZ52" s="2"/>
      <c r="NJA52" s="2"/>
      <c r="NJB52" s="2"/>
      <c r="NJC52" s="2"/>
      <c r="NJD52" s="2"/>
      <c r="NJE52" s="2"/>
      <c r="NJF52" s="2"/>
      <c r="NJG52" s="2"/>
      <c r="NJH52" s="2"/>
      <c r="NJI52" s="2"/>
      <c r="NJJ52" s="2"/>
      <c r="NJK52" s="2"/>
      <c r="NJL52" s="2"/>
      <c r="NJM52" s="2"/>
      <c r="NJN52" s="2"/>
      <c r="NJO52" s="2"/>
      <c r="NJP52" s="2"/>
      <c r="NJQ52" s="2"/>
      <c r="NJR52" s="2"/>
      <c r="NJS52" s="2"/>
      <c r="NJT52" s="2"/>
      <c r="NJU52" s="2"/>
      <c r="NJV52" s="2"/>
      <c r="NJW52" s="2"/>
      <c r="NJX52" s="2"/>
      <c r="NJY52" s="2"/>
      <c r="NJZ52" s="2"/>
      <c r="NKA52" s="2"/>
      <c r="NKB52" s="2"/>
      <c r="NKC52" s="2"/>
      <c r="NKD52" s="2"/>
      <c r="NKE52" s="2"/>
      <c r="NKF52" s="2"/>
      <c r="NKG52" s="2"/>
      <c r="NKH52" s="2"/>
      <c r="NKI52" s="2"/>
      <c r="NKJ52" s="2"/>
      <c r="NKK52" s="2"/>
      <c r="NKL52" s="2"/>
      <c r="NKM52" s="2"/>
      <c r="NKN52" s="2"/>
      <c r="NKO52" s="2"/>
      <c r="NKP52" s="2"/>
      <c r="NKQ52" s="2"/>
      <c r="NKR52" s="2"/>
      <c r="NKS52" s="2"/>
      <c r="NKT52" s="2"/>
      <c r="NKU52" s="2"/>
      <c r="NKV52" s="2"/>
      <c r="NKW52" s="2"/>
      <c r="NKX52" s="2"/>
      <c r="NKY52" s="2"/>
      <c r="NKZ52" s="2"/>
      <c r="NLA52" s="2"/>
      <c r="NLB52" s="2"/>
      <c r="NLC52" s="2"/>
      <c r="NLD52" s="2"/>
      <c r="NLE52" s="2"/>
      <c r="NLF52" s="2"/>
      <c r="NLG52" s="2"/>
      <c r="NLH52" s="2"/>
      <c r="NLI52" s="2"/>
      <c r="NLJ52" s="2"/>
      <c r="NLK52" s="2"/>
      <c r="NLL52" s="2"/>
      <c r="NLM52" s="2"/>
      <c r="NLN52" s="2"/>
      <c r="NLO52" s="2"/>
      <c r="NLP52" s="2"/>
      <c r="NLQ52" s="2"/>
      <c r="NLR52" s="2"/>
      <c r="NLS52" s="2"/>
      <c r="NLT52" s="2"/>
      <c r="NLU52" s="2"/>
      <c r="NLV52" s="2"/>
      <c r="NLW52" s="2"/>
      <c r="NLX52" s="2"/>
      <c r="NLY52" s="2"/>
      <c r="NLZ52" s="2"/>
      <c r="NMA52" s="2"/>
      <c r="NMB52" s="2"/>
      <c r="NMC52" s="2"/>
      <c r="NMD52" s="2"/>
      <c r="NME52" s="2"/>
      <c r="NMF52" s="2"/>
      <c r="NMG52" s="2"/>
      <c r="NMH52" s="2"/>
      <c r="NMI52" s="2"/>
      <c r="NMJ52" s="2"/>
      <c r="NMK52" s="2"/>
      <c r="NML52" s="2"/>
      <c r="NMM52" s="2"/>
      <c r="NMN52" s="2"/>
      <c r="NMO52" s="2"/>
      <c r="NMP52" s="2"/>
      <c r="NMQ52" s="2"/>
      <c r="NMR52" s="2"/>
      <c r="NMS52" s="2"/>
      <c r="NMT52" s="2"/>
      <c r="NMU52" s="2"/>
      <c r="NMV52" s="2"/>
      <c r="NMW52" s="2"/>
      <c r="NMX52" s="2"/>
      <c r="NMY52" s="2"/>
      <c r="NMZ52" s="2"/>
      <c r="NNA52" s="2"/>
      <c r="NNB52" s="2"/>
      <c r="NNC52" s="2"/>
      <c r="NND52" s="2"/>
      <c r="NNE52" s="2"/>
      <c r="NNF52" s="2"/>
      <c r="NNG52" s="2"/>
      <c r="NNH52" s="2"/>
      <c r="NNI52" s="2"/>
      <c r="NNJ52" s="2"/>
      <c r="NNK52" s="2"/>
      <c r="NNL52" s="2"/>
      <c r="NNM52" s="2"/>
      <c r="NNN52" s="2"/>
      <c r="NNO52" s="2"/>
      <c r="NNP52" s="2"/>
      <c r="NNQ52" s="2"/>
      <c r="NNR52" s="2"/>
      <c r="NNS52" s="2"/>
      <c r="NNT52" s="2"/>
      <c r="NNU52" s="2"/>
      <c r="NNV52" s="2"/>
      <c r="NNW52" s="2"/>
      <c r="NNX52" s="2"/>
      <c r="NNY52" s="2"/>
      <c r="NNZ52" s="2"/>
      <c r="NOA52" s="2"/>
      <c r="NOB52" s="2"/>
      <c r="NOC52" s="2"/>
      <c r="NOD52" s="2"/>
      <c r="NOE52" s="2"/>
      <c r="NOF52" s="2"/>
      <c r="NOG52" s="2"/>
      <c r="NOH52" s="2"/>
      <c r="NOI52" s="2"/>
      <c r="NOJ52" s="2"/>
      <c r="NOK52" s="2"/>
      <c r="NOL52" s="2"/>
      <c r="NOM52" s="2"/>
      <c r="NON52" s="2"/>
      <c r="NOO52" s="2"/>
      <c r="NOP52" s="2"/>
      <c r="NOQ52" s="2"/>
      <c r="NOR52" s="2"/>
      <c r="NOS52" s="2"/>
      <c r="NOT52" s="2"/>
      <c r="NOU52" s="2"/>
      <c r="NOV52" s="2"/>
      <c r="NOW52" s="2"/>
      <c r="NOX52" s="2"/>
      <c r="NOY52" s="2"/>
      <c r="NOZ52" s="2"/>
      <c r="NPA52" s="2"/>
      <c r="NPB52" s="2"/>
      <c r="NPC52" s="2"/>
      <c r="NPD52" s="2"/>
      <c r="NPE52" s="2"/>
      <c r="NPF52" s="2"/>
      <c r="NPG52" s="2"/>
      <c r="NPH52" s="2"/>
      <c r="NPI52" s="2"/>
      <c r="NPJ52" s="2"/>
      <c r="NPK52" s="2"/>
      <c r="NPL52" s="2"/>
      <c r="NPM52" s="2"/>
      <c r="NPN52" s="2"/>
      <c r="NPO52" s="2"/>
      <c r="NPP52" s="2"/>
      <c r="NPQ52" s="2"/>
      <c r="NPR52" s="2"/>
      <c r="NPS52" s="2"/>
      <c r="NPT52" s="2"/>
      <c r="NPU52" s="2"/>
      <c r="NPV52" s="2"/>
      <c r="NPW52" s="2"/>
      <c r="NPX52" s="2"/>
      <c r="NPY52" s="2"/>
      <c r="NPZ52" s="2"/>
      <c r="NQA52" s="2"/>
      <c r="NQB52" s="2"/>
      <c r="NQC52" s="2"/>
      <c r="NQD52" s="2"/>
      <c r="NQE52" s="2"/>
      <c r="NQF52" s="2"/>
      <c r="NQG52" s="2"/>
      <c r="NQH52" s="2"/>
      <c r="NQI52" s="2"/>
      <c r="NQJ52" s="2"/>
      <c r="NQK52" s="2"/>
      <c r="NQL52" s="2"/>
      <c r="NQM52" s="2"/>
      <c r="NQN52" s="2"/>
      <c r="NQO52" s="2"/>
      <c r="NQP52" s="2"/>
      <c r="NQQ52" s="2"/>
      <c r="NQR52" s="2"/>
      <c r="NQS52" s="2"/>
      <c r="NQT52" s="2"/>
      <c r="NQU52" s="2"/>
      <c r="NQV52" s="2"/>
      <c r="NQW52" s="2"/>
      <c r="NQX52" s="2"/>
      <c r="NQY52" s="2"/>
      <c r="NQZ52" s="2"/>
      <c r="NRA52" s="2"/>
      <c r="NRB52" s="2"/>
      <c r="NRC52" s="2"/>
      <c r="NRD52" s="2"/>
      <c r="NRE52" s="2"/>
      <c r="NRF52" s="2"/>
      <c r="NRG52" s="2"/>
      <c r="NRH52" s="2"/>
      <c r="NRI52" s="2"/>
      <c r="NRJ52" s="2"/>
      <c r="NRK52" s="2"/>
      <c r="NRL52" s="2"/>
      <c r="NRM52" s="2"/>
      <c r="NRN52" s="2"/>
      <c r="NRO52" s="2"/>
      <c r="NRP52" s="2"/>
      <c r="NRQ52" s="2"/>
      <c r="NRR52" s="2"/>
      <c r="NRS52" s="2"/>
      <c r="NRT52" s="2"/>
      <c r="NRU52" s="2"/>
      <c r="NRV52" s="2"/>
      <c r="NRW52" s="2"/>
      <c r="NRX52" s="2"/>
      <c r="NRY52" s="2"/>
      <c r="NRZ52" s="2"/>
      <c r="NSA52" s="2"/>
      <c r="NSB52" s="2"/>
      <c r="NSC52" s="2"/>
      <c r="NSD52" s="2"/>
      <c r="NSE52" s="2"/>
      <c r="NSF52" s="2"/>
      <c r="NSG52" s="2"/>
      <c r="NSH52" s="2"/>
      <c r="NSI52" s="2"/>
      <c r="NSJ52" s="2"/>
      <c r="NSK52" s="2"/>
      <c r="NSL52" s="2"/>
      <c r="NSM52" s="2"/>
      <c r="NSN52" s="2"/>
      <c r="NSO52" s="2"/>
      <c r="NSP52" s="2"/>
      <c r="NSQ52" s="2"/>
      <c r="NSR52" s="2"/>
      <c r="NSS52" s="2"/>
      <c r="NST52" s="2"/>
      <c r="NSU52" s="2"/>
      <c r="NSV52" s="2"/>
      <c r="NSW52" s="2"/>
      <c r="NSX52" s="2"/>
      <c r="NSY52" s="2"/>
      <c r="NSZ52" s="2"/>
      <c r="NTA52" s="2"/>
      <c r="NTB52" s="2"/>
      <c r="NTC52" s="2"/>
      <c r="NTD52" s="2"/>
      <c r="NTE52" s="2"/>
      <c r="NTF52" s="2"/>
      <c r="NTG52" s="2"/>
      <c r="NTH52" s="2"/>
      <c r="NTI52" s="2"/>
      <c r="NTJ52" s="2"/>
      <c r="NTK52" s="2"/>
      <c r="NTL52" s="2"/>
      <c r="NTM52" s="2"/>
      <c r="NTN52" s="2"/>
      <c r="NTO52" s="2"/>
      <c r="NTP52" s="2"/>
      <c r="NTQ52" s="2"/>
      <c r="NTR52" s="2"/>
      <c r="NTS52" s="2"/>
      <c r="NTT52" s="2"/>
      <c r="NTU52" s="2"/>
      <c r="NTV52" s="2"/>
      <c r="NTW52" s="2"/>
      <c r="NTX52" s="2"/>
      <c r="NTY52" s="2"/>
      <c r="NTZ52" s="2"/>
      <c r="NUA52" s="2"/>
      <c r="NUB52" s="2"/>
      <c r="NUC52" s="2"/>
      <c r="NUD52" s="2"/>
      <c r="NUE52" s="2"/>
      <c r="NUF52" s="2"/>
      <c r="NUG52" s="2"/>
      <c r="NUH52" s="2"/>
      <c r="NUI52" s="2"/>
      <c r="NUJ52" s="2"/>
      <c r="NUK52" s="2"/>
      <c r="NUL52" s="2"/>
      <c r="NUM52" s="2"/>
      <c r="NUN52" s="2"/>
      <c r="NUO52" s="2"/>
      <c r="NUP52" s="2"/>
      <c r="NUQ52" s="2"/>
      <c r="NUR52" s="2"/>
      <c r="NUS52" s="2"/>
      <c r="NUT52" s="2"/>
      <c r="NUU52" s="2"/>
      <c r="NUV52" s="2"/>
      <c r="NUW52" s="2"/>
      <c r="NUX52" s="2"/>
      <c r="NUY52" s="2"/>
      <c r="NUZ52" s="2"/>
      <c r="NVA52" s="2"/>
      <c r="NVB52" s="2"/>
      <c r="NVC52" s="2"/>
      <c r="NVD52" s="2"/>
      <c r="NVE52" s="2"/>
      <c r="NVF52" s="2"/>
      <c r="NVG52" s="2"/>
      <c r="NVH52" s="2"/>
      <c r="NVI52" s="2"/>
      <c r="NVJ52" s="2"/>
      <c r="NVK52" s="2"/>
      <c r="NVL52" s="2"/>
      <c r="NVM52" s="2"/>
      <c r="NVN52" s="2"/>
      <c r="NVO52" s="2"/>
      <c r="NVP52" s="2"/>
      <c r="NVQ52" s="2"/>
      <c r="NVR52" s="2"/>
      <c r="NVS52" s="2"/>
      <c r="NVT52" s="2"/>
      <c r="NVU52" s="2"/>
      <c r="NVV52" s="2"/>
      <c r="NVW52" s="2"/>
      <c r="NVX52" s="2"/>
      <c r="NVY52" s="2"/>
      <c r="NVZ52" s="2"/>
      <c r="NWA52" s="2"/>
      <c r="NWB52" s="2"/>
      <c r="NWC52" s="2"/>
      <c r="NWD52" s="2"/>
      <c r="NWE52" s="2"/>
      <c r="NWF52" s="2"/>
      <c r="NWG52" s="2"/>
      <c r="NWH52" s="2"/>
      <c r="NWI52" s="2"/>
      <c r="NWJ52" s="2"/>
      <c r="NWK52" s="2"/>
      <c r="NWL52" s="2"/>
      <c r="NWM52" s="2"/>
      <c r="NWN52" s="2"/>
      <c r="NWO52" s="2"/>
      <c r="NWP52" s="2"/>
      <c r="NWQ52" s="2"/>
      <c r="NWR52" s="2"/>
      <c r="NWS52" s="2"/>
      <c r="NWT52" s="2"/>
      <c r="NWU52" s="2"/>
      <c r="NWV52" s="2"/>
      <c r="NWW52" s="2"/>
      <c r="NWX52" s="2"/>
      <c r="NWY52" s="2"/>
      <c r="NWZ52" s="2"/>
      <c r="NXA52" s="2"/>
      <c r="NXB52" s="2"/>
      <c r="NXC52" s="2"/>
      <c r="NXD52" s="2"/>
      <c r="NXE52" s="2"/>
      <c r="NXF52" s="2"/>
      <c r="NXG52" s="2"/>
      <c r="NXH52" s="2"/>
      <c r="NXI52" s="2"/>
      <c r="NXJ52" s="2"/>
      <c r="NXK52" s="2"/>
      <c r="NXL52" s="2"/>
      <c r="NXM52" s="2"/>
      <c r="NXN52" s="2"/>
      <c r="NXO52" s="2"/>
      <c r="NXP52" s="2"/>
      <c r="NXQ52" s="2"/>
      <c r="NXR52" s="2"/>
      <c r="NXS52" s="2"/>
      <c r="NXT52" s="2"/>
      <c r="NXU52" s="2"/>
      <c r="NXV52" s="2"/>
      <c r="NXW52" s="2"/>
      <c r="NXX52" s="2"/>
      <c r="NXY52" s="2"/>
      <c r="NXZ52" s="2"/>
      <c r="NYA52" s="2"/>
      <c r="NYB52" s="2"/>
      <c r="NYC52" s="2"/>
      <c r="NYD52" s="2"/>
      <c r="NYE52" s="2"/>
      <c r="NYF52" s="2"/>
      <c r="NYG52" s="2"/>
      <c r="NYH52" s="2"/>
      <c r="NYI52" s="2"/>
      <c r="NYJ52" s="2"/>
      <c r="NYK52" s="2"/>
      <c r="NYL52" s="2"/>
      <c r="NYM52" s="2"/>
      <c r="NYN52" s="2"/>
      <c r="NYO52" s="2"/>
      <c r="NYP52" s="2"/>
      <c r="NYQ52" s="2"/>
      <c r="NYR52" s="2"/>
      <c r="NYS52" s="2"/>
      <c r="NYT52" s="2"/>
      <c r="NYU52" s="2"/>
      <c r="NYV52" s="2"/>
      <c r="NYW52" s="2"/>
      <c r="NYX52" s="2"/>
      <c r="NYY52" s="2"/>
      <c r="NYZ52" s="2"/>
      <c r="NZA52" s="2"/>
      <c r="NZB52" s="2"/>
      <c r="NZC52" s="2"/>
      <c r="NZD52" s="2"/>
      <c r="NZE52" s="2"/>
      <c r="NZF52" s="2"/>
      <c r="NZG52" s="2"/>
      <c r="NZH52" s="2"/>
      <c r="NZI52" s="2"/>
      <c r="NZJ52" s="2"/>
      <c r="NZK52" s="2"/>
      <c r="NZL52" s="2"/>
      <c r="NZM52" s="2"/>
      <c r="NZN52" s="2"/>
      <c r="NZO52" s="2"/>
      <c r="NZP52" s="2"/>
      <c r="NZQ52" s="2"/>
      <c r="NZR52" s="2"/>
      <c r="NZS52" s="2"/>
      <c r="NZT52" s="2"/>
      <c r="NZU52" s="2"/>
      <c r="NZV52" s="2"/>
      <c r="NZW52" s="2"/>
      <c r="NZX52" s="2"/>
      <c r="NZY52" s="2"/>
      <c r="NZZ52" s="2"/>
      <c r="OAA52" s="2"/>
      <c r="OAB52" s="2"/>
      <c r="OAC52" s="2"/>
      <c r="OAD52" s="2"/>
      <c r="OAE52" s="2"/>
      <c r="OAF52" s="2"/>
      <c r="OAG52" s="2"/>
      <c r="OAH52" s="2"/>
      <c r="OAI52" s="2"/>
      <c r="OAJ52" s="2"/>
      <c r="OAK52" s="2"/>
      <c r="OAL52" s="2"/>
      <c r="OAM52" s="2"/>
      <c r="OAN52" s="2"/>
      <c r="OAO52" s="2"/>
      <c r="OAP52" s="2"/>
      <c r="OAQ52" s="2"/>
      <c r="OAR52" s="2"/>
      <c r="OAS52" s="2"/>
      <c r="OAT52" s="2"/>
      <c r="OAU52" s="2"/>
      <c r="OAV52" s="2"/>
      <c r="OAW52" s="2"/>
      <c r="OAX52" s="2"/>
      <c r="OAY52" s="2"/>
      <c r="OAZ52" s="2"/>
      <c r="OBA52" s="2"/>
      <c r="OBB52" s="2"/>
      <c r="OBC52" s="2"/>
      <c r="OBD52" s="2"/>
      <c r="OBE52" s="2"/>
      <c r="OBF52" s="2"/>
      <c r="OBG52" s="2"/>
      <c r="OBH52" s="2"/>
      <c r="OBI52" s="2"/>
      <c r="OBJ52" s="2"/>
      <c r="OBK52" s="2"/>
      <c r="OBL52" s="2"/>
      <c r="OBM52" s="2"/>
      <c r="OBN52" s="2"/>
      <c r="OBO52" s="2"/>
      <c r="OBP52" s="2"/>
      <c r="OBQ52" s="2"/>
      <c r="OBR52" s="2"/>
      <c r="OBS52" s="2"/>
      <c r="OBT52" s="2"/>
      <c r="OBU52" s="2"/>
      <c r="OBV52" s="2"/>
      <c r="OBW52" s="2"/>
      <c r="OBX52" s="2"/>
      <c r="OBY52" s="2"/>
      <c r="OBZ52" s="2"/>
      <c r="OCA52" s="2"/>
      <c r="OCB52" s="2"/>
      <c r="OCC52" s="2"/>
      <c r="OCD52" s="2"/>
      <c r="OCE52" s="2"/>
      <c r="OCF52" s="2"/>
      <c r="OCG52" s="2"/>
      <c r="OCH52" s="2"/>
      <c r="OCI52" s="2"/>
      <c r="OCJ52" s="2"/>
      <c r="OCK52" s="2"/>
      <c r="OCL52" s="2"/>
      <c r="OCM52" s="2"/>
      <c r="OCN52" s="2"/>
      <c r="OCO52" s="2"/>
      <c r="OCP52" s="2"/>
      <c r="OCQ52" s="2"/>
      <c r="OCR52" s="2"/>
      <c r="OCS52" s="2"/>
      <c r="OCT52" s="2"/>
      <c r="OCU52" s="2"/>
      <c r="OCV52" s="2"/>
      <c r="OCW52" s="2"/>
      <c r="OCX52" s="2"/>
      <c r="OCY52" s="2"/>
      <c r="OCZ52" s="2"/>
      <c r="ODA52" s="2"/>
      <c r="ODB52" s="2"/>
      <c r="ODC52" s="2"/>
      <c r="ODD52" s="2"/>
      <c r="ODE52" s="2"/>
      <c r="ODF52" s="2"/>
      <c r="ODG52" s="2"/>
      <c r="ODH52" s="2"/>
      <c r="ODI52" s="2"/>
      <c r="ODJ52" s="2"/>
      <c r="ODK52" s="2"/>
      <c r="ODL52" s="2"/>
      <c r="ODM52" s="2"/>
      <c r="ODN52" s="2"/>
      <c r="ODO52" s="2"/>
      <c r="ODP52" s="2"/>
      <c r="ODQ52" s="2"/>
      <c r="ODR52" s="2"/>
      <c r="ODS52" s="2"/>
      <c r="ODT52" s="2"/>
      <c r="ODU52" s="2"/>
      <c r="ODV52" s="2"/>
      <c r="ODW52" s="2"/>
      <c r="ODX52" s="2"/>
      <c r="ODY52" s="2"/>
      <c r="ODZ52" s="2"/>
      <c r="OEA52" s="2"/>
      <c r="OEB52" s="2"/>
      <c r="OEC52" s="2"/>
      <c r="OED52" s="2"/>
      <c r="OEE52" s="2"/>
      <c r="OEF52" s="2"/>
      <c r="OEG52" s="2"/>
      <c r="OEH52" s="2"/>
      <c r="OEI52" s="2"/>
      <c r="OEJ52" s="2"/>
      <c r="OEK52" s="2"/>
      <c r="OEL52" s="2"/>
      <c r="OEM52" s="2"/>
      <c r="OEN52" s="2"/>
      <c r="OEO52" s="2"/>
      <c r="OEP52" s="2"/>
      <c r="OEQ52" s="2"/>
      <c r="OER52" s="2"/>
      <c r="OES52" s="2"/>
      <c r="OET52" s="2"/>
      <c r="OEU52" s="2"/>
      <c r="OEV52" s="2"/>
      <c r="OEW52" s="2"/>
      <c r="OEX52" s="2"/>
      <c r="OEY52" s="2"/>
      <c r="OEZ52" s="2"/>
      <c r="OFA52" s="2"/>
      <c r="OFB52" s="2"/>
      <c r="OFC52" s="2"/>
      <c r="OFD52" s="2"/>
      <c r="OFE52" s="2"/>
      <c r="OFF52" s="2"/>
      <c r="OFG52" s="2"/>
      <c r="OFH52" s="2"/>
      <c r="OFI52" s="2"/>
      <c r="OFJ52" s="2"/>
      <c r="OFK52" s="2"/>
      <c r="OFL52" s="2"/>
      <c r="OFM52" s="2"/>
      <c r="OFN52" s="2"/>
      <c r="OFO52" s="2"/>
      <c r="OFP52" s="2"/>
      <c r="OFQ52" s="2"/>
      <c r="OFR52" s="2"/>
      <c r="OFS52" s="2"/>
      <c r="OFT52" s="2"/>
      <c r="OFU52" s="2"/>
      <c r="OFV52" s="2"/>
      <c r="OFW52" s="2"/>
      <c r="OFX52" s="2"/>
      <c r="OFY52" s="2"/>
      <c r="OFZ52" s="2"/>
      <c r="OGA52" s="2"/>
      <c r="OGB52" s="2"/>
      <c r="OGC52" s="2"/>
      <c r="OGD52" s="2"/>
      <c r="OGE52" s="2"/>
      <c r="OGF52" s="2"/>
      <c r="OGG52" s="2"/>
      <c r="OGH52" s="2"/>
      <c r="OGI52" s="2"/>
      <c r="OGJ52" s="2"/>
      <c r="OGK52" s="2"/>
      <c r="OGL52" s="2"/>
      <c r="OGM52" s="2"/>
      <c r="OGN52" s="2"/>
      <c r="OGO52" s="2"/>
      <c r="OGP52" s="2"/>
      <c r="OGQ52" s="2"/>
      <c r="OGR52" s="2"/>
      <c r="OGS52" s="2"/>
      <c r="OGT52" s="2"/>
      <c r="OGU52" s="2"/>
      <c r="OGV52" s="2"/>
      <c r="OGW52" s="2"/>
      <c r="OGX52" s="2"/>
      <c r="OGY52" s="2"/>
      <c r="OGZ52" s="2"/>
      <c r="OHA52" s="2"/>
      <c r="OHB52" s="2"/>
      <c r="OHC52" s="2"/>
      <c r="OHD52" s="2"/>
      <c r="OHE52" s="2"/>
      <c r="OHF52" s="2"/>
      <c r="OHG52" s="2"/>
      <c r="OHH52" s="2"/>
      <c r="OHI52" s="2"/>
      <c r="OHJ52" s="2"/>
      <c r="OHK52" s="2"/>
      <c r="OHL52" s="2"/>
      <c r="OHM52" s="2"/>
      <c r="OHN52" s="2"/>
      <c r="OHO52" s="2"/>
      <c r="OHP52" s="2"/>
      <c r="OHQ52" s="2"/>
      <c r="OHR52" s="2"/>
      <c r="OHS52" s="2"/>
      <c r="OHT52" s="2"/>
      <c r="OHU52" s="2"/>
      <c r="OHV52" s="2"/>
      <c r="OHW52" s="2"/>
      <c r="OHX52" s="2"/>
      <c r="OHY52" s="2"/>
      <c r="OHZ52" s="2"/>
      <c r="OIA52" s="2"/>
      <c r="OIB52" s="2"/>
      <c r="OIC52" s="2"/>
      <c r="OID52" s="2"/>
      <c r="OIE52" s="2"/>
      <c r="OIF52" s="2"/>
      <c r="OIG52" s="2"/>
      <c r="OIH52" s="2"/>
      <c r="OII52" s="2"/>
      <c r="OIJ52" s="2"/>
      <c r="OIK52" s="2"/>
      <c r="OIL52" s="2"/>
      <c r="OIM52" s="2"/>
      <c r="OIN52" s="2"/>
      <c r="OIO52" s="2"/>
      <c r="OIP52" s="2"/>
      <c r="OIQ52" s="2"/>
      <c r="OIR52" s="2"/>
      <c r="OIS52" s="2"/>
      <c r="OIT52" s="2"/>
      <c r="OIU52" s="2"/>
      <c r="OIV52" s="2"/>
      <c r="OIW52" s="2"/>
      <c r="OIX52" s="2"/>
      <c r="OIY52" s="2"/>
      <c r="OIZ52" s="2"/>
      <c r="OJA52" s="2"/>
      <c r="OJB52" s="2"/>
      <c r="OJC52" s="2"/>
      <c r="OJD52" s="2"/>
      <c r="OJE52" s="2"/>
      <c r="OJF52" s="2"/>
      <c r="OJG52" s="2"/>
      <c r="OJH52" s="2"/>
      <c r="OJI52" s="2"/>
      <c r="OJJ52" s="2"/>
      <c r="OJK52" s="2"/>
      <c r="OJL52" s="2"/>
      <c r="OJM52" s="2"/>
      <c r="OJN52" s="2"/>
      <c r="OJO52" s="2"/>
      <c r="OJP52" s="2"/>
      <c r="OJQ52" s="2"/>
      <c r="OJR52" s="2"/>
      <c r="OJS52" s="2"/>
      <c r="OJT52" s="2"/>
      <c r="OJU52" s="2"/>
      <c r="OJV52" s="2"/>
      <c r="OJW52" s="2"/>
      <c r="OJX52" s="2"/>
      <c r="OJY52" s="2"/>
      <c r="OJZ52" s="2"/>
      <c r="OKA52" s="2"/>
      <c r="OKB52" s="2"/>
      <c r="OKC52" s="2"/>
      <c r="OKD52" s="2"/>
      <c r="OKE52" s="2"/>
      <c r="OKF52" s="2"/>
      <c r="OKG52" s="2"/>
      <c r="OKH52" s="2"/>
      <c r="OKI52" s="2"/>
      <c r="OKJ52" s="2"/>
      <c r="OKK52" s="2"/>
      <c r="OKL52" s="2"/>
      <c r="OKM52" s="2"/>
      <c r="OKN52" s="2"/>
      <c r="OKO52" s="2"/>
      <c r="OKP52" s="2"/>
      <c r="OKQ52" s="2"/>
      <c r="OKR52" s="2"/>
      <c r="OKS52" s="2"/>
      <c r="OKT52" s="2"/>
      <c r="OKU52" s="2"/>
      <c r="OKV52" s="2"/>
      <c r="OKW52" s="2"/>
      <c r="OKX52" s="2"/>
      <c r="OKY52" s="2"/>
      <c r="OKZ52" s="2"/>
      <c r="OLA52" s="2"/>
      <c r="OLB52" s="2"/>
      <c r="OLC52" s="2"/>
      <c r="OLD52" s="2"/>
      <c r="OLE52" s="2"/>
      <c r="OLF52" s="2"/>
      <c r="OLG52" s="2"/>
      <c r="OLH52" s="2"/>
      <c r="OLI52" s="2"/>
      <c r="OLJ52" s="2"/>
      <c r="OLK52" s="2"/>
      <c r="OLL52" s="2"/>
      <c r="OLM52" s="2"/>
      <c r="OLN52" s="2"/>
      <c r="OLO52" s="2"/>
      <c r="OLP52" s="2"/>
      <c r="OLQ52" s="2"/>
      <c r="OLR52" s="2"/>
      <c r="OLS52" s="2"/>
      <c r="OLT52" s="2"/>
      <c r="OLU52" s="2"/>
      <c r="OLV52" s="2"/>
      <c r="OLW52" s="2"/>
      <c r="OLX52" s="2"/>
      <c r="OLY52" s="2"/>
      <c r="OLZ52" s="2"/>
      <c r="OMA52" s="2"/>
      <c r="OMB52" s="2"/>
      <c r="OMC52" s="2"/>
      <c r="OMD52" s="2"/>
      <c r="OME52" s="2"/>
      <c r="OMF52" s="2"/>
      <c r="OMG52" s="2"/>
      <c r="OMH52" s="2"/>
      <c r="OMI52" s="2"/>
      <c r="OMJ52" s="2"/>
      <c r="OMK52" s="2"/>
      <c r="OML52" s="2"/>
      <c r="OMM52" s="2"/>
      <c r="OMN52" s="2"/>
      <c r="OMO52" s="2"/>
      <c r="OMP52" s="2"/>
      <c r="OMQ52" s="2"/>
      <c r="OMR52" s="2"/>
      <c r="OMS52" s="2"/>
      <c r="OMT52" s="2"/>
      <c r="OMU52" s="2"/>
      <c r="OMV52" s="2"/>
      <c r="OMW52" s="2"/>
      <c r="OMX52" s="2"/>
      <c r="OMY52" s="2"/>
      <c r="OMZ52" s="2"/>
      <c r="ONA52" s="2"/>
      <c r="ONB52" s="2"/>
      <c r="ONC52" s="2"/>
      <c r="OND52" s="2"/>
      <c r="ONE52" s="2"/>
      <c r="ONF52" s="2"/>
      <c r="ONG52" s="2"/>
      <c r="ONH52" s="2"/>
      <c r="ONI52" s="2"/>
      <c r="ONJ52" s="2"/>
      <c r="ONK52" s="2"/>
      <c r="ONL52" s="2"/>
      <c r="ONM52" s="2"/>
      <c r="ONN52" s="2"/>
      <c r="ONO52" s="2"/>
      <c r="ONP52" s="2"/>
      <c r="ONQ52" s="2"/>
      <c r="ONR52" s="2"/>
      <c r="ONS52" s="2"/>
      <c r="ONT52" s="2"/>
      <c r="ONU52" s="2"/>
      <c r="ONV52" s="2"/>
      <c r="ONW52" s="2"/>
      <c r="ONX52" s="2"/>
      <c r="ONY52" s="2"/>
      <c r="ONZ52" s="2"/>
      <c r="OOA52" s="2"/>
      <c r="OOB52" s="2"/>
      <c r="OOC52" s="2"/>
      <c r="OOD52" s="2"/>
      <c r="OOE52" s="2"/>
      <c r="OOF52" s="2"/>
      <c r="OOG52" s="2"/>
      <c r="OOH52" s="2"/>
      <c r="OOI52" s="2"/>
      <c r="OOJ52" s="2"/>
      <c r="OOK52" s="2"/>
      <c r="OOL52" s="2"/>
      <c r="OOM52" s="2"/>
      <c r="OON52" s="2"/>
      <c r="OOO52" s="2"/>
      <c r="OOP52" s="2"/>
      <c r="OOQ52" s="2"/>
      <c r="OOR52" s="2"/>
      <c r="OOS52" s="2"/>
      <c r="OOT52" s="2"/>
      <c r="OOU52" s="2"/>
      <c r="OOV52" s="2"/>
      <c r="OOW52" s="2"/>
      <c r="OOX52" s="2"/>
      <c r="OOY52" s="2"/>
      <c r="OOZ52" s="2"/>
      <c r="OPA52" s="2"/>
      <c r="OPB52" s="2"/>
      <c r="OPC52" s="2"/>
      <c r="OPD52" s="2"/>
      <c r="OPE52" s="2"/>
      <c r="OPF52" s="2"/>
      <c r="OPG52" s="2"/>
      <c r="OPH52" s="2"/>
      <c r="OPI52" s="2"/>
      <c r="OPJ52" s="2"/>
      <c r="OPK52" s="2"/>
      <c r="OPL52" s="2"/>
      <c r="OPM52" s="2"/>
      <c r="OPN52" s="2"/>
      <c r="OPO52" s="2"/>
      <c r="OPP52" s="2"/>
      <c r="OPQ52" s="2"/>
      <c r="OPR52" s="2"/>
      <c r="OPS52" s="2"/>
      <c r="OPT52" s="2"/>
      <c r="OPU52" s="2"/>
      <c r="OPV52" s="2"/>
      <c r="OPW52" s="2"/>
      <c r="OPX52" s="2"/>
      <c r="OPY52" s="2"/>
      <c r="OPZ52" s="2"/>
      <c r="OQA52" s="2"/>
      <c r="OQB52" s="2"/>
      <c r="OQC52" s="2"/>
      <c r="OQD52" s="2"/>
      <c r="OQE52" s="2"/>
      <c r="OQF52" s="2"/>
      <c r="OQG52" s="2"/>
      <c r="OQH52" s="2"/>
      <c r="OQI52" s="2"/>
      <c r="OQJ52" s="2"/>
      <c r="OQK52" s="2"/>
      <c r="OQL52" s="2"/>
      <c r="OQM52" s="2"/>
      <c r="OQN52" s="2"/>
      <c r="OQO52" s="2"/>
      <c r="OQP52" s="2"/>
      <c r="OQQ52" s="2"/>
      <c r="OQR52" s="2"/>
      <c r="OQS52" s="2"/>
      <c r="OQT52" s="2"/>
      <c r="OQU52" s="2"/>
      <c r="OQV52" s="2"/>
      <c r="OQW52" s="2"/>
      <c r="OQX52" s="2"/>
      <c r="OQY52" s="2"/>
      <c r="OQZ52" s="2"/>
      <c r="ORA52" s="2"/>
      <c r="ORB52" s="2"/>
      <c r="ORC52" s="2"/>
      <c r="ORD52" s="2"/>
      <c r="ORE52" s="2"/>
      <c r="ORF52" s="2"/>
      <c r="ORG52" s="2"/>
      <c r="ORH52" s="2"/>
      <c r="ORI52" s="2"/>
      <c r="ORJ52" s="2"/>
      <c r="ORK52" s="2"/>
      <c r="ORL52" s="2"/>
      <c r="ORM52" s="2"/>
      <c r="ORN52" s="2"/>
      <c r="ORO52" s="2"/>
      <c r="ORP52" s="2"/>
      <c r="ORQ52" s="2"/>
      <c r="ORR52" s="2"/>
      <c r="ORS52" s="2"/>
      <c r="ORT52" s="2"/>
      <c r="ORU52" s="2"/>
      <c r="ORV52" s="2"/>
      <c r="ORW52" s="2"/>
      <c r="ORX52" s="2"/>
      <c r="ORY52" s="2"/>
      <c r="ORZ52" s="2"/>
      <c r="OSA52" s="2"/>
      <c r="OSB52" s="2"/>
      <c r="OSC52" s="2"/>
      <c r="OSD52" s="2"/>
      <c r="OSE52" s="2"/>
      <c r="OSF52" s="2"/>
      <c r="OSG52" s="2"/>
      <c r="OSH52" s="2"/>
      <c r="OSI52" s="2"/>
      <c r="OSJ52" s="2"/>
      <c r="OSK52" s="2"/>
      <c r="OSL52" s="2"/>
      <c r="OSM52" s="2"/>
      <c r="OSN52" s="2"/>
      <c r="OSO52" s="2"/>
      <c r="OSP52" s="2"/>
      <c r="OSQ52" s="2"/>
      <c r="OSR52" s="2"/>
      <c r="OSS52" s="2"/>
      <c r="OST52" s="2"/>
      <c r="OSU52" s="2"/>
      <c r="OSV52" s="2"/>
      <c r="OSW52" s="2"/>
      <c r="OSX52" s="2"/>
      <c r="OSY52" s="2"/>
      <c r="OSZ52" s="2"/>
      <c r="OTA52" s="2"/>
      <c r="OTB52" s="2"/>
      <c r="OTC52" s="2"/>
      <c r="OTD52" s="2"/>
      <c r="OTE52" s="2"/>
      <c r="OTF52" s="2"/>
      <c r="OTG52" s="2"/>
      <c r="OTH52" s="2"/>
      <c r="OTI52" s="2"/>
      <c r="OTJ52" s="2"/>
      <c r="OTK52" s="2"/>
      <c r="OTL52" s="2"/>
      <c r="OTM52" s="2"/>
      <c r="OTN52" s="2"/>
      <c r="OTO52" s="2"/>
      <c r="OTP52" s="2"/>
      <c r="OTQ52" s="2"/>
      <c r="OTR52" s="2"/>
      <c r="OTS52" s="2"/>
      <c r="OTT52" s="2"/>
      <c r="OTU52" s="2"/>
      <c r="OTV52" s="2"/>
      <c r="OTW52" s="2"/>
      <c r="OTX52" s="2"/>
      <c r="OTY52" s="2"/>
      <c r="OTZ52" s="2"/>
      <c r="OUA52" s="2"/>
      <c r="OUB52" s="2"/>
      <c r="OUC52" s="2"/>
      <c r="OUD52" s="2"/>
      <c r="OUE52" s="2"/>
      <c r="OUF52" s="2"/>
      <c r="OUG52" s="2"/>
      <c r="OUH52" s="2"/>
      <c r="OUI52" s="2"/>
      <c r="OUJ52" s="2"/>
      <c r="OUK52" s="2"/>
      <c r="OUL52" s="2"/>
      <c r="OUM52" s="2"/>
      <c r="OUN52" s="2"/>
      <c r="OUO52" s="2"/>
      <c r="OUP52" s="2"/>
      <c r="OUQ52" s="2"/>
      <c r="OUR52" s="2"/>
      <c r="OUS52" s="2"/>
      <c r="OUT52" s="2"/>
      <c r="OUU52" s="2"/>
      <c r="OUV52" s="2"/>
      <c r="OUW52" s="2"/>
      <c r="OUX52" s="2"/>
      <c r="OUY52" s="2"/>
      <c r="OUZ52" s="2"/>
      <c r="OVA52" s="2"/>
      <c r="OVB52" s="2"/>
      <c r="OVC52" s="2"/>
      <c r="OVD52" s="2"/>
      <c r="OVE52" s="2"/>
      <c r="OVF52" s="2"/>
      <c r="OVG52" s="2"/>
      <c r="OVH52" s="2"/>
      <c r="OVI52" s="2"/>
      <c r="OVJ52" s="2"/>
      <c r="OVK52" s="2"/>
      <c r="OVL52" s="2"/>
      <c r="OVM52" s="2"/>
      <c r="OVN52" s="2"/>
      <c r="OVO52" s="2"/>
      <c r="OVP52" s="2"/>
      <c r="OVQ52" s="2"/>
      <c r="OVR52" s="2"/>
      <c r="OVS52" s="2"/>
      <c r="OVT52" s="2"/>
      <c r="OVU52" s="2"/>
      <c r="OVV52" s="2"/>
      <c r="OVW52" s="2"/>
      <c r="OVX52" s="2"/>
      <c r="OVY52" s="2"/>
      <c r="OVZ52" s="2"/>
      <c r="OWA52" s="2"/>
      <c r="OWB52" s="2"/>
      <c r="OWC52" s="2"/>
      <c r="OWD52" s="2"/>
      <c r="OWE52" s="2"/>
      <c r="OWF52" s="2"/>
      <c r="OWG52" s="2"/>
      <c r="OWH52" s="2"/>
      <c r="OWI52" s="2"/>
      <c r="OWJ52" s="2"/>
      <c r="OWK52" s="2"/>
      <c r="OWL52" s="2"/>
      <c r="OWM52" s="2"/>
      <c r="OWN52" s="2"/>
      <c r="OWO52" s="2"/>
      <c r="OWP52" s="2"/>
      <c r="OWQ52" s="2"/>
      <c r="OWR52" s="2"/>
      <c r="OWS52" s="2"/>
      <c r="OWT52" s="2"/>
      <c r="OWU52" s="2"/>
      <c r="OWV52" s="2"/>
      <c r="OWW52" s="2"/>
      <c r="OWX52" s="2"/>
      <c r="OWY52" s="2"/>
      <c r="OWZ52" s="2"/>
      <c r="OXA52" s="2"/>
      <c r="OXB52" s="2"/>
      <c r="OXC52" s="2"/>
      <c r="OXD52" s="2"/>
      <c r="OXE52" s="2"/>
      <c r="OXF52" s="2"/>
      <c r="OXG52" s="2"/>
      <c r="OXH52" s="2"/>
      <c r="OXI52" s="2"/>
      <c r="OXJ52" s="2"/>
      <c r="OXK52" s="2"/>
      <c r="OXL52" s="2"/>
      <c r="OXM52" s="2"/>
      <c r="OXN52" s="2"/>
      <c r="OXO52" s="2"/>
      <c r="OXP52" s="2"/>
      <c r="OXQ52" s="2"/>
      <c r="OXR52" s="2"/>
      <c r="OXS52" s="2"/>
      <c r="OXT52" s="2"/>
      <c r="OXU52" s="2"/>
      <c r="OXV52" s="2"/>
      <c r="OXW52" s="2"/>
      <c r="OXX52" s="2"/>
      <c r="OXY52" s="2"/>
      <c r="OXZ52" s="2"/>
      <c r="OYA52" s="2"/>
      <c r="OYB52" s="2"/>
      <c r="OYC52" s="2"/>
      <c r="OYD52" s="2"/>
      <c r="OYE52" s="2"/>
      <c r="OYF52" s="2"/>
      <c r="OYG52" s="2"/>
      <c r="OYH52" s="2"/>
      <c r="OYI52" s="2"/>
      <c r="OYJ52" s="2"/>
      <c r="OYK52" s="2"/>
      <c r="OYL52" s="2"/>
      <c r="OYM52" s="2"/>
      <c r="OYN52" s="2"/>
      <c r="OYO52" s="2"/>
      <c r="OYP52" s="2"/>
      <c r="OYQ52" s="2"/>
      <c r="OYR52" s="2"/>
      <c r="OYS52" s="2"/>
      <c r="OYT52" s="2"/>
      <c r="OYU52" s="2"/>
      <c r="OYV52" s="2"/>
      <c r="OYW52" s="2"/>
      <c r="OYX52" s="2"/>
      <c r="OYY52" s="2"/>
      <c r="OYZ52" s="2"/>
      <c r="OZA52" s="2"/>
      <c r="OZB52" s="2"/>
      <c r="OZC52" s="2"/>
      <c r="OZD52" s="2"/>
      <c r="OZE52" s="2"/>
      <c r="OZF52" s="2"/>
      <c r="OZG52" s="2"/>
      <c r="OZH52" s="2"/>
      <c r="OZI52" s="2"/>
      <c r="OZJ52" s="2"/>
      <c r="OZK52" s="2"/>
      <c r="OZL52" s="2"/>
      <c r="OZM52" s="2"/>
      <c r="OZN52" s="2"/>
      <c r="OZO52" s="2"/>
      <c r="OZP52" s="2"/>
      <c r="OZQ52" s="2"/>
      <c r="OZR52" s="2"/>
      <c r="OZS52" s="2"/>
      <c r="OZT52" s="2"/>
      <c r="OZU52" s="2"/>
      <c r="OZV52" s="2"/>
      <c r="OZW52" s="2"/>
      <c r="OZX52" s="2"/>
      <c r="OZY52" s="2"/>
      <c r="OZZ52" s="2"/>
      <c r="PAA52" s="2"/>
      <c r="PAB52" s="2"/>
      <c r="PAC52" s="2"/>
      <c r="PAD52" s="2"/>
      <c r="PAE52" s="2"/>
      <c r="PAF52" s="2"/>
      <c r="PAG52" s="2"/>
      <c r="PAH52" s="2"/>
      <c r="PAI52" s="2"/>
      <c r="PAJ52" s="2"/>
      <c r="PAK52" s="2"/>
      <c r="PAL52" s="2"/>
      <c r="PAM52" s="2"/>
      <c r="PAN52" s="2"/>
      <c r="PAO52" s="2"/>
      <c r="PAP52" s="2"/>
      <c r="PAQ52" s="2"/>
      <c r="PAR52" s="2"/>
      <c r="PAS52" s="2"/>
      <c r="PAT52" s="2"/>
      <c r="PAU52" s="2"/>
      <c r="PAV52" s="2"/>
      <c r="PAW52" s="2"/>
      <c r="PAX52" s="2"/>
      <c r="PAY52" s="2"/>
      <c r="PAZ52" s="2"/>
      <c r="PBA52" s="2"/>
      <c r="PBB52" s="2"/>
      <c r="PBC52" s="2"/>
      <c r="PBD52" s="2"/>
      <c r="PBE52" s="2"/>
      <c r="PBF52" s="2"/>
      <c r="PBG52" s="2"/>
      <c r="PBH52" s="2"/>
      <c r="PBI52" s="2"/>
      <c r="PBJ52" s="2"/>
      <c r="PBK52" s="2"/>
      <c r="PBL52" s="2"/>
      <c r="PBM52" s="2"/>
      <c r="PBN52" s="2"/>
      <c r="PBO52" s="2"/>
      <c r="PBP52" s="2"/>
      <c r="PBQ52" s="2"/>
      <c r="PBR52" s="2"/>
      <c r="PBS52" s="2"/>
      <c r="PBT52" s="2"/>
      <c r="PBU52" s="2"/>
      <c r="PBV52" s="2"/>
      <c r="PBW52" s="2"/>
      <c r="PBX52" s="2"/>
      <c r="PBY52" s="2"/>
      <c r="PBZ52" s="2"/>
      <c r="PCA52" s="2"/>
      <c r="PCB52" s="2"/>
      <c r="PCC52" s="2"/>
      <c r="PCD52" s="2"/>
      <c r="PCE52" s="2"/>
      <c r="PCF52" s="2"/>
      <c r="PCG52" s="2"/>
      <c r="PCH52" s="2"/>
      <c r="PCI52" s="2"/>
      <c r="PCJ52" s="2"/>
      <c r="PCK52" s="2"/>
      <c r="PCL52" s="2"/>
      <c r="PCM52" s="2"/>
      <c r="PCN52" s="2"/>
      <c r="PCO52" s="2"/>
      <c r="PCP52" s="2"/>
      <c r="PCQ52" s="2"/>
      <c r="PCR52" s="2"/>
      <c r="PCS52" s="2"/>
      <c r="PCT52" s="2"/>
      <c r="PCU52" s="2"/>
      <c r="PCV52" s="2"/>
      <c r="PCW52" s="2"/>
      <c r="PCX52" s="2"/>
      <c r="PCY52" s="2"/>
      <c r="PCZ52" s="2"/>
      <c r="PDA52" s="2"/>
      <c r="PDB52" s="2"/>
      <c r="PDC52" s="2"/>
      <c r="PDD52" s="2"/>
      <c r="PDE52" s="2"/>
      <c r="PDF52" s="2"/>
      <c r="PDG52" s="2"/>
      <c r="PDH52" s="2"/>
      <c r="PDI52" s="2"/>
      <c r="PDJ52" s="2"/>
      <c r="PDK52" s="2"/>
      <c r="PDL52" s="2"/>
      <c r="PDM52" s="2"/>
      <c r="PDN52" s="2"/>
      <c r="PDO52" s="2"/>
      <c r="PDP52" s="2"/>
      <c r="PDQ52" s="2"/>
      <c r="PDR52" s="2"/>
      <c r="PDS52" s="2"/>
      <c r="PDT52" s="2"/>
      <c r="PDU52" s="2"/>
      <c r="PDV52" s="2"/>
      <c r="PDW52" s="2"/>
      <c r="PDX52" s="2"/>
      <c r="PDY52" s="2"/>
      <c r="PDZ52" s="2"/>
      <c r="PEA52" s="2"/>
      <c r="PEB52" s="2"/>
      <c r="PEC52" s="2"/>
      <c r="PED52" s="2"/>
      <c r="PEE52" s="2"/>
      <c r="PEF52" s="2"/>
      <c r="PEG52" s="2"/>
      <c r="PEH52" s="2"/>
      <c r="PEI52" s="2"/>
      <c r="PEJ52" s="2"/>
      <c r="PEK52" s="2"/>
      <c r="PEL52" s="2"/>
      <c r="PEM52" s="2"/>
      <c r="PEN52" s="2"/>
      <c r="PEO52" s="2"/>
      <c r="PEP52" s="2"/>
      <c r="PEQ52" s="2"/>
      <c r="PER52" s="2"/>
      <c r="PES52" s="2"/>
      <c r="PET52" s="2"/>
      <c r="PEU52" s="2"/>
      <c r="PEV52" s="2"/>
      <c r="PEW52" s="2"/>
      <c r="PEX52" s="2"/>
      <c r="PEY52" s="2"/>
      <c r="PEZ52" s="2"/>
      <c r="PFA52" s="2"/>
      <c r="PFB52" s="2"/>
      <c r="PFC52" s="2"/>
      <c r="PFD52" s="2"/>
      <c r="PFE52" s="2"/>
      <c r="PFF52" s="2"/>
      <c r="PFG52" s="2"/>
      <c r="PFH52" s="2"/>
      <c r="PFI52" s="2"/>
      <c r="PFJ52" s="2"/>
      <c r="PFK52" s="2"/>
      <c r="PFL52" s="2"/>
      <c r="PFM52" s="2"/>
      <c r="PFN52" s="2"/>
      <c r="PFO52" s="2"/>
      <c r="PFP52" s="2"/>
      <c r="PFQ52" s="2"/>
      <c r="PFR52" s="2"/>
      <c r="PFS52" s="2"/>
      <c r="PFT52" s="2"/>
      <c r="PFU52" s="2"/>
      <c r="PFV52" s="2"/>
      <c r="PFW52" s="2"/>
      <c r="PFX52" s="2"/>
      <c r="PFY52" s="2"/>
      <c r="PFZ52" s="2"/>
      <c r="PGA52" s="2"/>
      <c r="PGB52" s="2"/>
      <c r="PGC52" s="2"/>
      <c r="PGD52" s="2"/>
      <c r="PGE52" s="2"/>
      <c r="PGF52" s="2"/>
      <c r="PGG52" s="2"/>
      <c r="PGH52" s="2"/>
      <c r="PGI52" s="2"/>
      <c r="PGJ52" s="2"/>
      <c r="PGK52" s="2"/>
      <c r="PGL52" s="2"/>
      <c r="PGM52" s="2"/>
      <c r="PGN52" s="2"/>
      <c r="PGO52" s="2"/>
      <c r="PGP52" s="2"/>
      <c r="PGQ52" s="2"/>
      <c r="PGR52" s="2"/>
      <c r="PGS52" s="2"/>
      <c r="PGT52" s="2"/>
      <c r="PGU52" s="2"/>
      <c r="PGV52" s="2"/>
      <c r="PGW52" s="2"/>
      <c r="PGX52" s="2"/>
      <c r="PGY52" s="2"/>
      <c r="PGZ52" s="2"/>
      <c r="PHA52" s="2"/>
      <c r="PHB52" s="2"/>
      <c r="PHC52" s="2"/>
      <c r="PHD52" s="2"/>
      <c r="PHE52" s="2"/>
      <c r="PHF52" s="2"/>
      <c r="PHG52" s="2"/>
      <c r="PHH52" s="2"/>
      <c r="PHI52" s="2"/>
      <c r="PHJ52" s="2"/>
      <c r="PHK52" s="2"/>
      <c r="PHL52" s="2"/>
      <c r="PHM52" s="2"/>
      <c r="PHN52" s="2"/>
      <c r="PHO52" s="2"/>
      <c r="PHP52" s="2"/>
      <c r="PHQ52" s="2"/>
      <c r="PHR52" s="2"/>
      <c r="PHS52" s="2"/>
      <c r="PHT52" s="2"/>
      <c r="PHU52" s="2"/>
      <c r="PHV52" s="2"/>
      <c r="PHW52" s="2"/>
      <c r="PHX52" s="2"/>
      <c r="PHY52" s="2"/>
      <c r="PHZ52" s="2"/>
      <c r="PIA52" s="2"/>
      <c r="PIB52" s="2"/>
      <c r="PIC52" s="2"/>
      <c r="PID52" s="2"/>
      <c r="PIE52" s="2"/>
      <c r="PIF52" s="2"/>
      <c r="PIG52" s="2"/>
      <c r="PIH52" s="2"/>
      <c r="PII52" s="2"/>
      <c r="PIJ52" s="2"/>
      <c r="PIK52" s="2"/>
      <c r="PIL52" s="2"/>
      <c r="PIM52" s="2"/>
      <c r="PIN52" s="2"/>
      <c r="PIO52" s="2"/>
      <c r="PIP52" s="2"/>
      <c r="PIQ52" s="2"/>
      <c r="PIR52" s="2"/>
      <c r="PIS52" s="2"/>
      <c r="PIT52" s="2"/>
      <c r="PIU52" s="2"/>
      <c r="PIV52" s="2"/>
      <c r="PIW52" s="2"/>
      <c r="PIX52" s="2"/>
      <c r="PIY52" s="2"/>
      <c r="PIZ52" s="2"/>
      <c r="PJA52" s="2"/>
      <c r="PJB52" s="2"/>
      <c r="PJC52" s="2"/>
      <c r="PJD52" s="2"/>
      <c r="PJE52" s="2"/>
      <c r="PJF52" s="2"/>
      <c r="PJG52" s="2"/>
      <c r="PJH52" s="2"/>
      <c r="PJI52" s="2"/>
      <c r="PJJ52" s="2"/>
      <c r="PJK52" s="2"/>
      <c r="PJL52" s="2"/>
      <c r="PJM52" s="2"/>
      <c r="PJN52" s="2"/>
      <c r="PJO52" s="2"/>
      <c r="PJP52" s="2"/>
      <c r="PJQ52" s="2"/>
      <c r="PJR52" s="2"/>
      <c r="PJS52" s="2"/>
      <c r="PJT52" s="2"/>
      <c r="PJU52" s="2"/>
      <c r="PJV52" s="2"/>
      <c r="PJW52" s="2"/>
      <c r="PJX52" s="2"/>
      <c r="PJY52" s="2"/>
      <c r="PJZ52" s="2"/>
      <c r="PKA52" s="2"/>
      <c r="PKB52" s="2"/>
      <c r="PKC52" s="2"/>
      <c r="PKD52" s="2"/>
      <c r="PKE52" s="2"/>
      <c r="PKF52" s="2"/>
      <c r="PKG52" s="2"/>
      <c r="PKH52" s="2"/>
      <c r="PKI52" s="2"/>
      <c r="PKJ52" s="2"/>
      <c r="PKK52" s="2"/>
      <c r="PKL52" s="2"/>
      <c r="PKM52" s="2"/>
      <c r="PKN52" s="2"/>
      <c r="PKO52" s="2"/>
      <c r="PKP52" s="2"/>
      <c r="PKQ52" s="2"/>
      <c r="PKR52" s="2"/>
      <c r="PKS52" s="2"/>
      <c r="PKT52" s="2"/>
      <c r="PKU52" s="2"/>
      <c r="PKV52" s="2"/>
      <c r="PKW52" s="2"/>
      <c r="PKX52" s="2"/>
      <c r="PKY52" s="2"/>
      <c r="PKZ52" s="2"/>
      <c r="PLA52" s="2"/>
      <c r="PLB52" s="2"/>
      <c r="PLC52" s="2"/>
      <c r="PLD52" s="2"/>
      <c r="PLE52" s="2"/>
      <c r="PLF52" s="2"/>
      <c r="PLG52" s="2"/>
      <c r="PLH52" s="2"/>
      <c r="PLI52" s="2"/>
      <c r="PLJ52" s="2"/>
      <c r="PLK52" s="2"/>
      <c r="PLL52" s="2"/>
      <c r="PLM52" s="2"/>
      <c r="PLN52" s="2"/>
      <c r="PLO52" s="2"/>
      <c r="PLP52" s="2"/>
      <c r="PLQ52" s="2"/>
      <c r="PLR52" s="2"/>
      <c r="PLS52" s="2"/>
      <c r="PLT52" s="2"/>
      <c r="PLU52" s="2"/>
      <c r="PLV52" s="2"/>
      <c r="PLW52" s="2"/>
      <c r="PLX52" s="2"/>
      <c r="PLY52" s="2"/>
      <c r="PLZ52" s="2"/>
      <c r="PMA52" s="2"/>
      <c r="PMB52" s="2"/>
      <c r="PMC52" s="2"/>
      <c r="PMD52" s="2"/>
      <c r="PME52" s="2"/>
      <c r="PMF52" s="2"/>
      <c r="PMG52" s="2"/>
      <c r="PMH52" s="2"/>
      <c r="PMI52" s="2"/>
      <c r="PMJ52" s="2"/>
      <c r="PMK52" s="2"/>
      <c r="PML52" s="2"/>
      <c r="PMM52" s="2"/>
      <c r="PMN52" s="2"/>
      <c r="PMO52" s="2"/>
      <c r="PMP52" s="2"/>
      <c r="PMQ52" s="2"/>
      <c r="PMR52" s="2"/>
      <c r="PMS52" s="2"/>
      <c r="PMT52" s="2"/>
      <c r="PMU52" s="2"/>
      <c r="PMV52" s="2"/>
      <c r="PMW52" s="2"/>
      <c r="PMX52" s="2"/>
      <c r="PMY52" s="2"/>
      <c r="PMZ52" s="2"/>
      <c r="PNA52" s="2"/>
      <c r="PNB52" s="2"/>
      <c r="PNC52" s="2"/>
      <c r="PND52" s="2"/>
      <c r="PNE52" s="2"/>
      <c r="PNF52" s="2"/>
      <c r="PNG52" s="2"/>
      <c r="PNH52" s="2"/>
      <c r="PNI52" s="2"/>
      <c r="PNJ52" s="2"/>
      <c r="PNK52" s="2"/>
      <c r="PNL52" s="2"/>
      <c r="PNM52" s="2"/>
      <c r="PNN52" s="2"/>
      <c r="PNO52" s="2"/>
      <c r="PNP52" s="2"/>
      <c r="PNQ52" s="2"/>
      <c r="PNR52" s="2"/>
      <c r="PNS52" s="2"/>
      <c r="PNT52" s="2"/>
      <c r="PNU52" s="2"/>
      <c r="PNV52" s="2"/>
      <c r="PNW52" s="2"/>
      <c r="PNX52" s="2"/>
      <c r="PNY52" s="2"/>
      <c r="PNZ52" s="2"/>
      <c r="POA52" s="2"/>
      <c r="POB52" s="2"/>
      <c r="POC52" s="2"/>
      <c r="POD52" s="2"/>
      <c r="POE52" s="2"/>
      <c r="POF52" s="2"/>
      <c r="POG52" s="2"/>
      <c r="POH52" s="2"/>
      <c r="POI52" s="2"/>
      <c r="POJ52" s="2"/>
      <c r="POK52" s="2"/>
      <c r="POL52" s="2"/>
      <c r="POM52" s="2"/>
      <c r="PON52" s="2"/>
      <c r="POO52" s="2"/>
      <c r="POP52" s="2"/>
      <c r="POQ52" s="2"/>
      <c r="POR52" s="2"/>
      <c r="POS52" s="2"/>
      <c r="POT52" s="2"/>
      <c r="POU52" s="2"/>
      <c r="POV52" s="2"/>
      <c r="POW52" s="2"/>
      <c r="POX52" s="2"/>
      <c r="POY52" s="2"/>
      <c r="POZ52" s="2"/>
      <c r="PPA52" s="2"/>
      <c r="PPB52" s="2"/>
      <c r="PPC52" s="2"/>
      <c r="PPD52" s="2"/>
      <c r="PPE52" s="2"/>
      <c r="PPF52" s="2"/>
      <c r="PPG52" s="2"/>
      <c r="PPH52" s="2"/>
      <c r="PPI52" s="2"/>
      <c r="PPJ52" s="2"/>
      <c r="PPK52" s="2"/>
      <c r="PPL52" s="2"/>
      <c r="PPM52" s="2"/>
      <c r="PPN52" s="2"/>
      <c r="PPO52" s="2"/>
      <c r="PPP52" s="2"/>
      <c r="PPQ52" s="2"/>
      <c r="PPR52" s="2"/>
      <c r="PPS52" s="2"/>
      <c r="PPT52" s="2"/>
      <c r="PPU52" s="2"/>
      <c r="PPV52" s="2"/>
      <c r="PPW52" s="2"/>
      <c r="PPX52" s="2"/>
      <c r="PPY52" s="2"/>
      <c r="PPZ52" s="2"/>
      <c r="PQA52" s="2"/>
      <c r="PQB52" s="2"/>
      <c r="PQC52" s="2"/>
      <c r="PQD52" s="2"/>
      <c r="PQE52" s="2"/>
      <c r="PQF52" s="2"/>
      <c r="PQG52" s="2"/>
      <c r="PQH52" s="2"/>
      <c r="PQI52" s="2"/>
      <c r="PQJ52" s="2"/>
      <c r="PQK52" s="2"/>
      <c r="PQL52" s="2"/>
      <c r="PQM52" s="2"/>
      <c r="PQN52" s="2"/>
      <c r="PQO52" s="2"/>
      <c r="PQP52" s="2"/>
      <c r="PQQ52" s="2"/>
      <c r="PQR52" s="2"/>
      <c r="PQS52" s="2"/>
      <c r="PQT52" s="2"/>
      <c r="PQU52" s="2"/>
      <c r="PQV52" s="2"/>
      <c r="PQW52" s="2"/>
      <c r="PQX52" s="2"/>
      <c r="PQY52" s="2"/>
      <c r="PQZ52" s="2"/>
      <c r="PRA52" s="2"/>
      <c r="PRB52" s="2"/>
      <c r="PRC52" s="2"/>
      <c r="PRD52" s="2"/>
      <c r="PRE52" s="2"/>
      <c r="PRF52" s="2"/>
      <c r="PRG52" s="2"/>
      <c r="PRH52" s="2"/>
      <c r="PRI52" s="2"/>
      <c r="PRJ52" s="2"/>
      <c r="PRK52" s="2"/>
      <c r="PRL52" s="2"/>
      <c r="PRM52" s="2"/>
      <c r="PRN52" s="2"/>
      <c r="PRO52" s="2"/>
      <c r="PRP52" s="2"/>
      <c r="PRQ52" s="2"/>
      <c r="PRR52" s="2"/>
      <c r="PRS52" s="2"/>
      <c r="PRT52" s="2"/>
      <c r="PRU52" s="2"/>
      <c r="PRV52" s="2"/>
      <c r="PRW52" s="2"/>
      <c r="PRX52" s="2"/>
      <c r="PRY52" s="2"/>
      <c r="PRZ52" s="2"/>
      <c r="PSA52" s="2"/>
      <c r="PSB52" s="2"/>
      <c r="PSC52" s="2"/>
      <c r="PSD52" s="2"/>
      <c r="PSE52" s="2"/>
      <c r="PSF52" s="2"/>
      <c r="PSG52" s="2"/>
      <c r="PSH52" s="2"/>
      <c r="PSI52" s="2"/>
      <c r="PSJ52" s="2"/>
      <c r="PSK52" s="2"/>
      <c r="PSL52" s="2"/>
      <c r="PSM52" s="2"/>
      <c r="PSN52" s="2"/>
      <c r="PSO52" s="2"/>
      <c r="PSP52" s="2"/>
      <c r="PSQ52" s="2"/>
      <c r="PSR52" s="2"/>
      <c r="PSS52" s="2"/>
      <c r="PST52" s="2"/>
      <c r="PSU52" s="2"/>
      <c r="PSV52" s="2"/>
      <c r="PSW52" s="2"/>
      <c r="PSX52" s="2"/>
      <c r="PSY52" s="2"/>
      <c r="PSZ52" s="2"/>
      <c r="PTA52" s="2"/>
      <c r="PTB52" s="2"/>
      <c r="PTC52" s="2"/>
      <c r="PTD52" s="2"/>
      <c r="PTE52" s="2"/>
      <c r="PTF52" s="2"/>
      <c r="PTG52" s="2"/>
      <c r="PTH52" s="2"/>
      <c r="PTI52" s="2"/>
      <c r="PTJ52" s="2"/>
      <c r="PTK52" s="2"/>
      <c r="PTL52" s="2"/>
      <c r="PTM52" s="2"/>
      <c r="PTN52" s="2"/>
      <c r="PTO52" s="2"/>
      <c r="PTP52" s="2"/>
      <c r="PTQ52" s="2"/>
      <c r="PTR52" s="2"/>
      <c r="PTS52" s="2"/>
      <c r="PTT52" s="2"/>
      <c r="PTU52" s="2"/>
      <c r="PTV52" s="2"/>
      <c r="PTW52" s="2"/>
      <c r="PTX52" s="2"/>
      <c r="PTY52" s="2"/>
      <c r="PTZ52" s="2"/>
      <c r="PUA52" s="2"/>
      <c r="PUB52" s="2"/>
      <c r="PUC52" s="2"/>
      <c r="PUD52" s="2"/>
      <c r="PUE52" s="2"/>
      <c r="PUF52" s="2"/>
      <c r="PUG52" s="2"/>
      <c r="PUH52" s="2"/>
      <c r="PUI52" s="2"/>
      <c r="PUJ52" s="2"/>
      <c r="PUK52" s="2"/>
      <c r="PUL52" s="2"/>
      <c r="PUM52" s="2"/>
      <c r="PUN52" s="2"/>
      <c r="PUO52" s="2"/>
      <c r="PUP52" s="2"/>
      <c r="PUQ52" s="2"/>
      <c r="PUR52" s="2"/>
      <c r="PUS52" s="2"/>
      <c r="PUT52" s="2"/>
      <c r="PUU52" s="2"/>
      <c r="PUV52" s="2"/>
      <c r="PUW52" s="2"/>
      <c r="PUX52" s="2"/>
      <c r="PUY52" s="2"/>
      <c r="PUZ52" s="2"/>
      <c r="PVA52" s="2"/>
      <c r="PVB52" s="2"/>
      <c r="PVC52" s="2"/>
      <c r="PVD52" s="2"/>
      <c r="PVE52" s="2"/>
      <c r="PVF52" s="2"/>
      <c r="PVG52" s="2"/>
      <c r="PVH52" s="2"/>
      <c r="PVI52" s="2"/>
      <c r="PVJ52" s="2"/>
      <c r="PVK52" s="2"/>
      <c r="PVL52" s="2"/>
      <c r="PVM52" s="2"/>
      <c r="PVN52" s="2"/>
      <c r="PVO52" s="2"/>
      <c r="PVP52" s="2"/>
      <c r="PVQ52" s="2"/>
      <c r="PVR52" s="2"/>
      <c r="PVS52" s="2"/>
      <c r="PVT52" s="2"/>
      <c r="PVU52" s="2"/>
      <c r="PVV52" s="2"/>
      <c r="PVW52" s="2"/>
      <c r="PVX52" s="2"/>
      <c r="PVY52" s="2"/>
      <c r="PVZ52" s="2"/>
      <c r="PWA52" s="2"/>
      <c r="PWB52" s="2"/>
      <c r="PWC52" s="2"/>
      <c r="PWD52" s="2"/>
      <c r="PWE52" s="2"/>
      <c r="PWF52" s="2"/>
      <c r="PWG52" s="2"/>
      <c r="PWH52" s="2"/>
      <c r="PWI52" s="2"/>
      <c r="PWJ52" s="2"/>
      <c r="PWK52" s="2"/>
      <c r="PWL52" s="2"/>
      <c r="PWM52" s="2"/>
      <c r="PWN52" s="2"/>
      <c r="PWO52" s="2"/>
      <c r="PWP52" s="2"/>
      <c r="PWQ52" s="2"/>
      <c r="PWR52" s="2"/>
      <c r="PWS52" s="2"/>
      <c r="PWT52" s="2"/>
      <c r="PWU52" s="2"/>
      <c r="PWV52" s="2"/>
      <c r="PWW52" s="2"/>
      <c r="PWX52" s="2"/>
      <c r="PWY52" s="2"/>
      <c r="PWZ52" s="2"/>
      <c r="PXA52" s="2"/>
      <c r="PXB52" s="2"/>
      <c r="PXC52" s="2"/>
      <c r="PXD52" s="2"/>
      <c r="PXE52" s="2"/>
      <c r="PXF52" s="2"/>
      <c r="PXG52" s="2"/>
      <c r="PXH52" s="2"/>
      <c r="PXI52" s="2"/>
      <c r="PXJ52" s="2"/>
      <c r="PXK52" s="2"/>
      <c r="PXL52" s="2"/>
      <c r="PXM52" s="2"/>
      <c r="PXN52" s="2"/>
      <c r="PXO52" s="2"/>
      <c r="PXP52" s="2"/>
      <c r="PXQ52" s="2"/>
      <c r="PXR52" s="2"/>
      <c r="PXS52" s="2"/>
      <c r="PXT52" s="2"/>
      <c r="PXU52" s="2"/>
      <c r="PXV52" s="2"/>
      <c r="PXW52" s="2"/>
      <c r="PXX52" s="2"/>
      <c r="PXY52" s="2"/>
      <c r="PXZ52" s="2"/>
      <c r="PYA52" s="2"/>
      <c r="PYB52" s="2"/>
      <c r="PYC52" s="2"/>
      <c r="PYD52" s="2"/>
      <c r="PYE52" s="2"/>
      <c r="PYF52" s="2"/>
      <c r="PYG52" s="2"/>
      <c r="PYH52" s="2"/>
      <c r="PYI52" s="2"/>
      <c r="PYJ52" s="2"/>
      <c r="PYK52" s="2"/>
      <c r="PYL52" s="2"/>
      <c r="PYM52" s="2"/>
      <c r="PYN52" s="2"/>
      <c r="PYO52" s="2"/>
      <c r="PYP52" s="2"/>
      <c r="PYQ52" s="2"/>
      <c r="PYR52" s="2"/>
      <c r="PYS52" s="2"/>
      <c r="PYT52" s="2"/>
      <c r="PYU52" s="2"/>
      <c r="PYV52" s="2"/>
      <c r="PYW52" s="2"/>
      <c r="PYX52" s="2"/>
      <c r="PYY52" s="2"/>
      <c r="PYZ52" s="2"/>
      <c r="PZA52" s="2"/>
      <c r="PZB52" s="2"/>
      <c r="PZC52" s="2"/>
      <c r="PZD52" s="2"/>
      <c r="PZE52" s="2"/>
      <c r="PZF52" s="2"/>
      <c r="PZG52" s="2"/>
      <c r="PZH52" s="2"/>
      <c r="PZI52" s="2"/>
      <c r="PZJ52" s="2"/>
      <c r="PZK52" s="2"/>
      <c r="PZL52" s="2"/>
      <c r="PZM52" s="2"/>
      <c r="PZN52" s="2"/>
      <c r="PZO52" s="2"/>
      <c r="PZP52" s="2"/>
      <c r="PZQ52" s="2"/>
      <c r="PZR52" s="2"/>
      <c r="PZS52" s="2"/>
      <c r="PZT52" s="2"/>
      <c r="PZU52" s="2"/>
      <c r="PZV52" s="2"/>
      <c r="PZW52" s="2"/>
      <c r="PZX52" s="2"/>
      <c r="PZY52" s="2"/>
      <c r="PZZ52" s="2"/>
      <c r="QAA52" s="2"/>
      <c r="QAB52" s="2"/>
      <c r="QAC52" s="2"/>
      <c r="QAD52" s="2"/>
      <c r="QAE52" s="2"/>
      <c r="QAF52" s="2"/>
      <c r="QAG52" s="2"/>
      <c r="QAH52" s="2"/>
      <c r="QAI52" s="2"/>
      <c r="QAJ52" s="2"/>
      <c r="QAK52" s="2"/>
      <c r="QAL52" s="2"/>
      <c r="QAM52" s="2"/>
      <c r="QAN52" s="2"/>
      <c r="QAO52" s="2"/>
      <c r="QAP52" s="2"/>
      <c r="QAQ52" s="2"/>
      <c r="QAR52" s="2"/>
      <c r="QAS52" s="2"/>
      <c r="QAT52" s="2"/>
      <c r="QAU52" s="2"/>
      <c r="QAV52" s="2"/>
      <c r="QAW52" s="2"/>
      <c r="QAX52" s="2"/>
      <c r="QAY52" s="2"/>
      <c r="QAZ52" s="2"/>
      <c r="QBA52" s="2"/>
      <c r="QBB52" s="2"/>
      <c r="QBC52" s="2"/>
      <c r="QBD52" s="2"/>
      <c r="QBE52" s="2"/>
      <c r="QBF52" s="2"/>
      <c r="QBG52" s="2"/>
      <c r="QBH52" s="2"/>
      <c r="QBI52" s="2"/>
      <c r="QBJ52" s="2"/>
      <c r="QBK52" s="2"/>
      <c r="QBL52" s="2"/>
      <c r="QBM52" s="2"/>
      <c r="QBN52" s="2"/>
      <c r="QBO52" s="2"/>
      <c r="QBP52" s="2"/>
      <c r="QBQ52" s="2"/>
      <c r="QBR52" s="2"/>
      <c r="QBS52" s="2"/>
      <c r="QBT52" s="2"/>
      <c r="QBU52" s="2"/>
      <c r="QBV52" s="2"/>
      <c r="QBW52" s="2"/>
      <c r="QBX52" s="2"/>
      <c r="QBY52" s="2"/>
      <c r="QBZ52" s="2"/>
      <c r="QCA52" s="2"/>
      <c r="QCB52" s="2"/>
      <c r="QCC52" s="2"/>
      <c r="QCD52" s="2"/>
      <c r="QCE52" s="2"/>
      <c r="QCF52" s="2"/>
      <c r="QCG52" s="2"/>
      <c r="QCH52" s="2"/>
      <c r="QCI52" s="2"/>
      <c r="QCJ52" s="2"/>
      <c r="QCK52" s="2"/>
      <c r="QCL52" s="2"/>
      <c r="QCM52" s="2"/>
      <c r="QCN52" s="2"/>
      <c r="QCO52" s="2"/>
      <c r="QCP52" s="2"/>
      <c r="QCQ52" s="2"/>
      <c r="QCR52" s="2"/>
      <c r="QCS52" s="2"/>
      <c r="QCT52" s="2"/>
      <c r="QCU52" s="2"/>
      <c r="QCV52" s="2"/>
      <c r="QCW52" s="2"/>
      <c r="QCX52" s="2"/>
      <c r="QCY52" s="2"/>
      <c r="QCZ52" s="2"/>
      <c r="QDA52" s="2"/>
      <c r="QDB52" s="2"/>
      <c r="QDC52" s="2"/>
      <c r="QDD52" s="2"/>
      <c r="QDE52" s="2"/>
      <c r="QDF52" s="2"/>
      <c r="QDG52" s="2"/>
      <c r="QDH52" s="2"/>
      <c r="QDI52" s="2"/>
      <c r="QDJ52" s="2"/>
      <c r="QDK52" s="2"/>
      <c r="QDL52" s="2"/>
      <c r="QDM52" s="2"/>
      <c r="QDN52" s="2"/>
      <c r="QDO52" s="2"/>
      <c r="QDP52" s="2"/>
      <c r="QDQ52" s="2"/>
      <c r="QDR52" s="2"/>
      <c r="QDS52" s="2"/>
      <c r="QDT52" s="2"/>
      <c r="QDU52" s="2"/>
      <c r="QDV52" s="2"/>
      <c r="QDW52" s="2"/>
      <c r="QDX52" s="2"/>
      <c r="QDY52" s="2"/>
      <c r="QDZ52" s="2"/>
      <c r="QEA52" s="2"/>
      <c r="QEB52" s="2"/>
      <c r="QEC52" s="2"/>
      <c r="QED52" s="2"/>
      <c r="QEE52" s="2"/>
      <c r="QEF52" s="2"/>
      <c r="QEG52" s="2"/>
      <c r="QEH52" s="2"/>
      <c r="QEI52" s="2"/>
      <c r="QEJ52" s="2"/>
      <c r="QEK52" s="2"/>
      <c r="QEL52" s="2"/>
      <c r="QEM52" s="2"/>
      <c r="QEN52" s="2"/>
      <c r="QEO52" s="2"/>
      <c r="QEP52" s="2"/>
      <c r="QEQ52" s="2"/>
      <c r="QER52" s="2"/>
      <c r="QES52" s="2"/>
      <c r="QET52" s="2"/>
      <c r="QEU52" s="2"/>
      <c r="QEV52" s="2"/>
      <c r="QEW52" s="2"/>
      <c r="QEX52" s="2"/>
      <c r="QEY52" s="2"/>
      <c r="QEZ52" s="2"/>
      <c r="QFA52" s="2"/>
      <c r="QFB52" s="2"/>
      <c r="QFC52" s="2"/>
      <c r="QFD52" s="2"/>
      <c r="QFE52" s="2"/>
      <c r="QFF52" s="2"/>
      <c r="QFG52" s="2"/>
      <c r="QFH52" s="2"/>
      <c r="QFI52" s="2"/>
      <c r="QFJ52" s="2"/>
      <c r="QFK52" s="2"/>
      <c r="QFL52" s="2"/>
      <c r="QFM52" s="2"/>
      <c r="QFN52" s="2"/>
      <c r="QFO52" s="2"/>
      <c r="QFP52" s="2"/>
      <c r="QFQ52" s="2"/>
      <c r="QFR52" s="2"/>
      <c r="QFS52" s="2"/>
      <c r="QFT52" s="2"/>
      <c r="QFU52" s="2"/>
      <c r="QFV52" s="2"/>
      <c r="QFW52" s="2"/>
      <c r="QFX52" s="2"/>
      <c r="QFY52" s="2"/>
      <c r="QFZ52" s="2"/>
      <c r="QGA52" s="2"/>
      <c r="QGB52" s="2"/>
      <c r="QGC52" s="2"/>
      <c r="QGD52" s="2"/>
      <c r="QGE52" s="2"/>
      <c r="QGF52" s="2"/>
      <c r="QGG52" s="2"/>
      <c r="QGH52" s="2"/>
      <c r="QGI52" s="2"/>
      <c r="QGJ52" s="2"/>
      <c r="QGK52" s="2"/>
      <c r="QGL52" s="2"/>
      <c r="QGM52" s="2"/>
      <c r="QGN52" s="2"/>
      <c r="QGO52" s="2"/>
      <c r="QGP52" s="2"/>
      <c r="QGQ52" s="2"/>
      <c r="QGR52" s="2"/>
      <c r="QGS52" s="2"/>
      <c r="QGT52" s="2"/>
      <c r="QGU52" s="2"/>
      <c r="QGV52" s="2"/>
      <c r="QGW52" s="2"/>
      <c r="QGX52" s="2"/>
      <c r="QGY52" s="2"/>
      <c r="QGZ52" s="2"/>
      <c r="QHA52" s="2"/>
      <c r="QHB52" s="2"/>
      <c r="QHC52" s="2"/>
      <c r="QHD52" s="2"/>
      <c r="QHE52" s="2"/>
      <c r="QHF52" s="2"/>
      <c r="QHG52" s="2"/>
      <c r="QHH52" s="2"/>
      <c r="QHI52" s="2"/>
      <c r="QHJ52" s="2"/>
      <c r="QHK52" s="2"/>
      <c r="QHL52" s="2"/>
      <c r="QHM52" s="2"/>
      <c r="QHN52" s="2"/>
      <c r="QHO52" s="2"/>
      <c r="QHP52" s="2"/>
      <c r="QHQ52" s="2"/>
      <c r="QHR52" s="2"/>
      <c r="QHS52" s="2"/>
      <c r="QHT52" s="2"/>
      <c r="QHU52" s="2"/>
      <c r="QHV52" s="2"/>
      <c r="QHW52" s="2"/>
      <c r="QHX52" s="2"/>
      <c r="QHY52" s="2"/>
      <c r="QHZ52" s="2"/>
      <c r="QIA52" s="2"/>
      <c r="QIB52" s="2"/>
      <c r="QIC52" s="2"/>
      <c r="QID52" s="2"/>
      <c r="QIE52" s="2"/>
      <c r="QIF52" s="2"/>
      <c r="QIG52" s="2"/>
      <c r="QIH52" s="2"/>
      <c r="QII52" s="2"/>
      <c r="QIJ52" s="2"/>
      <c r="QIK52" s="2"/>
      <c r="QIL52" s="2"/>
      <c r="QIM52" s="2"/>
      <c r="QIN52" s="2"/>
      <c r="QIO52" s="2"/>
      <c r="QIP52" s="2"/>
      <c r="QIQ52" s="2"/>
      <c r="QIR52" s="2"/>
      <c r="QIS52" s="2"/>
      <c r="QIT52" s="2"/>
      <c r="QIU52" s="2"/>
      <c r="QIV52" s="2"/>
      <c r="QIW52" s="2"/>
      <c r="QIX52" s="2"/>
      <c r="QIY52" s="2"/>
      <c r="QIZ52" s="2"/>
      <c r="QJA52" s="2"/>
      <c r="QJB52" s="2"/>
      <c r="QJC52" s="2"/>
      <c r="QJD52" s="2"/>
      <c r="QJE52" s="2"/>
      <c r="QJF52" s="2"/>
      <c r="QJG52" s="2"/>
      <c r="QJH52" s="2"/>
      <c r="QJI52" s="2"/>
      <c r="QJJ52" s="2"/>
      <c r="QJK52" s="2"/>
      <c r="QJL52" s="2"/>
      <c r="QJM52" s="2"/>
      <c r="QJN52" s="2"/>
      <c r="QJO52" s="2"/>
      <c r="QJP52" s="2"/>
      <c r="QJQ52" s="2"/>
      <c r="QJR52" s="2"/>
      <c r="QJS52" s="2"/>
      <c r="QJT52" s="2"/>
      <c r="QJU52" s="2"/>
      <c r="QJV52" s="2"/>
      <c r="QJW52" s="2"/>
      <c r="QJX52" s="2"/>
      <c r="QJY52" s="2"/>
      <c r="QJZ52" s="2"/>
      <c r="QKA52" s="2"/>
      <c r="QKB52" s="2"/>
      <c r="QKC52" s="2"/>
      <c r="QKD52" s="2"/>
      <c r="QKE52" s="2"/>
      <c r="QKF52" s="2"/>
      <c r="QKG52" s="2"/>
      <c r="QKH52" s="2"/>
      <c r="QKI52" s="2"/>
      <c r="QKJ52" s="2"/>
      <c r="QKK52" s="2"/>
      <c r="QKL52" s="2"/>
      <c r="QKM52" s="2"/>
      <c r="QKN52" s="2"/>
      <c r="QKO52" s="2"/>
      <c r="QKP52" s="2"/>
      <c r="QKQ52" s="2"/>
      <c r="QKR52" s="2"/>
      <c r="QKS52" s="2"/>
      <c r="QKT52" s="2"/>
      <c r="QKU52" s="2"/>
      <c r="QKV52" s="2"/>
      <c r="QKW52" s="2"/>
      <c r="QKX52" s="2"/>
      <c r="QKY52" s="2"/>
      <c r="QKZ52" s="2"/>
      <c r="QLA52" s="2"/>
      <c r="QLB52" s="2"/>
      <c r="QLC52" s="2"/>
      <c r="QLD52" s="2"/>
      <c r="QLE52" s="2"/>
      <c r="QLF52" s="2"/>
      <c r="QLG52" s="2"/>
      <c r="QLH52" s="2"/>
      <c r="QLI52" s="2"/>
      <c r="QLJ52" s="2"/>
      <c r="QLK52" s="2"/>
      <c r="QLL52" s="2"/>
      <c r="QLM52" s="2"/>
      <c r="QLN52" s="2"/>
      <c r="QLO52" s="2"/>
      <c r="QLP52" s="2"/>
      <c r="QLQ52" s="2"/>
      <c r="QLR52" s="2"/>
      <c r="QLS52" s="2"/>
      <c r="QLT52" s="2"/>
      <c r="QLU52" s="2"/>
      <c r="QLV52" s="2"/>
      <c r="QLW52" s="2"/>
      <c r="QLX52" s="2"/>
      <c r="QLY52" s="2"/>
      <c r="QLZ52" s="2"/>
      <c r="QMA52" s="2"/>
      <c r="QMB52" s="2"/>
      <c r="QMC52" s="2"/>
      <c r="QMD52" s="2"/>
      <c r="QME52" s="2"/>
      <c r="QMF52" s="2"/>
      <c r="QMG52" s="2"/>
      <c r="QMH52" s="2"/>
      <c r="QMI52" s="2"/>
      <c r="QMJ52" s="2"/>
      <c r="QMK52" s="2"/>
      <c r="QML52" s="2"/>
      <c r="QMM52" s="2"/>
      <c r="QMN52" s="2"/>
      <c r="QMO52" s="2"/>
      <c r="QMP52" s="2"/>
      <c r="QMQ52" s="2"/>
      <c r="QMR52" s="2"/>
      <c r="QMS52" s="2"/>
      <c r="QMT52" s="2"/>
      <c r="QMU52" s="2"/>
      <c r="QMV52" s="2"/>
      <c r="QMW52" s="2"/>
      <c r="QMX52" s="2"/>
      <c r="QMY52" s="2"/>
      <c r="QMZ52" s="2"/>
      <c r="QNA52" s="2"/>
      <c r="QNB52" s="2"/>
      <c r="QNC52" s="2"/>
      <c r="QND52" s="2"/>
      <c r="QNE52" s="2"/>
      <c r="QNF52" s="2"/>
      <c r="QNG52" s="2"/>
      <c r="QNH52" s="2"/>
      <c r="QNI52" s="2"/>
      <c r="QNJ52" s="2"/>
      <c r="QNK52" s="2"/>
      <c r="QNL52" s="2"/>
      <c r="QNM52" s="2"/>
      <c r="QNN52" s="2"/>
      <c r="QNO52" s="2"/>
      <c r="QNP52" s="2"/>
      <c r="QNQ52" s="2"/>
      <c r="QNR52" s="2"/>
      <c r="QNS52" s="2"/>
      <c r="QNT52" s="2"/>
      <c r="QNU52" s="2"/>
      <c r="QNV52" s="2"/>
      <c r="QNW52" s="2"/>
      <c r="QNX52" s="2"/>
      <c r="QNY52" s="2"/>
      <c r="QNZ52" s="2"/>
      <c r="QOA52" s="2"/>
      <c r="QOB52" s="2"/>
      <c r="QOC52" s="2"/>
      <c r="QOD52" s="2"/>
      <c r="QOE52" s="2"/>
      <c r="QOF52" s="2"/>
      <c r="QOG52" s="2"/>
      <c r="QOH52" s="2"/>
      <c r="QOI52" s="2"/>
      <c r="QOJ52" s="2"/>
      <c r="QOK52" s="2"/>
      <c r="QOL52" s="2"/>
      <c r="QOM52" s="2"/>
      <c r="QON52" s="2"/>
      <c r="QOO52" s="2"/>
      <c r="QOP52" s="2"/>
      <c r="QOQ52" s="2"/>
      <c r="QOR52" s="2"/>
      <c r="QOS52" s="2"/>
      <c r="QOT52" s="2"/>
      <c r="QOU52" s="2"/>
      <c r="QOV52" s="2"/>
      <c r="QOW52" s="2"/>
      <c r="QOX52" s="2"/>
      <c r="QOY52" s="2"/>
      <c r="QOZ52" s="2"/>
      <c r="QPA52" s="2"/>
      <c r="QPB52" s="2"/>
      <c r="QPC52" s="2"/>
      <c r="QPD52" s="2"/>
      <c r="QPE52" s="2"/>
      <c r="QPF52" s="2"/>
      <c r="QPG52" s="2"/>
      <c r="QPH52" s="2"/>
      <c r="QPI52" s="2"/>
      <c r="QPJ52" s="2"/>
      <c r="QPK52" s="2"/>
      <c r="QPL52" s="2"/>
      <c r="QPM52" s="2"/>
      <c r="QPN52" s="2"/>
      <c r="QPO52" s="2"/>
      <c r="QPP52" s="2"/>
      <c r="QPQ52" s="2"/>
      <c r="QPR52" s="2"/>
      <c r="QPS52" s="2"/>
      <c r="QPT52" s="2"/>
      <c r="QPU52" s="2"/>
      <c r="QPV52" s="2"/>
      <c r="QPW52" s="2"/>
      <c r="QPX52" s="2"/>
      <c r="QPY52" s="2"/>
      <c r="QPZ52" s="2"/>
      <c r="QQA52" s="2"/>
      <c r="QQB52" s="2"/>
      <c r="QQC52" s="2"/>
      <c r="QQD52" s="2"/>
      <c r="QQE52" s="2"/>
      <c r="QQF52" s="2"/>
      <c r="QQG52" s="2"/>
      <c r="QQH52" s="2"/>
      <c r="QQI52" s="2"/>
      <c r="QQJ52" s="2"/>
      <c r="QQK52" s="2"/>
      <c r="QQL52" s="2"/>
      <c r="QQM52" s="2"/>
      <c r="QQN52" s="2"/>
      <c r="QQO52" s="2"/>
      <c r="QQP52" s="2"/>
      <c r="QQQ52" s="2"/>
      <c r="QQR52" s="2"/>
      <c r="QQS52" s="2"/>
      <c r="QQT52" s="2"/>
      <c r="QQU52" s="2"/>
      <c r="QQV52" s="2"/>
      <c r="QQW52" s="2"/>
      <c r="QQX52" s="2"/>
      <c r="QQY52" s="2"/>
      <c r="QQZ52" s="2"/>
      <c r="QRA52" s="2"/>
      <c r="QRB52" s="2"/>
      <c r="QRC52" s="2"/>
      <c r="QRD52" s="2"/>
      <c r="QRE52" s="2"/>
      <c r="QRF52" s="2"/>
      <c r="QRG52" s="2"/>
      <c r="QRH52" s="2"/>
      <c r="QRI52" s="2"/>
      <c r="QRJ52" s="2"/>
      <c r="QRK52" s="2"/>
      <c r="QRL52" s="2"/>
      <c r="QRM52" s="2"/>
      <c r="QRN52" s="2"/>
      <c r="QRO52" s="2"/>
      <c r="QRP52" s="2"/>
      <c r="QRQ52" s="2"/>
      <c r="QRR52" s="2"/>
      <c r="QRS52" s="2"/>
      <c r="QRT52" s="2"/>
      <c r="QRU52" s="2"/>
      <c r="QRV52" s="2"/>
      <c r="QRW52" s="2"/>
      <c r="QRX52" s="2"/>
      <c r="QRY52" s="2"/>
      <c r="QRZ52" s="2"/>
      <c r="QSA52" s="2"/>
      <c r="QSB52" s="2"/>
      <c r="QSC52" s="2"/>
      <c r="QSD52" s="2"/>
      <c r="QSE52" s="2"/>
      <c r="QSF52" s="2"/>
      <c r="QSG52" s="2"/>
      <c r="QSH52" s="2"/>
      <c r="QSI52" s="2"/>
      <c r="QSJ52" s="2"/>
      <c r="QSK52" s="2"/>
      <c r="QSL52" s="2"/>
      <c r="QSM52" s="2"/>
      <c r="QSN52" s="2"/>
      <c r="QSO52" s="2"/>
      <c r="QSP52" s="2"/>
      <c r="QSQ52" s="2"/>
      <c r="QSR52" s="2"/>
      <c r="QSS52" s="2"/>
      <c r="QST52" s="2"/>
      <c r="QSU52" s="2"/>
      <c r="QSV52" s="2"/>
      <c r="QSW52" s="2"/>
      <c r="QSX52" s="2"/>
      <c r="QSY52" s="2"/>
      <c r="QSZ52" s="2"/>
      <c r="QTA52" s="2"/>
      <c r="QTB52" s="2"/>
      <c r="QTC52" s="2"/>
      <c r="QTD52" s="2"/>
      <c r="QTE52" s="2"/>
      <c r="QTF52" s="2"/>
      <c r="QTG52" s="2"/>
      <c r="QTH52" s="2"/>
      <c r="QTI52" s="2"/>
      <c r="QTJ52" s="2"/>
      <c r="QTK52" s="2"/>
      <c r="QTL52" s="2"/>
      <c r="QTM52" s="2"/>
      <c r="QTN52" s="2"/>
      <c r="QTO52" s="2"/>
      <c r="QTP52" s="2"/>
      <c r="QTQ52" s="2"/>
      <c r="QTR52" s="2"/>
      <c r="QTS52" s="2"/>
      <c r="QTT52" s="2"/>
      <c r="QTU52" s="2"/>
      <c r="QTV52" s="2"/>
      <c r="QTW52" s="2"/>
      <c r="QTX52" s="2"/>
      <c r="QTY52" s="2"/>
      <c r="QTZ52" s="2"/>
      <c r="QUA52" s="2"/>
      <c r="QUB52" s="2"/>
      <c r="QUC52" s="2"/>
      <c r="QUD52" s="2"/>
      <c r="QUE52" s="2"/>
      <c r="QUF52" s="2"/>
      <c r="QUG52" s="2"/>
      <c r="QUH52" s="2"/>
      <c r="QUI52" s="2"/>
      <c r="QUJ52" s="2"/>
      <c r="QUK52" s="2"/>
      <c r="QUL52" s="2"/>
      <c r="QUM52" s="2"/>
      <c r="QUN52" s="2"/>
      <c r="QUO52" s="2"/>
      <c r="QUP52" s="2"/>
      <c r="QUQ52" s="2"/>
      <c r="QUR52" s="2"/>
      <c r="QUS52" s="2"/>
      <c r="QUT52" s="2"/>
      <c r="QUU52" s="2"/>
      <c r="QUV52" s="2"/>
      <c r="QUW52" s="2"/>
      <c r="QUX52" s="2"/>
      <c r="QUY52" s="2"/>
      <c r="QUZ52" s="2"/>
      <c r="QVA52" s="2"/>
      <c r="QVB52" s="2"/>
      <c r="QVC52" s="2"/>
      <c r="QVD52" s="2"/>
      <c r="QVE52" s="2"/>
      <c r="QVF52" s="2"/>
      <c r="QVG52" s="2"/>
      <c r="QVH52" s="2"/>
      <c r="QVI52" s="2"/>
      <c r="QVJ52" s="2"/>
      <c r="QVK52" s="2"/>
      <c r="QVL52" s="2"/>
      <c r="QVM52" s="2"/>
      <c r="QVN52" s="2"/>
      <c r="QVO52" s="2"/>
      <c r="QVP52" s="2"/>
      <c r="QVQ52" s="2"/>
      <c r="QVR52" s="2"/>
      <c r="QVS52" s="2"/>
      <c r="QVT52" s="2"/>
      <c r="QVU52" s="2"/>
      <c r="QVV52" s="2"/>
      <c r="QVW52" s="2"/>
      <c r="QVX52" s="2"/>
      <c r="QVY52" s="2"/>
      <c r="QVZ52" s="2"/>
      <c r="QWA52" s="2"/>
      <c r="QWB52" s="2"/>
      <c r="QWC52" s="2"/>
      <c r="QWD52" s="2"/>
      <c r="QWE52" s="2"/>
      <c r="QWF52" s="2"/>
      <c r="QWG52" s="2"/>
      <c r="QWH52" s="2"/>
      <c r="QWI52" s="2"/>
      <c r="QWJ52" s="2"/>
      <c r="QWK52" s="2"/>
      <c r="QWL52" s="2"/>
      <c r="QWM52" s="2"/>
      <c r="QWN52" s="2"/>
      <c r="QWO52" s="2"/>
      <c r="QWP52" s="2"/>
      <c r="QWQ52" s="2"/>
      <c r="QWR52" s="2"/>
      <c r="QWS52" s="2"/>
      <c r="QWT52" s="2"/>
      <c r="QWU52" s="2"/>
      <c r="QWV52" s="2"/>
      <c r="QWW52" s="2"/>
      <c r="QWX52" s="2"/>
      <c r="QWY52" s="2"/>
      <c r="QWZ52" s="2"/>
      <c r="QXA52" s="2"/>
      <c r="QXB52" s="2"/>
      <c r="QXC52" s="2"/>
      <c r="QXD52" s="2"/>
      <c r="QXE52" s="2"/>
      <c r="QXF52" s="2"/>
      <c r="QXG52" s="2"/>
      <c r="QXH52" s="2"/>
      <c r="QXI52" s="2"/>
      <c r="QXJ52" s="2"/>
      <c r="QXK52" s="2"/>
      <c r="QXL52" s="2"/>
      <c r="QXM52" s="2"/>
      <c r="QXN52" s="2"/>
      <c r="QXO52" s="2"/>
      <c r="QXP52" s="2"/>
      <c r="QXQ52" s="2"/>
      <c r="QXR52" s="2"/>
      <c r="QXS52" s="2"/>
      <c r="QXT52" s="2"/>
      <c r="QXU52" s="2"/>
      <c r="QXV52" s="2"/>
      <c r="QXW52" s="2"/>
      <c r="QXX52" s="2"/>
      <c r="QXY52" s="2"/>
      <c r="QXZ52" s="2"/>
      <c r="QYA52" s="2"/>
      <c r="QYB52" s="2"/>
      <c r="QYC52" s="2"/>
      <c r="QYD52" s="2"/>
      <c r="QYE52" s="2"/>
      <c r="QYF52" s="2"/>
      <c r="QYG52" s="2"/>
      <c r="QYH52" s="2"/>
      <c r="QYI52" s="2"/>
      <c r="QYJ52" s="2"/>
      <c r="QYK52" s="2"/>
      <c r="QYL52" s="2"/>
      <c r="QYM52" s="2"/>
      <c r="QYN52" s="2"/>
      <c r="QYO52" s="2"/>
      <c r="QYP52" s="2"/>
      <c r="QYQ52" s="2"/>
      <c r="QYR52" s="2"/>
      <c r="QYS52" s="2"/>
      <c r="QYT52" s="2"/>
      <c r="QYU52" s="2"/>
      <c r="QYV52" s="2"/>
      <c r="QYW52" s="2"/>
      <c r="QYX52" s="2"/>
      <c r="QYY52" s="2"/>
      <c r="QYZ52" s="2"/>
      <c r="QZA52" s="2"/>
      <c r="QZB52" s="2"/>
      <c r="QZC52" s="2"/>
      <c r="QZD52" s="2"/>
      <c r="QZE52" s="2"/>
      <c r="QZF52" s="2"/>
      <c r="QZG52" s="2"/>
      <c r="QZH52" s="2"/>
      <c r="QZI52" s="2"/>
      <c r="QZJ52" s="2"/>
      <c r="QZK52" s="2"/>
      <c r="QZL52" s="2"/>
      <c r="QZM52" s="2"/>
      <c r="QZN52" s="2"/>
      <c r="QZO52" s="2"/>
      <c r="QZP52" s="2"/>
      <c r="QZQ52" s="2"/>
      <c r="QZR52" s="2"/>
      <c r="QZS52" s="2"/>
      <c r="QZT52" s="2"/>
      <c r="QZU52" s="2"/>
      <c r="QZV52" s="2"/>
      <c r="QZW52" s="2"/>
      <c r="QZX52" s="2"/>
      <c r="QZY52" s="2"/>
      <c r="QZZ52" s="2"/>
      <c r="RAA52" s="2"/>
      <c r="RAB52" s="2"/>
      <c r="RAC52" s="2"/>
      <c r="RAD52" s="2"/>
      <c r="RAE52" s="2"/>
      <c r="RAF52" s="2"/>
      <c r="RAG52" s="2"/>
      <c r="RAH52" s="2"/>
      <c r="RAI52" s="2"/>
      <c r="RAJ52" s="2"/>
      <c r="RAK52" s="2"/>
      <c r="RAL52" s="2"/>
      <c r="RAM52" s="2"/>
      <c r="RAN52" s="2"/>
      <c r="RAO52" s="2"/>
      <c r="RAP52" s="2"/>
      <c r="RAQ52" s="2"/>
      <c r="RAR52" s="2"/>
      <c r="RAS52" s="2"/>
      <c r="RAT52" s="2"/>
      <c r="RAU52" s="2"/>
      <c r="RAV52" s="2"/>
      <c r="RAW52" s="2"/>
      <c r="RAX52" s="2"/>
      <c r="RAY52" s="2"/>
      <c r="RAZ52" s="2"/>
      <c r="RBA52" s="2"/>
      <c r="RBB52" s="2"/>
      <c r="RBC52" s="2"/>
      <c r="RBD52" s="2"/>
      <c r="RBE52" s="2"/>
      <c r="RBF52" s="2"/>
      <c r="RBG52" s="2"/>
      <c r="RBH52" s="2"/>
      <c r="RBI52" s="2"/>
      <c r="RBJ52" s="2"/>
      <c r="RBK52" s="2"/>
      <c r="RBL52" s="2"/>
      <c r="RBM52" s="2"/>
      <c r="RBN52" s="2"/>
      <c r="RBO52" s="2"/>
      <c r="RBP52" s="2"/>
      <c r="RBQ52" s="2"/>
      <c r="RBR52" s="2"/>
      <c r="RBS52" s="2"/>
      <c r="RBT52" s="2"/>
      <c r="RBU52" s="2"/>
      <c r="RBV52" s="2"/>
      <c r="RBW52" s="2"/>
      <c r="RBX52" s="2"/>
      <c r="RBY52" s="2"/>
      <c r="RBZ52" s="2"/>
      <c r="RCA52" s="2"/>
      <c r="RCB52" s="2"/>
      <c r="RCC52" s="2"/>
      <c r="RCD52" s="2"/>
      <c r="RCE52" s="2"/>
      <c r="RCF52" s="2"/>
      <c r="RCG52" s="2"/>
      <c r="RCH52" s="2"/>
      <c r="RCI52" s="2"/>
      <c r="RCJ52" s="2"/>
      <c r="RCK52" s="2"/>
      <c r="RCL52" s="2"/>
      <c r="RCM52" s="2"/>
      <c r="RCN52" s="2"/>
      <c r="RCO52" s="2"/>
      <c r="RCP52" s="2"/>
      <c r="RCQ52" s="2"/>
      <c r="RCR52" s="2"/>
      <c r="RCS52" s="2"/>
      <c r="RCT52" s="2"/>
      <c r="RCU52" s="2"/>
      <c r="RCV52" s="2"/>
      <c r="RCW52" s="2"/>
      <c r="RCX52" s="2"/>
      <c r="RCY52" s="2"/>
      <c r="RCZ52" s="2"/>
      <c r="RDA52" s="2"/>
      <c r="RDB52" s="2"/>
      <c r="RDC52" s="2"/>
      <c r="RDD52" s="2"/>
      <c r="RDE52" s="2"/>
      <c r="RDF52" s="2"/>
      <c r="RDG52" s="2"/>
      <c r="RDH52" s="2"/>
      <c r="RDI52" s="2"/>
      <c r="RDJ52" s="2"/>
      <c r="RDK52" s="2"/>
      <c r="RDL52" s="2"/>
      <c r="RDM52" s="2"/>
      <c r="RDN52" s="2"/>
      <c r="RDO52" s="2"/>
      <c r="RDP52" s="2"/>
      <c r="RDQ52" s="2"/>
      <c r="RDR52" s="2"/>
      <c r="RDS52" s="2"/>
      <c r="RDT52" s="2"/>
      <c r="RDU52" s="2"/>
      <c r="RDV52" s="2"/>
      <c r="RDW52" s="2"/>
      <c r="RDX52" s="2"/>
      <c r="RDY52" s="2"/>
      <c r="RDZ52" s="2"/>
      <c r="REA52" s="2"/>
      <c r="REB52" s="2"/>
      <c r="REC52" s="2"/>
      <c r="RED52" s="2"/>
      <c r="REE52" s="2"/>
      <c r="REF52" s="2"/>
      <c r="REG52" s="2"/>
      <c r="REH52" s="2"/>
      <c r="REI52" s="2"/>
      <c r="REJ52" s="2"/>
      <c r="REK52" s="2"/>
      <c r="REL52" s="2"/>
      <c r="REM52" s="2"/>
      <c r="REN52" s="2"/>
      <c r="REO52" s="2"/>
      <c r="REP52" s="2"/>
      <c r="REQ52" s="2"/>
      <c r="RER52" s="2"/>
      <c r="RES52" s="2"/>
      <c r="RET52" s="2"/>
      <c r="REU52" s="2"/>
      <c r="REV52" s="2"/>
      <c r="REW52" s="2"/>
      <c r="REX52" s="2"/>
      <c r="REY52" s="2"/>
      <c r="REZ52" s="2"/>
      <c r="RFA52" s="2"/>
      <c r="RFB52" s="2"/>
      <c r="RFC52" s="2"/>
      <c r="RFD52" s="2"/>
      <c r="RFE52" s="2"/>
      <c r="RFF52" s="2"/>
      <c r="RFG52" s="2"/>
      <c r="RFH52" s="2"/>
      <c r="RFI52" s="2"/>
      <c r="RFJ52" s="2"/>
      <c r="RFK52" s="2"/>
      <c r="RFL52" s="2"/>
      <c r="RFM52" s="2"/>
      <c r="RFN52" s="2"/>
      <c r="RFO52" s="2"/>
      <c r="RFP52" s="2"/>
      <c r="RFQ52" s="2"/>
      <c r="RFR52" s="2"/>
      <c r="RFS52" s="2"/>
      <c r="RFT52" s="2"/>
      <c r="RFU52" s="2"/>
      <c r="RFV52" s="2"/>
      <c r="RFW52" s="2"/>
      <c r="RFX52" s="2"/>
      <c r="RFY52" s="2"/>
      <c r="RFZ52" s="2"/>
      <c r="RGA52" s="2"/>
      <c r="RGB52" s="2"/>
      <c r="RGC52" s="2"/>
      <c r="RGD52" s="2"/>
      <c r="RGE52" s="2"/>
      <c r="RGF52" s="2"/>
      <c r="RGG52" s="2"/>
      <c r="RGH52" s="2"/>
      <c r="RGI52" s="2"/>
      <c r="RGJ52" s="2"/>
      <c r="RGK52" s="2"/>
      <c r="RGL52" s="2"/>
      <c r="RGM52" s="2"/>
      <c r="RGN52" s="2"/>
      <c r="RGO52" s="2"/>
      <c r="RGP52" s="2"/>
      <c r="RGQ52" s="2"/>
      <c r="RGR52" s="2"/>
      <c r="RGS52" s="2"/>
      <c r="RGT52" s="2"/>
      <c r="RGU52" s="2"/>
      <c r="RGV52" s="2"/>
      <c r="RGW52" s="2"/>
      <c r="RGX52" s="2"/>
      <c r="RGY52" s="2"/>
      <c r="RGZ52" s="2"/>
      <c r="RHA52" s="2"/>
      <c r="RHB52" s="2"/>
      <c r="RHC52" s="2"/>
      <c r="RHD52" s="2"/>
      <c r="RHE52" s="2"/>
      <c r="RHF52" s="2"/>
      <c r="RHG52" s="2"/>
      <c r="RHH52" s="2"/>
      <c r="RHI52" s="2"/>
      <c r="RHJ52" s="2"/>
      <c r="RHK52" s="2"/>
      <c r="RHL52" s="2"/>
      <c r="RHM52" s="2"/>
      <c r="RHN52" s="2"/>
      <c r="RHO52" s="2"/>
      <c r="RHP52" s="2"/>
      <c r="RHQ52" s="2"/>
      <c r="RHR52" s="2"/>
      <c r="RHS52" s="2"/>
      <c r="RHT52" s="2"/>
      <c r="RHU52" s="2"/>
      <c r="RHV52" s="2"/>
      <c r="RHW52" s="2"/>
      <c r="RHX52" s="2"/>
      <c r="RHY52" s="2"/>
      <c r="RHZ52" s="2"/>
      <c r="RIA52" s="2"/>
      <c r="RIB52" s="2"/>
      <c r="RIC52" s="2"/>
      <c r="RID52" s="2"/>
      <c r="RIE52" s="2"/>
      <c r="RIF52" s="2"/>
      <c r="RIG52" s="2"/>
      <c r="RIH52" s="2"/>
      <c r="RII52" s="2"/>
      <c r="RIJ52" s="2"/>
      <c r="RIK52" s="2"/>
      <c r="RIL52" s="2"/>
      <c r="RIM52" s="2"/>
      <c r="RIN52" s="2"/>
      <c r="RIO52" s="2"/>
      <c r="RIP52" s="2"/>
      <c r="RIQ52" s="2"/>
      <c r="RIR52" s="2"/>
      <c r="RIS52" s="2"/>
      <c r="RIT52" s="2"/>
      <c r="RIU52" s="2"/>
      <c r="RIV52" s="2"/>
      <c r="RIW52" s="2"/>
      <c r="RIX52" s="2"/>
      <c r="RIY52" s="2"/>
      <c r="RIZ52" s="2"/>
      <c r="RJA52" s="2"/>
      <c r="RJB52" s="2"/>
      <c r="RJC52" s="2"/>
      <c r="RJD52" s="2"/>
      <c r="RJE52" s="2"/>
      <c r="RJF52" s="2"/>
      <c r="RJG52" s="2"/>
      <c r="RJH52" s="2"/>
      <c r="RJI52" s="2"/>
      <c r="RJJ52" s="2"/>
      <c r="RJK52" s="2"/>
      <c r="RJL52" s="2"/>
      <c r="RJM52" s="2"/>
      <c r="RJN52" s="2"/>
      <c r="RJO52" s="2"/>
      <c r="RJP52" s="2"/>
      <c r="RJQ52" s="2"/>
      <c r="RJR52" s="2"/>
      <c r="RJS52" s="2"/>
      <c r="RJT52" s="2"/>
      <c r="RJU52" s="2"/>
      <c r="RJV52" s="2"/>
      <c r="RJW52" s="2"/>
      <c r="RJX52" s="2"/>
      <c r="RJY52" s="2"/>
      <c r="RJZ52" s="2"/>
      <c r="RKA52" s="2"/>
      <c r="RKB52" s="2"/>
      <c r="RKC52" s="2"/>
      <c r="RKD52" s="2"/>
      <c r="RKE52" s="2"/>
      <c r="RKF52" s="2"/>
      <c r="RKG52" s="2"/>
      <c r="RKH52" s="2"/>
      <c r="RKI52" s="2"/>
      <c r="RKJ52" s="2"/>
      <c r="RKK52" s="2"/>
      <c r="RKL52" s="2"/>
      <c r="RKM52" s="2"/>
      <c r="RKN52" s="2"/>
      <c r="RKO52" s="2"/>
      <c r="RKP52" s="2"/>
      <c r="RKQ52" s="2"/>
      <c r="RKR52" s="2"/>
      <c r="RKS52" s="2"/>
      <c r="RKT52" s="2"/>
      <c r="RKU52" s="2"/>
      <c r="RKV52" s="2"/>
      <c r="RKW52" s="2"/>
      <c r="RKX52" s="2"/>
      <c r="RKY52" s="2"/>
      <c r="RKZ52" s="2"/>
      <c r="RLA52" s="2"/>
      <c r="RLB52" s="2"/>
      <c r="RLC52" s="2"/>
      <c r="RLD52" s="2"/>
      <c r="RLE52" s="2"/>
      <c r="RLF52" s="2"/>
      <c r="RLG52" s="2"/>
      <c r="RLH52" s="2"/>
      <c r="RLI52" s="2"/>
      <c r="RLJ52" s="2"/>
      <c r="RLK52" s="2"/>
      <c r="RLL52" s="2"/>
      <c r="RLM52" s="2"/>
      <c r="RLN52" s="2"/>
      <c r="RLO52" s="2"/>
      <c r="RLP52" s="2"/>
      <c r="RLQ52" s="2"/>
      <c r="RLR52" s="2"/>
      <c r="RLS52" s="2"/>
      <c r="RLT52" s="2"/>
      <c r="RLU52" s="2"/>
      <c r="RLV52" s="2"/>
      <c r="RLW52" s="2"/>
      <c r="RLX52" s="2"/>
      <c r="RLY52" s="2"/>
      <c r="RLZ52" s="2"/>
      <c r="RMA52" s="2"/>
      <c r="RMB52" s="2"/>
      <c r="RMC52" s="2"/>
      <c r="RMD52" s="2"/>
      <c r="RME52" s="2"/>
      <c r="RMF52" s="2"/>
      <c r="RMG52" s="2"/>
      <c r="RMH52" s="2"/>
      <c r="RMI52" s="2"/>
      <c r="RMJ52" s="2"/>
      <c r="RMK52" s="2"/>
      <c r="RML52" s="2"/>
      <c r="RMM52" s="2"/>
      <c r="RMN52" s="2"/>
      <c r="RMO52" s="2"/>
      <c r="RMP52" s="2"/>
      <c r="RMQ52" s="2"/>
      <c r="RMR52" s="2"/>
      <c r="RMS52" s="2"/>
      <c r="RMT52" s="2"/>
      <c r="RMU52" s="2"/>
      <c r="RMV52" s="2"/>
      <c r="RMW52" s="2"/>
      <c r="RMX52" s="2"/>
      <c r="RMY52" s="2"/>
      <c r="RMZ52" s="2"/>
      <c r="RNA52" s="2"/>
      <c r="RNB52" s="2"/>
      <c r="RNC52" s="2"/>
      <c r="RND52" s="2"/>
      <c r="RNE52" s="2"/>
      <c r="RNF52" s="2"/>
      <c r="RNG52" s="2"/>
      <c r="RNH52" s="2"/>
      <c r="RNI52" s="2"/>
      <c r="RNJ52" s="2"/>
      <c r="RNK52" s="2"/>
      <c r="RNL52" s="2"/>
      <c r="RNM52" s="2"/>
      <c r="RNN52" s="2"/>
      <c r="RNO52" s="2"/>
      <c r="RNP52" s="2"/>
      <c r="RNQ52" s="2"/>
      <c r="RNR52" s="2"/>
      <c r="RNS52" s="2"/>
      <c r="RNT52" s="2"/>
      <c r="RNU52" s="2"/>
      <c r="RNV52" s="2"/>
      <c r="RNW52" s="2"/>
      <c r="RNX52" s="2"/>
      <c r="RNY52" s="2"/>
      <c r="RNZ52" s="2"/>
      <c r="ROA52" s="2"/>
      <c r="ROB52" s="2"/>
      <c r="ROC52" s="2"/>
      <c r="ROD52" s="2"/>
      <c r="ROE52" s="2"/>
      <c r="ROF52" s="2"/>
      <c r="ROG52" s="2"/>
      <c r="ROH52" s="2"/>
      <c r="ROI52" s="2"/>
      <c r="ROJ52" s="2"/>
      <c r="ROK52" s="2"/>
      <c r="ROL52" s="2"/>
      <c r="ROM52" s="2"/>
      <c r="RON52" s="2"/>
      <c r="ROO52" s="2"/>
      <c r="ROP52" s="2"/>
      <c r="ROQ52" s="2"/>
      <c r="ROR52" s="2"/>
      <c r="ROS52" s="2"/>
      <c r="ROT52" s="2"/>
      <c r="ROU52" s="2"/>
      <c r="ROV52" s="2"/>
      <c r="ROW52" s="2"/>
      <c r="ROX52" s="2"/>
      <c r="ROY52" s="2"/>
      <c r="ROZ52" s="2"/>
      <c r="RPA52" s="2"/>
      <c r="RPB52" s="2"/>
      <c r="RPC52" s="2"/>
      <c r="RPD52" s="2"/>
      <c r="RPE52" s="2"/>
      <c r="RPF52" s="2"/>
      <c r="RPG52" s="2"/>
      <c r="RPH52" s="2"/>
      <c r="RPI52" s="2"/>
      <c r="RPJ52" s="2"/>
      <c r="RPK52" s="2"/>
      <c r="RPL52" s="2"/>
      <c r="RPM52" s="2"/>
      <c r="RPN52" s="2"/>
      <c r="RPO52" s="2"/>
      <c r="RPP52" s="2"/>
      <c r="RPQ52" s="2"/>
      <c r="RPR52" s="2"/>
      <c r="RPS52" s="2"/>
      <c r="RPT52" s="2"/>
      <c r="RPU52" s="2"/>
      <c r="RPV52" s="2"/>
      <c r="RPW52" s="2"/>
      <c r="RPX52" s="2"/>
      <c r="RPY52" s="2"/>
      <c r="RPZ52" s="2"/>
      <c r="RQA52" s="2"/>
      <c r="RQB52" s="2"/>
      <c r="RQC52" s="2"/>
      <c r="RQD52" s="2"/>
      <c r="RQE52" s="2"/>
      <c r="RQF52" s="2"/>
      <c r="RQG52" s="2"/>
      <c r="RQH52" s="2"/>
      <c r="RQI52" s="2"/>
      <c r="RQJ52" s="2"/>
      <c r="RQK52" s="2"/>
      <c r="RQL52" s="2"/>
      <c r="RQM52" s="2"/>
      <c r="RQN52" s="2"/>
      <c r="RQO52" s="2"/>
      <c r="RQP52" s="2"/>
      <c r="RQQ52" s="2"/>
      <c r="RQR52" s="2"/>
      <c r="RQS52" s="2"/>
      <c r="RQT52" s="2"/>
      <c r="RQU52" s="2"/>
      <c r="RQV52" s="2"/>
      <c r="RQW52" s="2"/>
      <c r="RQX52" s="2"/>
      <c r="RQY52" s="2"/>
      <c r="RQZ52" s="2"/>
      <c r="RRA52" s="2"/>
      <c r="RRB52" s="2"/>
      <c r="RRC52" s="2"/>
      <c r="RRD52" s="2"/>
      <c r="RRE52" s="2"/>
      <c r="RRF52" s="2"/>
      <c r="RRG52" s="2"/>
      <c r="RRH52" s="2"/>
      <c r="RRI52" s="2"/>
      <c r="RRJ52" s="2"/>
      <c r="RRK52" s="2"/>
      <c r="RRL52" s="2"/>
      <c r="RRM52" s="2"/>
      <c r="RRN52" s="2"/>
      <c r="RRO52" s="2"/>
      <c r="RRP52" s="2"/>
      <c r="RRQ52" s="2"/>
      <c r="RRR52" s="2"/>
      <c r="RRS52" s="2"/>
      <c r="RRT52" s="2"/>
      <c r="RRU52" s="2"/>
      <c r="RRV52" s="2"/>
      <c r="RRW52" s="2"/>
      <c r="RRX52" s="2"/>
      <c r="RRY52" s="2"/>
      <c r="RRZ52" s="2"/>
      <c r="RSA52" s="2"/>
      <c r="RSB52" s="2"/>
      <c r="RSC52" s="2"/>
      <c r="RSD52" s="2"/>
      <c r="RSE52" s="2"/>
      <c r="RSF52" s="2"/>
      <c r="RSG52" s="2"/>
      <c r="RSH52" s="2"/>
      <c r="RSI52" s="2"/>
      <c r="RSJ52" s="2"/>
      <c r="RSK52" s="2"/>
      <c r="RSL52" s="2"/>
      <c r="RSM52" s="2"/>
      <c r="RSN52" s="2"/>
      <c r="RSO52" s="2"/>
      <c r="RSP52" s="2"/>
      <c r="RSQ52" s="2"/>
      <c r="RSR52" s="2"/>
      <c r="RSS52" s="2"/>
      <c r="RST52" s="2"/>
      <c r="RSU52" s="2"/>
      <c r="RSV52" s="2"/>
      <c r="RSW52" s="2"/>
      <c r="RSX52" s="2"/>
      <c r="RSY52" s="2"/>
      <c r="RSZ52" s="2"/>
      <c r="RTA52" s="2"/>
      <c r="RTB52" s="2"/>
      <c r="RTC52" s="2"/>
      <c r="RTD52" s="2"/>
      <c r="RTE52" s="2"/>
      <c r="RTF52" s="2"/>
      <c r="RTG52" s="2"/>
      <c r="RTH52" s="2"/>
      <c r="RTI52" s="2"/>
      <c r="RTJ52" s="2"/>
      <c r="RTK52" s="2"/>
      <c r="RTL52" s="2"/>
      <c r="RTM52" s="2"/>
      <c r="RTN52" s="2"/>
      <c r="RTO52" s="2"/>
      <c r="RTP52" s="2"/>
      <c r="RTQ52" s="2"/>
      <c r="RTR52" s="2"/>
      <c r="RTS52" s="2"/>
      <c r="RTT52" s="2"/>
      <c r="RTU52" s="2"/>
      <c r="RTV52" s="2"/>
      <c r="RTW52" s="2"/>
      <c r="RTX52" s="2"/>
      <c r="RTY52" s="2"/>
      <c r="RTZ52" s="2"/>
      <c r="RUA52" s="2"/>
      <c r="RUB52" s="2"/>
      <c r="RUC52" s="2"/>
      <c r="RUD52" s="2"/>
      <c r="RUE52" s="2"/>
      <c r="RUF52" s="2"/>
      <c r="RUG52" s="2"/>
      <c r="RUH52" s="2"/>
      <c r="RUI52" s="2"/>
      <c r="RUJ52" s="2"/>
      <c r="RUK52" s="2"/>
      <c r="RUL52" s="2"/>
      <c r="RUM52" s="2"/>
      <c r="RUN52" s="2"/>
      <c r="RUO52" s="2"/>
      <c r="RUP52" s="2"/>
      <c r="RUQ52" s="2"/>
      <c r="RUR52" s="2"/>
      <c r="RUS52" s="2"/>
      <c r="RUT52" s="2"/>
      <c r="RUU52" s="2"/>
      <c r="RUV52" s="2"/>
      <c r="RUW52" s="2"/>
      <c r="RUX52" s="2"/>
      <c r="RUY52" s="2"/>
      <c r="RUZ52" s="2"/>
      <c r="RVA52" s="2"/>
      <c r="RVB52" s="2"/>
      <c r="RVC52" s="2"/>
      <c r="RVD52" s="2"/>
      <c r="RVE52" s="2"/>
      <c r="RVF52" s="2"/>
      <c r="RVG52" s="2"/>
      <c r="RVH52" s="2"/>
      <c r="RVI52" s="2"/>
      <c r="RVJ52" s="2"/>
      <c r="RVK52" s="2"/>
      <c r="RVL52" s="2"/>
      <c r="RVM52" s="2"/>
      <c r="RVN52" s="2"/>
      <c r="RVO52" s="2"/>
      <c r="RVP52" s="2"/>
      <c r="RVQ52" s="2"/>
      <c r="RVR52" s="2"/>
      <c r="RVS52" s="2"/>
      <c r="RVT52" s="2"/>
      <c r="RVU52" s="2"/>
      <c r="RVV52" s="2"/>
      <c r="RVW52" s="2"/>
      <c r="RVX52" s="2"/>
      <c r="RVY52" s="2"/>
      <c r="RVZ52" s="2"/>
      <c r="RWA52" s="2"/>
      <c r="RWB52" s="2"/>
      <c r="RWC52" s="2"/>
      <c r="RWD52" s="2"/>
      <c r="RWE52" s="2"/>
      <c r="RWF52" s="2"/>
      <c r="RWG52" s="2"/>
      <c r="RWH52" s="2"/>
      <c r="RWI52" s="2"/>
      <c r="RWJ52" s="2"/>
      <c r="RWK52" s="2"/>
      <c r="RWL52" s="2"/>
      <c r="RWM52" s="2"/>
      <c r="RWN52" s="2"/>
      <c r="RWO52" s="2"/>
      <c r="RWP52" s="2"/>
      <c r="RWQ52" s="2"/>
      <c r="RWR52" s="2"/>
      <c r="RWS52" s="2"/>
      <c r="RWT52" s="2"/>
      <c r="RWU52" s="2"/>
      <c r="RWV52" s="2"/>
      <c r="RWW52" s="2"/>
      <c r="RWX52" s="2"/>
      <c r="RWY52" s="2"/>
      <c r="RWZ52" s="2"/>
      <c r="RXA52" s="2"/>
      <c r="RXB52" s="2"/>
      <c r="RXC52" s="2"/>
      <c r="RXD52" s="2"/>
      <c r="RXE52" s="2"/>
      <c r="RXF52" s="2"/>
      <c r="RXG52" s="2"/>
      <c r="RXH52" s="2"/>
      <c r="RXI52" s="2"/>
      <c r="RXJ52" s="2"/>
      <c r="RXK52" s="2"/>
      <c r="RXL52" s="2"/>
      <c r="RXM52" s="2"/>
      <c r="RXN52" s="2"/>
      <c r="RXO52" s="2"/>
      <c r="RXP52" s="2"/>
      <c r="RXQ52" s="2"/>
      <c r="RXR52" s="2"/>
      <c r="RXS52" s="2"/>
      <c r="RXT52" s="2"/>
      <c r="RXU52" s="2"/>
      <c r="RXV52" s="2"/>
      <c r="RXW52" s="2"/>
      <c r="RXX52" s="2"/>
      <c r="RXY52" s="2"/>
      <c r="RXZ52" s="2"/>
      <c r="RYA52" s="2"/>
      <c r="RYB52" s="2"/>
      <c r="RYC52" s="2"/>
      <c r="RYD52" s="2"/>
      <c r="RYE52" s="2"/>
      <c r="RYF52" s="2"/>
      <c r="RYG52" s="2"/>
      <c r="RYH52" s="2"/>
      <c r="RYI52" s="2"/>
      <c r="RYJ52" s="2"/>
      <c r="RYK52" s="2"/>
      <c r="RYL52" s="2"/>
      <c r="RYM52" s="2"/>
      <c r="RYN52" s="2"/>
      <c r="RYO52" s="2"/>
      <c r="RYP52" s="2"/>
      <c r="RYQ52" s="2"/>
      <c r="RYR52" s="2"/>
      <c r="RYS52" s="2"/>
      <c r="RYT52" s="2"/>
      <c r="RYU52" s="2"/>
      <c r="RYV52" s="2"/>
      <c r="RYW52" s="2"/>
      <c r="RYX52" s="2"/>
      <c r="RYY52" s="2"/>
      <c r="RYZ52" s="2"/>
      <c r="RZA52" s="2"/>
      <c r="RZB52" s="2"/>
      <c r="RZC52" s="2"/>
      <c r="RZD52" s="2"/>
      <c r="RZE52" s="2"/>
      <c r="RZF52" s="2"/>
      <c r="RZG52" s="2"/>
      <c r="RZH52" s="2"/>
      <c r="RZI52" s="2"/>
      <c r="RZJ52" s="2"/>
      <c r="RZK52" s="2"/>
      <c r="RZL52" s="2"/>
      <c r="RZM52" s="2"/>
      <c r="RZN52" s="2"/>
      <c r="RZO52" s="2"/>
      <c r="RZP52" s="2"/>
      <c r="RZQ52" s="2"/>
      <c r="RZR52" s="2"/>
      <c r="RZS52" s="2"/>
      <c r="RZT52" s="2"/>
      <c r="RZU52" s="2"/>
      <c r="RZV52" s="2"/>
      <c r="RZW52" s="2"/>
      <c r="RZX52" s="2"/>
      <c r="RZY52" s="2"/>
      <c r="RZZ52" s="2"/>
      <c r="SAA52" s="2"/>
      <c r="SAB52" s="2"/>
      <c r="SAC52" s="2"/>
      <c r="SAD52" s="2"/>
      <c r="SAE52" s="2"/>
      <c r="SAF52" s="2"/>
      <c r="SAG52" s="2"/>
      <c r="SAH52" s="2"/>
      <c r="SAI52" s="2"/>
      <c r="SAJ52" s="2"/>
      <c r="SAK52" s="2"/>
      <c r="SAL52" s="2"/>
      <c r="SAM52" s="2"/>
      <c r="SAN52" s="2"/>
      <c r="SAO52" s="2"/>
      <c r="SAP52" s="2"/>
      <c r="SAQ52" s="2"/>
      <c r="SAR52" s="2"/>
      <c r="SAS52" s="2"/>
      <c r="SAT52" s="2"/>
      <c r="SAU52" s="2"/>
      <c r="SAV52" s="2"/>
      <c r="SAW52" s="2"/>
      <c r="SAX52" s="2"/>
      <c r="SAY52" s="2"/>
      <c r="SAZ52" s="2"/>
      <c r="SBA52" s="2"/>
      <c r="SBB52" s="2"/>
      <c r="SBC52" s="2"/>
      <c r="SBD52" s="2"/>
      <c r="SBE52" s="2"/>
      <c r="SBF52" s="2"/>
      <c r="SBG52" s="2"/>
      <c r="SBH52" s="2"/>
      <c r="SBI52" s="2"/>
      <c r="SBJ52" s="2"/>
      <c r="SBK52" s="2"/>
      <c r="SBL52" s="2"/>
      <c r="SBM52" s="2"/>
      <c r="SBN52" s="2"/>
      <c r="SBO52" s="2"/>
      <c r="SBP52" s="2"/>
      <c r="SBQ52" s="2"/>
      <c r="SBR52" s="2"/>
      <c r="SBS52" s="2"/>
      <c r="SBT52" s="2"/>
      <c r="SBU52" s="2"/>
      <c r="SBV52" s="2"/>
      <c r="SBW52" s="2"/>
      <c r="SBX52" s="2"/>
      <c r="SBY52" s="2"/>
      <c r="SBZ52" s="2"/>
      <c r="SCA52" s="2"/>
      <c r="SCB52" s="2"/>
      <c r="SCC52" s="2"/>
      <c r="SCD52" s="2"/>
      <c r="SCE52" s="2"/>
      <c r="SCF52" s="2"/>
      <c r="SCG52" s="2"/>
      <c r="SCH52" s="2"/>
      <c r="SCI52" s="2"/>
      <c r="SCJ52" s="2"/>
      <c r="SCK52" s="2"/>
      <c r="SCL52" s="2"/>
      <c r="SCM52" s="2"/>
      <c r="SCN52" s="2"/>
      <c r="SCO52" s="2"/>
      <c r="SCP52" s="2"/>
      <c r="SCQ52" s="2"/>
      <c r="SCR52" s="2"/>
      <c r="SCS52" s="2"/>
      <c r="SCT52" s="2"/>
      <c r="SCU52" s="2"/>
      <c r="SCV52" s="2"/>
      <c r="SCW52" s="2"/>
      <c r="SCX52" s="2"/>
      <c r="SCY52" s="2"/>
      <c r="SCZ52" s="2"/>
      <c r="SDA52" s="2"/>
      <c r="SDB52" s="2"/>
      <c r="SDC52" s="2"/>
      <c r="SDD52" s="2"/>
      <c r="SDE52" s="2"/>
      <c r="SDF52" s="2"/>
      <c r="SDG52" s="2"/>
      <c r="SDH52" s="2"/>
      <c r="SDI52" s="2"/>
      <c r="SDJ52" s="2"/>
      <c r="SDK52" s="2"/>
      <c r="SDL52" s="2"/>
      <c r="SDM52" s="2"/>
      <c r="SDN52" s="2"/>
      <c r="SDO52" s="2"/>
      <c r="SDP52" s="2"/>
      <c r="SDQ52" s="2"/>
      <c r="SDR52" s="2"/>
      <c r="SDS52" s="2"/>
      <c r="SDT52" s="2"/>
      <c r="SDU52" s="2"/>
      <c r="SDV52" s="2"/>
      <c r="SDW52" s="2"/>
      <c r="SDX52" s="2"/>
      <c r="SDY52" s="2"/>
      <c r="SDZ52" s="2"/>
      <c r="SEA52" s="2"/>
      <c r="SEB52" s="2"/>
      <c r="SEC52" s="2"/>
      <c r="SED52" s="2"/>
      <c r="SEE52" s="2"/>
      <c r="SEF52" s="2"/>
      <c r="SEG52" s="2"/>
      <c r="SEH52" s="2"/>
      <c r="SEI52" s="2"/>
      <c r="SEJ52" s="2"/>
      <c r="SEK52" s="2"/>
      <c r="SEL52" s="2"/>
      <c r="SEM52" s="2"/>
      <c r="SEN52" s="2"/>
      <c r="SEO52" s="2"/>
      <c r="SEP52" s="2"/>
      <c r="SEQ52" s="2"/>
      <c r="SER52" s="2"/>
      <c r="SES52" s="2"/>
      <c r="SET52" s="2"/>
      <c r="SEU52" s="2"/>
      <c r="SEV52" s="2"/>
      <c r="SEW52" s="2"/>
      <c r="SEX52" s="2"/>
      <c r="SEY52" s="2"/>
      <c r="SEZ52" s="2"/>
      <c r="SFA52" s="2"/>
      <c r="SFB52" s="2"/>
      <c r="SFC52" s="2"/>
      <c r="SFD52" s="2"/>
      <c r="SFE52" s="2"/>
      <c r="SFF52" s="2"/>
      <c r="SFG52" s="2"/>
      <c r="SFH52" s="2"/>
      <c r="SFI52" s="2"/>
      <c r="SFJ52" s="2"/>
      <c r="SFK52" s="2"/>
      <c r="SFL52" s="2"/>
      <c r="SFM52" s="2"/>
      <c r="SFN52" s="2"/>
      <c r="SFO52" s="2"/>
      <c r="SFP52" s="2"/>
      <c r="SFQ52" s="2"/>
      <c r="SFR52" s="2"/>
      <c r="SFS52" s="2"/>
      <c r="SFT52" s="2"/>
      <c r="SFU52" s="2"/>
      <c r="SFV52" s="2"/>
      <c r="SFW52" s="2"/>
      <c r="SFX52" s="2"/>
      <c r="SFY52" s="2"/>
      <c r="SFZ52" s="2"/>
      <c r="SGA52" s="2"/>
      <c r="SGB52" s="2"/>
      <c r="SGC52" s="2"/>
      <c r="SGD52" s="2"/>
      <c r="SGE52" s="2"/>
      <c r="SGF52" s="2"/>
      <c r="SGG52" s="2"/>
      <c r="SGH52" s="2"/>
      <c r="SGI52" s="2"/>
      <c r="SGJ52" s="2"/>
      <c r="SGK52" s="2"/>
      <c r="SGL52" s="2"/>
      <c r="SGM52" s="2"/>
      <c r="SGN52" s="2"/>
      <c r="SGO52" s="2"/>
      <c r="SGP52" s="2"/>
      <c r="SGQ52" s="2"/>
      <c r="SGR52" s="2"/>
      <c r="SGS52" s="2"/>
      <c r="SGT52" s="2"/>
      <c r="SGU52" s="2"/>
      <c r="SGV52" s="2"/>
      <c r="SGW52" s="2"/>
      <c r="SGX52" s="2"/>
      <c r="SGY52" s="2"/>
      <c r="SGZ52" s="2"/>
      <c r="SHA52" s="2"/>
      <c r="SHB52" s="2"/>
      <c r="SHC52" s="2"/>
      <c r="SHD52" s="2"/>
      <c r="SHE52" s="2"/>
      <c r="SHF52" s="2"/>
      <c r="SHG52" s="2"/>
      <c r="SHH52" s="2"/>
      <c r="SHI52" s="2"/>
      <c r="SHJ52" s="2"/>
      <c r="SHK52" s="2"/>
      <c r="SHL52" s="2"/>
      <c r="SHM52" s="2"/>
      <c r="SHN52" s="2"/>
      <c r="SHO52" s="2"/>
      <c r="SHP52" s="2"/>
      <c r="SHQ52" s="2"/>
      <c r="SHR52" s="2"/>
      <c r="SHS52" s="2"/>
      <c r="SHT52" s="2"/>
      <c r="SHU52" s="2"/>
      <c r="SHV52" s="2"/>
      <c r="SHW52" s="2"/>
      <c r="SHX52" s="2"/>
      <c r="SHY52" s="2"/>
      <c r="SHZ52" s="2"/>
      <c r="SIA52" s="2"/>
      <c r="SIB52" s="2"/>
      <c r="SIC52" s="2"/>
      <c r="SID52" s="2"/>
      <c r="SIE52" s="2"/>
      <c r="SIF52" s="2"/>
      <c r="SIG52" s="2"/>
      <c r="SIH52" s="2"/>
      <c r="SII52" s="2"/>
      <c r="SIJ52" s="2"/>
      <c r="SIK52" s="2"/>
      <c r="SIL52" s="2"/>
      <c r="SIM52" s="2"/>
      <c r="SIN52" s="2"/>
      <c r="SIO52" s="2"/>
      <c r="SIP52" s="2"/>
      <c r="SIQ52" s="2"/>
      <c r="SIR52" s="2"/>
      <c r="SIS52" s="2"/>
      <c r="SIT52" s="2"/>
      <c r="SIU52" s="2"/>
      <c r="SIV52" s="2"/>
      <c r="SIW52" s="2"/>
      <c r="SIX52" s="2"/>
      <c r="SIY52" s="2"/>
      <c r="SIZ52" s="2"/>
      <c r="SJA52" s="2"/>
      <c r="SJB52" s="2"/>
      <c r="SJC52" s="2"/>
      <c r="SJD52" s="2"/>
      <c r="SJE52" s="2"/>
      <c r="SJF52" s="2"/>
      <c r="SJG52" s="2"/>
      <c r="SJH52" s="2"/>
      <c r="SJI52" s="2"/>
      <c r="SJJ52" s="2"/>
      <c r="SJK52" s="2"/>
      <c r="SJL52" s="2"/>
      <c r="SJM52" s="2"/>
      <c r="SJN52" s="2"/>
      <c r="SJO52" s="2"/>
      <c r="SJP52" s="2"/>
      <c r="SJQ52" s="2"/>
      <c r="SJR52" s="2"/>
      <c r="SJS52" s="2"/>
      <c r="SJT52" s="2"/>
      <c r="SJU52" s="2"/>
      <c r="SJV52" s="2"/>
      <c r="SJW52" s="2"/>
      <c r="SJX52" s="2"/>
      <c r="SJY52" s="2"/>
      <c r="SJZ52" s="2"/>
      <c r="SKA52" s="2"/>
      <c r="SKB52" s="2"/>
      <c r="SKC52" s="2"/>
      <c r="SKD52" s="2"/>
      <c r="SKE52" s="2"/>
      <c r="SKF52" s="2"/>
      <c r="SKG52" s="2"/>
      <c r="SKH52" s="2"/>
      <c r="SKI52" s="2"/>
      <c r="SKJ52" s="2"/>
      <c r="SKK52" s="2"/>
      <c r="SKL52" s="2"/>
      <c r="SKM52" s="2"/>
      <c r="SKN52" s="2"/>
      <c r="SKO52" s="2"/>
      <c r="SKP52" s="2"/>
      <c r="SKQ52" s="2"/>
      <c r="SKR52" s="2"/>
      <c r="SKS52" s="2"/>
      <c r="SKT52" s="2"/>
      <c r="SKU52" s="2"/>
      <c r="SKV52" s="2"/>
      <c r="SKW52" s="2"/>
      <c r="SKX52" s="2"/>
      <c r="SKY52" s="2"/>
      <c r="SKZ52" s="2"/>
      <c r="SLA52" s="2"/>
      <c r="SLB52" s="2"/>
      <c r="SLC52" s="2"/>
      <c r="SLD52" s="2"/>
      <c r="SLE52" s="2"/>
      <c r="SLF52" s="2"/>
      <c r="SLG52" s="2"/>
      <c r="SLH52" s="2"/>
      <c r="SLI52" s="2"/>
      <c r="SLJ52" s="2"/>
      <c r="SLK52" s="2"/>
      <c r="SLL52" s="2"/>
      <c r="SLM52" s="2"/>
      <c r="SLN52" s="2"/>
      <c r="SLO52" s="2"/>
      <c r="SLP52" s="2"/>
      <c r="SLQ52" s="2"/>
      <c r="SLR52" s="2"/>
      <c r="SLS52" s="2"/>
      <c r="SLT52" s="2"/>
      <c r="SLU52" s="2"/>
      <c r="SLV52" s="2"/>
      <c r="SLW52" s="2"/>
      <c r="SLX52" s="2"/>
      <c r="SLY52" s="2"/>
      <c r="SLZ52" s="2"/>
      <c r="SMA52" s="2"/>
      <c r="SMB52" s="2"/>
      <c r="SMC52" s="2"/>
      <c r="SMD52" s="2"/>
      <c r="SME52" s="2"/>
      <c r="SMF52" s="2"/>
      <c r="SMG52" s="2"/>
      <c r="SMH52" s="2"/>
      <c r="SMI52" s="2"/>
      <c r="SMJ52" s="2"/>
      <c r="SMK52" s="2"/>
      <c r="SML52" s="2"/>
      <c r="SMM52" s="2"/>
      <c r="SMN52" s="2"/>
      <c r="SMO52" s="2"/>
      <c r="SMP52" s="2"/>
      <c r="SMQ52" s="2"/>
      <c r="SMR52" s="2"/>
      <c r="SMS52" s="2"/>
      <c r="SMT52" s="2"/>
      <c r="SMU52" s="2"/>
      <c r="SMV52" s="2"/>
      <c r="SMW52" s="2"/>
      <c r="SMX52" s="2"/>
      <c r="SMY52" s="2"/>
      <c r="SMZ52" s="2"/>
      <c r="SNA52" s="2"/>
      <c r="SNB52" s="2"/>
      <c r="SNC52" s="2"/>
      <c r="SND52" s="2"/>
      <c r="SNE52" s="2"/>
      <c r="SNF52" s="2"/>
      <c r="SNG52" s="2"/>
      <c r="SNH52" s="2"/>
      <c r="SNI52" s="2"/>
      <c r="SNJ52" s="2"/>
      <c r="SNK52" s="2"/>
      <c r="SNL52" s="2"/>
      <c r="SNM52" s="2"/>
      <c r="SNN52" s="2"/>
      <c r="SNO52" s="2"/>
      <c r="SNP52" s="2"/>
      <c r="SNQ52" s="2"/>
      <c r="SNR52" s="2"/>
      <c r="SNS52" s="2"/>
      <c r="SNT52" s="2"/>
      <c r="SNU52" s="2"/>
      <c r="SNV52" s="2"/>
      <c r="SNW52" s="2"/>
      <c r="SNX52" s="2"/>
      <c r="SNY52" s="2"/>
      <c r="SNZ52" s="2"/>
      <c r="SOA52" s="2"/>
      <c r="SOB52" s="2"/>
      <c r="SOC52" s="2"/>
      <c r="SOD52" s="2"/>
      <c r="SOE52" s="2"/>
      <c r="SOF52" s="2"/>
      <c r="SOG52" s="2"/>
      <c r="SOH52" s="2"/>
      <c r="SOI52" s="2"/>
      <c r="SOJ52" s="2"/>
      <c r="SOK52" s="2"/>
      <c r="SOL52" s="2"/>
      <c r="SOM52" s="2"/>
      <c r="SON52" s="2"/>
      <c r="SOO52" s="2"/>
      <c r="SOP52" s="2"/>
      <c r="SOQ52" s="2"/>
      <c r="SOR52" s="2"/>
      <c r="SOS52" s="2"/>
      <c r="SOT52" s="2"/>
      <c r="SOU52" s="2"/>
      <c r="SOV52" s="2"/>
      <c r="SOW52" s="2"/>
      <c r="SOX52" s="2"/>
      <c r="SOY52" s="2"/>
      <c r="SOZ52" s="2"/>
      <c r="SPA52" s="2"/>
      <c r="SPB52" s="2"/>
      <c r="SPC52" s="2"/>
      <c r="SPD52" s="2"/>
      <c r="SPE52" s="2"/>
      <c r="SPF52" s="2"/>
      <c r="SPG52" s="2"/>
      <c r="SPH52" s="2"/>
      <c r="SPI52" s="2"/>
      <c r="SPJ52" s="2"/>
      <c r="SPK52" s="2"/>
      <c r="SPL52" s="2"/>
      <c r="SPM52" s="2"/>
      <c r="SPN52" s="2"/>
      <c r="SPO52" s="2"/>
      <c r="SPP52" s="2"/>
      <c r="SPQ52" s="2"/>
      <c r="SPR52" s="2"/>
      <c r="SPS52" s="2"/>
      <c r="SPT52" s="2"/>
      <c r="SPU52" s="2"/>
      <c r="SPV52" s="2"/>
      <c r="SPW52" s="2"/>
      <c r="SPX52" s="2"/>
      <c r="SPY52" s="2"/>
      <c r="SPZ52" s="2"/>
      <c r="SQA52" s="2"/>
      <c r="SQB52" s="2"/>
      <c r="SQC52" s="2"/>
      <c r="SQD52" s="2"/>
      <c r="SQE52" s="2"/>
      <c r="SQF52" s="2"/>
      <c r="SQG52" s="2"/>
      <c r="SQH52" s="2"/>
      <c r="SQI52" s="2"/>
      <c r="SQJ52" s="2"/>
      <c r="SQK52" s="2"/>
      <c r="SQL52" s="2"/>
      <c r="SQM52" s="2"/>
      <c r="SQN52" s="2"/>
      <c r="SQO52" s="2"/>
      <c r="SQP52" s="2"/>
      <c r="SQQ52" s="2"/>
      <c r="SQR52" s="2"/>
      <c r="SQS52" s="2"/>
      <c r="SQT52" s="2"/>
      <c r="SQU52" s="2"/>
      <c r="SQV52" s="2"/>
      <c r="SQW52" s="2"/>
      <c r="SQX52" s="2"/>
      <c r="SQY52" s="2"/>
      <c r="SQZ52" s="2"/>
      <c r="SRA52" s="2"/>
      <c r="SRB52" s="2"/>
      <c r="SRC52" s="2"/>
      <c r="SRD52" s="2"/>
      <c r="SRE52" s="2"/>
      <c r="SRF52" s="2"/>
      <c r="SRG52" s="2"/>
      <c r="SRH52" s="2"/>
      <c r="SRI52" s="2"/>
      <c r="SRJ52" s="2"/>
      <c r="SRK52" s="2"/>
      <c r="SRL52" s="2"/>
      <c r="SRM52" s="2"/>
      <c r="SRN52" s="2"/>
      <c r="SRO52" s="2"/>
      <c r="SRP52" s="2"/>
      <c r="SRQ52" s="2"/>
      <c r="SRR52" s="2"/>
      <c r="SRS52" s="2"/>
      <c r="SRT52" s="2"/>
      <c r="SRU52" s="2"/>
      <c r="SRV52" s="2"/>
      <c r="SRW52" s="2"/>
      <c r="SRX52" s="2"/>
      <c r="SRY52" s="2"/>
      <c r="SRZ52" s="2"/>
      <c r="SSA52" s="2"/>
      <c r="SSB52" s="2"/>
      <c r="SSC52" s="2"/>
      <c r="SSD52" s="2"/>
      <c r="SSE52" s="2"/>
      <c r="SSF52" s="2"/>
      <c r="SSG52" s="2"/>
      <c r="SSH52" s="2"/>
      <c r="SSI52" s="2"/>
      <c r="SSJ52" s="2"/>
      <c r="SSK52" s="2"/>
      <c r="SSL52" s="2"/>
      <c r="SSM52" s="2"/>
      <c r="SSN52" s="2"/>
      <c r="SSO52" s="2"/>
      <c r="SSP52" s="2"/>
      <c r="SSQ52" s="2"/>
      <c r="SSR52" s="2"/>
      <c r="SSS52" s="2"/>
      <c r="SST52" s="2"/>
      <c r="SSU52" s="2"/>
      <c r="SSV52" s="2"/>
      <c r="SSW52" s="2"/>
      <c r="SSX52" s="2"/>
      <c r="SSY52" s="2"/>
      <c r="SSZ52" s="2"/>
      <c r="STA52" s="2"/>
      <c r="STB52" s="2"/>
      <c r="STC52" s="2"/>
      <c r="STD52" s="2"/>
      <c r="STE52" s="2"/>
      <c r="STF52" s="2"/>
      <c r="STG52" s="2"/>
      <c r="STH52" s="2"/>
      <c r="STI52" s="2"/>
      <c r="STJ52" s="2"/>
      <c r="STK52" s="2"/>
      <c r="STL52" s="2"/>
      <c r="STM52" s="2"/>
      <c r="STN52" s="2"/>
      <c r="STO52" s="2"/>
      <c r="STP52" s="2"/>
      <c r="STQ52" s="2"/>
      <c r="STR52" s="2"/>
      <c r="STS52" s="2"/>
      <c r="STT52" s="2"/>
      <c r="STU52" s="2"/>
      <c r="STV52" s="2"/>
      <c r="STW52" s="2"/>
      <c r="STX52" s="2"/>
      <c r="STY52" s="2"/>
      <c r="STZ52" s="2"/>
      <c r="SUA52" s="2"/>
      <c r="SUB52" s="2"/>
      <c r="SUC52" s="2"/>
      <c r="SUD52" s="2"/>
      <c r="SUE52" s="2"/>
      <c r="SUF52" s="2"/>
      <c r="SUG52" s="2"/>
      <c r="SUH52" s="2"/>
      <c r="SUI52" s="2"/>
      <c r="SUJ52" s="2"/>
      <c r="SUK52" s="2"/>
      <c r="SUL52" s="2"/>
      <c r="SUM52" s="2"/>
      <c r="SUN52" s="2"/>
      <c r="SUO52" s="2"/>
      <c r="SUP52" s="2"/>
      <c r="SUQ52" s="2"/>
      <c r="SUR52" s="2"/>
      <c r="SUS52" s="2"/>
      <c r="SUT52" s="2"/>
      <c r="SUU52" s="2"/>
      <c r="SUV52" s="2"/>
      <c r="SUW52" s="2"/>
      <c r="SUX52" s="2"/>
      <c r="SUY52" s="2"/>
      <c r="SUZ52" s="2"/>
      <c r="SVA52" s="2"/>
      <c r="SVB52" s="2"/>
      <c r="SVC52" s="2"/>
      <c r="SVD52" s="2"/>
      <c r="SVE52" s="2"/>
      <c r="SVF52" s="2"/>
      <c r="SVG52" s="2"/>
      <c r="SVH52" s="2"/>
      <c r="SVI52" s="2"/>
      <c r="SVJ52" s="2"/>
      <c r="SVK52" s="2"/>
      <c r="SVL52" s="2"/>
      <c r="SVM52" s="2"/>
      <c r="SVN52" s="2"/>
      <c r="SVO52" s="2"/>
      <c r="SVP52" s="2"/>
      <c r="SVQ52" s="2"/>
      <c r="SVR52" s="2"/>
      <c r="SVS52" s="2"/>
      <c r="SVT52" s="2"/>
      <c r="SVU52" s="2"/>
      <c r="SVV52" s="2"/>
      <c r="SVW52" s="2"/>
      <c r="SVX52" s="2"/>
      <c r="SVY52" s="2"/>
      <c r="SVZ52" s="2"/>
      <c r="SWA52" s="2"/>
      <c r="SWB52" s="2"/>
      <c r="SWC52" s="2"/>
      <c r="SWD52" s="2"/>
      <c r="SWE52" s="2"/>
      <c r="SWF52" s="2"/>
      <c r="SWG52" s="2"/>
      <c r="SWH52" s="2"/>
      <c r="SWI52" s="2"/>
      <c r="SWJ52" s="2"/>
      <c r="SWK52" s="2"/>
      <c r="SWL52" s="2"/>
      <c r="SWM52" s="2"/>
      <c r="SWN52" s="2"/>
      <c r="SWO52" s="2"/>
      <c r="SWP52" s="2"/>
      <c r="SWQ52" s="2"/>
      <c r="SWR52" s="2"/>
      <c r="SWS52" s="2"/>
      <c r="SWT52" s="2"/>
      <c r="SWU52" s="2"/>
      <c r="SWV52" s="2"/>
      <c r="SWW52" s="2"/>
      <c r="SWX52" s="2"/>
      <c r="SWY52" s="2"/>
      <c r="SWZ52" s="2"/>
      <c r="SXA52" s="2"/>
      <c r="SXB52" s="2"/>
      <c r="SXC52" s="2"/>
      <c r="SXD52" s="2"/>
      <c r="SXE52" s="2"/>
      <c r="SXF52" s="2"/>
      <c r="SXG52" s="2"/>
      <c r="SXH52" s="2"/>
      <c r="SXI52" s="2"/>
      <c r="SXJ52" s="2"/>
      <c r="SXK52" s="2"/>
      <c r="SXL52" s="2"/>
      <c r="SXM52" s="2"/>
      <c r="SXN52" s="2"/>
      <c r="SXO52" s="2"/>
      <c r="SXP52" s="2"/>
      <c r="SXQ52" s="2"/>
      <c r="SXR52" s="2"/>
      <c r="SXS52" s="2"/>
      <c r="SXT52" s="2"/>
      <c r="SXU52" s="2"/>
      <c r="SXV52" s="2"/>
      <c r="SXW52" s="2"/>
      <c r="SXX52" s="2"/>
      <c r="SXY52" s="2"/>
      <c r="SXZ52" s="2"/>
      <c r="SYA52" s="2"/>
      <c r="SYB52" s="2"/>
      <c r="SYC52" s="2"/>
      <c r="SYD52" s="2"/>
      <c r="SYE52" s="2"/>
      <c r="SYF52" s="2"/>
      <c r="SYG52" s="2"/>
      <c r="SYH52" s="2"/>
      <c r="SYI52" s="2"/>
      <c r="SYJ52" s="2"/>
      <c r="SYK52" s="2"/>
      <c r="SYL52" s="2"/>
      <c r="SYM52" s="2"/>
      <c r="SYN52" s="2"/>
      <c r="SYO52" s="2"/>
      <c r="SYP52" s="2"/>
      <c r="SYQ52" s="2"/>
      <c r="SYR52" s="2"/>
      <c r="SYS52" s="2"/>
      <c r="SYT52" s="2"/>
      <c r="SYU52" s="2"/>
      <c r="SYV52" s="2"/>
      <c r="SYW52" s="2"/>
      <c r="SYX52" s="2"/>
      <c r="SYY52" s="2"/>
      <c r="SYZ52" s="2"/>
      <c r="SZA52" s="2"/>
      <c r="SZB52" s="2"/>
      <c r="SZC52" s="2"/>
      <c r="SZD52" s="2"/>
      <c r="SZE52" s="2"/>
      <c r="SZF52" s="2"/>
      <c r="SZG52" s="2"/>
      <c r="SZH52" s="2"/>
      <c r="SZI52" s="2"/>
      <c r="SZJ52" s="2"/>
      <c r="SZK52" s="2"/>
      <c r="SZL52" s="2"/>
      <c r="SZM52" s="2"/>
      <c r="SZN52" s="2"/>
      <c r="SZO52" s="2"/>
      <c r="SZP52" s="2"/>
      <c r="SZQ52" s="2"/>
      <c r="SZR52" s="2"/>
      <c r="SZS52" s="2"/>
      <c r="SZT52" s="2"/>
      <c r="SZU52" s="2"/>
      <c r="SZV52" s="2"/>
      <c r="SZW52" s="2"/>
      <c r="SZX52" s="2"/>
      <c r="SZY52" s="2"/>
      <c r="SZZ52" s="2"/>
      <c r="TAA52" s="2"/>
      <c r="TAB52" s="2"/>
      <c r="TAC52" s="2"/>
      <c r="TAD52" s="2"/>
      <c r="TAE52" s="2"/>
      <c r="TAF52" s="2"/>
      <c r="TAG52" s="2"/>
      <c r="TAH52" s="2"/>
      <c r="TAI52" s="2"/>
      <c r="TAJ52" s="2"/>
      <c r="TAK52" s="2"/>
      <c r="TAL52" s="2"/>
      <c r="TAM52" s="2"/>
      <c r="TAN52" s="2"/>
      <c r="TAO52" s="2"/>
      <c r="TAP52" s="2"/>
      <c r="TAQ52" s="2"/>
      <c r="TAR52" s="2"/>
      <c r="TAS52" s="2"/>
      <c r="TAT52" s="2"/>
      <c r="TAU52" s="2"/>
      <c r="TAV52" s="2"/>
      <c r="TAW52" s="2"/>
      <c r="TAX52" s="2"/>
      <c r="TAY52" s="2"/>
      <c r="TAZ52" s="2"/>
      <c r="TBA52" s="2"/>
      <c r="TBB52" s="2"/>
      <c r="TBC52" s="2"/>
      <c r="TBD52" s="2"/>
      <c r="TBE52" s="2"/>
      <c r="TBF52" s="2"/>
      <c r="TBG52" s="2"/>
      <c r="TBH52" s="2"/>
      <c r="TBI52" s="2"/>
      <c r="TBJ52" s="2"/>
      <c r="TBK52" s="2"/>
      <c r="TBL52" s="2"/>
      <c r="TBM52" s="2"/>
      <c r="TBN52" s="2"/>
      <c r="TBO52" s="2"/>
      <c r="TBP52" s="2"/>
      <c r="TBQ52" s="2"/>
      <c r="TBR52" s="2"/>
      <c r="TBS52" s="2"/>
      <c r="TBT52" s="2"/>
      <c r="TBU52" s="2"/>
      <c r="TBV52" s="2"/>
      <c r="TBW52" s="2"/>
      <c r="TBX52" s="2"/>
      <c r="TBY52" s="2"/>
      <c r="TBZ52" s="2"/>
      <c r="TCA52" s="2"/>
      <c r="TCB52" s="2"/>
      <c r="TCC52" s="2"/>
      <c r="TCD52" s="2"/>
      <c r="TCE52" s="2"/>
      <c r="TCF52" s="2"/>
      <c r="TCG52" s="2"/>
      <c r="TCH52" s="2"/>
      <c r="TCI52" s="2"/>
      <c r="TCJ52" s="2"/>
      <c r="TCK52" s="2"/>
      <c r="TCL52" s="2"/>
      <c r="TCM52" s="2"/>
      <c r="TCN52" s="2"/>
      <c r="TCO52" s="2"/>
      <c r="TCP52" s="2"/>
      <c r="TCQ52" s="2"/>
      <c r="TCR52" s="2"/>
      <c r="TCS52" s="2"/>
      <c r="TCT52" s="2"/>
      <c r="TCU52" s="2"/>
      <c r="TCV52" s="2"/>
      <c r="TCW52" s="2"/>
      <c r="TCX52" s="2"/>
      <c r="TCY52" s="2"/>
      <c r="TCZ52" s="2"/>
      <c r="TDA52" s="2"/>
      <c r="TDB52" s="2"/>
      <c r="TDC52" s="2"/>
      <c r="TDD52" s="2"/>
      <c r="TDE52" s="2"/>
      <c r="TDF52" s="2"/>
      <c r="TDG52" s="2"/>
      <c r="TDH52" s="2"/>
      <c r="TDI52" s="2"/>
      <c r="TDJ52" s="2"/>
      <c r="TDK52" s="2"/>
      <c r="TDL52" s="2"/>
      <c r="TDM52" s="2"/>
      <c r="TDN52" s="2"/>
      <c r="TDO52" s="2"/>
      <c r="TDP52" s="2"/>
      <c r="TDQ52" s="2"/>
      <c r="TDR52" s="2"/>
      <c r="TDS52" s="2"/>
      <c r="TDT52" s="2"/>
      <c r="TDU52" s="2"/>
      <c r="TDV52" s="2"/>
      <c r="TDW52" s="2"/>
      <c r="TDX52" s="2"/>
      <c r="TDY52" s="2"/>
      <c r="TDZ52" s="2"/>
      <c r="TEA52" s="2"/>
      <c r="TEB52" s="2"/>
      <c r="TEC52" s="2"/>
      <c r="TED52" s="2"/>
      <c r="TEE52" s="2"/>
      <c r="TEF52" s="2"/>
      <c r="TEG52" s="2"/>
      <c r="TEH52" s="2"/>
      <c r="TEI52" s="2"/>
      <c r="TEJ52" s="2"/>
      <c r="TEK52" s="2"/>
      <c r="TEL52" s="2"/>
      <c r="TEM52" s="2"/>
      <c r="TEN52" s="2"/>
      <c r="TEO52" s="2"/>
      <c r="TEP52" s="2"/>
      <c r="TEQ52" s="2"/>
      <c r="TER52" s="2"/>
      <c r="TES52" s="2"/>
      <c r="TET52" s="2"/>
      <c r="TEU52" s="2"/>
      <c r="TEV52" s="2"/>
      <c r="TEW52" s="2"/>
      <c r="TEX52" s="2"/>
      <c r="TEY52" s="2"/>
      <c r="TEZ52" s="2"/>
      <c r="TFA52" s="2"/>
      <c r="TFB52" s="2"/>
      <c r="TFC52" s="2"/>
      <c r="TFD52" s="2"/>
      <c r="TFE52" s="2"/>
      <c r="TFF52" s="2"/>
      <c r="TFG52" s="2"/>
      <c r="TFH52" s="2"/>
      <c r="TFI52" s="2"/>
      <c r="TFJ52" s="2"/>
      <c r="TFK52" s="2"/>
      <c r="TFL52" s="2"/>
      <c r="TFM52" s="2"/>
      <c r="TFN52" s="2"/>
      <c r="TFO52" s="2"/>
      <c r="TFP52" s="2"/>
      <c r="TFQ52" s="2"/>
      <c r="TFR52" s="2"/>
      <c r="TFS52" s="2"/>
      <c r="TFT52" s="2"/>
      <c r="TFU52" s="2"/>
      <c r="TFV52" s="2"/>
      <c r="TFW52" s="2"/>
      <c r="TFX52" s="2"/>
      <c r="TFY52" s="2"/>
      <c r="TFZ52" s="2"/>
      <c r="TGA52" s="2"/>
      <c r="TGB52" s="2"/>
      <c r="TGC52" s="2"/>
      <c r="TGD52" s="2"/>
      <c r="TGE52" s="2"/>
      <c r="TGF52" s="2"/>
      <c r="TGG52" s="2"/>
      <c r="TGH52" s="2"/>
      <c r="TGI52" s="2"/>
      <c r="TGJ52" s="2"/>
      <c r="TGK52" s="2"/>
      <c r="TGL52" s="2"/>
      <c r="TGM52" s="2"/>
      <c r="TGN52" s="2"/>
      <c r="TGO52" s="2"/>
      <c r="TGP52" s="2"/>
      <c r="TGQ52" s="2"/>
      <c r="TGR52" s="2"/>
      <c r="TGS52" s="2"/>
      <c r="TGT52" s="2"/>
      <c r="TGU52" s="2"/>
      <c r="TGV52" s="2"/>
      <c r="TGW52" s="2"/>
      <c r="TGX52" s="2"/>
      <c r="TGY52" s="2"/>
      <c r="TGZ52" s="2"/>
      <c r="THA52" s="2"/>
      <c r="THB52" s="2"/>
      <c r="THC52" s="2"/>
      <c r="THD52" s="2"/>
      <c r="THE52" s="2"/>
      <c r="THF52" s="2"/>
      <c r="THG52" s="2"/>
      <c r="THH52" s="2"/>
      <c r="THI52" s="2"/>
      <c r="THJ52" s="2"/>
      <c r="THK52" s="2"/>
      <c r="THL52" s="2"/>
      <c r="THM52" s="2"/>
      <c r="THN52" s="2"/>
      <c r="THO52" s="2"/>
      <c r="THP52" s="2"/>
      <c r="THQ52" s="2"/>
      <c r="THR52" s="2"/>
      <c r="THS52" s="2"/>
      <c r="THT52" s="2"/>
      <c r="THU52" s="2"/>
      <c r="THV52" s="2"/>
      <c r="THW52" s="2"/>
      <c r="THX52" s="2"/>
      <c r="THY52" s="2"/>
      <c r="THZ52" s="2"/>
      <c r="TIA52" s="2"/>
      <c r="TIB52" s="2"/>
      <c r="TIC52" s="2"/>
      <c r="TID52" s="2"/>
      <c r="TIE52" s="2"/>
      <c r="TIF52" s="2"/>
      <c r="TIG52" s="2"/>
      <c r="TIH52" s="2"/>
      <c r="TII52" s="2"/>
      <c r="TIJ52" s="2"/>
      <c r="TIK52" s="2"/>
      <c r="TIL52" s="2"/>
      <c r="TIM52" s="2"/>
      <c r="TIN52" s="2"/>
      <c r="TIO52" s="2"/>
      <c r="TIP52" s="2"/>
      <c r="TIQ52" s="2"/>
      <c r="TIR52" s="2"/>
      <c r="TIS52" s="2"/>
      <c r="TIT52" s="2"/>
      <c r="TIU52" s="2"/>
      <c r="TIV52" s="2"/>
      <c r="TIW52" s="2"/>
      <c r="TIX52" s="2"/>
      <c r="TIY52" s="2"/>
      <c r="TIZ52" s="2"/>
      <c r="TJA52" s="2"/>
      <c r="TJB52" s="2"/>
      <c r="TJC52" s="2"/>
      <c r="TJD52" s="2"/>
      <c r="TJE52" s="2"/>
      <c r="TJF52" s="2"/>
      <c r="TJG52" s="2"/>
      <c r="TJH52" s="2"/>
      <c r="TJI52" s="2"/>
      <c r="TJJ52" s="2"/>
      <c r="TJK52" s="2"/>
      <c r="TJL52" s="2"/>
      <c r="TJM52" s="2"/>
      <c r="TJN52" s="2"/>
      <c r="TJO52" s="2"/>
      <c r="TJP52" s="2"/>
      <c r="TJQ52" s="2"/>
      <c r="TJR52" s="2"/>
      <c r="TJS52" s="2"/>
      <c r="TJT52" s="2"/>
      <c r="TJU52" s="2"/>
      <c r="TJV52" s="2"/>
      <c r="TJW52" s="2"/>
      <c r="TJX52" s="2"/>
      <c r="TJY52" s="2"/>
      <c r="TJZ52" s="2"/>
      <c r="TKA52" s="2"/>
      <c r="TKB52" s="2"/>
      <c r="TKC52" s="2"/>
      <c r="TKD52" s="2"/>
      <c r="TKE52" s="2"/>
      <c r="TKF52" s="2"/>
      <c r="TKG52" s="2"/>
      <c r="TKH52" s="2"/>
      <c r="TKI52" s="2"/>
      <c r="TKJ52" s="2"/>
      <c r="TKK52" s="2"/>
      <c r="TKL52" s="2"/>
      <c r="TKM52" s="2"/>
      <c r="TKN52" s="2"/>
      <c r="TKO52" s="2"/>
      <c r="TKP52" s="2"/>
      <c r="TKQ52" s="2"/>
      <c r="TKR52" s="2"/>
      <c r="TKS52" s="2"/>
      <c r="TKT52" s="2"/>
      <c r="TKU52" s="2"/>
      <c r="TKV52" s="2"/>
      <c r="TKW52" s="2"/>
      <c r="TKX52" s="2"/>
      <c r="TKY52" s="2"/>
      <c r="TKZ52" s="2"/>
      <c r="TLA52" s="2"/>
      <c r="TLB52" s="2"/>
      <c r="TLC52" s="2"/>
      <c r="TLD52" s="2"/>
      <c r="TLE52" s="2"/>
      <c r="TLF52" s="2"/>
      <c r="TLG52" s="2"/>
      <c r="TLH52" s="2"/>
      <c r="TLI52" s="2"/>
      <c r="TLJ52" s="2"/>
      <c r="TLK52" s="2"/>
      <c r="TLL52" s="2"/>
      <c r="TLM52" s="2"/>
      <c r="TLN52" s="2"/>
      <c r="TLO52" s="2"/>
      <c r="TLP52" s="2"/>
      <c r="TLQ52" s="2"/>
      <c r="TLR52" s="2"/>
      <c r="TLS52" s="2"/>
      <c r="TLT52" s="2"/>
      <c r="TLU52" s="2"/>
      <c r="TLV52" s="2"/>
      <c r="TLW52" s="2"/>
      <c r="TLX52" s="2"/>
      <c r="TLY52" s="2"/>
      <c r="TLZ52" s="2"/>
      <c r="TMA52" s="2"/>
      <c r="TMB52" s="2"/>
      <c r="TMC52" s="2"/>
      <c r="TMD52" s="2"/>
      <c r="TME52" s="2"/>
      <c r="TMF52" s="2"/>
      <c r="TMG52" s="2"/>
      <c r="TMH52" s="2"/>
      <c r="TMI52" s="2"/>
      <c r="TMJ52" s="2"/>
      <c r="TMK52" s="2"/>
      <c r="TML52" s="2"/>
      <c r="TMM52" s="2"/>
      <c r="TMN52" s="2"/>
      <c r="TMO52" s="2"/>
      <c r="TMP52" s="2"/>
      <c r="TMQ52" s="2"/>
      <c r="TMR52" s="2"/>
      <c r="TMS52" s="2"/>
      <c r="TMT52" s="2"/>
      <c r="TMU52" s="2"/>
      <c r="TMV52" s="2"/>
      <c r="TMW52" s="2"/>
      <c r="TMX52" s="2"/>
      <c r="TMY52" s="2"/>
      <c r="TMZ52" s="2"/>
      <c r="TNA52" s="2"/>
      <c r="TNB52" s="2"/>
      <c r="TNC52" s="2"/>
      <c r="TND52" s="2"/>
      <c r="TNE52" s="2"/>
      <c r="TNF52" s="2"/>
      <c r="TNG52" s="2"/>
      <c r="TNH52" s="2"/>
      <c r="TNI52" s="2"/>
      <c r="TNJ52" s="2"/>
      <c r="TNK52" s="2"/>
      <c r="TNL52" s="2"/>
      <c r="TNM52" s="2"/>
      <c r="TNN52" s="2"/>
      <c r="TNO52" s="2"/>
      <c r="TNP52" s="2"/>
      <c r="TNQ52" s="2"/>
      <c r="TNR52" s="2"/>
      <c r="TNS52" s="2"/>
      <c r="TNT52" s="2"/>
      <c r="TNU52" s="2"/>
      <c r="TNV52" s="2"/>
      <c r="TNW52" s="2"/>
      <c r="TNX52" s="2"/>
      <c r="TNY52" s="2"/>
      <c r="TNZ52" s="2"/>
      <c r="TOA52" s="2"/>
      <c r="TOB52" s="2"/>
      <c r="TOC52" s="2"/>
      <c r="TOD52" s="2"/>
      <c r="TOE52" s="2"/>
      <c r="TOF52" s="2"/>
      <c r="TOG52" s="2"/>
      <c r="TOH52" s="2"/>
      <c r="TOI52" s="2"/>
      <c r="TOJ52" s="2"/>
      <c r="TOK52" s="2"/>
      <c r="TOL52" s="2"/>
      <c r="TOM52" s="2"/>
      <c r="TON52" s="2"/>
      <c r="TOO52" s="2"/>
      <c r="TOP52" s="2"/>
      <c r="TOQ52" s="2"/>
      <c r="TOR52" s="2"/>
      <c r="TOS52" s="2"/>
      <c r="TOT52" s="2"/>
      <c r="TOU52" s="2"/>
      <c r="TOV52" s="2"/>
      <c r="TOW52" s="2"/>
      <c r="TOX52" s="2"/>
      <c r="TOY52" s="2"/>
      <c r="TOZ52" s="2"/>
      <c r="TPA52" s="2"/>
      <c r="TPB52" s="2"/>
      <c r="TPC52" s="2"/>
      <c r="TPD52" s="2"/>
      <c r="TPE52" s="2"/>
      <c r="TPF52" s="2"/>
      <c r="TPG52" s="2"/>
      <c r="TPH52" s="2"/>
      <c r="TPI52" s="2"/>
      <c r="TPJ52" s="2"/>
      <c r="TPK52" s="2"/>
      <c r="TPL52" s="2"/>
      <c r="TPM52" s="2"/>
      <c r="TPN52" s="2"/>
      <c r="TPO52" s="2"/>
      <c r="TPP52" s="2"/>
      <c r="TPQ52" s="2"/>
      <c r="TPR52" s="2"/>
      <c r="TPS52" s="2"/>
      <c r="TPT52" s="2"/>
      <c r="TPU52" s="2"/>
      <c r="TPV52" s="2"/>
      <c r="TPW52" s="2"/>
      <c r="TPX52" s="2"/>
      <c r="TPY52" s="2"/>
      <c r="TPZ52" s="2"/>
      <c r="TQA52" s="2"/>
      <c r="TQB52" s="2"/>
      <c r="TQC52" s="2"/>
      <c r="TQD52" s="2"/>
      <c r="TQE52" s="2"/>
      <c r="TQF52" s="2"/>
      <c r="TQG52" s="2"/>
      <c r="TQH52" s="2"/>
      <c r="TQI52" s="2"/>
      <c r="TQJ52" s="2"/>
      <c r="TQK52" s="2"/>
      <c r="TQL52" s="2"/>
      <c r="TQM52" s="2"/>
      <c r="TQN52" s="2"/>
      <c r="TQO52" s="2"/>
      <c r="TQP52" s="2"/>
      <c r="TQQ52" s="2"/>
      <c r="TQR52" s="2"/>
      <c r="TQS52" s="2"/>
      <c r="TQT52" s="2"/>
      <c r="TQU52" s="2"/>
      <c r="TQV52" s="2"/>
      <c r="TQW52" s="2"/>
      <c r="TQX52" s="2"/>
      <c r="TQY52" s="2"/>
      <c r="TQZ52" s="2"/>
      <c r="TRA52" s="2"/>
      <c r="TRB52" s="2"/>
      <c r="TRC52" s="2"/>
      <c r="TRD52" s="2"/>
      <c r="TRE52" s="2"/>
      <c r="TRF52" s="2"/>
      <c r="TRG52" s="2"/>
      <c r="TRH52" s="2"/>
      <c r="TRI52" s="2"/>
      <c r="TRJ52" s="2"/>
      <c r="TRK52" s="2"/>
      <c r="TRL52" s="2"/>
      <c r="TRM52" s="2"/>
      <c r="TRN52" s="2"/>
      <c r="TRO52" s="2"/>
      <c r="TRP52" s="2"/>
      <c r="TRQ52" s="2"/>
      <c r="TRR52" s="2"/>
      <c r="TRS52" s="2"/>
      <c r="TRT52" s="2"/>
      <c r="TRU52" s="2"/>
      <c r="TRV52" s="2"/>
      <c r="TRW52" s="2"/>
      <c r="TRX52" s="2"/>
      <c r="TRY52" s="2"/>
      <c r="TRZ52" s="2"/>
      <c r="TSA52" s="2"/>
      <c r="TSB52" s="2"/>
      <c r="TSC52" s="2"/>
      <c r="TSD52" s="2"/>
      <c r="TSE52" s="2"/>
      <c r="TSF52" s="2"/>
      <c r="TSG52" s="2"/>
      <c r="TSH52" s="2"/>
      <c r="TSI52" s="2"/>
      <c r="TSJ52" s="2"/>
      <c r="TSK52" s="2"/>
      <c r="TSL52" s="2"/>
      <c r="TSM52" s="2"/>
      <c r="TSN52" s="2"/>
      <c r="TSO52" s="2"/>
      <c r="TSP52" s="2"/>
      <c r="TSQ52" s="2"/>
      <c r="TSR52" s="2"/>
      <c r="TSS52" s="2"/>
      <c r="TST52" s="2"/>
      <c r="TSU52" s="2"/>
      <c r="TSV52" s="2"/>
      <c r="TSW52" s="2"/>
      <c r="TSX52" s="2"/>
      <c r="TSY52" s="2"/>
      <c r="TSZ52" s="2"/>
      <c r="TTA52" s="2"/>
      <c r="TTB52" s="2"/>
      <c r="TTC52" s="2"/>
      <c r="TTD52" s="2"/>
      <c r="TTE52" s="2"/>
      <c r="TTF52" s="2"/>
      <c r="TTG52" s="2"/>
      <c r="TTH52" s="2"/>
      <c r="TTI52" s="2"/>
      <c r="TTJ52" s="2"/>
      <c r="TTK52" s="2"/>
      <c r="TTL52" s="2"/>
      <c r="TTM52" s="2"/>
      <c r="TTN52" s="2"/>
      <c r="TTO52" s="2"/>
      <c r="TTP52" s="2"/>
      <c r="TTQ52" s="2"/>
      <c r="TTR52" s="2"/>
      <c r="TTS52" s="2"/>
      <c r="TTT52" s="2"/>
      <c r="TTU52" s="2"/>
      <c r="TTV52" s="2"/>
      <c r="TTW52" s="2"/>
      <c r="TTX52" s="2"/>
      <c r="TTY52" s="2"/>
      <c r="TTZ52" s="2"/>
      <c r="TUA52" s="2"/>
      <c r="TUB52" s="2"/>
      <c r="TUC52" s="2"/>
      <c r="TUD52" s="2"/>
      <c r="TUE52" s="2"/>
      <c r="TUF52" s="2"/>
      <c r="TUG52" s="2"/>
      <c r="TUH52" s="2"/>
      <c r="TUI52" s="2"/>
      <c r="TUJ52" s="2"/>
      <c r="TUK52" s="2"/>
      <c r="TUL52" s="2"/>
      <c r="TUM52" s="2"/>
      <c r="TUN52" s="2"/>
      <c r="TUO52" s="2"/>
      <c r="TUP52" s="2"/>
      <c r="TUQ52" s="2"/>
      <c r="TUR52" s="2"/>
      <c r="TUS52" s="2"/>
      <c r="TUT52" s="2"/>
      <c r="TUU52" s="2"/>
      <c r="TUV52" s="2"/>
      <c r="TUW52" s="2"/>
      <c r="TUX52" s="2"/>
      <c r="TUY52" s="2"/>
      <c r="TUZ52" s="2"/>
      <c r="TVA52" s="2"/>
      <c r="TVB52" s="2"/>
      <c r="TVC52" s="2"/>
      <c r="TVD52" s="2"/>
      <c r="TVE52" s="2"/>
      <c r="TVF52" s="2"/>
      <c r="TVG52" s="2"/>
      <c r="TVH52" s="2"/>
      <c r="TVI52" s="2"/>
      <c r="TVJ52" s="2"/>
      <c r="TVK52" s="2"/>
      <c r="TVL52" s="2"/>
      <c r="TVM52" s="2"/>
      <c r="TVN52" s="2"/>
      <c r="TVO52" s="2"/>
      <c r="TVP52" s="2"/>
      <c r="TVQ52" s="2"/>
      <c r="TVR52" s="2"/>
      <c r="TVS52" s="2"/>
      <c r="TVT52" s="2"/>
      <c r="TVU52" s="2"/>
      <c r="TVV52" s="2"/>
      <c r="TVW52" s="2"/>
      <c r="TVX52" s="2"/>
      <c r="TVY52" s="2"/>
      <c r="TVZ52" s="2"/>
      <c r="TWA52" s="2"/>
      <c r="TWB52" s="2"/>
      <c r="TWC52" s="2"/>
      <c r="TWD52" s="2"/>
      <c r="TWE52" s="2"/>
      <c r="TWF52" s="2"/>
      <c r="TWG52" s="2"/>
      <c r="TWH52" s="2"/>
      <c r="TWI52" s="2"/>
      <c r="TWJ52" s="2"/>
      <c r="TWK52" s="2"/>
      <c r="TWL52" s="2"/>
      <c r="TWM52" s="2"/>
      <c r="TWN52" s="2"/>
      <c r="TWO52" s="2"/>
      <c r="TWP52" s="2"/>
      <c r="TWQ52" s="2"/>
      <c r="TWR52" s="2"/>
      <c r="TWS52" s="2"/>
      <c r="TWT52" s="2"/>
      <c r="TWU52" s="2"/>
      <c r="TWV52" s="2"/>
      <c r="TWW52" s="2"/>
      <c r="TWX52" s="2"/>
      <c r="TWY52" s="2"/>
      <c r="TWZ52" s="2"/>
      <c r="TXA52" s="2"/>
      <c r="TXB52" s="2"/>
      <c r="TXC52" s="2"/>
      <c r="TXD52" s="2"/>
      <c r="TXE52" s="2"/>
      <c r="TXF52" s="2"/>
      <c r="TXG52" s="2"/>
      <c r="TXH52" s="2"/>
      <c r="TXI52" s="2"/>
      <c r="TXJ52" s="2"/>
      <c r="TXK52" s="2"/>
      <c r="TXL52" s="2"/>
      <c r="TXM52" s="2"/>
      <c r="TXN52" s="2"/>
      <c r="TXO52" s="2"/>
      <c r="TXP52" s="2"/>
      <c r="TXQ52" s="2"/>
      <c r="TXR52" s="2"/>
      <c r="TXS52" s="2"/>
      <c r="TXT52" s="2"/>
      <c r="TXU52" s="2"/>
      <c r="TXV52" s="2"/>
      <c r="TXW52" s="2"/>
      <c r="TXX52" s="2"/>
      <c r="TXY52" s="2"/>
      <c r="TXZ52" s="2"/>
      <c r="TYA52" s="2"/>
      <c r="TYB52" s="2"/>
      <c r="TYC52" s="2"/>
      <c r="TYD52" s="2"/>
      <c r="TYE52" s="2"/>
      <c r="TYF52" s="2"/>
      <c r="TYG52" s="2"/>
      <c r="TYH52" s="2"/>
      <c r="TYI52" s="2"/>
      <c r="TYJ52" s="2"/>
      <c r="TYK52" s="2"/>
      <c r="TYL52" s="2"/>
      <c r="TYM52" s="2"/>
      <c r="TYN52" s="2"/>
      <c r="TYO52" s="2"/>
      <c r="TYP52" s="2"/>
      <c r="TYQ52" s="2"/>
      <c r="TYR52" s="2"/>
      <c r="TYS52" s="2"/>
      <c r="TYT52" s="2"/>
      <c r="TYU52" s="2"/>
      <c r="TYV52" s="2"/>
      <c r="TYW52" s="2"/>
      <c r="TYX52" s="2"/>
      <c r="TYY52" s="2"/>
      <c r="TYZ52" s="2"/>
      <c r="TZA52" s="2"/>
      <c r="TZB52" s="2"/>
      <c r="TZC52" s="2"/>
      <c r="TZD52" s="2"/>
      <c r="TZE52" s="2"/>
      <c r="TZF52" s="2"/>
      <c r="TZG52" s="2"/>
      <c r="TZH52" s="2"/>
      <c r="TZI52" s="2"/>
      <c r="TZJ52" s="2"/>
      <c r="TZK52" s="2"/>
      <c r="TZL52" s="2"/>
      <c r="TZM52" s="2"/>
      <c r="TZN52" s="2"/>
      <c r="TZO52" s="2"/>
      <c r="TZP52" s="2"/>
      <c r="TZQ52" s="2"/>
      <c r="TZR52" s="2"/>
      <c r="TZS52" s="2"/>
      <c r="TZT52" s="2"/>
      <c r="TZU52" s="2"/>
      <c r="TZV52" s="2"/>
      <c r="TZW52" s="2"/>
      <c r="TZX52" s="2"/>
      <c r="TZY52" s="2"/>
      <c r="TZZ52" s="2"/>
      <c r="UAA52" s="2"/>
      <c r="UAB52" s="2"/>
      <c r="UAC52" s="2"/>
      <c r="UAD52" s="2"/>
      <c r="UAE52" s="2"/>
      <c r="UAF52" s="2"/>
      <c r="UAG52" s="2"/>
      <c r="UAH52" s="2"/>
      <c r="UAI52" s="2"/>
      <c r="UAJ52" s="2"/>
      <c r="UAK52" s="2"/>
      <c r="UAL52" s="2"/>
      <c r="UAM52" s="2"/>
      <c r="UAN52" s="2"/>
      <c r="UAO52" s="2"/>
      <c r="UAP52" s="2"/>
      <c r="UAQ52" s="2"/>
      <c r="UAR52" s="2"/>
      <c r="UAS52" s="2"/>
      <c r="UAT52" s="2"/>
      <c r="UAU52" s="2"/>
      <c r="UAV52" s="2"/>
      <c r="UAW52" s="2"/>
      <c r="UAX52" s="2"/>
      <c r="UAY52" s="2"/>
      <c r="UAZ52" s="2"/>
      <c r="UBA52" s="2"/>
      <c r="UBB52" s="2"/>
      <c r="UBC52" s="2"/>
      <c r="UBD52" s="2"/>
      <c r="UBE52" s="2"/>
      <c r="UBF52" s="2"/>
      <c r="UBG52" s="2"/>
      <c r="UBH52" s="2"/>
      <c r="UBI52" s="2"/>
      <c r="UBJ52" s="2"/>
      <c r="UBK52" s="2"/>
      <c r="UBL52" s="2"/>
      <c r="UBM52" s="2"/>
      <c r="UBN52" s="2"/>
      <c r="UBO52" s="2"/>
      <c r="UBP52" s="2"/>
      <c r="UBQ52" s="2"/>
      <c r="UBR52" s="2"/>
      <c r="UBS52" s="2"/>
      <c r="UBT52" s="2"/>
      <c r="UBU52" s="2"/>
      <c r="UBV52" s="2"/>
      <c r="UBW52" s="2"/>
      <c r="UBX52" s="2"/>
      <c r="UBY52" s="2"/>
      <c r="UBZ52" s="2"/>
      <c r="UCA52" s="2"/>
      <c r="UCB52" s="2"/>
      <c r="UCC52" s="2"/>
      <c r="UCD52" s="2"/>
      <c r="UCE52" s="2"/>
      <c r="UCF52" s="2"/>
      <c r="UCG52" s="2"/>
      <c r="UCH52" s="2"/>
      <c r="UCI52" s="2"/>
      <c r="UCJ52" s="2"/>
      <c r="UCK52" s="2"/>
      <c r="UCL52" s="2"/>
      <c r="UCM52" s="2"/>
      <c r="UCN52" s="2"/>
      <c r="UCO52" s="2"/>
      <c r="UCP52" s="2"/>
      <c r="UCQ52" s="2"/>
      <c r="UCR52" s="2"/>
      <c r="UCS52" s="2"/>
      <c r="UCT52" s="2"/>
      <c r="UCU52" s="2"/>
      <c r="UCV52" s="2"/>
      <c r="UCW52" s="2"/>
      <c r="UCX52" s="2"/>
      <c r="UCY52" s="2"/>
      <c r="UCZ52" s="2"/>
      <c r="UDA52" s="2"/>
      <c r="UDB52" s="2"/>
      <c r="UDC52" s="2"/>
      <c r="UDD52" s="2"/>
      <c r="UDE52" s="2"/>
      <c r="UDF52" s="2"/>
      <c r="UDG52" s="2"/>
      <c r="UDH52" s="2"/>
      <c r="UDI52" s="2"/>
      <c r="UDJ52" s="2"/>
      <c r="UDK52" s="2"/>
      <c r="UDL52" s="2"/>
      <c r="UDM52" s="2"/>
      <c r="UDN52" s="2"/>
      <c r="UDO52" s="2"/>
      <c r="UDP52" s="2"/>
      <c r="UDQ52" s="2"/>
      <c r="UDR52" s="2"/>
      <c r="UDS52" s="2"/>
      <c r="UDT52" s="2"/>
      <c r="UDU52" s="2"/>
      <c r="UDV52" s="2"/>
      <c r="UDW52" s="2"/>
      <c r="UDX52" s="2"/>
      <c r="UDY52" s="2"/>
      <c r="UDZ52" s="2"/>
      <c r="UEA52" s="2"/>
      <c r="UEB52" s="2"/>
      <c r="UEC52" s="2"/>
      <c r="UED52" s="2"/>
      <c r="UEE52" s="2"/>
      <c r="UEF52" s="2"/>
      <c r="UEG52" s="2"/>
      <c r="UEH52" s="2"/>
      <c r="UEI52" s="2"/>
      <c r="UEJ52" s="2"/>
      <c r="UEK52" s="2"/>
      <c r="UEL52" s="2"/>
      <c r="UEM52" s="2"/>
      <c r="UEN52" s="2"/>
      <c r="UEO52" s="2"/>
      <c r="UEP52" s="2"/>
      <c r="UEQ52" s="2"/>
      <c r="UER52" s="2"/>
      <c r="UES52" s="2"/>
      <c r="UET52" s="2"/>
      <c r="UEU52" s="2"/>
      <c r="UEV52" s="2"/>
      <c r="UEW52" s="2"/>
      <c r="UEX52" s="2"/>
      <c r="UEY52" s="2"/>
      <c r="UEZ52" s="2"/>
      <c r="UFA52" s="2"/>
      <c r="UFB52" s="2"/>
      <c r="UFC52" s="2"/>
      <c r="UFD52" s="2"/>
      <c r="UFE52" s="2"/>
      <c r="UFF52" s="2"/>
      <c r="UFG52" s="2"/>
      <c r="UFH52" s="2"/>
      <c r="UFI52" s="2"/>
      <c r="UFJ52" s="2"/>
      <c r="UFK52" s="2"/>
      <c r="UFL52" s="2"/>
      <c r="UFM52" s="2"/>
      <c r="UFN52" s="2"/>
      <c r="UFO52" s="2"/>
      <c r="UFP52" s="2"/>
      <c r="UFQ52" s="2"/>
      <c r="UFR52" s="2"/>
      <c r="UFS52" s="2"/>
      <c r="UFT52" s="2"/>
      <c r="UFU52" s="2"/>
      <c r="UFV52" s="2"/>
      <c r="UFW52" s="2"/>
      <c r="UFX52" s="2"/>
      <c r="UFY52" s="2"/>
      <c r="UFZ52" s="2"/>
      <c r="UGA52" s="2"/>
      <c r="UGB52" s="2"/>
      <c r="UGC52" s="2"/>
      <c r="UGD52" s="2"/>
      <c r="UGE52" s="2"/>
      <c r="UGF52" s="2"/>
      <c r="UGG52" s="2"/>
      <c r="UGH52" s="2"/>
      <c r="UGI52" s="2"/>
      <c r="UGJ52" s="2"/>
      <c r="UGK52" s="2"/>
      <c r="UGL52" s="2"/>
      <c r="UGM52" s="2"/>
      <c r="UGN52" s="2"/>
      <c r="UGO52" s="2"/>
      <c r="UGP52" s="2"/>
      <c r="UGQ52" s="2"/>
      <c r="UGR52" s="2"/>
      <c r="UGS52" s="2"/>
      <c r="UGT52" s="2"/>
      <c r="UGU52" s="2"/>
      <c r="UGV52" s="2"/>
      <c r="UGW52" s="2"/>
      <c r="UGX52" s="2"/>
      <c r="UGY52" s="2"/>
      <c r="UGZ52" s="2"/>
      <c r="UHA52" s="2"/>
      <c r="UHB52" s="2"/>
      <c r="UHC52" s="2"/>
      <c r="UHD52" s="2"/>
      <c r="UHE52" s="2"/>
      <c r="UHF52" s="2"/>
      <c r="UHG52" s="2"/>
      <c r="UHH52" s="2"/>
      <c r="UHI52" s="2"/>
      <c r="UHJ52" s="2"/>
      <c r="UHK52" s="2"/>
      <c r="UHL52" s="2"/>
      <c r="UHM52" s="2"/>
      <c r="UHN52" s="2"/>
      <c r="UHO52" s="2"/>
      <c r="UHP52" s="2"/>
      <c r="UHQ52" s="2"/>
      <c r="UHR52" s="2"/>
      <c r="UHS52" s="2"/>
      <c r="UHT52" s="2"/>
      <c r="UHU52" s="2"/>
      <c r="UHV52" s="2"/>
      <c r="UHW52" s="2"/>
      <c r="UHX52" s="2"/>
      <c r="UHY52" s="2"/>
      <c r="UHZ52" s="2"/>
      <c r="UIA52" s="2"/>
      <c r="UIB52" s="2"/>
      <c r="UIC52" s="2"/>
      <c r="UID52" s="2"/>
      <c r="UIE52" s="2"/>
      <c r="UIF52" s="2"/>
      <c r="UIG52" s="2"/>
      <c r="UIH52" s="2"/>
      <c r="UII52" s="2"/>
      <c r="UIJ52" s="2"/>
      <c r="UIK52" s="2"/>
      <c r="UIL52" s="2"/>
      <c r="UIM52" s="2"/>
      <c r="UIN52" s="2"/>
      <c r="UIO52" s="2"/>
      <c r="UIP52" s="2"/>
      <c r="UIQ52" s="2"/>
      <c r="UIR52" s="2"/>
      <c r="UIS52" s="2"/>
      <c r="UIT52" s="2"/>
      <c r="UIU52" s="2"/>
      <c r="UIV52" s="2"/>
      <c r="UIW52" s="2"/>
      <c r="UIX52" s="2"/>
      <c r="UIY52" s="2"/>
      <c r="UIZ52" s="2"/>
      <c r="UJA52" s="2"/>
      <c r="UJB52" s="2"/>
      <c r="UJC52" s="2"/>
      <c r="UJD52" s="2"/>
      <c r="UJE52" s="2"/>
      <c r="UJF52" s="2"/>
      <c r="UJG52" s="2"/>
      <c r="UJH52" s="2"/>
      <c r="UJI52" s="2"/>
      <c r="UJJ52" s="2"/>
      <c r="UJK52" s="2"/>
      <c r="UJL52" s="2"/>
      <c r="UJM52" s="2"/>
      <c r="UJN52" s="2"/>
      <c r="UJO52" s="2"/>
      <c r="UJP52" s="2"/>
      <c r="UJQ52" s="2"/>
      <c r="UJR52" s="2"/>
      <c r="UJS52" s="2"/>
      <c r="UJT52" s="2"/>
      <c r="UJU52" s="2"/>
      <c r="UJV52" s="2"/>
      <c r="UJW52" s="2"/>
      <c r="UJX52" s="2"/>
      <c r="UJY52" s="2"/>
      <c r="UJZ52" s="2"/>
      <c r="UKA52" s="2"/>
      <c r="UKB52" s="2"/>
      <c r="UKC52" s="2"/>
      <c r="UKD52" s="2"/>
      <c r="UKE52" s="2"/>
      <c r="UKF52" s="2"/>
      <c r="UKG52" s="2"/>
      <c r="UKH52" s="2"/>
      <c r="UKI52" s="2"/>
      <c r="UKJ52" s="2"/>
      <c r="UKK52" s="2"/>
      <c r="UKL52" s="2"/>
      <c r="UKM52" s="2"/>
      <c r="UKN52" s="2"/>
      <c r="UKO52" s="2"/>
      <c r="UKP52" s="2"/>
      <c r="UKQ52" s="2"/>
      <c r="UKR52" s="2"/>
      <c r="UKS52" s="2"/>
      <c r="UKT52" s="2"/>
      <c r="UKU52" s="2"/>
      <c r="UKV52" s="2"/>
      <c r="UKW52" s="2"/>
      <c r="UKX52" s="2"/>
      <c r="UKY52" s="2"/>
      <c r="UKZ52" s="2"/>
      <c r="ULA52" s="2"/>
      <c r="ULB52" s="2"/>
      <c r="ULC52" s="2"/>
      <c r="ULD52" s="2"/>
      <c r="ULE52" s="2"/>
      <c r="ULF52" s="2"/>
      <c r="ULG52" s="2"/>
      <c r="ULH52" s="2"/>
      <c r="ULI52" s="2"/>
      <c r="ULJ52" s="2"/>
      <c r="ULK52" s="2"/>
      <c r="ULL52" s="2"/>
      <c r="ULM52" s="2"/>
      <c r="ULN52" s="2"/>
      <c r="ULO52" s="2"/>
      <c r="ULP52" s="2"/>
      <c r="ULQ52" s="2"/>
      <c r="ULR52" s="2"/>
      <c r="ULS52" s="2"/>
      <c r="ULT52" s="2"/>
      <c r="ULU52" s="2"/>
      <c r="ULV52" s="2"/>
      <c r="ULW52" s="2"/>
      <c r="ULX52" s="2"/>
      <c r="ULY52" s="2"/>
      <c r="ULZ52" s="2"/>
      <c r="UMA52" s="2"/>
      <c r="UMB52" s="2"/>
      <c r="UMC52" s="2"/>
      <c r="UMD52" s="2"/>
      <c r="UME52" s="2"/>
      <c r="UMF52" s="2"/>
      <c r="UMG52" s="2"/>
      <c r="UMH52" s="2"/>
      <c r="UMI52" s="2"/>
      <c r="UMJ52" s="2"/>
      <c r="UMK52" s="2"/>
      <c r="UML52" s="2"/>
      <c r="UMM52" s="2"/>
      <c r="UMN52" s="2"/>
      <c r="UMO52" s="2"/>
      <c r="UMP52" s="2"/>
      <c r="UMQ52" s="2"/>
      <c r="UMR52" s="2"/>
      <c r="UMS52" s="2"/>
      <c r="UMT52" s="2"/>
      <c r="UMU52" s="2"/>
      <c r="UMV52" s="2"/>
      <c r="UMW52" s="2"/>
      <c r="UMX52" s="2"/>
      <c r="UMY52" s="2"/>
      <c r="UMZ52" s="2"/>
      <c r="UNA52" s="2"/>
      <c r="UNB52" s="2"/>
      <c r="UNC52" s="2"/>
      <c r="UND52" s="2"/>
      <c r="UNE52" s="2"/>
      <c r="UNF52" s="2"/>
      <c r="UNG52" s="2"/>
      <c r="UNH52" s="2"/>
      <c r="UNI52" s="2"/>
      <c r="UNJ52" s="2"/>
      <c r="UNK52" s="2"/>
      <c r="UNL52" s="2"/>
      <c r="UNM52" s="2"/>
      <c r="UNN52" s="2"/>
      <c r="UNO52" s="2"/>
      <c r="UNP52" s="2"/>
      <c r="UNQ52" s="2"/>
      <c r="UNR52" s="2"/>
      <c r="UNS52" s="2"/>
      <c r="UNT52" s="2"/>
      <c r="UNU52" s="2"/>
      <c r="UNV52" s="2"/>
      <c r="UNW52" s="2"/>
      <c r="UNX52" s="2"/>
      <c r="UNY52" s="2"/>
      <c r="UNZ52" s="2"/>
      <c r="UOA52" s="2"/>
      <c r="UOB52" s="2"/>
      <c r="UOC52" s="2"/>
      <c r="UOD52" s="2"/>
      <c r="UOE52" s="2"/>
      <c r="UOF52" s="2"/>
      <c r="UOG52" s="2"/>
      <c r="UOH52" s="2"/>
      <c r="UOI52" s="2"/>
      <c r="UOJ52" s="2"/>
      <c r="UOK52" s="2"/>
      <c r="UOL52" s="2"/>
      <c r="UOM52" s="2"/>
      <c r="UON52" s="2"/>
      <c r="UOO52" s="2"/>
      <c r="UOP52" s="2"/>
      <c r="UOQ52" s="2"/>
      <c r="UOR52" s="2"/>
      <c r="UOS52" s="2"/>
      <c r="UOT52" s="2"/>
      <c r="UOU52" s="2"/>
      <c r="UOV52" s="2"/>
      <c r="UOW52" s="2"/>
      <c r="UOX52" s="2"/>
      <c r="UOY52" s="2"/>
      <c r="UOZ52" s="2"/>
      <c r="UPA52" s="2"/>
      <c r="UPB52" s="2"/>
      <c r="UPC52" s="2"/>
      <c r="UPD52" s="2"/>
      <c r="UPE52" s="2"/>
      <c r="UPF52" s="2"/>
      <c r="UPG52" s="2"/>
      <c r="UPH52" s="2"/>
      <c r="UPI52" s="2"/>
      <c r="UPJ52" s="2"/>
      <c r="UPK52" s="2"/>
      <c r="UPL52" s="2"/>
      <c r="UPM52" s="2"/>
      <c r="UPN52" s="2"/>
      <c r="UPO52" s="2"/>
      <c r="UPP52" s="2"/>
      <c r="UPQ52" s="2"/>
      <c r="UPR52" s="2"/>
      <c r="UPS52" s="2"/>
      <c r="UPT52" s="2"/>
      <c r="UPU52" s="2"/>
      <c r="UPV52" s="2"/>
      <c r="UPW52" s="2"/>
      <c r="UPX52" s="2"/>
      <c r="UPY52" s="2"/>
      <c r="UPZ52" s="2"/>
      <c r="UQA52" s="2"/>
      <c r="UQB52" s="2"/>
      <c r="UQC52" s="2"/>
      <c r="UQD52" s="2"/>
      <c r="UQE52" s="2"/>
      <c r="UQF52" s="2"/>
      <c r="UQG52" s="2"/>
      <c r="UQH52" s="2"/>
      <c r="UQI52" s="2"/>
      <c r="UQJ52" s="2"/>
      <c r="UQK52" s="2"/>
      <c r="UQL52" s="2"/>
      <c r="UQM52" s="2"/>
      <c r="UQN52" s="2"/>
      <c r="UQO52" s="2"/>
      <c r="UQP52" s="2"/>
      <c r="UQQ52" s="2"/>
      <c r="UQR52" s="2"/>
      <c r="UQS52" s="2"/>
      <c r="UQT52" s="2"/>
      <c r="UQU52" s="2"/>
      <c r="UQV52" s="2"/>
      <c r="UQW52" s="2"/>
      <c r="UQX52" s="2"/>
      <c r="UQY52" s="2"/>
      <c r="UQZ52" s="2"/>
      <c r="URA52" s="2"/>
      <c r="URB52" s="2"/>
      <c r="URC52" s="2"/>
      <c r="URD52" s="2"/>
      <c r="URE52" s="2"/>
      <c r="URF52" s="2"/>
      <c r="URG52" s="2"/>
      <c r="URH52" s="2"/>
      <c r="URI52" s="2"/>
      <c r="URJ52" s="2"/>
      <c r="URK52" s="2"/>
      <c r="URL52" s="2"/>
      <c r="URM52" s="2"/>
      <c r="URN52" s="2"/>
      <c r="URO52" s="2"/>
      <c r="URP52" s="2"/>
      <c r="URQ52" s="2"/>
      <c r="URR52" s="2"/>
      <c r="URS52" s="2"/>
      <c r="URT52" s="2"/>
      <c r="URU52" s="2"/>
      <c r="URV52" s="2"/>
      <c r="URW52" s="2"/>
      <c r="URX52" s="2"/>
      <c r="URY52" s="2"/>
      <c r="URZ52" s="2"/>
      <c r="USA52" s="2"/>
      <c r="USB52" s="2"/>
      <c r="USC52" s="2"/>
      <c r="USD52" s="2"/>
      <c r="USE52" s="2"/>
      <c r="USF52" s="2"/>
      <c r="USG52" s="2"/>
      <c r="USH52" s="2"/>
      <c r="USI52" s="2"/>
      <c r="USJ52" s="2"/>
      <c r="USK52" s="2"/>
      <c r="USL52" s="2"/>
      <c r="USM52" s="2"/>
      <c r="USN52" s="2"/>
      <c r="USO52" s="2"/>
      <c r="USP52" s="2"/>
      <c r="USQ52" s="2"/>
      <c r="USR52" s="2"/>
      <c r="USS52" s="2"/>
      <c r="UST52" s="2"/>
      <c r="USU52" s="2"/>
      <c r="USV52" s="2"/>
      <c r="USW52" s="2"/>
      <c r="USX52" s="2"/>
      <c r="USY52" s="2"/>
      <c r="USZ52" s="2"/>
      <c r="UTA52" s="2"/>
      <c r="UTB52" s="2"/>
      <c r="UTC52" s="2"/>
      <c r="UTD52" s="2"/>
      <c r="UTE52" s="2"/>
      <c r="UTF52" s="2"/>
      <c r="UTG52" s="2"/>
      <c r="UTH52" s="2"/>
      <c r="UTI52" s="2"/>
      <c r="UTJ52" s="2"/>
      <c r="UTK52" s="2"/>
      <c r="UTL52" s="2"/>
      <c r="UTM52" s="2"/>
      <c r="UTN52" s="2"/>
      <c r="UTO52" s="2"/>
      <c r="UTP52" s="2"/>
      <c r="UTQ52" s="2"/>
      <c r="UTR52" s="2"/>
      <c r="UTS52" s="2"/>
      <c r="UTT52" s="2"/>
      <c r="UTU52" s="2"/>
      <c r="UTV52" s="2"/>
      <c r="UTW52" s="2"/>
      <c r="UTX52" s="2"/>
      <c r="UTY52" s="2"/>
      <c r="UTZ52" s="2"/>
      <c r="UUA52" s="2"/>
      <c r="UUB52" s="2"/>
      <c r="UUC52" s="2"/>
      <c r="UUD52" s="2"/>
      <c r="UUE52" s="2"/>
      <c r="UUF52" s="2"/>
      <c r="UUG52" s="2"/>
      <c r="UUH52" s="2"/>
      <c r="UUI52" s="2"/>
      <c r="UUJ52" s="2"/>
      <c r="UUK52" s="2"/>
      <c r="UUL52" s="2"/>
      <c r="UUM52" s="2"/>
      <c r="UUN52" s="2"/>
      <c r="UUO52" s="2"/>
      <c r="UUP52" s="2"/>
      <c r="UUQ52" s="2"/>
      <c r="UUR52" s="2"/>
      <c r="UUS52" s="2"/>
      <c r="UUT52" s="2"/>
      <c r="UUU52" s="2"/>
      <c r="UUV52" s="2"/>
      <c r="UUW52" s="2"/>
      <c r="UUX52" s="2"/>
      <c r="UUY52" s="2"/>
      <c r="UUZ52" s="2"/>
      <c r="UVA52" s="2"/>
      <c r="UVB52" s="2"/>
      <c r="UVC52" s="2"/>
      <c r="UVD52" s="2"/>
      <c r="UVE52" s="2"/>
      <c r="UVF52" s="2"/>
      <c r="UVG52" s="2"/>
      <c r="UVH52" s="2"/>
      <c r="UVI52" s="2"/>
      <c r="UVJ52" s="2"/>
      <c r="UVK52" s="2"/>
      <c r="UVL52" s="2"/>
      <c r="UVM52" s="2"/>
      <c r="UVN52" s="2"/>
      <c r="UVO52" s="2"/>
      <c r="UVP52" s="2"/>
      <c r="UVQ52" s="2"/>
      <c r="UVR52" s="2"/>
      <c r="UVS52" s="2"/>
      <c r="UVT52" s="2"/>
      <c r="UVU52" s="2"/>
      <c r="UVV52" s="2"/>
      <c r="UVW52" s="2"/>
      <c r="UVX52" s="2"/>
      <c r="UVY52" s="2"/>
      <c r="UVZ52" s="2"/>
      <c r="UWA52" s="2"/>
      <c r="UWB52" s="2"/>
      <c r="UWC52" s="2"/>
      <c r="UWD52" s="2"/>
      <c r="UWE52" s="2"/>
      <c r="UWF52" s="2"/>
      <c r="UWG52" s="2"/>
      <c r="UWH52" s="2"/>
      <c r="UWI52" s="2"/>
      <c r="UWJ52" s="2"/>
      <c r="UWK52" s="2"/>
      <c r="UWL52" s="2"/>
      <c r="UWM52" s="2"/>
      <c r="UWN52" s="2"/>
      <c r="UWO52" s="2"/>
      <c r="UWP52" s="2"/>
      <c r="UWQ52" s="2"/>
      <c r="UWR52" s="2"/>
      <c r="UWS52" s="2"/>
      <c r="UWT52" s="2"/>
      <c r="UWU52" s="2"/>
      <c r="UWV52" s="2"/>
      <c r="UWW52" s="2"/>
      <c r="UWX52" s="2"/>
      <c r="UWY52" s="2"/>
      <c r="UWZ52" s="2"/>
      <c r="UXA52" s="2"/>
      <c r="UXB52" s="2"/>
      <c r="UXC52" s="2"/>
      <c r="UXD52" s="2"/>
      <c r="UXE52" s="2"/>
      <c r="UXF52" s="2"/>
      <c r="UXG52" s="2"/>
      <c r="UXH52" s="2"/>
      <c r="UXI52" s="2"/>
      <c r="UXJ52" s="2"/>
      <c r="UXK52" s="2"/>
      <c r="UXL52" s="2"/>
      <c r="UXM52" s="2"/>
      <c r="UXN52" s="2"/>
      <c r="UXO52" s="2"/>
      <c r="UXP52" s="2"/>
      <c r="UXQ52" s="2"/>
      <c r="UXR52" s="2"/>
      <c r="UXS52" s="2"/>
      <c r="UXT52" s="2"/>
      <c r="UXU52" s="2"/>
      <c r="UXV52" s="2"/>
      <c r="UXW52" s="2"/>
      <c r="UXX52" s="2"/>
      <c r="UXY52" s="2"/>
      <c r="UXZ52" s="2"/>
      <c r="UYA52" s="2"/>
      <c r="UYB52" s="2"/>
      <c r="UYC52" s="2"/>
      <c r="UYD52" s="2"/>
      <c r="UYE52" s="2"/>
      <c r="UYF52" s="2"/>
      <c r="UYG52" s="2"/>
      <c r="UYH52" s="2"/>
      <c r="UYI52" s="2"/>
      <c r="UYJ52" s="2"/>
      <c r="UYK52" s="2"/>
      <c r="UYL52" s="2"/>
      <c r="UYM52" s="2"/>
      <c r="UYN52" s="2"/>
      <c r="UYO52" s="2"/>
      <c r="UYP52" s="2"/>
      <c r="UYQ52" s="2"/>
      <c r="UYR52" s="2"/>
      <c r="UYS52" s="2"/>
      <c r="UYT52" s="2"/>
      <c r="UYU52" s="2"/>
      <c r="UYV52" s="2"/>
      <c r="UYW52" s="2"/>
      <c r="UYX52" s="2"/>
      <c r="UYY52" s="2"/>
      <c r="UYZ52" s="2"/>
      <c r="UZA52" s="2"/>
      <c r="UZB52" s="2"/>
      <c r="UZC52" s="2"/>
      <c r="UZD52" s="2"/>
      <c r="UZE52" s="2"/>
      <c r="UZF52" s="2"/>
      <c r="UZG52" s="2"/>
      <c r="UZH52" s="2"/>
      <c r="UZI52" s="2"/>
      <c r="UZJ52" s="2"/>
      <c r="UZK52" s="2"/>
      <c r="UZL52" s="2"/>
      <c r="UZM52" s="2"/>
      <c r="UZN52" s="2"/>
      <c r="UZO52" s="2"/>
      <c r="UZP52" s="2"/>
      <c r="UZQ52" s="2"/>
      <c r="UZR52" s="2"/>
      <c r="UZS52" s="2"/>
      <c r="UZT52" s="2"/>
      <c r="UZU52" s="2"/>
      <c r="UZV52" s="2"/>
      <c r="UZW52" s="2"/>
      <c r="UZX52" s="2"/>
      <c r="UZY52" s="2"/>
      <c r="UZZ52" s="2"/>
      <c r="VAA52" s="2"/>
      <c r="VAB52" s="2"/>
      <c r="VAC52" s="2"/>
      <c r="VAD52" s="2"/>
      <c r="VAE52" s="2"/>
      <c r="VAF52" s="2"/>
      <c r="VAG52" s="2"/>
      <c r="VAH52" s="2"/>
      <c r="VAI52" s="2"/>
      <c r="VAJ52" s="2"/>
      <c r="VAK52" s="2"/>
      <c r="VAL52" s="2"/>
      <c r="VAM52" s="2"/>
      <c r="VAN52" s="2"/>
      <c r="VAO52" s="2"/>
      <c r="VAP52" s="2"/>
      <c r="VAQ52" s="2"/>
      <c r="VAR52" s="2"/>
      <c r="VAS52" s="2"/>
      <c r="VAT52" s="2"/>
      <c r="VAU52" s="2"/>
      <c r="VAV52" s="2"/>
      <c r="VAW52" s="2"/>
      <c r="VAX52" s="2"/>
      <c r="VAY52" s="2"/>
      <c r="VAZ52" s="2"/>
      <c r="VBA52" s="2"/>
      <c r="VBB52" s="2"/>
      <c r="VBC52" s="2"/>
      <c r="VBD52" s="2"/>
      <c r="VBE52" s="2"/>
      <c r="VBF52" s="2"/>
      <c r="VBG52" s="2"/>
      <c r="VBH52" s="2"/>
      <c r="VBI52" s="2"/>
      <c r="VBJ52" s="2"/>
      <c r="VBK52" s="2"/>
      <c r="VBL52" s="2"/>
      <c r="VBM52" s="2"/>
      <c r="VBN52" s="2"/>
      <c r="VBO52" s="2"/>
      <c r="VBP52" s="2"/>
      <c r="VBQ52" s="2"/>
      <c r="VBR52" s="2"/>
      <c r="VBS52" s="2"/>
      <c r="VBT52" s="2"/>
      <c r="VBU52" s="2"/>
      <c r="VBV52" s="2"/>
      <c r="VBW52" s="2"/>
      <c r="VBX52" s="2"/>
      <c r="VBY52" s="2"/>
      <c r="VBZ52" s="2"/>
      <c r="VCA52" s="2"/>
      <c r="VCB52" s="2"/>
      <c r="VCC52" s="2"/>
      <c r="VCD52" s="2"/>
      <c r="VCE52" s="2"/>
      <c r="VCF52" s="2"/>
      <c r="VCG52" s="2"/>
      <c r="VCH52" s="2"/>
      <c r="VCI52" s="2"/>
      <c r="VCJ52" s="2"/>
      <c r="VCK52" s="2"/>
      <c r="VCL52" s="2"/>
      <c r="VCM52" s="2"/>
      <c r="VCN52" s="2"/>
      <c r="VCO52" s="2"/>
      <c r="VCP52" s="2"/>
      <c r="VCQ52" s="2"/>
      <c r="VCR52" s="2"/>
      <c r="VCS52" s="2"/>
      <c r="VCT52" s="2"/>
      <c r="VCU52" s="2"/>
      <c r="VCV52" s="2"/>
      <c r="VCW52" s="2"/>
      <c r="VCX52" s="2"/>
      <c r="VCY52" s="2"/>
      <c r="VCZ52" s="2"/>
      <c r="VDA52" s="2"/>
      <c r="VDB52" s="2"/>
      <c r="VDC52" s="2"/>
      <c r="VDD52" s="2"/>
      <c r="VDE52" s="2"/>
      <c r="VDF52" s="2"/>
      <c r="VDG52" s="2"/>
      <c r="VDH52" s="2"/>
      <c r="VDI52" s="2"/>
      <c r="VDJ52" s="2"/>
      <c r="VDK52" s="2"/>
      <c r="VDL52" s="2"/>
      <c r="VDM52" s="2"/>
      <c r="VDN52" s="2"/>
      <c r="VDO52" s="2"/>
      <c r="VDP52" s="2"/>
      <c r="VDQ52" s="2"/>
      <c r="VDR52" s="2"/>
      <c r="VDS52" s="2"/>
      <c r="VDT52" s="2"/>
      <c r="VDU52" s="2"/>
      <c r="VDV52" s="2"/>
      <c r="VDW52" s="2"/>
      <c r="VDX52" s="2"/>
      <c r="VDY52" s="2"/>
      <c r="VDZ52" s="2"/>
      <c r="VEA52" s="2"/>
      <c r="VEB52" s="2"/>
      <c r="VEC52" s="2"/>
      <c r="VED52" s="2"/>
      <c r="VEE52" s="2"/>
      <c r="VEF52" s="2"/>
      <c r="VEG52" s="2"/>
      <c r="VEH52" s="2"/>
      <c r="VEI52" s="2"/>
      <c r="VEJ52" s="2"/>
      <c r="VEK52" s="2"/>
      <c r="VEL52" s="2"/>
      <c r="VEM52" s="2"/>
      <c r="VEN52" s="2"/>
      <c r="VEO52" s="2"/>
      <c r="VEP52" s="2"/>
      <c r="VEQ52" s="2"/>
      <c r="VER52" s="2"/>
      <c r="VES52" s="2"/>
      <c r="VET52" s="2"/>
      <c r="VEU52" s="2"/>
      <c r="VEV52" s="2"/>
      <c r="VEW52" s="2"/>
      <c r="VEX52" s="2"/>
      <c r="VEY52" s="2"/>
      <c r="VEZ52" s="2"/>
      <c r="VFA52" s="2"/>
      <c r="VFB52" s="2"/>
      <c r="VFC52" s="2"/>
      <c r="VFD52" s="2"/>
      <c r="VFE52" s="2"/>
      <c r="VFF52" s="2"/>
      <c r="VFG52" s="2"/>
      <c r="VFH52" s="2"/>
      <c r="VFI52" s="2"/>
      <c r="VFJ52" s="2"/>
      <c r="VFK52" s="2"/>
      <c r="VFL52" s="2"/>
      <c r="VFM52" s="2"/>
      <c r="VFN52" s="2"/>
      <c r="VFO52" s="2"/>
      <c r="VFP52" s="2"/>
      <c r="VFQ52" s="2"/>
      <c r="VFR52" s="2"/>
      <c r="VFS52" s="2"/>
      <c r="VFT52" s="2"/>
      <c r="VFU52" s="2"/>
      <c r="VFV52" s="2"/>
      <c r="VFW52" s="2"/>
      <c r="VFX52" s="2"/>
      <c r="VFY52" s="2"/>
      <c r="VFZ52" s="2"/>
      <c r="VGA52" s="2"/>
      <c r="VGB52" s="2"/>
      <c r="VGC52" s="2"/>
      <c r="VGD52" s="2"/>
      <c r="VGE52" s="2"/>
      <c r="VGF52" s="2"/>
      <c r="VGG52" s="2"/>
      <c r="VGH52" s="2"/>
      <c r="VGI52" s="2"/>
      <c r="VGJ52" s="2"/>
      <c r="VGK52" s="2"/>
      <c r="VGL52" s="2"/>
      <c r="VGM52" s="2"/>
      <c r="VGN52" s="2"/>
      <c r="VGO52" s="2"/>
      <c r="VGP52" s="2"/>
      <c r="VGQ52" s="2"/>
      <c r="VGR52" s="2"/>
      <c r="VGS52" s="2"/>
      <c r="VGT52" s="2"/>
      <c r="VGU52" s="2"/>
      <c r="VGV52" s="2"/>
      <c r="VGW52" s="2"/>
      <c r="VGX52" s="2"/>
      <c r="VGY52" s="2"/>
      <c r="VGZ52" s="2"/>
      <c r="VHA52" s="2"/>
      <c r="VHB52" s="2"/>
      <c r="VHC52" s="2"/>
      <c r="VHD52" s="2"/>
      <c r="VHE52" s="2"/>
      <c r="VHF52" s="2"/>
      <c r="VHG52" s="2"/>
      <c r="VHH52" s="2"/>
      <c r="VHI52" s="2"/>
      <c r="VHJ52" s="2"/>
      <c r="VHK52" s="2"/>
      <c r="VHL52" s="2"/>
      <c r="VHM52" s="2"/>
      <c r="VHN52" s="2"/>
      <c r="VHO52" s="2"/>
      <c r="VHP52" s="2"/>
      <c r="VHQ52" s="2"/>
      <c r="VHR52" s="2"/>
      <c r="VHS52" s="2"/>
      <c r="VHT52" s="2"/>
      <c r="VHU52" s="2"/>
      <c r="VHV52" s="2"/>
      <c r="VHW52" s="2"/>
      <c r="VHX52" s="2"/>
      <c r="VHY52" s="2"/>
      <c r="VHZ52" s="2"/>
      <c r="VIA52" s="2"/>
      <c r="VIB52" s="2"/>
      <c r="VIC52" s="2"/>
      <c r="VID52" s="2"/>
      <c r="VIE52" s="2"/>
      <c r="VIF52" s="2"/>
      <c r="VIG52" s="2"/>
      <c r="VIH52" s="2"/>
      <c r="VII52" s="2"/>
      <c r="VIJ52" s="2"/>
      <c r="VIK52" s="2"/>
      <c r="VIL52" s="2"/>
      <c r="VIM52" s="2"/>
      <c r="VIN52" s="2"/>
      <c r="VIO52" s="2"/>
      <c r="VIP52" s="2"/>
      <c r="VIQ52" s="2"/>
      <c r="VIR52" s="2"/>
      <c r="VIS52" s="2"/>
      <c r="VIT52" s="2"/>
      <c r="VIU52" s="2"/>
      <c r="VIV52" s="2"/>
      <c r="VIW52" s="2"/>
      <c r="VIX52" s="2"/>
      <c r="VIY52" s="2"/>
      <c r="VIZ52" s="2"/>
      <c r="VJA52" s="2"/>
      <c r="VJB52" s="2"/>
      <c r="VJC52" s="2"/>
      <c r="VJD52" s="2"/>
      <c r="VJE52" s="2"/>
      <c r="VJF52" s="2"/>
      <c r="VJG52" s="2"/>
      <c r="VJH52" s="2"/>
      <c r="VJI52" s="2"/>
      <c r="VJJ52" s="2"/>
      <c r="VJK52" s="2"/>
      <c r="VJL52" s="2"/>
      <c r="VJM52" s="2"/>
      <c r="VJN52" s="2"/>
      <c r="VJO52" s="2"/>
      <c r="VJP52" s="2"/>
      <c r="VJQ52" s="2"/>
      <c r="VJR52" s="2"/>
      <c r="VJS52" s="2"/>
      <c r="VJT52" s="2"/>
      <c r="VJU52" s="2"/>
      <c r="VJV52" s="2"/>
      <c r="VJW52" s="2"/>
      <c r="VJX52" s="2"/>
      <c r="VJY52" s="2"/>
      <c r="VJZ52" s="2"/>
      <c r="VKA52" s="2"/>
      <c r="VKB52" s="2"/>
      <c r="VKC52" s="2"/>
      <c r="VKD52" s="2"/>
      <c r="VKE52" s="2"/>
      <c r="VKF52" s="2"/>
      <c r="VKG52" s="2"/>
      <c r="VKH52" s="2"/>
      <c r="VKI52" s="2"/>
      <c r="VKJ52" s="2"/>
      <c r="VKK52" s="2"/>
      <c r="VKL52" s="2"/>
      <c r="VKM52" s="2"/>
      <c r="VKN52" s="2"/>
      <c r="VKO52" s="2"/>
      <c r="VKP52" s="2"/>
      <c r="VKQ52" s="2"/>
      <c r="VKR52" s="2"/>
      <c r="VKS52" s="2"/>
      <c r="VKT52" s="2"/>
      <c r="VKU52" s="2"/>
      <c r="VKV52" s="2"/>
      <c r="VKW52" s="2"/>
      <c r="VKX52" s="2"/>
      <c r="VKY52" s="2"/>
      <c r="VKZ52" s="2"/>
      <c r="VLA52" s="2"/>
      <c r="VLB52" s="2"/>
      <c r="VLC52" s="2"/>
      <c r="VLD52" s="2"/>
      <c r="VLE52" s="2"/>
      <c r="VLF52" s="2"/>
      <c r="VLG52" s="2"/>
      <c r="VLH52" s="2"/>
      <c r="VLI52" s="2"/>
      <c r="VLJ52" s="2"/>
      <c r="VLK52" s="2"/>
      <c r="VLL52" s="2"/>
      <c r="VLM52" s="2"/>
      <c r="VLN52" s="2"/>
      <c r="VLO52" s="2"/>
      <c r="VLP52" s="2"/>
      <c r="VLQ52" s="2"/>
      <c r="VLR52" s="2"/>
      <c r="VLS52" s="2"/>
      <c r="VLT52" s="2"/>
      <c r="VLU52" s="2"/>
      <c r="VLV52" s="2"/>
      <c r="VLW52" s="2"/>
      <c r="VLX52" s="2"/>
      <c r="VLY52" s="2"/>
      <c r="VLZ52" s="2"/>
      <c r="VMA52" s="2"/>
      <c r="VMB52" s="2"/>
      <c r="VMC52" s="2"/>
      <c r="VMD52" s="2"/>
      <c r="VME52" s="2"/>
      <c r="VMF52" s="2"/>
      <c r="VMG52" s="2"/>
      <c r="VMH52" s="2"/>
      <c r="VMI52" s="2"/>
      <c r="VMJ52" s="2"/>
      <c r="VMK52" s="2"/>
      <c r="VML52" s="2"/>
      <c r="VMM52" s="2"/>
      <c r="VMN52" s="2"/>
      <c r="VMO52" s="2"/>
      <c r="VMP52" s="2"/>
      <c r="VMQ52" s="2"/>
      <c r="VMR52" s="2"/>
      <c r="VMS52" s="2"/>
      <c r="VMT52" s="2"/>
      <c r="VMU52" s="2"/>
      <c r="VMV52" s="2"/>
      <c r="VMW52" s="2"/>
      <c r="VMX52" s="2"/>
      <c r="VMY52" s="2"/>
      <c r="VMZ52" s="2"/>
      <c r="VNA52" s="2"/>
      <c r="VNB52" s="2"/>
      <c r="VNC52" s="2"/>
      <c r="VND52" s="2"/>
      <c r="VNE52" s="2"/>
      <c r="VNF52" s="2"/>
      <c r="VNG52" s="2"/>
      <c r="VNH52" s="2"/>
      <c r="VNI52" s="2"/>
      <c r="VNJ52" s="2"/>
      <c r="VNK52" s="2"/>
      <c r="VNL52" s="2"/>
      <c r="VNM52" s="2"/>
      <c r="VNN52" s="2"/>
      <c r="VNO52" s="2"/>
      <c r="VNP52" s="2"/>
      <c r="VNQ52" s="2"/>
      <c r="VNR52" s="2"/>
      <c r="VNS52" s="2"/>
      <c r="VNT52" s="2"/>
      <c r="VNU52" s="2"/>
      <c r="VNV52" s="2"/>
      <c r="VNW52" s="2"/>
      <c r="VNX52" s="2"/>
      <c r="VNY52" s="2"/>
      <c r="VNZ52" s="2"/>
      <c r="VOA52" s="2"/>
      <c r="VOB52" s="2"/>
      <c r="VOC52" s="2"/>
      <c r="VOD52" s="2"/>
      <c r="VOE52" s="2"/>
      <c r="VOF52" s="2"/>
      <c r="VOG52" s="2"/>
      <c r="VOH52" s="2"/>
      <c r="VOI52" s="2"/>
      <c r="VOJ52" s="2"/>
      <c r="VOK52" s="2"/>
      <c r="VOL52" s="2"/>
      <c r="VOM52" s="2"/>
      <c r="VON52" s="2"/>
      <c r="VOO52" s="2"/>
      <c r="VOP52" s="2"/>
      <c r="VOQ52" s="2"/>
      <c r="VOR52" s="2"/>
      <c r="VOS52" s="2"/>
      <c r="VOT52" s="2"/>
      <c r="VOU52" s="2"/>
      <c r="VOV52" s="2"/>
      <c r="VOW52" s="2"/>
      <c r="VOX52" s="2"/>
      <c r="VOY52" s="2"/>
      <c r="VOZ52" s="2"/>
      <c r="VPA52" s="2"/>
      <c r="VPB52" s="2"/>
      <c r="VPC52" s="2"/>
      <c r="VPD52" s="2"/>
      <c r="VPE52" s="2"/>
      <c r="VPF52" s="2"/>
      <c r="VPG52" s="2"/>
      <c r="VPH52" s="2"/>
      <c r="VPI52" s="2"/>
      <c r="VPJ52" s="2"/>
      <c r="VPK52" s="2"/>
      <c r="VPL52" s="2"/>
      <c r="VPM52" s="2"/>
      <c r="VPN52" s="2"/>
      <c r="VPO52" s="2"/>
      <c r="VPP52" s="2"/>
      <c r="VPQ52" s="2"/>
      <c r="VPR52" s="2"/>
      <c r="VPS52" s="2"/>
      <c r="VPT52" s="2"/>
      <c r="VPU52" s="2"/>
      <c r="VPV52" s="2"/>
      <c r="VPW52" s="2"/>
      <c r="VPX52" s="2"/>
      <c r="VPY52" s="2"/>
      <c r="VPZ52" s="2"/>
      <c r="VQA52" s="2"/>
      <c r="VQB52" s="2"/>
      <c r="VQC52" s="2"/>
      <c r="VQD52" s="2"/>
      <c r="VQE52" s="2"/>
      <c r="VQF52" s="2"/>
      <c r="VQG52" s="2"/>
      <c r="VQH52" s="2"/>
      <c r="VQI52" s="2"/>
      <c r="VQJ52" s="2"/>
      <c r="VQK52" s="2"/>
      <c r="VQL52" s="2"/>
      <c r="VQM52" s="2"/>
      <c r="VQN52" s="2"/>
      <c r="VQO52" s="2"/>
      <c r="VQP52" s="2"/>
      <c r="VQQ52" s="2"/>
      <c r="VQR52" s="2"/>
      <c r="VQS52" s="2"/>
      <c r="VQT52" s="2"/>
      <c r="VQU52" s="2"/>
      <c r="VQV52" s="2"/>
      <c r="VQW52" s="2"/>
      <c r="VQX52" s="2"/>
      <c r="VQY52" s="2"/>
      <c r="VQZ52" s="2"/>
      <c r="VRA52" s="2"/>
      <c r="VRB52" s="2"/>
      <c r="VRC52" s="2"/>
      <c r="VRD52" s="2"/>
      <c r="VRE52" s="2"/>
      <c r="VRF52" s="2"/>
      <c r="VRG52" s="2"/>
      <c r="VRH52" s="2"/>
      <c r="VRI52" s="2"/>
      <c r="VRJ52" s="2"/>
      <c r="VRK52" s="2"/>
      <c r="VRL52" s="2"/>
      <c r="VRM52" s="2"/>
      <c r="VRN52" s="2"/>
      <c r="VRO52" s="2"/>
      <c r="VRP52" s="2"/>
      <c r="VRQ52" s="2"/>
      <c r="VRR52" s="2"/>
      <c r="VRS52" s="2"/>
      <c r="VRT52" s="2"/>
      <c r="VRU52" s="2"/>
      <c r="VRV52" s="2"/>
      <c r="VRW52" s="2"/>
      <c r="VRX52" s="2"/>
      <c r="VRY52" s="2"/>
      <c r="VRZ52" s="2"/>
      <c r="VSA52" s="2"/>
      <c r="VSB52" s="2"/>
      <c r="VSC52" s="2"/>
      <c r="VSD52" s="2"/>
      <c r="VSE52" s="2"/>
      <c r="VSF52" s="2"/>
      <c r="VSG52" s="2"/>
      <c r="VSH52" s="2"/>
      <c r="VSI52" s="2"/>
      <c r="VSJ52" s="2"/>
      <c r="VSK52" s="2"/>
      <c r="VSL52" s="2"/>
      <c r="VSM52" s="2"/>
      <c r="VSN52" s="2"/>
      <c r="VSO52" s="2"/>
      <c r="VSP52" s="2"/>
      <c r="VSQ52" s="2"/>
      <c r="VSR52" s="2"/>
      <c r="VSS52" s="2"/>
      <c r="VST52" s="2"/>
      <c r="VSU52" s="2"/>
      <c r="VSV52" s="2"/>
      <c r="VSW52" s="2"/>
      <c r="VSX52" s="2"/>
      <c r="VSY52" s="2"/>
      <c r="VSZ52" s="2"/>
      <c r="VTA52" s="2"/>
      <c r="VTB52" s="2"/>
      <c r="VTC52" s="2"/>
      <c r="VTD52" s="2"/>
      <c r="VTE52" s="2"/>
      <c r="VTF52" s="2"/>
      <c r="VTG52" s="2"/>
      <c r="VTH52" s="2"/>
      <c r="VTI52" s="2"/>
      <c r="VTJ52" s="2"/>
      <c r="VTK52" s="2"/>
      <c r="VTL52" s="2"/>
      <c r="VTM52" s="2"/>
      <c r="VTN52" s="2"/>
      <c r="VTO52" s="2"/>
      <c r="VTP52" s="2"/>
      <c r="VTQ52" s="2"/>
      <c r="VTR52" s="2"/>
      <c r="VTS52" s="2"/>
      <c r="VTT52" s="2"/>
      <c r="VTU52" s="2"/>
      <c r="VTV52" s="2"/>
      <c r="VTW52" s="2"/>
      <c r="VTX52" s="2"/>
      <c r="VTY52" s="2"/>
      <c r="VTZ52" s="2"/>
      <c r="VUA52" s="2"/>
      <c r="VUB52" s="2"/>
      <c r="VUC52" s="2"/>
      <c r="VUD52" s="2"/>
      <c r="VUE52" s="2"/>
      <c r="VUF52" s="2"/>
      <c r="VUG52" s="2"/>
      <c r="VUH52" s="2"/>
      <c r="VUI52" s="2"/>
      <c r="VUJ52" s="2"/>
      <c r="VUK52" s="2"/>
      <c r="VUL52" s="2"/>
      <c r="VUM52" s="2"/>
      <c r="VUN52" s="2"/>
      <c r="VUO52" s="2"/>
      <c r="VUP52" s="2"/>
      <c r="VUQ52" s="2"/>
      <c r="VUR52" s="2"/>
      <c r="VUS52" s="2"/>
      <c r="VUT52" s="2"/>
      <c r="VUU52" s="2"/>
      <c r="VUV52" s="2"/>
      <c r="VUW52" s="2"/>
      <c r="VUX52" s="2"/>
      <c r="VUY52" s="2"/>
      <c r="VUZ52" s="2"/>
      <c r="VVA52" s="2"/>
      <c r="VVB52" s="2"/>
      <c r="VVC52" s="2"/>
      <c r="VVD52" s="2"/>
      <c r="VVE52" s="2"/>
      <c r="VVF52" s="2"/>
      <c r="VVG52" s="2"/>
      <c r="VVH52" s="2"/>
      <c r="VVI52" s="2"/>
      <c r="VVJ52" s="2"/>
      <c r="VVK52" s="2"/>
      <c r="VVL52" s="2"/>
      <c r="VVM52" s="2"/>
      <c r="VVN52" s="2"/>
      <c r="VVO52" s="2"/>
      <c r="VVP52" s="2"/>
      <c r="VVQ52" s="2"/>
      <c r="VVR52" s="2"/>
      <c r="VVS52" s="2"/>
      <c r="VVT52" s="2"/>
      <c r="VVU52" s="2"/>
      <c r="VVV52" s="2"/>
      <c r="VVW52" s="2"/>
      <c r="VVX52" s="2"/>
      <c r="VVY52" s="2"/>
      <c r="VVZ52" s="2"/>
      <c r="VWA52" s="2"/>
      <c r="VWB52" s="2"/>
      <c r="VWC52" s="2"/>
      <c r="VWD52" s="2"/>
      <c r="VWE52" s="2"/>
      <c r="VWF52" s="2"/>
      <c r="VWG52" s="2"/>
      <c r="VWH52" s="2"/>
      <c r="VWI52" s="2"/>
      <c r="VWJ52" s="2"/>
      <c r="VWK52" s="2"/>
      <c r="VWL52" s="2"/>
      <c r="VWM52" s="2"/>
      <c r="VWN52" s="2"/>
      <c r="VWO52" s="2"/>
      <c r="VWP52" s="2"/>
      <c r="VWQ52" s="2"/>
      <c r="VWR52" s="2"/>
      <c r="VWS52" s="2"/>
      <c r="VWT52" s="2"/>
      <c r="VWU52" s="2"/>
      <c r="VWV52" s="2"/>
      <c r="VWW52" s="2"/>
      <c r="VWX52" s="2"/>
      <c r="VWY52" s="2"/>
      <c r="VWZ52" s="2"/>
      <c r="VXA52" s="2"/>
      <c r="VXB52" s="2"/>
      <c r="VXC52" s="2"/>
      <c r="VXD52" s="2"/>
      <c r="VXE52" s="2"/>
      <c r="VXF52" s="2"/>
      <c r="VXG52" s="2"/>
      <c r="VXH52" s="2"/>
      <c r="VXI52" s="2"/>
      <c r="VXJ52" s="2"/>
      <c r="VXK52" s="2"/>
      <c r="VXL52" s="2"/>
      <c r="VXM52" s="2"/>
      <c r="VXN52" s="2"/>
      <c r="VXO52" s="2"/>
      <c r="VXP52" s="2"/>
      <c r="VXQ52" s="2"/>
      <c r="VXR52" s="2"/>
      <c r="VXS52" s="2"/>
      <c r="VXT52" s="2"/>
      <c r="VXU52" s="2"/>
      <c r="VXV52" s="2"/>
      <c r="VXW52" s="2"/>
      <c r="VXX52" s="2"/>
      <c r="VXY52" s="2"/>
      <c r="VXZ52" s="2"/>
      <c r="VYA52" s="2"/>
      <c r="VYB52" s="2"/>
      <c r="VYC52" s="2"/>
      <c r="VYD52" s="2"/>
      <c r="VYE52" s="2"/>
      <c r="VYF52" s="2"/>
      <c r="VYG52" s="2"/>
      <c r="VYH52" s="2"/>
      <c r="VYI52" s="2"/>
      <c r="VYJ52" s="2"/>
      <c r="VYK52" s="2"/>
      <c r="VYL52" s="2"/>
      <c r="VYM52" s="2"/>
      <c r="VYN52" s="2"/>
      <c r="VYO52" s="2"/>
      <c r="VYP52" s="2"/>
      <c r="VYQ52" s="2"/>
      <c r="VYR52" s="2"/>
      <c r="VYS52" s="2"/>
      <c r="VYT52" s="2"/>
      <c r="VYU52" s="2"/>
      <c r="VYV52" s="2"/>
      <c r="VYW52" s="2"/>
      <c r="VYX52" s="2"/>
      <c r="VYY52" s="2"/>
      <c r="VYZ52" s="2"/>
      <c r="VZA52" s="2"/>
      <c r="VZB52" s="2"/>
      <c r="VZC52" s="2"/>
      <c r="VZD52" s="2"/>
      <c r="VZE52" s="2"/>
      <c r="VZF52" s="2"/>
      <c r="VZG52" s="2"/>
      <c r="VZH52" s="2"/>
      <c r="VZI52" s="2"/>
      <c r="VZJ52" s="2"/>
      <c r="VZK52" s="2"/>
      <c r="VZL52" s="2"/>
      <c r="VZM52" s="2"/>
      <c r="VZN52" s="2"/>
      <c r="VZO52" s="2"/>
      <c r="VZP52" s="2"/>
      <c r="VZQ52" s="2"/>
      <c r="VZR52" s="2"/>
      <c r="VZS52" s="2"/>
      <c r="VZT52" s="2"/>
      <c r="VZU52" s="2"/>
      <c r="VZV52" s="2"/>
      <c r="VZW52" s="2"/>
      <c r="VZX52" s="2"/>
      <c r="VZY52" s="2"/>
      <c r="VZZ52" s="2"/>
      <c r="WAA52" s="2"/>
      <c r="WAB52" s="2"/>
      <c r="WAC52" s="2"/>
      <c r="WAD52" s="2"/>
      <c r="WAE52" s="2"/>
      <c r="WAF52" s="2"/>
      <c r="WAG52" s="2"/>
      <c r="WAH52" s="2"/>
      <c r="WAI52" s="2"/>
      <c r="WAJ52" s="2"/>
      <c r="WAK52" s="2"/>
      <c r="WAL52" s="2"/>
      <c r="WAM52" s="2"/>
      <c r="WAN52" s="2"/>
      <c r="WAO52" s="2"/>
      <c r="WAP52" s="2"/>
      <c r="WAQ52" s="2"/>
      <c r="WAR52" s="2"/>
      <c r="WAS52" s="2"/>
      <c r="WAT52" s="2"/>
      <c r="WAU52" s="2"/>
      <c r="WAV52" s="2"/>
      <c r="WAW52" s="2"/>
      <c r="WAX52" s="2"/>
      <c r="WAY52" s="2"/>
      <c r="WAZ52" s="2"/>
      <c r="WBA52" s="2"/>
      <c r="WBB52" s="2"/>
      <c r="WBC52" s="2"/>
      <c r="WBD52" s="2"/>
      <c r="WBE52" s="2"/>
      <c r="WBF52" s="2"/>
      <c r="WBG52" s="2"/>
      <c r="WBH52" s="2"/>
      <c r="WBI52" s="2"/>
      <c r="WBJ52" s="2"/>
      <c r="WBK52" s="2"/>
      <c r="WBL52" s="2"/>
      <c r="WBM52" s="2"/>
      <c r="WBN52" s="2"/>
      <c r="WBO52" s="2"/>
      <c r="WBP52" s="2"/>
      <c r="WBQ52" s="2"/>
      <c r="WBR52" s="2"/>
      <c r="WBS52" s="2"/>
      <c r="WBT52" s="2"/>
      <c r="WBU52" s="2"/>
      <c r="WBV52" s="2"/>
      <c r="WBW52" s="2"/>
      <c r="WBX52" s="2"/>
      <c r="WBY52" s="2"/>
      <c r="WBZ52" s="2"/>
      <c r="WCA52" s="2"/>
      <c r="WCB52" s="2"/>
      <c r="WCC52" s="2"/>
      <c r="WCD52" s="2"/>
      <c r="WCE52" s="2"/>
      <c r="WCF52" s="2"/>
      <c r="WCG52" s="2"/>
      <c r="WCH52" s="2"/>
      <c r="WCI52" s="2"/>
      <c r="WCJ52" s="2"/>
      <c r="WCK52" s="2"/>
      <c r="WCL52" s="2"/>
      <c r="WCM52" s="2"/>
      <c r="WCN52" s="2"/>
      <c r="WCO52" s="2"/>
      <c r="WCP52" s="2"/>
      <c r="WCQ52" s="2"/>
      <c r="WCR52" s="2"/>
      <c r="WCS52" s="2"/>
      <c r="WCT52" s="2"/>
      <c r="WCU52" s="2"/>
      <c r="WCV52" s="2"/>
      <c r="WCW52" s="2"/>
      <c r="WCX52" s="2"/>
      <c r="WCY52" s="2"/>
      <c r="WCZ52" s="2"/>
      <c r="WDA52" s="2"/>
      <c r="WDB52" s="2"/>
      <c r="WDC52" s="2"/>
      <c r="WDD52" s="2"/>
      <c r="WDE52" s="2"/>
      <c r="WDF52" s="2"/>
      <c r="WDG52" s="2"/>
      <c r="WDH52" s="2"/>
      <c r="WDI52" s="2"/>
      <c r="WDJ52" s="2"/>
      <c r="WDK52" s="2"/>
      <c r="WDL52" s="2"/>
      <c r="WDM52" s="2"/>
      <c r="WDN52" s="2"/>
      <c r="WDO52" s="2"/>
      <c r="WDP52" s="2"/>
      <c r="WDQ52" s="2"/>
      <c r="WDR52" s="2"/>
      <c r="WDS52" s="2"/>
      <c r="WDT52" s="2"/>
      <c r="WDU52" s="2"/>
      <c r="WDV52" s="2"/>
      <c r="WDW52" s="2"/>
      <c r="WDX52" s="2"/>
      <c r="WDY52" s="2"/>
      <c r="WDZ52" s="2"/>
      <c r="WEA52" s="2"/>
      <c r="WEB52" s="2"/>
      <c r="WEC52" s="2"/>
      <c r="WED52" s="2"/>
      <c r="WEE52" s="2"/>
      <c r="WEF52" s="2"/>
      <c r="WEG52" s="2"/>
      <c r="WEH52" s="2"/>
      <c r="WEI52" s="2"/>
      <c r="WEJ52" s="2"/>
      <c r="WEK52" s="2"/>
      <c r="WEL52" s="2"/>
      <c r="WEM52" s="2"/>
      <c r="WEN52" s="2"/>
      <c r="WEO52" s="2"/>
      <c r="WEP52" s="2"/>
      <c r="WEQ52" s="2"/>
      <c r="WER52" s="2"/>
      <c r="WES52" s="2"/>
      <c r="WET52" s="2"/>
      <c r="WEU52" s="2"/>
      <c r="WEV52" s="2"/>
      <c r="WEW52" s="2"/>
      <c r="WEX52" s="2"/>
      <c r="WEY52" s="2"/>
      <c r="WEZ52" s="2"/>
      <c r="WFA52" s="2"/>
      <c r="WFB52" s="2"/>
      <c r="WFC52" s="2"/>
      <c r="WFD52" s="2"/>
      <c r="WFE52" s="2"/>
      <c r="WFF52" s="2"/>
      <c r="WFG52" s="2"/>
      <c r="WFH52" s="2"/>
      <c r="WFI52" s="2"/>
      <c r="WFJ52" s="2"/>
      <c r="WFK52" s="2"/>
      <c r="WFL52" s="2"/>
      <c r="WFM52" s="2"/>
      <c r="WFN52" s="2"/>
      <c r="WFO52" s="2"/>
      <c r="WFP52" s="2"/>
      <c r="WFQ52" s="2"/>
      <c r="WFR52" s="2"/>
      <c r="WFS52" s="2"/>
      <c r="WFT52" s="2"/>
      <c r="WFU52" s="2"/>
      <c r="WFV52" s="2"/>
      <c r="WFW52" s="2"/>
      <c r="WFX52" s="2"/>
      <c r="WFY52" s="2"/>
      <c r="WFZ52" s="2"/>
      <c r="WGA52" s="2"/>
      <c r="WGB52" s="2"/>
      <c r="WGC52" s="2"/>
      <c r="WGD52" s="2"/>
      <c r="WGE52" s="2"/>
      <c r="WGF52" s="2"/>
      <c r="WGG52" s="2"/>
      <c r="WGH52" s="2"/>
      <c r="WGI52" s="2"/>
      <c r="WGJ52" s="2"/>
      <c r="WGK52" s="2"/>
      <c r="WGL52" s="2"/>
      <c r="WGM52" s="2"/>
      <c r="WGN52" s="2"/>
      <c r="WGO52" s="2"/>
      <c r="WGP52" s="2"/>
      <c r="WGQ52" s="2"/>
      <c r="WGR52" s="2"/>
      <c r="WGS52" s="2"/>
      <c r="WGT52" s="2"/>
      <c r="WGU52" s="2"/>
      <c r="WGV52" s="2"/>
      <c r="WGW52" s="2"/>
      <c r="WGX52" s="2"/>
      <c r="WGY52" s="2"/>
      <c r="WGZ52" s="2"/>
      <c r="WHA52" s="2"/>
      <c r="WHB52" s="2"/>
      <c r="WHC52" s="2"/>
      <c r="WHD52" s="2"/>
      <c r="WHE52" s="2"/>
      <c r="WHF52" s="2"/>
      <c r="WHG52" s="2"/>
      <c r="WHH52" s="2"/>
      <c r="WHI52" s="2"/>
      <c r="WHJ52" s="2"/>
      <c r="WHK52" s="2"/>
      <c r="WHL52" s="2"/>
      <c r="WHM52" s="2"/>
      <c r="WHN52" s="2"/>
      <c r="WHO52" s="2"/>
      <c r="WHP52" s="2"/>
      <c r="WHQ52" s="2"/>
      <c r="WHR52" s="2"/>
      <c r="WHS52" s="2"/>
      <c r="WHT52" s="2"/>
      <c r="WHU52" s="2"/>
      <c r="WHV52" s="2"/>
      <c r="WHW52" s="2"/>
      <c r="WHX52" s="2"/>
      <c r="WHY52" s="2"/>
      <c r="WHZ52" s="2"/>
      <c r="WIA52" s="2"/>
      <c r="WIB52" s="2"/>
      <c r="WIC52" s="2"/>
      <c r="WID52" s="2"/>
      <c r="WIE52" s="2"/>
      <c r="WIF52" s="2"/>
      <c r="WIG52" s="2"/>
      <c r="WIH52" s="2"/>
      <c r="WII52" s="2"/>
      <c r="WIJ52" s="2"/>
      <c r="WIK52" s="2"/>
      <c r="WIL52" s="2"/>
      <c r="WIM52" s="2"/>
      <c r="WIN52" s="2"/>
      <c r="WIO52" s="2"/>
      <c r="WIP52" s="2"/>
      <c r="WIQ52" s="2"/>
      <c r="WIR52" s="2"/>
      <c r="WIS52" s="2"/>
      <c r="WIT52" s="2"/>
      <c r="WIU52" s="2"/>
      <c r="WIV52" s="2"/>
      <c r="WIW52" s="2"/>
      <c r="WIX52" s="2"/>
      <c r="WIY52" s="2"/>
      <c r="WIZ52" s="2"/>
      <c r="WJA52" s="2"/>
      <c r="WJB52" s="2"/>
      <c r="WJC52" s="2"/>
      <c r="WJD52" s="2"/>
      <c r="WJE52" s="2"/>
      <c r="WJF52" s="2"/>
      <c r="WJG52" s="2"/>
      <c r="WJH52" s="2"/>
      <c r="WJI52" s="2"/>
      <c r="WJJ52" s="2"/>
      <c r="WJK52" s="2"/>
      <c r="WJL52" s="2"/>
      <c r="WJM52" s="2"/>
      <c r="WJN52" s="2"/>
      <c r="WJO52" s="2"/>
      <c r="WJP52" s="2"/>
      <c r="WJQ52" s="2"/>
      <c r="WJR52" s="2"/>
      <c r="WJS52" s="2"/>
      <c r="WJT52" s="2"/>
      <c r="WJU52" s="2"/>
      <c r="WJV52" s="2"/>
      <c r="WJW52" s="2"/>
      <c r="WJX52" s="2"/>
      <c r="WJY52" s="2"/>
      <c r="WJZ52" s="2"/>
      <c r="WKA52" s="2"/>
      <c r="WKB52" s="2"/>
      <c r="WKC52" s="2"/>
      <c r="WKD52" s="2"/>
      <c r="WKE52" s="2"/>
      <c r="WKF52" s="2"/>
      <c r="WKG52" s="2"/>
      <c r="WKH52" s="2"/>
      <c r="WKI52" s="2"/>
      <c r="WKJ52" s="2"/>
      <c r="WKK52" s="2"/>
      <c r="WKL52" s="2"/>
      <c r="WKM52" s="2"/>
      <c r="WKN52" s="2"/>
      <c r="WKO52" s="2"/>
      <c r="WKP52" s="2"/>
      <c r="WKQ52" s="2"/>
      <c r="WKR52" s="2"/>
      <c r="WKS52" s="2"/>
      <c r="WKT52" s="2"/>
      <c r="WKU52" s="2"/>
      <c r="WKV52" s="2"/>
      <c r="WKW52" s="2"/>
      <c r="WKX52" s="2"/>
      <c r="WKY52" s="2"/>
      <c r="WKZ52" s="2"/>
      <c r="WLA52" s="2"/>
      <c r="WLB52" s="2"/>
      <c r="WLC52" s="2"/>
      <c r="WLD52" s="2"/>
      <c r="WLE52" s="2"/>
      <c r="WLF52" s="2"/>
      <c r="WLG52" s="2"/>
      <c r="WLH52" s="2"/>
      <c r="WLI52" s="2"/>
      <c r="WLJ52" s="2"/>
      <c r="WLK52" s="2"/>
      <c r="WLL52" s="2"/>
      <c r="WLM52" s="2"/>
      <c r="WLN52" s="2"/>
      <c r="WLO52" s="2"/>
      <c r="WLP52" s="2"/>
      <c r="WLQ52" s="2"/>
      <c r="WLR52" s="2"/>
      <c r="WLS52" s="2"/>
      <c r="WLT52" s="2"/>
      <c r="WLU52" s="2"/>
      <c r="WLV52" s="2"/>
      <c r="WLW52" s="2"/>
      <c r="WLX52" s="2"/>
      <c r="WLY52" s="2"/>
      <c r="WLZ52" s="2"/>
      <c r="WMA52" s="2"/>
      <c r="WMB52" s="2"/>
      <c r="WMC52" s="2"/>
      <c r="WMD52" s="2"/>
      <c r="WME52" s="2"/>
      <c r="WMF52" s="2"/>
      <c r="WMG52" s="2"/>
      <c r="WMH52" s="2"/>
      <c r="WMI52" s="2"/>
      <c r="WMJ52" s="2"/>
      <c r="WMK52" s="2"/>
      <c r="WML52" s="2"/>
      <c r="WMM52" s="2"/>
      <c r="WMN52" s="2"/>
      <c r="WMO52" s="2"/>
      <c r="WMP52" s="2"/>
      <c r="WMQ52" s="2"/>
      <c r="WMR52" s="2"/>
      <c r="WMS52" s="2"/>
      <c r="WMT52" s="2"/>
      <c r="WMU52" s="2"/>
      <c r="WMV52" s="2"/>
      <c r="WMW52" s="2"/>
      <c r="WMX52" s="2"/>
      <c r="WMY52" s="2"/>
      <c r="WMZ52" s="2"/>
      <c r="WNA52" s="2"/>
      <c r="WNB52" s="2"/>
      <c r="WNC52" s="2"/>
      <c r="WND52" s="2"/>
      <c r="WNE52" s="2"/>
      <c r="WNF52" s="2"/>
      <c r="WNG52" s="2"/>
      <c r="WNH52" s="2"/>
      <c r="WNI52" s="2"/>
      <c r="WNJ52" s="2"/>
      <c r="WNK52" s="2"/>
      <c r="WNL52" s="2"/>
      <c r="WNM52" s="2"/>
      <c r="WNN52" s="2"/>
      <c r="WNO52" s="2"/>
      <c r="WNP52" s="2"/>
      <c r="WNQ52" s="2"/>
      <c r="WNR52" s="2"/>
      <c r="WNS52" s="2"/>
      <c r="WNT52" s="2"/>
      <c r="WNU52" s="2"/>
      <c r="WNV52" s="2"/>
      <c r="WNW52" s="2"/>
      <c r="WNX52" s="2"/>
      <c r="WNY52" s="2"/>
      <c r="WNZ52" s="2"/>
      <c r="WOA52" s="2"/>
      <c r="WOB52" s="2"/>
      <c r="WOC52" s="2"/>
      <c r="WOD52" s="2"/>
      <c r="WOE52" s="2"/>
      <c r="WOF52" s="2"/>
      <c r="WOG52" s="2"/>
      <c r="WOH52" s="2"/>
      <c r="WOI52" s="2"/>
      <c r="WOJ52" s="2"/>
      <c r="WOK52" s="2"/>
      <c r="WOL52" s="2"/>
      <c r="WOM52" s="2"/>
      <c r="WON52" s="2"/>
      <c r="WOO52" s="2"/>
      <c r="WOP52" s="2"/>
      <c r="WOQ52" s="2"/>
      <c r="WOR52" s="2"/>
      <c r="WOS52" s="2"/>
      <c r="WOT52" s="2"/>
      <c r="WOU52" s="2"/>
      <c r="WOV52" s="2"/>
      <c r="WOW52" s="2"/>
      <c r="WOX52" s="2"/>
      <c r="WOY52" s="2"/>
      <c r="WOZ52" s="2"/>
      <c r="WPA52" s="2"/>
      <c r="WPB52" s="2"/>
      <c r="WPC52" s="2"/>
      <c r="WPD52" s="2"/>
      <c r="WPE52" s="2"/>
      <c r="WPF52" s="2"/>
      <c r="WPG52" s="2"/>
      <c r="WPH52" s="2"/>
      <c r="WPI52" s="2"/>
      <c r="WPJ52" s="2"/>
      <c r="WPK52" s="2"/>
      <c r="WPL52" s="2"/>
      <c r="WPM52" s="2"/>
      <c r="WPN52" s="2"/>
      <c r="WPO52" s="2"/>
      <c r="WPP52" s="2"/>
      <c r="WPQ52" s="2"/>
      <c r="WPR52" s="2"/>
      <c r="WPS52" s="2"/>
      <c r="WPT52" s="2"/>
      <c r="WPU52" s="2"/>
      <c r="WPV52" s="2"/>
      <c r="WPW52" s="2"/>
      <c r="WPX52" s="2"/>
      <c r="WPY52" s="2"/>
      <c r="WPZ52" s="2"/>
      <c r="WQA52" s="2"/>
      <c r="WQB52" s="2"/>
      <c r="WQC52" s="2"/>
      <c r="WQD52" s="2"/>
      <c r="WQE52" s="2"/>
      <c r="WQF52" s="2"/>
      <c r="WQG52" s="2"/>
      <c r="WQH52" s="2"/>
      <c r="WQI52" s="2"/>
      <c r="WQJ52" s="2"/>
      <c r="WQK52" s="2"/>
      <c r="WQL52" s="2"/>
      <c r="WQM52" s="2"/>
      <c r="WQN52" s="2"/>
      <c r="WQO52" s="2"/>
      <c r="WQP52" s="2"/>
      <c r="WQQ52" s="2"/>
      <c r="WQR52" s="2"/>
      <c r="WQS52" s="2"/>
      <c r="WQT52" s="2"/>
      <c r="WQU52" s="2"/>
      <c r="WQV52" s="2"/>
      <c r="WQW52" s="2"/>
      <c r="WQX52" s="2"/>
      <c r="WQY52" s="2"/>
      <c r="WQZ52" s="2"/>
      <c r="WRA52" s="2"/>
      <c r="WRB52" s="2"/>
      <c r="WRC52" s="2"/>
      <c r="WRD52" s="2"/>
      <c r="WRE52" s="2"/>
      <c r="WRF52" s="2"/>
      <c r="WRG52" s="2"/>
      <c r="WRH52" s="2"/>
      <c r="WRI52" s="2"/>
      <c r="WRJ52" s="2"/>
      <c r="WRK52" s="2"/>
      <c r="WRL52" s="2"/>
      <c r="WRM52" s="2"/>
      <c r="WRN52" s="2"/>
      <c r="WRO52" s="2"/>
      <c r="WRP52" s="2"/>
      <c r="WRQ52" s="2"/>
      <c r="WRR52" s="2"/>
      <c r="WRS52" s="2"/>
      <c r="WRT52" s="2"/>
      <c r="WRU52" s="2"/>
      <c r="WRV52" s="2"/>
      <c r="WRW52" s="2"/>
      <c r="WRX52" s="2"/>
      <c r="WRY52" s="2"/>
      <c r="WRZ52" s="2"/>
      <c r="WSA52" s="2"/>
      <c r="WSB52" s="2"/>
      <c r="WSC52" s="2"/>
      <c r="WSD52" s="2"/>
      <c r="WSE52" s="2"/>
      <c r="WSF52" s="2"/>
      <c r="WSG52" s="2"/>
      <c r="WSH52" s="2"/>
      <c r="WSI52" s="2"/>
      <c r="WSJ52" s="2"/>
      <c r="WSK52" s="2"/>
      <c r="WSL52" s="2"/>
      <c r="WSM52" s="2"/>
      <c r="WSN52" s="2"/>
      <c r="WSO52" s="2"/>
      <c r="WSP52" s="2"/>
      <c r="WSQ52" s="2"/>
      <c r="WSR52" s="2"/>
      <c r="WSS52" s="2"/>
      <c r="WST52" s="2"/>
      <c r="WSU52" s="2"/>
      <c r="WSV52" s="2"/>
      <c r="WSW52" s="2"/>
      <c r="WSX52" s="2"/>
      <c r="WSY52" s="2"/>
      <c r="WSZ52" s="2"/>
      <c r="WTA52" s="2"/>
      <c r="WTB52" s="2"/>
      <c r="WTC52" s="2"/>
      <c r="WTD52" s="2"/>
      <c r="WTE52" s="2"/>
      <c r="WTF52" s="2"/>
      <c r="WTG52" s="2"/>
      <c r="WTH52" s="2"/>
      <c r="WTI52" s="2"/>
      <c r="WTJ52" s="2"/>
      <c r="WTK52" s="2"/>
      <c r="WTL52" s="2"/>
      <c r="WTM52" s="2"/>
      <c r="WTN52" s="2"/>
      <c r="WTO52" s="2"/>
      <c r="WTP52" s="2"/>
    </row>
    <row r="53" spans="1:16084" x14ac:dyDescent="0.25">
      <c r="A53" s="2" t="s">
        <v>231</v>
      </c>
      <c r="B53" s="2" t="s">
        <v>232</v>
      </c>
      <c r="C53" s="5" t="s">
        <v>233</v>
      </c>
      <c r="D53" s="2" t="s">
        <v>234</v>
      </c>
      <c r="E53" s="1" t="s">
        <v>235</v>
      </c>
      <c r="F53" s="15" t="s">
        <v>236</v>
      </c>
      <c r="G53" s="2" t="s">
        <v>237</v>
      </c>
      <c r="H53" s="2" t="s">
        <v>238</v>
      </c>
      <c r="I53" s="5" t="s">
        <v>572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  <c r="AQF53" s="3"/>
      <c r="AQG53" s="3"/>
      <c r="AQH53" s="3"/>
      <c r="AQI53" s="3"/>
      <c r="AQJ53" s="3"/>
      <c r="AQK53" s="3"/>
      <c r="AQL53" s="3"/>
      <c r="AQM53" s="3"/>
      <c r="AQN53" s="3"/>
      <c r="AQO53" s="3"/>
      <c r="AQP53" s="3"/>
      <c r="AQQ53" s="3"/>
      <c r="AQR53" s="3"/>
      <c r="AQS53" s="3"/>
      <c r="AQT53" s="3"/>
      <c r="AQU53" s="3"/>
      <c r="AQV53" s="3"/>
      <c r="AQW53" s="3"/>
      <c r="AQX53" s="3"/>
      <c r="AQY53" s="3"/>
      <c r="AQZ53" s="3"/>
      <c r="ARA53" s="3"/>
      <c r="ARB53" s="3"/>
      <c r="ARC53" s="3"/>
      <c r="ARD53" s="3"/>
      <c r="ARE53" s="3"/>
      <c r="ARF53" s="3"/>
      <c r="ARG53" s="3"/>
      <c r="ARH53" s="3"/>
      <c r="ARI53" s="3"/>
      <c r="ARJ53" s="3"/>
      <c r="ARK53" s="3"/>
      <c r="ARL53" s="3"/>
      <c r="ARM53" s="3"/>
      <c r="ARN53" s="3"/>
      <c r="ARO53" s="3"/>
      <c r="ARP53" s="3"/>
      <c r="ARQ53" s="3"/>
      <c r="ARR53" s="3"/>
      <c r="ARS53" s="3"/>
      <c r="ART53" s="3"/>
      <c r="ARU53" s="3"/>
      <c r="ARV53" s="3"/>
      <c r="ARW53" s="3"/>
      <c r="ARX53" s="3"/>
      <c r="ARY53" s="3"/>
      <c r="ARZ53" s="3"/>
      <c r="ASA53" s="3"/>
      <c r="ASB53" s="3"/>
      <c r="ASC53" s="3"/>
      <c r="ASD53" s="3"/>
      <c r="ASE53" s="3"/>
      <c r="ASF53" s="3"/>
      <c r="ASG53" s="3"/>
      <c r="ASH53" s="3"/>
      <c r="ASI53" s="3"/>
      <c r="ASJ53" s="3"/>
      <c r="ASK53" s="3"/>
      <c r="ASL53" s="3"/>
      <c r="ASM53" s="3"/>
      <c r="ASN53" s="3"/>
      <c r="ASO53" s="3"/>
      <c r="ASP53" s="3"/>
      <c r="ASQ53" s="3"/>
      <c r="ASR53" s="3"/>
      <c r="ASS53" s="3"/>
      <c r="AST53" s="3"/>
      <c r="ASU53" s="3"/>
      <c r="ASV53" s="3"/>
      <c r="ASW53" s="3"/>
      <c r="ASX53" s="3"/>
      <c r="ASY53" s="3"/>
      <c r="ASZ53" s="3"/>
      <c r="ATA53" s="3"/>
      <c r="ATB53" s="3"/>
      <c r="ATC53" s="3"/>
      <c r="ATD53" s="3"/>
      <c r="ATE53" s="3"/>
      <c r="ATF53" s="3"/>
      <c r="ATG53" s="3"/>
      <c r="ATH53" s="3"/>
      <c r="ATI53" s="3"/>
      <c r="ATJ53" s="3"/>
      <c r="ATK53" s="3"/>
      <c r="ATL53" s="3"/>
      <c r="ATM53" s="3"/>
      <c r="ATN53" s="3"/>
      <c r="ATO53" s="3"/>
      <c r="ATP53" s="3"/>
      <c r="ATQ53" s="3"/>
      <c r="ATR53" s="3"/>
      <c r="ATS53" s="3"/>
      <c r="ATT53" s="3"/>
      <c r="ATU53" s="3"/>
      <c r="ATV53" s="3"/>
      <c r="ATW53" s="3"/>
      <c r="ATX53" s="3"/>
      <c r="ATY53" s="3"/>
      <c r="ATZ53" s="3"/>
      <c r="AUA53" s="3"/>
      <c r="AUB53" s="3"/>
      <c r="AUC53" s="3"/>
      <c r="AUD53" s="3"/>
      <c r="AUE53" s="3"/>
      <c r="AUF53" s="3"/>
      <c r="AUG53" s="3"/>
      <c r="AUH53" s="3"/>
      <c r="AUI53" s="3"/>
      <c r="AUJ53" s="3"/>
      <c r="AUK53" s="3"/>
      <c r="AUL53" s="3"/>
      <c r="AUM53" s="3"/>
      <c r="AUN53" s="3"/>
      <c r="AUO53" s="3"/>
      <c r="AUP53" s="3"/>
      <c r="AUQ53" s="3"/>
      <c r="AUR53" s="3"/>
      <c r="AUS53" s="3"/>
      <c r="AUT53" s="3"/>
      <c r="AUU53" s="3"/>
      <c r="AUV53" s="3"/>
      <c r="AUW53" s="3"/>
      <c r="AUX53" s="3"/>
      <c r="AUY53" s="3"/>
      <c r="AUZ53" s="3"/>
      <c r="AVA53" s="3"/>
      <c r="AVB53" s="3"/>
      <c r="AVC53" s="3"/>
      <c r="AVD53" s="3"/>
      <c r="AVE53" s="3"/>
      <c r="AVF53" s="3"/>
      <c r="AVG53" s="3"/>
      <c r="AVH53" s="3"/>
      <c r="AVI53" s="3"/>
      <c r="AVJ53" s="3"/>
      <c r="AVK53" s="3"/>
      <c r="AVL53" s="3"/>
      <c r="AVM53" s="3"/>
      <c r="AVN53" s="3"/>
      <c r="AVO53" s="3"/>
      <c r="AVP53" s="3"/>
      <c r="AVQ53" s="3"/>
      <c r="AVR53" s="3"/>
      <c r="AVS53" s="3"/>
      <c r="AVT53" s="3"/>
      <c r="AVU53" s="3"/>
      <c r="AVV53" s="3"/>
      <c r="AVW53" s="3"/>
      <c r="AVX53" s="3"/>
      <c r="AVY53" s="3"/>
      <c r="AVZ53" s="3"/>
      <c r="AWA53" s="3"/>
      <c r="AWB53" s="3"/>
      <c r="AWC53" s="3"/>
      <c r="AWD53" s="3"/>
      <c r="AWE53" s="3"/>
      <c r="AWF53" s="3"/>
      <c r="AWG53" s="3"/>
      <c r="AWH53" s="3"/>
      <c r="AWI53" s="3"/>
      <c r="AWJ53" s="3"/>
      <c r="AWK53" s="3"/>
      <c r="AWL53" s="3"/>
      <c r="AWM53" s="3"/>
      <c r="AWN53" s="3"/>
      <c r="AWO53" s="3"/>
      <c r="AWP53" s="3"/>
      <c r="AWQ53" s="3"/>
      <c r="AWR53" s="3"/>
      <c r="AWS53" s="3"/>
      <c r="AWT53" s="3"/>
      <c r="AWU53" s="3"/>
      <c r="AWV53" s="3"/>
      <c r="AWW53" s="3"/>
      <c r="AWX53" s="3"/>
      <c r="AWY53" s="3"/>
      <c r="AWZ53" s="3"/>
      <c r="AXA53" s="3"/>
      <c r="AXB53" s="3"/>
      <c r="AXC53" s="3"/>
      <c r="AXD53" s="3"/>
      <c r="AXE53" s="3"/>
      <c r="AXF53" s="3"/>
      <c r="AXG53" s="3"/>
      <c r="AXH53" s="3"/>
      <c r="AXI53" s="3"/>
      <c r="AXJ53" s="3"/>
      <c r="AXK53" s="3"/>
      <c r="AXL53" s="3"/>
      <c r="AXM53" s="3"/>
      <c r="AXN53" s="3"/>
      <c r="AXO53" s="3"/>
      <c r="AXP53" s="3"/>
      <c r="AXQ53" s="3"/>
      <c r="AXR53" s="3"/>
      <c r="AXS53" s="3"/>
      <c r="AXT53" s="3"/>
      <c r="AXU53" s="3"/>
      <c r="AXV53" s="3"/>
      <c r="AXW53" s="3"/>
      <c r="AXX53" s="3"/>
      <c r="AXY53" s="3"/>
      <c r="AXZ53" s="3"/>
      <c r="AYA53" s="3"/>
      <c r="AYB53" s="3"/>
      <c r="AYC53" s="3"/>
      <c r="AYD53" s="3"/>
      <c r="AYE53" s="3"/>
      <c r="AYF53" s="3"/>
      <c r="AYG53" s="3"/>
      <c r="AYH53" s="3"/>
      <c r="AYI53" s="3"/>
      <c r="AYJ53" s="3"/>
      <c r="AYK53" s="3"/>
      <c r="AYL53" s="3"/>
      <c r="AYM53" s="3"/>
      <c r="AYN53" s="3"/>
      <c r="AYO53" s="3"/>
      <c r="AYP53" s="3"/>
      <c r="AYQ53" s="3"/>
      <c r="AYR53" s="3"/>
      <c r="AYS53" s="3"/>
      <c r="AYT53" s="3"/>
      <c r="AYU53" s="3"/>
      <c r="AYV53" s="3"/>
      <c r="AYW53" s="3"/>
      <c r="AYX53" s="3"/>
      <c r="AYY53" s="3"/>
      <c r="AYZ53" s="3"/>
      <c r="AZA53" s="3"/>
      <c r="AZB53" s="3"/>
      <c r="AZC53" s="3"/>
      <c r="AZD53" s="3"/>
      <c r="AZE53" s="3"/>
      <c r="AZF53" s="3"/>
      <c r="AZG53" s="3"/>
      <c r="AZH53" s="3"/>
      <c r="AZI53" s="3"/>
      <c r="AZJ53" s="3"/>
      <c r="AZK53" s="3"/>
      <c r="AZL53" s="3"/>
      <c r="AZM53" s="3"/>
      <c r="AZN53" s="3"/>
      <c r="AZO53" s="3"/>
      <c r="AZP53" s="3"/>
      <c r="AZQ53" s="3"/>
      <c r="AZR53" s="3"/>
      <c r="AZS53" s="3"/>
      <c r="AZT53" s="3"/>
      <c r="AZU53" s="3"/>
      <c r="AZV53" s="3"/>
      <c r="AZW53" s="3"/>
      <c r="AZX53" s="3"/>
      <c r="AZY53" s="3"/>
      <c r="AZZ53" s="3"/>
      <c r="BAA53" s="3"/>
      <c r="BAB53" s="3"/>
      <c r="BAC53" s="3"/>
      <c r="BAD53" s="3"/>
      <c r="BAE53" s="3"/>
      <c r="BAF53" s="3"/>
      <c r="BAG53" s="3"/>
      <c r="BAH53" s="3"/>
      <c r="BAI53" s="3"/>
      <c r="BAJ53" s="3"/>
      <c r="BAK53" s="3"/>
      <c r="BAL53" s="3"/>
      <c r="BAM53" s="3"/>
      <c r="BAN53" s="3"/>
      <c r="BAO53" s="3"/>
      <c r="BAP53" s="3"/>
      <c r="BAQ53" s="3"/>
      <c r="BAR53" s="3"/>
      <c r="BAS53" s="3"/>
      <c r="BAT53" s="3"/>
      <c r="BAU53" s="3"/>
      <c r="BAV53" s="3"/>
      <c r="BAW53" s="3"/>
      <c r="BAX53" s="3"/>
      <c r="BAY53" s="3"/>
      <c r="BAZ53" s="3"/>
      <c r="BBA53" s="3"/>
      <c r="BBB53" s="3"/>
      <c r="BBC53" s="3"/>
      <c r="BBD53" s="3"/>
      <c r="BBE53" s="3"/>
      <c r="BBF53" s="3"/>
      <c r="BBG53" s="3"/>
      <c r="BBH53" s="3"/>
      <c r="BBI53" s="3"/>
      <c r="BBJ53" s="3"/>
      <c r="BBK53" s="3"/>
      <c r="BBL53" s="3"/>
      <c r="BBM53" s="3"/>
      <c r="BBN53" s="3"/>
      <c r="BBO53" s="3"/>
      <c r="BBP53" s="3"/>
      <c r="BBQ53" s="3"/>
      <c r="BBR53" s="3"/>
      <c r="BBS53" s="3"/>
      <c r="BBT53" s="3"/>
      <c r="BBU53" s="3"/>
      <c r="BBV53" s="3"/>
      <c r="BBW53" s="3"/>
      <c r="BBX53" s="3"/>
      <c r="BBY53" s="3"/>
      <c r="BBZ53" s="3"/>
      <c r="BCA53" s="3"/>
      <c r="BCB53" s="3"/>
      <c r="BCC53" s="3"/>
      <c r="BCD53" s="3"/>
      <c r="BCE53" s="3"/>
      <c r="BCF53" s="3"/>
      <c r="BCG53" s="3"/>
      <c r="BCH53" s="3"/>
      <c r="BCI53" s="3"/>
      <c r="BCJ53" s="3"/>
      <c r="BCK53" s="3"/>
      <c r="BCL53" s="3"/>
      <c r="BCM53" s="3"/>
      <c r="BCN53" s="3"/>
      <c r="BCO53" s="3"/>
      <c r="BCP53" s="3"/>
      <c r="BCQ53" s="3"/>
      <c r="BCR53" s="3"/>
      <c r="BCS53" s="3"/>
      <c r="BCT53" s="3"/>
      <c r="BCU53" s="3"/>
      <c r="BCV53" s="3"/>
      <c r="BCW53" s="3"/>
      <c r="BCX53" s="3"/>
      <c r="BCY53" s="3"/>
      <c r="BCZ53" s="3"/>
      <c r="BDA53" s="3"/>
      <c r="BDB53" s="3"/>
      <c r="BDC53" s="3"/>
      <c r="BDD53" s="3"/>
      <c r="BDE53" s="3"/>
      <c r="BDF53" s="3"/>
      <c r="BDG53" s="3"/>
      <c r="BDH53" s="3"/>
      <c r="BDI53" s="3"/>
      <c r="BDJ53" s="3"/>
      <c r="BDK53" s="3"/>
      <c r="BDL53" s="3"/>
      <c r="BDM53" s="3"/>
      <c r="BDN53" s="3"/>
      <c r="BDO53" s="3"/>
      <c r="BDP53" s="3"/>
      <c r="BDQ53" s="3"/>
      <c r="BDR53" s="3"/>
      <c r="BDS53" s="3"/>
      <c r="BDT53" s="3"/>
      <c r="BDU53" s="3"/>
      <c r="BDV53" s="3"/>
      <c r="BDW53" s="3"/>
      <c r="BDX53" s="3"/>
      <c r="BDY53" s="3"/>
      <c r="BDZ53" s="3"/>
      <c r="BEA53" s="3"/>
      <c r="BEB53" s="3"/>
      <c r="BEC53" s="3"/>
      <c r="BED53" s="3"/>
      <c r="BEE53" s="3"/>
      <c r="BEF53" s="3"/>
      <c r="BEG53" s="3"/>
      <c r="BEH53" s="3"/>
      <c r="BEI53" s="3"/>
      <c r="BEJ53" s="3"/>
      <c r="BEK53" s="3"/>
      <c r="BEL53" s="3"/>
      <c r="BEM53" s="3"/>
      <c r="BEN53" s="3"/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/>
      <c r="BGC53" s="3"/>
      <c r="BGD53" s="3"/>
      <c r="BGE53" s="3"/>
      <c r="BGF53" s="3"/>
      <c r="BGG53" s="3"/>
      <c r="BGH53" s="3"/>
      <c r="BGI53" s="3"/>
      <c r="BGJ53" s="3"/>
      <c r="BGK53" s="3"/>
      <c r="BGL53" s="3"/>
      <c r="BGM53" s="3"/>
      <c r="BGN53" s="3"/>
      <c r="BGO53" s="3"/>
      <c r="BGP53" s="3"/>
      <c r="BGQ53" s="3"/>
      <c r="BGR53" s="3"/>
      <c r="BGS53" s="3"/>
      <c r="BGT53" s="3"/>
      <c r="BGU53" s="3"/>
      <c r="BGV53" s="3"/>
      <c r="BGW53" s="3"/>
      <c r="BGX53" s="3"/>
      <c r="BGY53" s="3"/>
      <c r="BGZ53" s="3"/>
      <c r="BHA53" s="3"/>
      <c r="BHB53" s="3"/>
      <c r="BHC53" s="3"/>
      <c r="BHD53" s="3"/>
      <c r="BHE53" s="3"/>
      <c r="BHF53" s="3"/>
      <c r="BHG53" s="3"/>
      <c r="BHH53" s="3"/>
      <c r="BHI53" s="3"/>
      <c r="BHJ53" s="3"/>
      <c r="BHK53" s="3"/>
      <c r="BHL53" s="3"/>
      <c r="BHM53" s="3"/>
      <c r="BHN53" s="3"/>
      <c r="BHO53" s="3"/>
      <c r="BHP53" s="3"/>
      <c r="BHQ53" s="3"/>
      <c r="BHR53" s="3"/>
      <c r="BHS53" s="3"/>
      <c r="BHT53" s="3"/>
      <c r="BHU53" s="3"/>
      <c r="BHV53" s="3"/>
      <c r="BHW53" s="3"/>
      <c r="BHX53" s="3"/>
      <c r="BHY53" s="3"/>
      <c r="BHZ53" s="3"/>
      <c r="BIA53" s="3"/>
      <c r="BIB53" s="3"/>
      <c r="BIC53" s="3"/>
      <c r="BID53" s="3"/>
      <c r="BIE53" s="3"/>
      <c r="BIF53" s="3"/>
      <c r="BIG53" s="3"/>
      <c r="BIH53" s="3"/>
      <c r="BII53" s="3"/>
      <c r="BIJ53" s="3"/>
      <c r="BIK53" s="3"/>
      <c r="BIL53" s="3"/>
      <c r="BIM53" s="3"/>
      <c r="BIN53" s="3"/>
      <c r="BIO53" s="3"/>
      <c r="BIP53" s="3"/>
      <c r="BIQ53" s="3"/>
      <c r="BIR53" s="3"/>
      <c r="BIS53" s="3"/>
      <c r="BIT53" s="3"/>
      <c r="BIU53" s="3"/>
      <c r="BIV53" s="3"/>
      <c r="BIW53" s="3"/>
      <c r="BIX53" s="3"/>
      <c r="BIY53" s="3"/>
      <c r="BIZ53" s="3"/>
      <c r="BJA53" s="3"/>
      <c r="BJB53" s="3"/>
      <c r="BJC53" s="3"/>
      <c r="BJD53" s="3"/>
      <c r="BJE53" s="3"/>
      <c r="BJF53" s="3"/>
      <c r="BJG53" s="3"/>
      <c r="BJH53" s="3"/>
      <c r="BJI53" s="3"/>
      <c r="BJJ53" s="3"/>
      <c r="BJK53" s="3"/>
      <c r="BJL53" s="3"/>
      <c r="BJM53" s="3"/>
      <c r="BJN53" s="3"/>
      <c r="BJO53" s="3"/>
      <c r="BJP53" s="3"/>
      <c r="BJQ53" s="3"/>
      <c r="BJR53" s="3"/>
      <c r="BJS53" s="3"/>
      <c r="BJT53" s="3"/>
      <c r="BJU53" s="3"/>
      <c r="BJV53" s="3"/>
      <c r="BJW53" s="3"/>
      <c r="BJX53" s="3"/>
      <c r="BJY53" s="3"/>
      <c r="BJZ53" s="3"/>
      <c r="BKA53" s="3"/>
      <c r="BKB53" s="3"/>
      <c r="BKC53" s="3"/>
      <c r="BKD53" s="3"/>
      <c r="BKE53" s="3"/>
      <c r="BKF53" s="3"/>
      <c r="BKG53" s="3"/>
      <c r="BKH53" s="3"/>
      <c r="BKI53" s="3"/>
      <c r="BKJ53" s="3"/>
      <c r="BKK53" s="3"/>
      <c r="BKL53" s="3"/>
      <c r="BKM53" s="3"/>
      <c r="BKN53" s="3"/>
      <c r="BKO53" s="3"/>
      <c r="BKP53" s="3"/>
      <c r="BKQ53" s="3"/>
      <c r="BKR53" s="3"/>
      <c r="BKS53" s="3"/>
      <c r="BKT53" s="3"/>
      <c r="BKU53" s="3"/>
      <c r="BKV53" s="3"/>
      <c r="BKW53" s="3"/>
      <c r="BKX53" s="3"/>
      <c r="BKY53" s="3"/>
      <c r="BKZ53" s="3"/>
      <c r="BLA53" s="3"/>
      <c r="BLB53" s="3"/>
      <c r="BLC53" s="3"/>
      <c r="BLD53" s="3"/>
      <c r="BLE53" s="3"/>
      <c r="BLF53" s="3"/>
      <c r="BLG53" s="3"/>
      <c r="BLH53" s="3"/>
      <c r="BLI53" s="3"/>
      <c r="BLJ53" s="3"/>
      <c r="BLK53" s="3"/>
      <c r="BLL53" s="3"/>
      <c r="BLM53" s="3"/>
      <c r="BLN53" s="3"/>
      <c r="BLO53" s="3"/>
      <c r="BLP53" s="3"/>
      <c r="BLQ53" s="3"/>
      <c r="BLR53" s="3"/>
      <c r="BLS53" s="3"/>
      <c r="BLT53" s="3"/>
      <c r="BLU53" s="3"/>
      <c r="BLV53" s="3"/>
      <c r="BLW53" s="3"/>
      <c r="BLX53" s="3"/>
      <c r="BLY53" s="3"/>
      <c r="BLZ53" s="3"/>
      <c r="BMA53" s="3"/>
      <c r="BMB53" s="3"/>
      <c r="BMC53" s="3"/>
      <c r="BMD53" s="3"/>
      <c r="BME53" s="3"/>
      <c r="BMF53" s="3"/>
      <c r="BMG53" s="3"/>
      <c r="BMH53" s="3"/>
      <c r="BMI53" s="3"/>
      <c r="BMJ53" s="3"/>
      <c r="BMK53" s="3"/>
      <c r="BML53" s="3"/>
      <c r="BMM53" s="3"/>
      <c r="BMN53" s="3"/>
      <c r="BMO53" s="3"/>
      <c r="BMP53" s="3"/>
      <c r="BMQ53" s="3"/>
      <c r="BMR53" s="3"/>
      <c r="BMS53" s="3"/>
      <c r="BMT53" s="3"/>
      <c r="BMU53" s="3"/>
      <c r="BMV53" s="3"/>
      <c r="BMW53" s="3"/>
      <c r="BMX53" s="3"/>
      <c r="BMY53" s="3"/>
      <c r="BMZ53" s="3"/>
      <c r="BNA53" s="3"/>
      <c r="BNB53" s="3"/>
      <c r="BNC53" s="3"/>
      <c r="BND53" s="3"/>
      <c r="BNE53" s="3"/>
      <c r="BNF53" s="3"/>
      <c r="BNG53" s="3"/>
      <c r="BNH53" s="3"/>
      <c r="BNI53" s="3"/>
      <c r="BNJ53" s="3"/>
      <c r="BNK53" s="3"/>
      <c r="BNL53" s="3"/>
      <c r="BNM53" s="3"/>
      <c r="BNN53" s="3"/>
      <c r="BNO53" s="3"/>
      <c r="BNP53" s="3"/>
      <c r="BNQ53" s="3"/>
      <c r="BNR53" s="3"/>
      <c r="BNS53" s="3"/>
      <c r="BNT53" s="3"/>
      <c r="BNU53" s="3"/>
      <c r="BNV53" s="3"/>
      <c r="BNW53" s="3"/>
      <c r="BNX53" s="3"/>
      <c r="BNY53" s="3"/>
      <c r="BNZ53" s="3"/>
      <c r="BOA53" s="3"/>
      <c r="BOB53" s="3"/>
      <c r="BOC53" s="3"/>
      <c r="BOD53" s="3"/>
      <c r="BOE53" s="3"/>
      <c r="BOF53" s="3"/>
      <c r="BOG53" s="3"/>
      <c r="BOH53" s="3"/>
      <c r="BOI53" s="3"/>
      <c r="BOJ53" s="3"/>
      <c r="BOK53" s="3"/>
      <c r="BOL53" s="3"/>
      <c r="BOM53" s="3"/>
      <c r="BON53" s="3"/>
      <c r="BOO53" s="3"/>
      <c r="BOP53" s="3"/>
      <c r="BOQ53" s="3"/>
      <c r="BOR53" s="3"/>
      <c r="BOS53" s="3"/>
      <c r="BOT53" s="3"/>
      <c r="BOU53" s="3"/>
      <c r="BOV53" s="3"/>
      <c r="BOW53" s="3"/>
      <c r="BOX53" s="3"/>
      <c r="BOY53" s="3"/>
      <c r="BOZ53" s="3"/>
      <c r="BPA53" s="3"/>
      <c r="BPB53" s="3"/>
      <c r="BPC53" s="3"/>
      <c r="BPD53" s="3"/>
      <c r="BPE53" s="3"/>
      <c r="BPF53" s="3"/>
      <c r="BPG53" s="3"/>
      <c r="BPH53" s="3"/>
      <c r="BPI53" s="3"/>
      <c r="BPJ53" s="3"/>
      <c r="BPK53" s="3"/>
      <c r="BPL53" s="3"/>
      <c r="BPM53" s="3"/>
      <c r="BPN53" s="3"/>
      <c r="BPO53" s="3"/>
      <c r="BPP53" s="3"/>
      <c r="BPQ53" s="3"/>
      <c r="BPR53" s="3"/>
      <c r="BPS53" s="3"/>
      <c r="BPT53" s="3"/>
      <c r="BPU53" s="3"/>
      <c r="BPV53" s="3"/>
      <c r="BPW53" s="3"/>
      <c r="BPX53" s="3"/>
      <c r="BPY53" s="3"/>
      <c r="BPZ53" s="3"/>
      <c r="BQA53" s="3"/>
      <c r="BQB53" s="3"/>
      <c r="BQC53" s="3"/>
      <c r="BQD53" s="3"/>
      <c r="BQE53" s="3"/>
      <c r="BQF53" s="3"/>
      <c r="BQG53" s="3"/>
      <c r="BQH53" s="3"/>
      <c r="BQI53" s="3"/>
      <c r="BQJ53" s="3"/>
      <c r="BQK53" s="3"/>
      <c r="BQL53" s="3"/>
      <c r="BQM53" s="3"/>
      <c r="BQN53" s="3"/>
      <c r="BQO53" s="3"/>
      <c r="BQP53" s="3"/>
      <c r="BQQ53" s="3"/>
      <c r="BQR53" s="3"/>
      <c r="BQS53" s="3"/>
      <c r="BQT53" s="3"/>
      <c r="BQU53" s="3"/>
      <c r="BQV53" s="3"/>
      <c r="BQW53" s="3"/>
      <c r="BQX53" s="3"/>
      <c r="BQY53" s="3"/>
      <c r="BQZ53" s="3"/>
      <c r="BRA53" s="3"/>
      <c r="BRB53" s="3"/>
      <c r="BRC53" s="3"/>
      <c r="BRD53" s="3"/>
      <c r="BRE53" s="3"/>
      <c r="BRF53" s="3"/>
      <c r="BRG53" s="3"/>
      <c r="BRH53" s="3"/>
      <c r="BRI53" s="3"/>
      <c r="BRJ53" s="3"/>
      <c r="BRK53" s="3"/>
      <c r="BRL53" s="3"/>
      <c r="BRM53" s="3"/>
      <c r="BRN53" s="3"/>
      <c r="BRO53" s="3"/>
      <c r="BRP53" s="3"/>
      <c r="BRQ53" s="3"/>
      <c r="BRR53" s="3"/>
      <c r="BRS53" s="3"/>
      <c r="BRT53" s="3"/>
      <c r="BRU53" s="3"/>
      <c r="BRV53" s="3"/>
      <c r="BRW53" s="3"/>
      <c r="BRX53" s="3"/>
      <c r="BRY53" s="3"/>
      <c r="BRZ53" s="3"/>
      <c r="BSA53" s="3"/>
      <c r="BSB53" s="3"/>
      <c r="BSC53" s="3"/>
      <c r="BSD53" s="3"/>
      <c r="BSE53" s="3"/>
      <c r="BSF53" s="3"/>
      <c r="BSG53" s="3"/>
      <c r="BSH53" s="3"/>
      <c r="BSI53" s="3"/>
      <c r="BSJ53" s="3"/>
      <c r="BSK53" s="3"/>
      <c r="BSL53" s="3"/>
      <c r="BSM53" s="3"/>
      <c r="BSN53" s="3"/>
      <c r="BSO53" s="3"/>
      <c r="BSP53" s="3"/>
      <c r="BSQ53" s="3"/>
      <c r="BSR53" s="3"/>
      <c r="BSS53" s="3"/>
      <c r="BST53" s="3"/>
      <c r="BSU53" s="3"/>
      <c r="BSV53" s="3"/>
      <c r="BSW53" s="3"/>
      <c r="BSX53" s="3"/>
      <c r="BSY53" s="3"/>
      <c r="BSZ53" s="3"/>
      <c r="BTA53" s="3"/>
      <c r="BTB53" s="3"/>
      <c r="BTC53" s="3"/>
      <c r="BTD53" s="3"/>
      <c r="BTE53" s="3"/>
      <c r="BTF53" s="3"/>
      <c r="BTG53" s="3"/>
      <c r="BTH53" s="3"/>
      <c r="BTI53" s="3"/>
      <c r="BTJ53" s="3"/>
      <c r="BTK53" s="3"/>
      <c r="BTL53" s="3"/>
      <c r="BTM53" s="3"/>
      <c r="BTN53" s="3"/>
      <c r="BTO53" s="3"/>
      <c r="BTP53" s="3"/>
      <c r="BTQ53" s="3"/>
      <c r="BTR53" s="3"/>
      <c r="BTS53" s="3"/>
      <c r="BTT53" s="3"/>
      <c r="BTU53" s="3"/>
      <c r="BTV53" s="3"/>
      <c r="BTW53" s="3"/>
      <c r="BTX53" s="3"/>
      <c r="BTY53" s="3"/>
      <c r="BTZ53" s="3"/>
      <c r="BUA53" s="3"/>
      <c r="BUB53" s="3"/>
      <c r="BUC53" s="3"/>
      <c r="BUD53" s="3"/>
      <c r="BUE53" s="3"/>
      <c r="BUF53" s="3"/>
      <c r="BUG53" s="3"/>
      <c r="BUH53" s="3"/>
      <c r="BUI53" s="3"/>
      <c r="BUJ53" s="3"/>
      <c r="BUK53" s="3"/>
      <c r="BUL53" s="3"/>
      <c r="BUM53" s="3"/>
      <c r="BUN53" s="3"/>
      <c r="BUO53" s="3"/>
      <c r="BUP53" s="3"/>
      <c r="BUQ53" s="3"/>
      <c r="BUR53" s="3"/>
      <c r="BUS53" s="3"/>
      <c r="BUT53" s="3"/>
      <c r="BUU53" s="3"/>
      <c r="BUV53" s="3"/>
      <c r="BUW53" s="3"/>
      <c r="BUX53" s="3"/>
      <c r="BUY53" s="3"/>
      <c r="BUZ53" s="3"/>
      <c r="BVA53" s="3"/>
      <c r="BVB53" s="3"/>
      <c r="BVC53" s="3"/>
      <c r="BVD53" s="3"/>
      <c r="BVE53" s="3"/>
      <c r="BVF53" s="3"/>
      <c r="BVG53" s="3"/>
      <c r="BVH53" s="3"/>
      <c r="BVI53" s="3"/>
      <c r="BVJ53" s="3"/>
      <c r="BVK53" s="3"/>
      <c r="BVL53" s="3"/>
      <c r="BVM53" s="3"/>
      <c r="BVN53" s="3"/>
      <c r="BVO53" s="3"/>
      <c r="BVP53" s="3"/>
      <c r="BVQ53" s="3"/>
      <c r="BVR53" s="3"/>
      <c r="BVS53" s="3"/>
      <c r="BVT53" s="3"/>
      <c r="BVU53" s="3"/>
      <c r="BVV53" s="3"/>
      <c r="BVW53" s="3"/>
      <c r="BVX53" s="3"/>
      <c r="BVY53" s="3"/>
      <c r="BVZ53" s="3"/>
      <c r="BWA53" s="3"/>
      <c r="BWB53" s="3"/>
      <c r="BWC53" s="3"/>
      <c r="BWD53" s="3"/>
      <c r="BWE53" s="3"/>
      <c r="BWF53" s="3"/>
      <c r="BWG53" s="3"/>
      <c r="BWH53" s="3"/>
      <c r="BWI53" s="3"/>
      <c r="BWJ53" s="3"/>
      <c r="BWK53" s="3"/>
      <c r="BWL53" s="3"/>
      <c r="BWM53" s="3"/>
      <c r="BWN53" s="3"/>
      <c r="BWO53" s="3"/>
      <c r="BWP53" s="3"/>
      <c r="BWQ53" s="3"/>
      <c r="BWR53" s="3"/>
      <c r="BWS53" s="3"/>
      <c r="BWT53" s="3"/>
      <c r="BWU53" s="3"/>
      <c r="BWV53" s="3"/>
      <c r="BWW53" s="3"/>
      <c r="BWX53" s="3"/>
      <c r="BWY53" s="3"/>
      <c r="BWZ53" s="3"/>
      <c r="BXA53" s="3"/>
      <c r="BXB53" s="3"/>
      <c r="BXC53" s="3"/>
      <c r="BXD53" s="3"/>
      <c r="BXE53" s="3"/>
      <c r="BXF53" s="3"/>
      <c r="BXG53" s="3"/>
      <c r="BXH53" s="3"/>
      <c r="BXI53" s="3"/>
      <c r="BXJ53" s="3"/>
      <c r="BXK53" s="3"/>
      <c r="BXL53" s="3"/>
      <c r="BXM53" s="3"/>
      <c r="BXN53" s="3"/>
      <c r="BXO53" s="3"/>
      <c r="BXP53" s="3"/>
      <c r="BXQ53" s="3"/>
      <c r="BXR53" s="3"/>
      <c r="BXS53" s="3"/>
      <c r="BXT53" s="3"/>
      <c r="BXU53" s="3"/>
      <c r="BXV53" s="3"/>
      <c r="BXW53" s="3"/>
      <c r="BXX53" s="3"/>
      <c r="BXY53" s="3"/>
      <c r="BXZ53" s="3"/>
      <c r="BYA53" s="3"/>
      <c r="BYB53" s="3"/>
      <c r="BYC53" s="3"/>
      <c r="BYD53" s="3"/>
      <c r="BYE53" s="3"/>
      <c r="BYF53" s="3"/>
      <c r="BYG53" s="3"/>
      <c r="BYH53" s="3"/>
      <c r="BYI53" s="3"/>
      <c r="BYJ53" s="3"/>
      <c r="BYK53" s="3"/>
      <c r="BYL53" s="3"/>
      <c r="BYM53" s="3"/>
      <c r="BYN53" s="3"/>
      <c r="BYO53" s="3"/>
      <c r="BYP53" s="3"/>
      <c r="BYQ53" s="3"/>
      <c r="BYR53" s="3"/>
      <c r="BYS53" s="3"/>
      <c r="BYT53" s="3"/>
      <c r="BYU53" s="3"/>
      <c r="BYV53" s="3"/>
      <c r="BYW53" s="3"/>
      <c r="BYX53" s="3"/>
      <c r="BYY53" s="3"/>
      <c r="BYZ53" s="3"/>
      <c r="BZA53" s="3"/>
      <c r="BZB53" s="3"/>
      <c r="BZC53" s="3"/>
      <c r="BZD53" s="3"/>
      <c r="BZE53" s="3"/>
      <c r="BZF53" s="3"/>
      <c r="BZG53" s="3"/>
      <c r="BZH53" s="3"/>
      <c r="BZI53" s="3"/>
      <c r="BZJ53" s="3"/>
      <c r="BZK53" s="3"/>
      <c r="BZL53" s="3"/>
      <c r="BZM53" s="3"/>
      <c r="BZN53" s="3"/>
      <c r="BZO53" s="3"/>
      <c r="BZP53" s="3"/>
      <c r="BZQ53" s="3"/>
      <c r="BZR53" s="3"/>
      <c r="BZS53" s="3"/>
      <c r="BZT53" s="3"/>
      <c r="BZU53" s="3"/>
      <c r="BZV53" s="3"/>
      <c r="BZW53" s="3"/>
      <c r="BZX53" s="3"/>
      <c r="BZY53" s="3"/>
      <c r="BZZ53" s="3"/>
      <c r="CAA53" s="3"/>
      <c r="CAB53" s="3"/>
      <c r="CAC53" s="3"/>
      <c r="CAD53" s="3"/>
      <c r="CAE53" s="3"/>
      <c r="CAF53" s="3"/>
      <c r="CAG53" s="3"/>
      <c r="CAH53" s="3"/>
      <c r="CAI53" s="3"/>
      <c r="CAJ53" s="3"/>
      <c r="CAK53" s="3"/>
      <c r="CAL53" s="3"/>
      <c r="CAM53" s="3"/>
      <c r="CAN53" s="3"/>
      <c r="CAO53" s="3"/>
      <c r="CAP53" s="3"/>
      <c r="CAQ53" s="3"/>
      <c r="CAR53" s="3"/>
      <c r="CAS53" s="3"/>
      <c r="CAT53" s="3"/>
      <c r="CAU53" s="3"/>
      <c r="CAV53" s="3"/>
      <c r="CAW53" s="3"/>
      <c r="CAX53" s="3"/>
      <c r="CAY53" s="3"/>
      <c r="CAZ53" s="3"/>
      <c r="CBA53" s="3"/>
      <c r="CBB53" s="3"/>
      <c r="CBC53" s="3"/>
      <c r="CBD53" s="3"/>
      <c r="CBE53" s="3"/>
      <c r="CBF53" s="3"/>
      <c r="CBG53" s="3"/>
      <c r="CBH53" s="3"/>
      <c r="CBI53" s="3"/>
      <c r="CBJ53" s="3"/>
      <c r="CBK53" s="3"/>
      <c r="CBL53" s="3"/>
      <c r="CBM53" s="3"/>
      <c r="CBN53" s="3"/>
      <c r="CBO53" s="3"/>
      <c r="CBP53" s="3"/>
      <c r="CBQ53" s="3"/>
      <c r="CBR53" s="3"/>
      <c r="CBS53" s="3"/>
      <c r="CBT53" s="3"/>
      <c r="CBU53" s="3"/>
      <c r="CBV53" s="3"/>
      <c r="CBW53" s="3"/>
      <c r="CBX53" s="3"/>
      <c r="CBY53" s="3"/>
      <c r="CBZ53" s="3"/>
      <c r="CCA53" s="3"/>
      <c r="CCB53" s="3"/>
      <c r="CCC53" s="3"/>
      <c r="CCD53" s="3"/>
      <c r="CCE53" s="3"/>
      <c r="CCF53" s="3"/>
      <c r="CCG53" s="3"/>
      <c r="CCH53" s="3"/>
      <c r="CCI53" s="3"/>
      <c r="CCJ53" s="3"/>
      <c r="CCK53" s="3"/>
      <c r="CCL53" s="3"/>
      <c r="CCM53" s="3"/>
      <c r="CCN53" s="3"/>
      <c r="CCO53" s="3"/>
      <c r="CCP53" s="3"/>
      <c r="CCQ53" s="3"/>
      <c r="CCR53" s="3"/>
      <c r="CCS53" s="3"/>
      <c r="CCT53" s="3"/>
      <c r="CCU53" s="3"/>
      <c r="CCV53" s="3"/>
      <c r="CCW53" s="3"/>
      <c r="CCX53" s="3"/>
      <c r="CCY53" s="3"/>
      <c r="CCZ53" s="3"/>
      <c r="CDA53" s="3"/>
      <c r="CDB53" s="3"/>
      <c r="CDC53" s="3"/>
      <c r="CDD53" s="3"/>
      <c r="CDE53" s="3"/>
      <c r="CDF53" s="3"/>
      <c r="CDG53" s="3"/>
      <c r="CDH53" s="3"/>
      <c r="CDI53" s="3"/>
      <c r="CDJ53" s="3"/>
      <c r="CDK53" s="3"/>
      <c r="CDL53" s="3"/>
      <c r="CDM53" s="3"/>
      <c r="CDN53" s="3"/>
      <c r="CDO53" s="3"/>
      <c r="CDP53" s="3"/>
      <c r="CDQ53" s="3"/>
      <c r="CDR53" s="3"/>
      <c r="CDS53" s="3"/>
      <c r="CDT53" s="3"/>
      <c r="CDU53" s="3"/>
      <c r="CDV53" s="3"/>
      <c r="CDW53" s="3"/>
      <c r="CDX53" s="3"/>
      <c r="CDY53" s="3"/>
      <c r="CDZ53" s="3"/>
      <c r="CEA53" s="3"/>
      <c r="CEB53" s="3"/>
      <c r="CEC53" s="3"/>
      <c r="CED53" s="3"/>
      <c r="CEE53" s="3"/>
      <c r="CEF53" s="3"/>
      <c r="CEG53" s="3"/>
      <c r="CEH53" s="3"/>
      <c r="CEI53" s="3"/>
      <c r="CEJ53" s="3"/>
      <c r="CEK53" s="3"/>
      <c r="CEL53" s="3"/>
      <c r="CEM53" s="3"/>
      <c r="CEN53" s="3"/>
      <c r="CEO53" s="3"/>
      <c r="CEP53" s="3"/>
      <c r="CEQ53" s="3"/>
      <c r="CER53" s="3"/>
      <c r="CES53" s="3"/>
      <c r="CET53" s="3"/>
      <c r="CEU53" s="3"/>
      <c r="CEV53" s="3"/>
      <c r="CEW53" s="3"/>
      <c r="CEX53" s="3"/>
      <c r="CEY53" s="3"/>
      <c r="CEZ53" s="3"/>
      <c r="CFA53" s="3"/>
      <c r="CFB53" s="3"/>
      <c r="CFC53" s="3"/>
      <c r="CFD53" s="3"/>
      <c r="CFE53" s="3"/>
      <c r="CFF53" s="3"/>
      <c r="CFG53" s="3"/>
      <c r="CFH53" s="3"/>
      <c r="CFI53" s="3"/>
      <c r="CFJ53" s="3"/>
      <c r="CFK53" s="3"/>
      <c r="CFL53" s="3"/>
      <c r="CFM53" s="3"/>
      <c r="CFN53" s="3"/>
      <c r="CFO53" s="3"/>
      <c r="CFP53" s="3"/>
      <c r="CFQ53" s="3"/>
      <c r="CFR53" s="3"/>
      <c r="CFS53" s="3"/>
      <c r="CFT53" s="3"/>
      <c r="CFU53" s="3"/>
      <c r="CFV53" s="3"/>
      <c r="CFW53" s="3"/>
      <c r="CFX53" s="3"/>
      <c r="CFY53" s="3"/>
      <c r="CFZ53" s="3"/>
      <c r="CGA53" s="3"/>
      <c r="CGB53" s="3"/>
      <c r="CGC53" s="3"/>
      <c r="CGD53" s="3"/>
      <c r="CGE53" s="3"/>
      <c r="CGF53" s="3"/>
      <c r="CGG53" s="3"/>
      <c r="CGH53" s="3"/>
      <c r="CGI53" s="3"/>
      <c r="CGJ53" s="3"/>
      <c r="CGK53" s="3"/>
      <c r="CGL53" s="3"/>
      <c r="CGM53" s="3"/>
      <c r="CGN53" s="3"/>
      <c r="CGO53" s="3"/>
      <c r="CGP53" s="3"/>
      <c r="CGQ53" s="3"/>
      <c r="CGR53" s="3"/>
      <c r="CGS53" s="3"/>
      <c r="CGT53" s="3"/>
      <c r="CGU53" s="3"/>
      <c r="CGV53" s="3"/>
      <c r="CGW53" s="3"/>
      <c r="CGX53" s="3"/>
      <c r="CGY53" s="3"/>
      <c r="CGZ53" s="3"/>
      <c r="CHA53" s="3"/>
      <c r="CHB53" s="3"/>
      <c r="CHC53" s="3"/>
      <c r="CHD53" s="3"/>
      <c r="CHE53" s="3"/>
      <c r="CHF53" s="3"/>
      <c r="CHG53" s="3"/>
      <c r="CHH53" s="3"/>
      <c r="CHI53" s="3"/>
      <c r="CHJ53" s="3"/>
      <c r="CHK53" s="3"/>
      <c r="CHL53" s="3"/>
      <c r="CHM53" s="3"/>
      <c r="CHN53" s="3"/>
      <c r="CHO53" s="3"/>
      <c r="CHP53" s="3"/>
      <c r="CHQ53" s="3"/>
      <c r="CHR53" s="3"/>
      <c r="CHS53" s="3"/>
      <c r="CHT53" s="3"/>
      <c r="CHU53" s="3"/>
      <c r="CHV53" s="3"/>
      <c r="CHW53" s="3"/>
      <c r="CHX53" s="3"/>
      <c r="CHY53" s="3"/>
      <c r="CHZ53" s="3"/>
      <c r="CIA53" s="3"/>
      <c r="CIB53" s="3"/>
      <c r="CIC53" s="3"/>
      <c r="CID53" s="3"/>
      <c r="CIE53" s="3"/>
      <c r="CIF53" s="3"/>
      <c r="CIG53" s="3"/>
      <c r="CIH53" s="3"/>
      <c r="CII53" s="3"/>
      <c r="CIJ53" s="3"/>
      <c r="CIK53" s="3"/>
      <c r="CIL53" s="3"/>
      <c r="CIM53" s="3"/>
      <c r="CIN53" s="3"/>
      <c r="CIO53" s="3"/>
      <c r="CIP53" s="3"/>
      <c r="CIQ53" s="3"/>
      <c r="CIR53" s="3"/>
      <c r="CIS53" s="3"/>
      <c r="CIT53" s="3"/>
      <c r="CIU53" s="3"/>
      <c r="CIV53" s="3"/>
      <c r="CIW53" s="3"/>
      <c r="CIX53" s="3"/>
      <c r="CIY53" s="3"/>
      <c r="CIZ53" s="3"/>
      <c r="CJA53" s="3"/>
      <c r="CJB53" s="3"/>
      <c r="CJC53" s="3"/>
      <c r="CJD53" s="3"/>
      <c r="CJE53" s="3"/>
      <c r="CJF53" s="3"/>
      <c r="CJG53" s="3"/>
      <c r="CJH53" s="3"/>
      <c r="CJI53" s="3"/>
      <c r="CJJ53" s="3"/>
      <c r="CJK53" s="3"/>
      <c r="CJL53" s="3"/>
      <c r="CJM53" s="3"/>
      <c r="CJN53" s="3"/>
      <c r="CJO53" s="3"/>
      <c r="CJP53" s="3"/>
      <c r="CJQ53" s="3"/>
      <c r="CJR53" s="3"/>
      <c r="CJS53" s="3"/>
      <c r="CJT53" s="3"/>
      <c r="CJU53" s="3"/>
      <c r="CJV53" s="3"/>
      <c r="CJW53" s="3"/>
      <c r="CJX53" s="3"/>
      <c r="CJY53" s="3"/>
      <c r="CJZ53" s="3"/>
      <c r="CKA53" s="3"/>
      <c r="CKB53" s="3"/>
      <c r="CKC53" s="3"/>
      <c r="CKD53" s="3"/>
      <c r="CKE53" s="3"/>
      <c r="CKF53" s="3"/>
      <c r="CKG53" s="3"/>
      <c r="CKH53" s="3"/>
      <c r="CKI53" s="3"/>
      <c r="CKJ53" s="3"/>
      <c r="CKK53" s="3"/>
      <c r="CKL53" s="3"/>
      <c r="CKM53" s="3"/>
      <c r="CKN53" s="3"/>
      <c r="CKO53" s="3"/>
      <c r="CKP53" s="3"/>
      <c r="CKQ53" s="3"/>
      <c r="CKR53" s="3"/>
      <c r="CKS53" s="3"/>
      <c r="CKT53" s="3"/>
      <c r="CKU53" s="3"/>
      <c r="CKV53" s="3"/>
      <c r="CKW53" s="3"/>
      <c r="CKX53" s="3"/>
      <c r="CKY53" s="3"/>
      <c r="CKZ53" s="3"/>
      <c r="CLA53" s="3"/>
      <c r="CLB53" s="3"/>
      <c r="CLC53" s="3"/>
      <c r="CLD53" s="3"/>
      <c r="CLE53" s="3"/>
      <c r="CLF53" s="3"/>
      <c r="CLG53" s="3"/>
      <c r="CLH53" s="3"/>
      <c r="CLI53" s="3"/>
      <c r="CLJ53" s="3"/>
      <c r="CLK53" s="3"/>
      <c r="CLL53" s="3"/>
      <c r="CLM53" s="3"/>
      <c r="CLN53" s="3"/>
      <c r="CLO53" s="3"/>
      <c r="CLP53" s="3"/>
      <c r="CLQ53" s="3"/>
      <c r="CLR53" s="3"/>
      <c r="CLS53" s="3"/>
      <c r="CLT53" s="3"/>
      <c r="CLU53" s="3"/>
      <c r="CLV53" s="3"/>
      <c r="CLW53" s="3"/>
      <c r="CLX53" s="3"/>
      <c r="CLY53" s="3"/>
      <c r="CLZ53" s="3"/>
      <c r="CMA53" s="3"/>
      <c r="CMB53" s="3"/>
      <c r="CMC53" s="3"/>
      <c r="CMD53" s="3"/>
      <c r="CME53" s="3"/>
      <c r="CMF53" s="3"/>
      <c r="CMG53" s="3"/>
      <c r="CMH53" s="3"/>
      <c r="CMI53" s="3"/>
      <c r="CMJ53" s="3"/>
      <c r="CMK53" s="3"/>
      <c r="CML53" s="3"/>
      <c r="CMM53" s="3"/>
      <c r="CMN53" s="3"/>
      <c r="CMO53" s="3"/>
      <c r="CMP53" s="3"/>
      <c r="CMQ53" s="3"/>
      <c r="CMR53" s="3"/>
      <c r="CMS53" s="3"/>
      <c r="CMT53" s="3"/>
      <c r="CMU53" s="3"/>
      <c r="CMV53" s="3"/>
      <c r="CMW53" s="3"/>
      <c r="CMX53" s="3"/>
      <c r="CMY53" s="3"/>
      <c r="CMZ53" s="3"/>
      <c r="CNA53" s="3"/>
      <c r="CNB53" s="3"/>
      <c r="CNC53" s="3"/>
      <c r="CND53" s="3"/>
      <c r="CNE53" s="3"/>
      <c r="CNF53" s="3"/>
      <c r="CNG53" s="3"/>
      <c r="CNH53" s="3"/>
      <c r="CNI53" s="3"/>
      <c r="CNJ53" s="3"/>
      <c r="CNK53" s="3"/>
      <c r="CNL53" s="3"/>
      <c r="CNM53" s="3"/>
      <c r="CNN53" s="3"/>
      <c r="CNO53" s="3"/>
      <c r="CNP53" s="3"/>
      <c r="CNQ53" s="3"/>
      <c r="CNR53" s="3"/>
      <c r="CNS53" s="3"/>
      <c r="CNT53" s="3"/>
      <c r="CNU53" s="3"/>
      <c r="CNV53" s="3"/>
      <c r="CNW53" s="3"/>
      <c r="CNX53" s="3"/>
      <c r="CNY53" s="3"/>
      <c r="CNZ53" s="3"/>
      <c r="COA53" s="3"/>
      <c r="COB53" s="3"/>
      <c r="COC53" s="3"/>
      <c r="COD53" s="3"/>
      <c r="COE53" s="3"/>
      <c r="COF53" s="3"/>
      <c r="COG53" s="3"/>
      <c r="COH53" s="3"/>
      <c r="COI53" s="3"/>
      <c r="COJ53" s="3"/>
      <c r="COK53" s="3"/>
      <c r="COL53" s="3"/>
      <c r="COM53" s="3"/>
      <c r="CON53" s="3"/>
      <c r="COO53" s="3"/>
      <c r="COP53" s="3"/>
      <c r="COQ53" s="3"/>
      <c r="COR53" s="3"/>
      <c r="COS53" s="3"/>
      <c r="COT53" s="3"/>
      <c r="COU53" s="3"/>
      <c r="COV53" s="3"/>
      <c r="COW53" s="3"/>
      <c r="COX53" s="3"/>
      <c r="COY53" s="3"/>
      <c r="COZ53" s="3"/>
      <c r="CPA53" s="3"/>
      <c r="CPB53" s="3"/>
      <c r="CPC53" s="3"/>
      <c r="CPD53" s="3"/>
      <c r="CPE53" s="3"/>
      <c r="CPF53" s="3"/>
      <c r="CPG53" s="3"/>
      <c r="CPH53" s="3"/>
      <c r="CPI53" s="3"/>
      <c r="CPJ53" s="3"/>
      <c r="CPK53" s="3"/>
      <c r="CPL53" s="3"/>
      <c r="CPM53" s="3"/>
      <c r="CPN53" s="3"/>
      <c r="CPO53" s="3"/>
      <c r="CPP53" s="3"/>
      <c r="CPQ53" s="3"/>
      <c r="CPR53" s="3"/>
      <c r="CPS53" s="3"/>
      <c r="CPT53" s="3"/>
      <c r="CPU53" s="3"/>
      <c r="CPV53" s="3"/>
      <c r="CPW53" s="3"/>
      <c r="CPX53" s="3"/>
      <c r="CPY53" s="3"/>
      <c r="CPZ53" s="3"/>
      <c r="CQA53" s="3"/>
      <c r="CQB53" s="3"/>
      <c r="CQC53" s="3"/>
      <c r="CQD53" s="3"/>
      <c r="CQE53" s="3"/>
      <c r="CQF53" s="3"/>
      <c r="CQG53" s="3"/>
      <c r="CQH53" s="3"/>
      <c r="CQI53" s="3"/>
      <c r="CQJ53" s="3"/>
      <c r="CQK53" s="3"/>
      <c r="CQL53" s="3"/>
      <c r="CQM53" s="3"/>
      <c r="CQN53" s="3"/>
      <c r="CQO53" s="3"/>
      <c r="CQP53" s="3"/>
      <c r="CQQ53" s="3"/>
      <c r="CQR53" s="3"/>
      <c r="CQS53" s="3"/>
      <c r="CQT53" s="3"/>
      <c r="CQU53" s="3"/>
      <c r="CQV53" s="3"/>
      <c r="CQW53" s="3"/>
      <c r="CQX53" s="3"/>
      <c r="CQY53" s="3"/>
      <c r="CQZ53" s="3"/>
      <c r="CRA53" s="3"/>
      <c r="CRB53" s="3"/>
      <c r="CRC53" s="3"/>
      <c r="CRD53" s="3"/>
      <c r="CRE53" s="3"/>
      <c r="CRF53" s="3"/>
      <c r="CRG53" s="3"/>
      <c r="CRH53" s="3"/>
      <c r="CRI53" s="3"/>
      <c r="CRJ53" s="3"/>
      <c r="CRK53" s="3"/>
      <c r="CRL53" s="3"/>
      <c r="CRM53" s="3"/>
      <c r="CRN53" s="3"/>
      <c r="CRO53" s="3"/>
      <c r="CRP53" s="3"/>
      <c r="CRQ53" s="3"/>
      <c r="CRR53" s="3"/>
      <c r="CRS53" s="3"/>
      <c r="CRT53" s="3"/>
      <c r="CRU53" s="3"/>
      <c r="CRV53" s="3"/>
      <c r="CRW53" s="3"/>
      <c r="CRX53" s="3"/>
      <c r="CRY53" s="3"/>
      <c r="CRZ53" s="3"/>
      <c r="CSA53" s="3"/>
      <c r="CSB53" s="3"/>
      <c r="CSC53" s="3"/>
      <c r="CSD53" s="3"/>
      <c r="CSE53" s="3"/>
      <c r="CSF53" s="3"/>
      <c r="CSG53" s="3"/>
      <c r="CSH53" s="3"/>
      <c r="CSI53" s="3"/>
      <c r="CSJ53" s="3"/>
      <c r="CSK53" s="3"/>
      <c r="CSL53" s="3"/>
      <c r="CSM53" s="3"/>
      <c r="CSN53" s="3"/>
      <c r="CSO53" s="3"/>
      <c r="CSP53" s="3"/>
      <c r="CSQ53" s="3"/>
      <c r="CSR53" s="3"/>
      <c r="CSS53" s="3"/>
      <c r="CST53" s="3"/>
      <c r="CSU53" s="3"/>
      <c r="CSV53" s="3"/>
      <c r="CSW53" s="3"/>
      <c r="CSX53" s="3"/>
      <c r="CSY53" s="3"/>
      <c r="CSZ53" s="3"/>
      <c r="CTA53" s="3"/>
      <c r="CTB53" s="3"/>
      <c r="CTC53" s="3"/>
      <c r="CTD53" s="3"/>
      <c r="CTE53" s="3"/>
      <c r="CTF53" s="3"/>
      <c r="CTG53" s="3"/>
      <c r="CTH53" s="3"/>
      <c r="CTI53" s="3"/>
      <c r="CTJ53" s="3"/>
      <c r="CTK53" s="3"/>
      <c r="CTL53" s="3"/>
      <c r="CTM53" s="3"/>
      <c r="CTN53" s="3"/>
      <c r="CTO53" s="3"/>
      <c r="CTP53" s="3"/>
      <c r="CTQ53" s="3"/>
      <c r="CTR53" s="3"/>
      <c r="CTS53" s="3"/>
      <c r="CTT53" s="3"/>
      <c r="CTU53" s="3"/>
      <c r="CTV53" s="3"/>
      <c r="CTW53" s="3"/>
      <c r="CTX53" s="3"/>
      <c r="CTY53" s="3"/>
      <c r="CTZ53" s="3"/>
      <c r="CUA53" s="3"/>
      <c r="CUB53" s="3"/>
      <c r="CUC53" s="3"/>
      <c r="CUD53" s="3"/>
      <c r="CUE53" s="3"/>
      <c r="CUF53" s="3"/>
      <c r="CUG53" s="3"/>
      <c r="CUH53" s="3"/>
      <c r="CUI53" s="3"/>
      <c r="CUJ53" s="3"/>
      <c r="CUK53" s="3"/>
      <c r="CUL53" s="3"/>
      <c r="CUM53" s="3"/>
      <c r="CUN53" s="3"/>
      <c r="CUO53" s="3"/>
      <c r="CUP53" s="3"/>
      <c r="CUQ53" s="3"/>
      <c r="CUR53" s="3"/>
      <c r="CUS53" s="3"/>
      <c r="CUT53" s="3"/>
      <c r="CUU53" s="3"/>
      <c r="CUV53" s="3"/>
      <c r="CUW53" s="3"/>
      <c r="CUX53" s="3"/>
      <c r="CUY53" s="3"/>
      <c r="CUZ53" s="3"/>
      <c r="CVA53" s="3"/>
      <c r="CVB53" s="3"/>
      <c r="CVC53" s="3"/>
      <c r="CVD53" s="3"/>
      <c r="CVE53" s="3"/>
      <c r="CVF53" s="3"/>
      <c r="CVG53" s="3"/>
      <c r="CVH53" s="3"/>
      <c r="CVI53" s="3"/>
      <c r="CVJ53" s="3"/>
      <c r="CVK53" s="3"/>
      <c r="CVL53" s="3"/>
      <c r="CVM53" s="3"/>
      <c r="CVN53" s="3"/>
      <c r="CVO53" s="3"/>
      <c r="CVP53" s="3"/>
      <c r="CVQ53" s="3"/>
      <c r="CVR53" s="3"/>
      <c r="CVS53" s="3"/>
      <c r="CVT53" s="3"/>
      <c r="CVU53" s="3"/>
      <c r="CVV53" s="3"/>
      <c r="CVW53" s="3"/>
      <c r="CVX53" s="3"/>
      <c r="CVY53" s="3"/>
      <c r="CVZ53" s="3"/>
      <c r="CWA53" s="3"/>
      <c r="CWB53" s="3"/>
      <c r="CWC53" s="3"/>
      <c r="CWD53" s="3"/>
      <c r="CWE53" s="3"/>
      <c r="CWF53" s="3"/>
      <c r="CWG53" s="3"/>
      <c r="CWH53" s="3"/>
      <c r="CWI53" s="3"/>
      <c r="CWJ53" s="3"/>
      <c r="CWK53" s="3"/>
      <c r="CWL53" s="3"/>
      <c r="CWM53" s="3"/>
      <c r="CWN53" s="3"/>
      <c r="CWO53" s="3"/>
      <c r="CWP53" s="3"/>
      <c r="CWQ53" s="3"/>
      <c r="CWR53" s="3"/>
      <c r="CWS53" s="3"/>
      <c r="CWT53" s="3"/>
      <c r="CWU53" s="3"/>
      <c r="CWV53" s="3"/>
      <c r="CWW53" s="3"/>
      <c r="CWX53" s="3"/>
      <c r="CWY53" s="3"/>
      <c r="CWZ53" s="3"/>
      <c r="CXA53" s="3"/>
      <c r="CXB53" s="3"/>
      <c r="CXC53" s="3"/>
      <c r="CXD53" s="3"/>
      <c r="CXE53" s="3"/>
      <c r="CXF53" s="3"/>
      <c r="CXG53" s="3"/>
      <c r="CXH53" s="3"/>
      <c r="CXI53" s="3"/>
      <c r="CXJ53" s="3"/>
      <c r="CXK53" s="3"/>
      <c r="CXL53" s="3"/>
      <c r="CXM53" s="3"/>
      <c r="CXN53" s="3"/>
      <c r="CXO53" s="3"/>
      <c r="CXP53" s="3"/>
      <c r="CXQ53" s="3"/>
      <c r="CXR53" s="3"/>
      <c r="CXS53" s="3"/>
      <c r="CXT53" s="3"/>
      <c r="CXU53" s="3"/>
      <c r="CXV53" s="3"/>
      <c r="CXW53" s="3"/>
      <c r="CXX53" s="3"/>
      <c r="CXY53" s="3"/>
      <c r="CXZ53" s="3"/>
      <c r="CYA53" s="3"/>
      <c r="CYB53" s="3"/>
      <c r="CYC53" s="3"/>
      <c r="CYD53" s="3"/>
      <c r="CYE53" s="3"/>
      <c r="CYF53" s="3"/>
      <c r="CYG53" s="3"/>
      <c r="CYH53" s="3"/>
      <c r="CYI53" s="3"/>
      <c r="CYJ53" s="3"/>
      <c r="CYK53" s="3"/>
      <c r="CYL53" s="3"/>
      <c r="CYM53" s="3"/>
      <c r="CYN53" s="3"/>
      <c r="CYO53" s="3"/>
      <c r="CYP53" s="3"/>
      <c r="CYQ53" s="3"/>
      <c r="CYR53" s="3"/>
      <c r="CYS53" s="3"/>
      <c r="CYT53" s="3"/>
      <c r="CYU53" s="3"/>
      <c r="CYV53" s="3"/>
      <c r="CYW53" s="3"/>
      <c r="CYX53" s="3"/>
      <c r="CYY53" s="3"/>
      <c r="CYZ53" s="3"/>
      <c r="CZA53" s="3"/>
      <c r="CZB53" s="3"/>
      <c r="CZC53" s="3"/>
      <c r="CZD53" s="3"/>
      <c r="CZE53" s="3"/>
      <c r="CZF53" s="3"/>
      <c r="CZG53" s="3"/>
      <c r="CZH53" s="3"/>
      <c r="CZI53" s="3"/>
      <c r="CZJ53" s="3"/>
      <c r="CZK53" s="3"/>
      <c r="CZL53" s="3"/>
      <c r="CZM53" s="3"/>
      <c r="CZN53" s="3"/>
      <c r="CZO53" s="3"/>
      <c r="CZP53" s="3"/>
      <c r="CZQ53" s="3"/>
      <c r="CZR53" s="3"/>
      <c r="CZS53" s="3"/>
      <c r="CZT53" s="3"/>
      <c r="CZU53" s="3"/>
      <c r="CZV53" s="3"/>
      <c r="CZW53" s="3"/>
      <c r="CZX53" s="3"/>
      <c r="CZY53" s="3"/>
      <c r="CZZ53" s="3"/>
      <c r="DAA53" s="3"/>
      <c r="DAB53" s="3"/>
      <c r="DAC53" s="3"/>
      <c r="DAD53" s="3"/>
      <c r="DAE53" s="3"/>
      <c r="DAF53" s="3"/>
      <c r="DAG53" s="3"/>
      <c r="DAH53" s="3"/>
      <c r="DAI53" s="3"/>
      <c r="DAJ53" s="3"/>
      <c r="DAK53" s="3"/>
      <c r="DAL53" s="3"/>
      <c r="DAM53" s="3"/>
      <c r="DAN53" s="3"/>
      <c r="DAO53" s="3"/>
      <c r="DAP53" s="3"/>
      <c r="DAQ53" s="3"/>
      <c r="DAR53" s="3"/>
      <c r="DAS53" s="3"/>
      <c r="DAT53" s="3"/>
      <c r="DAU53" s="3"/>
      <c r="DAV53" s="3"/>
      <c r="DAW53" s="3"/>
      <c r="DAX53" s="3"/>
      <c r="DAY53" s="3"/>
      <c r="DAZ53" s="3"/>
      <c r="DBA53" s="3"/>
      <c r="DBB53" s="3"/>
      <c r="DBC53" s="3"/>
      <c r="DBD53" s="3"/>
      <c r="DBE53" s="3"/>
      <c r="DBF53" s="3"/>
      <c r="DBG53" s="3"/>
      <c r="DBH53" s="3"/>
      <c r="DBI53" s="3"/>
      <c r="DBJ53" s="3"/>
      <c r="DBK53" s="3"/>
      <c r="DBL53" s="3"/>
      <c r="DBM53" s="3"/>
      <c r="DBN53" s="3"/>
      <c r="DBO53" s="3"/>
      <c r="DBP53" s="3"/>
      <c r="DBQ53" s="3"/>
      <c r="DBR53" s="3"/>
      <c r="DBS53" s="3"/>
      <c r="DBT53" s="3"/>
      <c r="DBU53" s="3"/>
      <c r="DBV53" s="3"/>
      <c r="DBW53" s="3"/>
      <c r="DBX53" s="3"/>
      <c r="DBY53" s="3"/>
      <c r="DBZ53" s="3"/>
      <c r="DCA53" s="3"/>
      <c r="DCB53" s="3"/>
      <c r="DCC53" s="3"/>
      <c r="DCD53" s="3"/>
      <c r="DCE53" s="3"/>
      <c r="DCF53" s="3"/>
      <c r="DCG53" s="3"/>
      <c r="DCH53" s="3"/>
      <c r="DCI53" s="3"/>
      <c r="DCJ53" s="3"/>
      <c r="DCK53" s="3"/>
      <c r="DCL53" s="3"/>
      <c r="DCM53" s="3"/>
      <c r="DCN53" s="3"/>
      <c r="DCO53" s="3"/>
      <c r="DCP53" s="3"/>
      <c r="DCQ53" s="3"/>
      <c r="DCR53" s="3"/>
      <c r="DCS53" s="3"/>
      <c r="DCT53" s="3"/>
      <c r="DCU53" s="3"/>
      <c r="DCV53" s="3"/>
      <c r="DCW53" s="3"/>
      <c r="DCX53" s="3"/>
      <c r="DCY53" s="3"/>
      <c r="DCZ53" s="3"/>
      <c r="DDA53" s="3"/>
      <c r="DDB53" s="3"/>
      <c r="DDC53" s="3"/>
      <c r="DDD53" s="3"/>
      <c r="DDE53" s="3"/>
      <c r="DDF53" s="3"/>
      <c r="DDG53" s="3"/>
      <c r="DDH53" s="3"/>
      <c r="DDI53" s="3"/>
      <c r="DDJ53" s="3"/>
      <c r="DDK53" s="3"/>
      <c r="DDL53" s="3"/>
      <c r="DDM53" s="3"/>
      <c r="DDN53" s="3"/>
      <c r="DDO53" s="3"/>
      <c r="DDP53" s="3"/>
      <c r="DDQ53" s="3"/>
      <c r="DDR53" s="3"/>
      <c r="DDS53" s="3"/>
      <c r="DDT53" s="3"/>
      <c r="DDU53" s="3"/>
      <c r="DDV53" s="3"/>
      <c r="DDW53" s="3"/>
      <c r="DDX53" s="3"/>
      <c r="DDY53" s="3"/>
      <c r="DDZ53" s="3"/>
      <c r="DEA53" s="3"/>
      <c r="DEB53" s="3"/>
      <c r="DEC53" s="3"/>
      <c r="DED53" s="3"/>
      <c r="DEE53" s="3"/>
      <c r="DEF53" s="3"/>
      <c r="DEG53" s="3"/>
      <c r="DEH53" s="3"/>
      <c r="DEI53" s="3"/>
      <c r="DEJ53" s="3"/>
      <c r="DEK53" s="3"/>
      <c r="DEL53" s="3"/>
      <c r="DEM53" s="3"/>
      <c r="DEN53" s="3"/>
      <c r="DEO53" s="3"/>
      <c r="DEP53" s="3"/>
      <c r="DEQ53" s="3"/>
      <c r="DER53" s="3"/>
      <c r="DES53" s="3"/>
      <c r="DET53" s="3"/>
      <c r="DEU53" s="3"/>
      <c r="DEV53" s="3"/>
      <c r="DEW53" s="3"/>
      <c r="DEX53" s="3"/>
      <c r="DEY53" s="3"/>
      <c r="DEZ53" s="3"/>
      <c r="DFA53" s="3"/>
      <c r="DFB53" s="3"/>
      <c r="DFC53" s="3"/>
      <c r="DFD53" s="3"/>
      <c r="DFE53" s="3"/>
      <c r="DFF53" s="3"/>
      <c r="DFG53" s="3"/>
      <c r="DFH53" s="3"/>
      <c r="DFI53" s="3"/>
      <c r="DFJ53" s="3"/>
      <c r="DFK53" s="3"/>
      <c r="DFL53" s="3"/>
      <c r="DFM53" s="3"/>
      <c r="DFN53" s="3"/>
      <c r="DFO53" s="3"/>
      <c r="DFP53" s="3"/>
      <c r="DFQ53" s="3"/>
      <c r="DFR53" s="3"/>
      <c r="DFS53" s="3"/>
      <c r="DFT53" s="3"/>
      <c r="DFU53" s="3"/>
      <c r="DFV53" s="3"/>
      <c r="DFW53" s="3"/>
      <c r="DFX53" s="3"/>
      <c r="DFY53" s="3"/>
      <c r="DFZ53" s="3"/>
      <c r="DGA53" s="3"/>
      <c r="DGB53" s="3"/>
      <c r="DGC53" s="3"/>
      <c r="DGD53" s="3"/>
      <c r="DGE53" s="3"/>
      <c r="DGF53" s="3"/>
      <c r="DGG53" s="3"/>
      <c r="DGH53" s="3"/>
      <c r="DGI53" s="3"/>
      <c r="DGJ53" s="3"/>
      <c r="DGK53" s="3"/>
      <c r="DGL53" s="3"/>
      <c r="DGM53" s="3"/>
      <c r="DGN53" s="3"/>
      <c r="DGO53" s="3"/>
      <c r="DGP53" s="3"/>
      <c r="DGQ53" s="3"/>
      <c r="DGR53" s="3"/>
      <c r="DGS53" s="3"/>
      <c r="DGT53" s="3"/>
      <c r="DGU53" s="3"/>
      <c r="DGV53" s="3"/>
      <c r="DGW53" s="3"/>
      <c r="DGX53" s="3"/>
      <c r="DGY53" s="3"/>
      <c r="DGZ53" s="3"/>
      <c r="DHA53" s="3"/>
      <c r="DHB53" s="3"/>
      <c r="DHC53" s="3"/>
      <c r="DHD53" s="3"/>
      <c r="DHE53" s="3"/>
      <c r="DHF53" s="3"/>
      <c r="DHG53" s="3"/>
      <c r="DHH53" s="3"/>
      <c r="DHI53" s="3"/>
      <c r="DHJ53" s="3"/>
      <c r="DHK53" s="3"/>
      <c r="DHL53" s="3"/>
      <c r="DHM53" s="3"/>
      <c r="DHN53" s="3"/>
      <c r="DHO53" s="3"/>
      <c r="DHP53" s="3"/>
      <c r="DHQ53" s="3"/>
      <c r="DHR53" s="3"/>
      <c r="DHS53" s="3"/>
      <c r="DHT53" s="3"/>
      <c r="DHU53" s="3"/>
      <c r="DHV53" s="3"/>
      <c r="DHW53" s="3"/>
      <c r="DHX53" s="3"/>
      <c r="DHY53" s="3"/>
      <c r="DHZ53" s="3"/>
      <c r="DIA53" s="3"/>
      <c r="DIB53" s="3"/>
      <c r="DIC53" s="3"/>
      <c r="DID53" s="3"/>
      <c r="DIE53" s="3"/>
      <c r="DIF53" s="3"/>
      <c r="DIG53" s="3"/>
      <c r="DIH53" s="3"/>
      <c r="DII53" s="3"/>
      <c r="DIJ53" s="3"/>
      <c r="DIK53" s="3"/>
      <c r="DIL53" s="3"/>
      <c r="DIM53" s="3"/>
      <c r="DIN53" s="3"/>
      <c r="DIO53" s="3"/>
      <c r="DIP53" s="3"/>
      <c r="DIQ53" s="3"/>
      <c r="DIR53" s="3"/>
      <c r="DIS53" s="3"/>
      <c r="DIT53" s="3"/>
      <c r="DIU53" s="3"/>
      <c r="DIV53" s="3"/>
      <c r="DIW53" s="3"/>
      <c r="DIX53" s="3"/>
      <c r="DIY53" s="3"/>
      <c r="DIZ53" s="3"/>
      <c r="DJA53" s="3"/>
      <c r="DJB53" s="3"/>
      <c r="DJC53" s="3"/>
      <c r="DJD53" s="3"/>
      <c r="DJE53" s="3"/>
      <c r="DJF53" s="3"/>
      <c r="DJG53" s="3"/>
      <c r="DJH53" s="3"/>
      <c r="DJI53" s="3"/>
      <c r="DJJ53" s="3"/>
      <c r="DJK53" s="3"/>
      <c r="DJL53" s="3"/>
      <c r="DJM53" s="3"/>
      <c r="DJN53" s="3"/>
      <c r="DJO53" s="3"/>
      <c r="DJP53" s="3"/>
      <c r="DJQ53" s="3"/>
      <c r="DJR53" s="3"/>
      <c r="DJS53" s="3"/>
      <c r="DJT53" s="3"/>
      <c r="DJU53" s="3"/>
      <c r="DJV53" s="3"/>
      <c r="DJW53" s="3"/>
      <c r="DJX53" s="3"/>
      <c r="DJY53" s="3"/>
      <c r="DJZ53" s="3"/>
      <c r="DKA53" s="3"/>
      <c r="DKB53" s="3"/>
      <c r="DKC53" s="3"/>
      <c r="DKD53" s="3"/>
      <c r="DKE53" s="3"/>
      <c r="DKF53" s="3"/>
      <c r="DKG53" s="3"/>
      <c r="DKH53" s="3"/>
      <c r="DKI53" s="3"/>
      <c r="DKJ53" s="3"/>
      <c r="DKK53" s="3"/>
      <c r="DKL53" s="3"/>
      <c r="DKM53" s="3"/>
      <c r="DKN53" s="3"/>
      <c r="DKO53" s="3"/>
      <c r="DKP53" s="3"/>
      <c r="DKQ53" s="3"/>
      <c r="DKR53" s="3"/>
      <c r="DKS53" s="3"/>
      <c r="DKT53" s="3"/>
      <c r="DKU53" s="3"/>
      <c r="DKV53" s="3"/>
      <c r="DKW53" s="3"/>
      <c r="DKX53" s="3"/>
      <c r="DKY53" s="3"/>
      <c r="DKZ53" s="3"/>
      <c r="DLA53" s="3"/>
      <c r="DLB53" s="3"/>
      <c r="DLC53" s="3"/>
      <c r="DLD53" s="3"/>
      <c r="DLE53" s="3"/>
      <c r="DLF53" s="3"/>
      <c r="DLG53" s="3"/>
      <c r="DLH53" s="3"/>
      <c r="DLI53" s="3"/>
      <c r="DLJ53" s="3"/>
      <c r="DLK53" s="3"/>
      <c r="DLL53" s="3"/>
      <c r="DLM53" s="3"/>
      <c r="DLN53" s="3"/>
      <c r="DLO53" s="3"/>
      <c r="DLP53" s="3"/>
      <c r="DLQ53" s="3"/>
      <c r="DLR53" s="3"/>
      <c r="DLS53" s="3"/>
      <c r="DLT53" s="3"/>
      <c r="DLU53" s="3"/>
      <c r="DLV53" s="3"/>
      <c r="DLW53" s="3"/>
      <c r="DLX53" s="3"/>
      <c r="DLY53" s="3"/>
      <c r="DLZ53" s="3"/>
      <c r="DMA53" s="3"/>
      <c r="DMB53" s="3"/>
      <c r="DMC53" s="3"/>
      <c r="DMD53" s="3"/>
      <c r="DME53" s="3"/>
      <c r="DMF53" s="3"/>
      <c r="DMG53" s="3"/>
      <c r="DMH53" s="3"/>
      <c r="DMI53" s="3"/>
      <c r="DMJ53" s="3"/>
      <c r="DMK53" s="3"/>
      <c r="DML53" s="3"/>
      <c r="DMM53" s="3"/>
      <c r="DMN53" s="3"/>
      <c r="DMO53" s="3"/>
      <c r="DMP53" s="3"/>
      <c r="DMQ53" s="3"/>
      <c r="DMR53" s="3"/>
      <c r="DMS53" s="3"/>
      <c r="DMT53" s="3"/>
      <c r="DMU53" s="3"/>
      <c r="DMV53" s="3"/>
      <c r="DMW53" s="3"/>
      <c r="DMX53" s="3"/>
      <c r="DMY53" s="3"/>
      <c r="DMZ53" s="3"/>
      <c r="DNA53" s="3"/>
      <c r="DNB53" s="3"/>
      <c r="DNC53" s="3"/>
      <c r="DND53" s="3"/>
      <c r="DNE53" s="3"/>
      <c r="DNF53" s="3"/>
      <c r="DNG53" s="3"/>
      <c r="DNH53" s="3"/>
      <c r="DNI53" s="3"/>
      <c r="DNJ53" s="3"/>
      <c r="DNK53" s="3"/>
      <c r="DNL53" s="3"/>
      <c r="DNM53" s="3"/>
      <c r="DNN53" s="3"/>
      <c r="DNO53" s="3"/>
      <c r="DNP53" s="3"/>
      <c r="DNQ53" s="3"/>
      <c r="DNR53" s="3"/>
      <c r="DNS53" s="3"/>
      <c r="DNT53" s="3"/>
      <c r="DNU53" s="3"/>
      <c r="DNV53" s="3"/>
      <c r="DNW53" s="3"/>
      <c r="DNX53" s="3"/>
      <c r="DNY53" s="3"/>
      <c r="DNZ53" s="3"/>
      <c r="DOA53" s="3"/>
      <c r="DOB53" s="3"/>
      <c r="DOC53" s="3"/>
      <c r="DOD53" s="3"/>
      <c r="DOE53" s="3"/>
      <c r="DOF53" s="3"/>
      <c r="DOG53" s="3"/>
      <c r="DOH53" s="3"/>
      <c r="DOI53" s="3"/>
      <c r="DOJ53" s="3"/>
      <c r="DOK53" s="3"/>
      <c r="DOL53" s="3"/>
      <c r="DOM53" s="3"/>
      <c r="DON53" s="3"/>
      <c r="DOO53" s="3"/>
      <c r="DOP53" s="3"/>
      <c r="DOQ53" s="3"/>
      <c r="DOR53" s="3"/>
      <c r="DOS53" s="3"/>
      <c r="DOT53" s="3"/>
      <c r="DOU53" s="3"/>
      <c r="DOV53" s="3"/>
      <c r="DOW53" s="3"/>
      <c r="DOX53" s="3"/>
      <c r="DOY53" s="3"/>
      <c r="DOZ53" s="3"/>
      <c r="DPA53" s="3"/>
      <c r="DPB53" s="3"/>
      <c r="DPC53" s="3"/>
      <c r="DPD53" s="3"/>
      <c r="DPE53" s="3"/>
      <c r="DPF53" s="3"/>
      <c r="DPG53" s="3"/>
      <c r="DPH53" s="3"/>
      <c r="DPI53" s="3"/>
      <c r="DPJ53" s="3"/>
      <c r="DPK53" s="3"/>
      <c r="DPL53" s="3"/>
      <c r="DPM53" s="3"/>
      <c r="DPN53" s="3"/>
      <c r="DPO53" s="3"/>
      <c r="DPP53" s="3"/>
      <c r="DPQ53" s="3"/>
      <c r="DPR53" s="3"/>
      <c r="DPS53" s="3"/>
      <c r="DPT53" s="3"/>
      <c r="DPU53" s="3"/>
      <c r="DPV53" s="3"/>
      <c r="DPW53" s="3"/>
      <c r="DPX53" s="3"/>
      <c r="DPY53" s="3"/>
      <c r="DPZ53" s="3"/>
      <c r="DQA53" s="3"/>
      <c r="DQB53" s="3"/>
      <c r="DQC53" s="3"/>
      <c r="DQD53" s="3"/>
      <c r="DQE53" s="3"/>
      <c r="DQF53" s="3"/>
      <c r="DQG53" s="3"/>
      <c r="DQH53" s="3"/>
      <c r="DQI53" s="3"/>
      <c r="DQJ53" s="3"/>
      <c r="DQK53" s="3"/>
      <c r="DQL53" s="3"/>
      <c r="DQM53" s="3"/>
      <c r="DQN53" s="3"/>
      <c r="DQO53" s="3"/>
      <c r="DQP53" s="3"/>
      <c r="DQQ53" s="3"/>
      <c r="DQR53" s="3"/>
      <c r="DQS53" s="3"/>
      <c r="DQT53" s="3"/>
      <c r="DQU53" s="3"/>
      <c r="DQV53" s="3"/>
      <c r="DQW53" s="3"/>
      <c r="DQX53" s="3"/>
      <c r="DQY53" s="3"/>
      <c r="DQZ53" s="3"/>
      <c r="DRA53" s="3"/>
      <c r="DRB53" s="3"/>
      <c r="DRC53" s="3"/>
      <c r="DRD53" s="3"/>
      <c r="DRE53" s="3"/>
      <c r="DRF53" s="3"/>
      <c r="DRG53" s="3"/>
      <c r="DRH53" s="3"/>
      <c r="DRI53" s="3"/>
      <c r="DRJ53" s="3"/>
      <c r="DRK53" s="3"/>
      <c r="DRL53" s="3"/>
      <c r="DRM53" s="3"/>
      <c r="DRN53" s="3"/>
      <c r="DRO53" s="3"/>
      <c r="DRP53" s="3"/>
      <c r="DRQ53" s="3"/>
      <c r="DRR53" s="3"/>
      <c r="DRS53" s="3"/>
      <c r="DRT53" s="3"/>
      <c r="DRU53" s="3"/>
      <c r="DRV53" s="3"/>
      <c r="DRW53" s="3"/>
      <c r="DRX53" s="3"/>
      <c r="DRY53" s="3"/>
      <c r="DRZ53" s="3"/>
      <c r="DSA53" s="3"/>
      <c r="DSB53" s="3"/>
      <c r="DSC53" s="3"/>
      <c r="DSD53" s="3"/>
      <c r="DSE53" s="3"/>
      <c r="DSF53" s="3"/>
      <c r="DSG53" s="3"/>
      <c r="DSH53" s="3"/>
      <c r="DSI53" s="3"/>
      <c r="DSJ53" s="3"/>
      <c r="DSK53" s="3"/>
      <c r="DSL53" s="3"/>
      <c r="DSM53" s="3"/>
      <c r="DSN53" s="3"/>
      <c r="DSO53" s="3"/>
      <c r="DSP53" s="3"/>
      <c r="DSQ53" s="3"/>
      <c r="DSR53" s="3"/>
      <c r="DSS53" s="3"/>
      <c r="DST53" s="3"/>
      <c r="DSU53" s="3"/>
      <c r="DSV53" s="3"/>
      <c r="DSW53" s="3"/>
      <c r="DSX53" s="3"/>
      <c r="DSY53" s="3"/>
      <c r="DSZ53" s="3"/>
      <c r="DTA53" s="3"/>
      <c r="DTB53" s="3"/>
      <c r="DTC53" s="3"/>
      <c r="DTD53" s="3"/>
      <c r="DTE53" s="3"/>
      <c r="DTF53" s="3"/>
      <c r="DTG53" s="3"/>
      <c r="DTH53" s="3"/>
      <c r="DTI53" s="3"/>
      <c r="DTJ53" s="3"/>
      <c r="DTK53" s="3"/>
      <c r="DTL53" s="3"/>
      <c r="DTM53" s="3"/>
      <c r="DTN53" s="3"/>
      <c r="DTO53" s="3"/>
      <c r="DTP53" s="3"/>
      <c r="DTQ53" s="3"/>
      <c r="DTR53" s="3"/>
      <c r="DTS53" s="3"/>
      <c r="DTT53" s="3"/>
      <c r="DTU53" s="3"/>
      <c r="DTV53" s="3"/>
      <c r="DTW53" s="3"/>
      <c r="DTX53" s="3"/>
      <c r="DTY53" s="3"/>
      <c r="DTZ53" s="3"/>
      <c r="DUA53" s="3"/>
      <c r="DUB53" s="3"/>
      <c r="DUC53" s="3"/>
      <c r="DUD53" s="3"/>
      <c r="DUE53" s="3"/>
      <c r="DUF53" s="3"/>
      <c r="DUG53" s="3"/>
      <c r="DUH53" s="3"/>
      <c r="DUI53" s="3"/>
      <c r="DUJ53" s="3"/>
      <c r="DUK53" s="3"/>
      <c r="DUL53" s="3"/>
      <c r="DUM53" s="3"/>
      <c r="DUN53" s="3"/>
      <c r="DUO53" s="3"/>
      <c r="DUP53" s="3"/>
      <c r="DUQ53" s="3"/>
      <c r="DUR53" s="3"/>
      <c r="DUS53" s="3"/>
      <c r="DUT53" s="3"/>
      <c r="DUU53" s="3"/>
      <c r="DUV53" s="3"/>
      <c r="DUW53" s="3"/>
      <c r="DUX53" s="3"/>
      <c r="DUY53" s="3"/>
      <c r="DUZ53" s="3"/>
      <c r="DVA53" s="3"/>
      <c r="DVB53" s="3"/>
      <c r="DVC53" s="3"/>
      <c r="DVD53" s="3"/>
      <c r="DVE53" s="3"/>
      <c r="DVF53" s="3"/>
      <c r="DVG53" s="3"/>
      <c r="DVH53" s="3"/>
      <c r="DVI53" s="3"/>
      <c r="DVJ53" s="3"/>
      <c r="DVK53" s="3"/>
      <c r="DVL53" s="3"/>
      <c r="DVM53" s="3"/>
      <c r="DVN53" s="3"/>
      <c r="DVO53" s="3"/>
      <c r="DVP53" s="3"/>
      <c r="DVQ53" s="3"/>
      <c r="DVR53" s="3"/>
      <c r="DVS53" s="3"/>
      <c r="DVT53" s="3"/>
      <c r="DVU53" s="3"/>
      <c r="DVV53" s="3"/>
      <c r="DVW53" s="3"/>
      <c r="DVX53" s="3"/>
      <c r="DVY53" s="3"/>
      <c r="DVZ53" s="3"/>
      <c r="DWA53" s="3"/>
      <c r="DWB53" s="3"/>
      <c r="DWC53" s="3"/>
      <c r="DWD53" s="3"/>
      <c r="DWE53" s="3"/>
      <c r="DWF53" s="3"/>
      <c r="DWG53" s="3"/>
      <c r="DWH53" s="3"/>
      <c r="DWI53" s="3"/>
      <c r="DWJ53" s="3"/>
      <c r="DWK53" s="3"/>
      <c r="DWL53" s="3"/>
      <c r="DWM53" s="3"/>
      <c r="DWN53" s="3"/>
      <c r="DWO53" s="3"/>
      <c r="DWP53" s="3"/>
      <c r="DWQ53" s="3"/>
      <c r="DWR53" s="3"/>
      <c r="DWS53" s="3"/>
      <c r="DWT53" s="3"/>
      <c r="DWU53" s="3"/>
      <c r="DWV53" s="3"/>
      <c r="DWW53" s="3"/>
      <c r="DWX53" s="3"/>
      <c r="DWY53" s="3"/>
      <c r="DWZ53" s="3"/>
      <c r="DXA53" s="3"/>
      <c r="DXB53" s="3"/>
      <c r="DXC53" s="3"/>
      <c r="DXD53" s="3"/>
      <c r="DXE53" s="3"/>
      <c r="DXF53" s="3"/>
      <c r="DXG53" s="3"/>
      <c r="DXH53" s="3"/>
      <c r="DXI53" s="3"/>
      <c r="DXJ53" s="3"/>
      <c r="DXK53" s="3"/>
      <c r="DXL53" s="3"/>
      <c r="DXM53" s="3"/>
      <c r="DXN53" s="3"/>
      <c r="DXO53" s="3"/>
      <c r="DXP53" s="3"/>
      <c r="DXQ53" s="3"/>
      <c r="DXR53" s="3"/>
      <c r="DXS53" s="3"/>
      <c r="DXT53" s="3"/>
      <c r="DXU53" s="3"/>
      <c r="DXV53" s="3"/>
      <c r="DXW53" s="3"/>
      <c r="DXX53" s="3"/>
      <c r="DXY53" s="3"/>
      <c r="DXZ53" s="3"/>
      <c r="DYA53" s="3"/>
      <c r="DYB53" s="3"/>
      <c r="DYC53" s="3"/>
      <c r="DYD53" s="3"/>
      <c r="DYE53" s="3"/>
      <c r="DYF53" s="3"/>
      <c r="DYG53" s="3"/>
      <c r="DYH53" s="3"/>
      <c r="DYI53" s="3"/>
      <c r="DYJ53" s="3"/>
      <c r="DYK53" s="3"/>
      <c r="DYL53" s="3"/>
      <c r="DYM53" s="3"/>
      <c r="DYN53" s="3"/>
      <c r="DYO53" s="3"/>
      <c r="DYP53" s="3"/>
      <c r="DYQ53" s="3"/>
      <c r="DYR53" s="3"/>
      <c r="DYS53" s="3"/>
      <c r="DYT53" s="3"/>
      <c r="DYU53" s="3"/>
      <c r="DYV53" s="3"/>
      <c r="DYW53" s="3"/>
      <c r="DYX53" s="3"/>
      <c r="DYY53" s="3"/>
      <c r="DYZ53" s="3"/>
      <c r="DZA53" s="3"/>
      <c r="DZB53" s="3"/>
      <c r="DZC53" s="3"/>
      <c r="DZD53" s="3"/>
      <c r="DZE53" s="3"/>
      <c r="DZF53" s="3"/>
      <c r="DZG53" s="3"/>
      <c r="DZH53" s="3"/>
      <c r="DZI53" s="3"/>
      <c r="DZJ53" s="3"/>
      <c r="DZK53" s="3"/>
      <c r="DZL53" s="3"/>
      <c r="DZM53" s="3"/>
      <c r="DZN53" s="3"/>
      <c r="DZO53" s="3"/>
      <c r="DZP53" s="3"/>
      <c r="DZQ53" s="3"/>
      <c r="DZR53" s="3"/>
      <c r="DZS53" s="3"/>
      <c r="DZT53" s="3"/>
      <c r="DZU53" s="3"/>
      <c r="DZV53" s="3"/>
      <c r="DZW53" s="3"/>
      <c r="DZX53" s="3"/>
      <c r="DZY53" s="3"/>
      <c r="DZZ53" s="3"/>
      <c r="EAA53" s="3"/>
      <c r="EAB53" s="3"/>
      <c r="EAC53" s="3"/>
      <c r="EAD53" s="3"/>
      <c r="EAE53" s="3"/>
      <c r="EAF53" s="3"/>
      <c r="EAG53" s="3"/>
      <c r="EAH53" s="3"/>
      <c r="EAI53" s="3"/>
      <c r="EAJ53" s="3"/>
      <c r="EAK53" s="3"/>
      <c r="EAL53" s="3"/>
      <c r="EAM53" s="3"/>
      <c r="EAN53" s="3"/>
      <c r="EAO53" s="3"/>
      <c r="EAP53" s="3"/>
      <c r="EAQ53" s="3"/>
      <c r="EAR53" s="3"/>
      <c r="EAS53" s="3"/>
      <c r="EAT53" s="3"/>
      <c r="EAU53" s="3"/>
      <c r="EAV53" s="3"/>
      <c r="EAW53" s="3"/>
      <c r="EAX53" s="3"/>
      <c r="EAY53" s="3"/>
      <c r="EAZ53" s="3"/>
      <c r="EBA53" s="3"/>
      <c r="EBB53" s="3"/>
      <c r="EBC53" s="3"/>
      <c r="EBD53" s="3"/>
      <c r="EBE53" s="3"/>
      <c r="EBF53" s="3"/>
      <c r="EBG53" s="3"/>
      <c r="EBH53" s="3"/>
      <c r="EBI53" s="3"/>
      <c r="EBJ53" s="3"/>
      <c r="EBK53" s="3"/>
      <c r="EBL53" s="3"/>
      <c r="EBM53" s="3"/>
      <c r="EBN53" s="3"/>
      <c r="EBO53" s="3"/>
      <c r="EBP53" s="3"/>
      <c r="EBQ53" s="3"/>
      <c r="EBR53" s="3"/>
      <c r="EBS53" s="3"/>
      <c r="EBT53" s="3"/>
      <c r="EBU53" s="3"/>
      <c r="EBV53" s="3"/>
      <c r="EBW53" s="3"/>
      <c r="EBX53" s="3"/>
      <c r="EBY53" s="3"/>
      <c r="EBZ53" s="3"/>
      <c r="ECA53" s="3"/>
      <c r="ECB53" s="3"/>
      <c r="ECC53" s="3"/>
      <c r="ECD53" s="3"/>
      <c r="ECE53" s="3"/>
      <c r="ECF53" s="3"/>
      <c r="ECG53" s="3"/>
      <c r="ECH53" s="3"/>
      <c r="ECI53" s="3"/>
      <c r="ECJ53" s="3"/>
      <c r="ECK53" s="3"/>
      <c r="ECL53" s="3"/>
      <c r="ECM53" s="3"/>
      <c r="ECN53" s="3"/>
      <c r="ECO53" s="3"/>
      <c r="ECP53" s="3"/>
      <c r="ECQ53" s="3"/>
      <c r="ECR53" s="3"/>
      <c r="ECS53" s="3"/>
      <c r="ECT53" s="3"/>
      <c r="ECU53" s="3"/>
      <c r="ECV53" s="3"/>
      <c r="ECW53" s="3"/>
      <c r="ECX53" s="3"/>
      <c r="ECY53" s="3"/>
      <c r="ECZ53" s="3"/>
      <c r="EDA53" s="3"/>
      <c r="EDB53" s="3"/>
      <c r="EDC53" s="3"/>
      <c r="EDD53" s="3"/>
      <c r="EDE53" s="3"/>
      <c r="EDF53" s="3"/>
      <c r="EDG53" s="3"/>
      <c r="EDH53" s="3"/>
      <c r="EDI53" s="3"/>
      <c r="EDJ53" s="3"/>
      <c r="EDK53" s="3"/>
      <c r="EDL53" s="3"/>
      <c r="EDM53" s="3"/>
      <c r="EDN53" s="3"/>
      <c r="EDO53" s="3"/>
      <c r="EDP53" s="3"/>
      <c r="EDQ53" s="3"/>
      <c r="EDR53" s="3"/>
      <c r="EDS53" s="3"/>
      <c r="EDT53" s="3"/>
      <c r="EDU53" s="3"/>
      <c r="EDV53" s="3"/>
      <c r="EDW53" s="3"/>
      <c r="EDX53" s="3"/>
      <c r="EDY53" s="3"/>
      <c r="EDZ53" s="3"/>
      <c r="EEA53" s="3"/>
      <c r="EEB53" s="3"/>
      <c r="EEC53" s="3"/>
      <c r="EED53" s="3"/>
      <c r="EEE53" s="3"/>
      <c r="EEF53" s="3"/>
      <c r="EEG53" s="3"/>
      <c r="EEH53" s="3"/>
      <c r="EEI53" s="3"/>
      <c r="EEJ53" s="3"/>
      <c r="EEK53" s="3"/>
      <c r="EEL53" s="3"/>
      <c r="EEM53" s="3"/>
      <c r="EEN53" s="3"/>
      <c r="EEO53" s="3"/>
      <c r="EEP53" s="3"/>
      <c r="EEQ53" s="3"/>
      <c r="EER53" s="3"/>
      <c r="EES53" s="3"/>
      <c r="EET53" s="3"/>
      <c r="EEU53" s="3"/>
      <c r="EEV53" s="3"/>
      <c r="EEW53" s="3"/>
      <c r="EEX53" s="3"/>
      <c r="EEY53" s="3"/>
      <c r="EEZ53" s="3"/>
      <c r="EFA53" s="3"/>
      <c r="EFB53" s="3"/>
      <c r="EFC53" s="3"/>
      <c r="EFD53" s="3"/>
      <c r="EFE53" s="3"/>
      <c r="EFF53" s="3"/>
      <c r="EFG53" s="3"/>
      <c r="EFH53" s="3"/>
      <c r="EFI53" s="3"/>
      <c r="EFJ53" s="3"/>
      <c r="EFK53" s="3"/>
      <c r="EFL53" s="3"/>
      <c r="EFM53" s="3"/>
      <c r="EFN53" s="3"/>
      <c r="EFO53" s="3"/>
      <c r="EFP53" s="3"/>
      <c r="EFQ53" s="3"/>
      <c r="EFR53" s="3"/>
      <c r="EFS53" s="3"/>
      <c r="EFT53" s="3"/>
      <c r="EFU53" s="3"/>
      <c r="EFV53" s="3"/>
      <c r="EFW53" s="3"/>
      <c r="EFX53" s="3"/>
      <c r="EFY53" s="3"/>
      <c r="EFZ53" s="3"/>
      <c r="EGA53" s="3"/>
      <c r="EGB53" s="3"/>
      <c r="EGC53" s="3"/>
      <c r="EGD53" s="3"/>
      <c r="EGE53" s="3"/>
      <c r="EGF53" s="3"/>
      <c r="EGG53" s="3"/>
      <c r="EGH53" s="3"/>
      <c r="EGI53" s="3"/>
      <c r="EGJ53" s="3"/>
      <c r="EGK53" s="3"/>
      <c r="EGL53" s="3"/>
      <c r="EGM53" s="3"/>
      <c r="EGN53" s="3"/>
      <c r="EGO53" s="3"/>
      <c r="EGP53" s="3"/>
      <c r="EGQ53" s="3"/>
      <c r="EGR53" s="3"/>
      <c r="EGS53" s="3"/>
      <c r="EGT53" s="3"/>
      <c r="EGU53" s="3"/>
      <c r="EGV53" s="3"/>
      <c r="EGW53" s="3"/>
      <c r="EGX53" s="3"/>
      <c r="EGY53" s="3"/>
      <c r="EGZ53" s="3"/>
      <c r="EHA53" s="3"/>
      <c r="EHB53" s="3"/>
      <c r="EHC53" s="3"/>
      <c r="EHD53" s="3"/>
      <c r="EHE53" s="3"/>
      <c r="EHF53" s="3"/>
      <c r="EHG53" s="3"/>
      <c r="EHH53" s="3"/>
      <c r="EHI53" s="3"/>
      <c r="EHJ53" s="3"/>
      <c r="EHK53" s="3"/>
      <c r="EHL53" s="3"/>
      <c r="EHM53" s="3"/>
      <c r="EHN53" s="3"/>
      <c r="EHO53" s="3"/>
      <c r="EHP53" s="3"/>
      <c r="EHQ53" s="3"/>
      <c r="EHR53" s="3"/>
      <c r="EHS53" s="3"/>
      <c r="EHT53" s="3"/>
      <c r="EHU53" s="3"/>
      <c r="EHV53" s="3"/>
      <c r="EHW53" s="3"/>
      <c r="EHX53" s="3"/>
      <c r="EHY53" s="3"/>
      <c r="EHZ53" s="3"/>
      <c r="EIA53" s="3"/>
      <c r="EIB53" s="3"/>
      <c r="EIC53" s="3"/>
      <c r="EID53" s="3"/>
      <c r="EIE53" s="3"/>
      <c r="EIF53" s="3"/>
      <c r="EIG53" s="3"/>
      <c r="EIH53" s="3"/>
      <c r="EII53" s="3"/>
      <c r="EIJ53" s="3"/>
      <c r="EIK53" s="3"/>
      <c r="EIL53" s="3"/>
      <c r="EIM53" s="3"/>
      <c r="EIN53" s="3"/>
      <c r="EIO53" s="3"/>
      <c r="EIP53" s="3"/>
      <c r="EIQ53" s="3"/>
      <c r="EIR53" s="3"/>
      <c r="EIS53" s="3"/>
      <c r="EIT53" s="3"/>
      <c r="EIU53" s="3"/>
      <c r="EIV53" s="3"/>
      <c r="EIW53" s="3"/>
      <c r="EIX53" s="3"/>
      <c r="EIY53" s="3"/>
      <c r="EIZ53" s="3"/>
      <c r="EJA53" s="3"/>
      <c r="EJB53" s="3"/>
      <c r="EJC53" s="3"/>
      <c r="EJD53" s="3"/>
      <c r="EJE53" s="3"/>
      <c r="EJF53" s="3"/>
      <c r="EJG53" s="3"/>
      <c r="EJH53" s="3"/>
      <c r="EJI53" s="3"/>
      <c r="EJJ53" s="3"/>
      <c r="EJK53" s="3"/>
      <c r="EJL53" s="3"/>
      <c r="EJM53" s="3"/>
      <c r="EJN53" s="3"/>
      <c r="EJO53" s="3"/>
      <c r="EJP53" s="3"/>
      <c r="EJQ53" s="3"/>
      <c r="EJR53" s="3"/>
      <c r="EJS53" s="3"/>
      <c r="EJT53" s="3"/>
      <c r="EJU53" s="3"/>
      <c r="EJV53" s="3"/>
      <c r="EJW53" s="3"/>
      <c r="EJX53" s="3"/>
      <c r="EJY53" s="3"/>
      <c r="EJZ53" s="3"/>
      <c r="EKA53" s="3"/>
      <c r="EKB53" s="3"/>
      <c r="EKC53" s="3"/>
      <c r="EKD53" s="3"/>
      <c r="EKE53" s="3"/>
      <c r="EKF53" s="3"/>
      <c r="EKG53" s="3"/>
      <c r="EKH53" s="3"/>
      <c r="EKI53" s="3"/>
      <c r="EKJ53" s="3"/>
      <c r="EKK53" s="3"/>
      <c r="EKL53" s="3"/>
      <c r="EKM53" s="3"/>
      <c r="EKN53" s="3"/>
      <c r="EKO53" s="3"/>
      <c r="EKP53" s="3"/>
      <c r="EKQ53" s="3"/>
      <c r="EKR53" s="3"/>
      <c r="EKS53" s="3"/>
      <c r="EKT53" s="3"/>
      <c r="EKU53" s="3"/>
      <c r="EKV53" s="3"/>
      <c r="EKW53" s="3"/>
      <c r="EKX53" s="3"/>
      <c r="EKY53" s="3"/>
      <c r="EKZ53" s="3"/>
      <c r="ELA53" s="3"/>
      <c r="ELB53" s="3"/>
      <c r="ELC53" s="3"/>
      <c r="ELD53" s="3"/>
      <c r="ELE53" s="3"/>
      <c r="ELF53" s="3"/>
      <c r="ELG53" s="3"/>
      <c r="ELH53" s="3"/>
      <c r="ELI53" s="3"/>
      <c r="ELJ53" s="3"/>
      <c r="ELK53" s="3"/>
      <c r="ELL53" s="3"/>
      <c r="ELM53" s="3"/>
      <c r="ELN53" s="3"/>
      <c r="ELO53" s="3"/>
      <c r="ELP53" s="3"/>
      <c r="ELQ53" s="3"/>
      <c r="ELR53" s="3"/>
      <c r="ELS53" s="3"/>
      <c r="ELT53" s="3"/>
      <c r="ELU53" s="3"/>
      <c r="ELV53" s="3"/>
      <c r="ELW53" s="3"/>
      <c r="ELX53" s="3"/>
      <c r="ELY53" s="3"/>
      <c r="ELZ53" s="3"/>
      <c r="EMA53" s="3"/>
      <c r="EMB53" s="3"/>
      <c r="EMC53" s="3"/>
      <c r="EMD53" s="3"/>
      <c r="EME53" s="3"/>
      <c r="EMF53" s="3"/>
      <c r="EMG53" s="3"/>
      <c r="EMH53" s="3"/>
      <c r="EMI53" s="3"/>
      <c r="EMJ53" s="3"/>
      <c r="EMK53" s="3"/>
      <c r="EML53" s="3"/>
      <c r="EMM53" s="3"/>
      <c r="EMN53" s="3"/>
      <c r="EMO53" s="3"/>
      <c r="EMP53" s="3"/>
      <c r="EMQ53" s="3"/>
      <c r="EMR53" s="3"/>
      <c r="EMS53" s="3"/>
      <c r="EMT53" s="3"/>
      <c r="EMU53" s="3"/>
      <c r="EMV53" s="3"/>
      <c r="EMW53" s="3"/>
      <c r="EMX53" s="3"/>
      <c r="EMY53" s="3"/>
      <c r="EMZ53" s="3"/>
      <c r="ENA53" s="3"/>
      <c r="ENB53" s="3"/>
      <c r="ENC53" s="3"/>
      <c r="END53" s="3"/>
      <c r="ENE53" s="3"/>
      <c r="ENF53" s="3"/>
      <c r="ENG53" s="3"/>
      <c r="ENH53" s="3"/>
      <c r="ENI53" s="3"/>
      <c r="ENJ53" s="3"/>
      <c r="ENK53" s="3"/>
      <c r="ENL53" s="3"/>
      <c r="ENM53" s="3"/>
      <c r="ENN53" s="3"/>
      <c r="ENO53" s="3"/>
      <c r="ENP53" s="3"/>
      <c r="ENQ53" s="3"/>
      <c r="ENR53" s="3"/>
      <c r="ENS53" s="3"/>
      <c r="ENT53" s="3"/>
      <c r="ENU53" s="3"/>
      <c r="ENV53" s="3"/>
      <c r="ENW53" s="3"/>
      <c r="ENX53" s="3"/>
      <c r="ENY53" s="3"/>
      <c r="ENZ53" s="3"/>
      <c r="EOA53" s="3"/>
      <c r="EOB53" s="3"/>
      <c r="EOC53" s="3"/>
      <c r="EOD53" s="3"/>
      <c r="EOE53" s="3"/>
      <c r="EOF53" s="3"/>
      <c r="EOG53" s="3"/>
      <c r="EOH53" s="3"/>
      <c r="EOI53" s="3"/>
      <c r="EOJ53" s="3"/>
      <c r="EOK53" s="3"/>
      <c r="EOL53" s="3"/>
      <c r="EOM53" s="3"/>
      <c r="EON53" s="3"/>
      <c r="EOO53" s="3"/>
      <c r="EOP53" s="3"/>
      <c r="EOQ53" s="3"/>
      <c r="EOR53" s="3"/>
      <c r="EOS53" s="3"/>
      <c r="EOT53" s="3"/>
      <c r="EOU53" s="3"/>
      <c r="EOV53" s="3"/>
      <c r="EOW53" s="3"/>
      <c r="EOX53" s="3"/>
      <c r="EOY53" s="3"/>
      <c r="EOZ53" s="3"/>
      <c r="EPA53" s="3"/>
      <c r="EPB53" s="3"/>
      <c r="EPC53" s="3"/>
      <c r="EPD53" s="3"/>
      <c r="EPE53" s="3"/>
      <c r="EPF53" s="3"/>
      <c r="EPG53" s="3"/>
      <c r="EPH53" s="3"/>
      <c r="EPI53" s="3"/>
      <c r="EPJ53" s="3"/>
      <c r="EPK53" s="3"/>
      <c r="EPL53" s="3"/>
      <c r="EPM53" s="3"/>
      <c r="EPN53" s="3"/>
      <c r="EPO53" s="3"/>
      <c r="EPP53" s="3"/>
      <c r="EPQ53" s="3"/>
      <c r="EPR53" s="3"/>
      <c r="EPS53" s="3"/>
      <c r="EPT53" s="3"/>
      <c r="EPU53" s="3"/>
      <c r="EPV53" s="3"/>
      <c r="EPW53" s="3"/>
      <c r="EPX53" s="3"/>
      <c r="EPY53" s="3"/>
      <c r="EPZ53" s="3"/>
      <c r="EQA53" s="3"/>
      <c r="EQB53" s="3"/>
      <c r="EQC53" s="3"/>
      <c r="EQD53" s="3"/>
      <c r="EQE53" s="3"/>
      <c r="EQF53" s="3"/>
      <c r="EQG53" s="3"/>
      <c r="EQH53" s="3"/>
      <c r="EQI53" s="3"/>
      <c r="EQJ53" s="3"/>
      <c r="EQK53" s="3"/>
      <c r="EQL53" s="3"/>
      <c r="EQM53" s="3"/>
      <c r="EQN53" s="3"/>
      <c r="EQO53" s="3"/>
      <c r="EQP53" s="3"/>
      <c r="EQQ53" s="3"/>
      <c r="EQR53" s="3"/>
      <c r="EQS53" s="3"/>
      <c r="EQT53" s="3"/>
      <c r="EQU53" s="3"/>
      <c r="EQV53" s="3"/>
      <c r="EQW53" s="3"/>
      <c r="EQX53" s="3"/>
      <c r="EQY53" s="3"/>
      <c r="EQZ53" s="3"/>
      <c r="ERA53" s="3"/>
      <c r="ERB53" s="3"/>
      <c r="ERC53" s="3"/>
      <c r="ERD53" s="3"/>
      <c r="ERE53" s="3"/>
      <c r="ERF53" s="3"/>
      <c r="ERG53" s="3"/>
      <c r="ERH53" s="3"/>
      <c r="ERI53" s="3"/>
      <c r="ERJ53" s="3"/>
      <c r="ERK53" s="3"/>
      <c r="ERL53" s="3"/>
      <c r="ERM53" s="3"/>
      <c r="ERN53" s="3"/>
      <c r="ERO53" s="3"/>
      <c r="ERP53" s="3"/>
      <c r="ERQ53" s="3"/>
      <c r="ERR53" s="3"/>
      <c r="ERS53" s="3"/>
      <c r="ERT53" s="3"/>
      <c r="ERU53" s="3"/>
      <c r="ERV53" s="3"/>
      <c r="ERW53" s="3"/>
      <c r="ERX53" s="3"/>
      <c r="ERY53" s="3"/>
      <c r="ERZ53" s="3"/>
      <c r="ESA53" s="3"/>
      <c r="ESB53" s="3"/>
      <c r="ESC53" s="3"/>
      <c r="ESD53" s="3"/>
      <c r="ESE53" s="3"/>
      <c r="ESF53" s="3"/>
      <c r="ESG53" s="3"/>
      <c r="ESH53" s="3"/>
      <c r="ESI53" s="3"/>
      <c r="ESJ53" s="3"/>
      <c r="ESK53" s="3"/>
      <c r="ESL53" s="3"/>
      <c r="ESM53" s="3"/>
      <c r="ESN53" s="3"/>
      <c r="ESO53" s="3"/>
      <c r="ESP53" s="3"/>
      <c r="ESQ53" s="3"/>
      <c r="ESR53" s="3"/>
      <c r="ESS53" s="3"/>
      <c r="EST53" s="3"/>
      <c r="ESU53" s="3"/>
      <c r="ESV53" s="3"/>
      <c r="ESW53" s="3"/>
      <c r="ESX53" s="3"/>
      <c r="ESY53" s="3"/>
      <c r="ESZ53" s="3"/>
      <c r="ETA53" s="3"/>
      <c r="ETB53" s="3"/>
      <c r="ETC53" s="3"/>
      <c r="ETD53" s="3"/>
      <c r="ETE53" s="3"/>
      <c r="ETF53" s="3"/>
      <c r="ETG53" s="3"/>
      <c r="ETH53" s="3"/>
      <c r="ETI53" s="3"/>
      <c r="ETJ53" s="3"/>
      <c r="ETK53" s="3"/>
      <c r="ETL53" s="3"/>
      <c r="ETM53" s="3"/>
      <c r="ETN53" s="3"/>
      <c r="ETO53" s="3"/>
      <c r="ETP53" s="3"/>
      <c r="ETQ53" s="3"/>
      <c r="ETR53" s="3"/>
      <c r="ETS53" s="3"/>
      <c r="ETT53" s="3"/>
      <c r="ETU53" s="3"/>
      <c r="ETV53" s="3"/>
      <c r="ETW53" s="3"/>
      <c r="ETX53" s="3"/>
      <c r="ETY53" s="3"/>
      <c r="ETZ53" s="3"/>
      <c r="EUA53" s="3"/>
      <c r="EUB53" s="3"/>
      <c r="EUC53" s="3"/>
      <c r="EUD53" s="3"/>
      <c r="EUE53" s="3"/>
      <c r="EUF53" s="3"/>
      <c r="EUG53" s="3"/>
      <c r="EUH53" s="3"/>
      <c r="EUI53" s="3"/>
      <c r="EUJ53" s="3"/>
      <c r="EUK53" s="3"/>
      <c r="EUL53" s="3"/>
      <c r="EUM53" s="3"/>
      <c r="EUN53" s="3"/>
      <c r="EUO53" s="3"/>
      <c r="EUP53" s="3"/>
      <c r="EUQ53" s="3"/>
      <c r="EUR53" s="3"/>
      <c r="EUS53" s="3"/>
      <c r="EUT53" s="3"/>
      <c r="EUU53" s="3"/>
      <c r="EUV53" s="3"/>
      <c r="EUW53" s="3"/>
      <c r="EUX53" s="3"/>
      <c r="EUY53" s="3"/>
      <c r="EUZ53" s="3"/>
      <c r="EVA53" s="3"/>
      <c r="EVB53" s="3"/>
      <c r="EVC53" s="3"/>
      <c r="EVD53" s="3"/>
      <c r="EVE53" s="3"/>
      <c r="EVF53" s="3"/>
      <c r="EVG53" s="3"/>
      <c r="EVH53" s="3"/>
      <c r="EVI53" s="3"/>
      <c r="EVJ53" s="3"/>
      <c r="EVK53" s="3"/>
      <c r="EVL53" s="3"/>
      <c r="EVM53" s="3"/>
      <c r="EVN53" s="3"/>
      <c r="EVO53" s="3"/>
      <c r="EVP53" s="3"/>
      <c r="EVQ53" s="3"/>
      <c r="EVR53" s="3"/>
      <c r="EVS53" s="3"/>
      <c r="EVT53" s="3"/>
      <c r="EVU53" s="3"/>
      <c r="EVV53" s="3"/>
      <c r="EVW53" s="3"/>
      <c r="EVX53" s="3"/>
      <c r="EVY53" s="3"/>
      <c r="EVZ53" s="3"/>
      <c r="EWA53" s="3"/>
      <c r="EWB53" s="3"/>
      <c r="EWC53" s="3"/>
      <c r="EWD53" s="3"/>
      <c r="EWE53" s="3"/>
      <c r="EWF53" s="3"/>
      <c r="EWG53" s="3"/>
      <c r="EWH53" s="3"/>
      <c r="EWI53" s="3"/>
      <c r="EWJ53" s="3"/>
      <c r="EWK53" s="3"/>
      <c r="EWL53" s="3"/>
      <c r="EWM53" s="3"/>
      <c r="EWN53" s="3"/>
      <c r="EWO53" s="3"/>
      <c r="EWP53" s="3"/>
      <c r="EWQ53" s="3"/>
      <c r="EWR53" s="3"/>
      <c r="EWS53" s="3"/>
      <c r="EWT53" s="3"/>
      <c r="EWU53" s="3"/>
      <c r="EWV53" s="3"/>
      <c r="EWW53" s="3"/>
      <c r="EWX53" s="3"/>
      <c r="EWY53" s="3"/>
      <c r="EWZ53" s="3"/>
      <c r="EXA53" s="3"/>
      <c r="EXB53" s="3"/>
      <c r="EXC53" s="3"/>
      <c r="EXD53" s="3"/>
      <c r="EXE53" s="3"/>
      <c r="EXF53" s="3"/>
      <c r="EXG53" s="3"/>
      <c r="EXH53" s="3"/>
      <c r="EXI53" s="3"/>
      <c r="EXJ53" s="3"/>
      <c r="EXK53" s="3"/>
      <c r="EXL53" s="3"/>
      <c r="EXM53" s="3"/>
      <c r="EXN53" s="3"/>
      <c r="EXO53" s="3"/>
      <c r="EXP53" s="3"/>
      <c r="EXQ53" s="3"/>
      <c r="EXR53" s="3"/>
      <c r="EXS53" s="3"/>
      <c r="EXT53" s="3"/>
      <c r="EXU53" s="3"/>
      <c r="EXV53" s="3"/>
      <c r="EXW53" s="3"/>
      <c r="EXX53" s="3"/>
      <c r="EXY53" s="3"/>
      <c r="EXZ53" s="3"/>
      <c r="EYA53" s="3"/>
      <c r="EYB53" s="3"/>
      <c r="EYC53" s="3"/>
      <c r="EYD53" s="3"/>
      <c r="EYE53" s="3"/>
      <c r="EYF53" s="3"/>
      <c r="EYG53" s="3"/>
      <c r="EYH53" s="3"/>
      <c r="EYI53" s="3"/>
      <c r="EYJ53" s="3"/>
      <c r="EYK53" s="3"/>
      <c r="EYL53" s="3"/>
      <c r="EYM53" s="3"/>
      <c r="EYN53" s="3"/>
      <c r="EYO53" s="3"/>
      <c r="EYP53" s="3"/>
      <c r="EYQ53" s="3"/>
      <c r="EYR53" s="3"/>
      <c r="EYS53" s="3"/>
      <c r="EYT53" s="3"/>
      <c r="EYU53" s="3"/>
      <c r="EYV53" s="3"/>
      <c r="EYW53" s="3"/>
      <c r="EYX53" s="3"/>
      <c r="EYY53" s="3"/>
      <c r="EYZ53" s="3"/>
      <c r="EZA53" s="3"/>
      <c r="EZB53" s="3"/>
      <c r="EZC53" s="3"/>
      <c r="EZD53" s="3"/>
      <c r="EZE53" s="3"/>
      <c r="EZF53" s="3"/>
      <c r="EZG53" s="3"/>
      <c r="EZH53" s="3"/>
      <c r="EZI53" s="3"/>
      <c r="EZJ53" s="3"/>
      <c r="EZK53" s="3"/>
      <c r="EZL53" s="3"/>
      <c r="EZM53" s="3"/>
      <c r="EZN53" s="3"/>
      <c r="EZO53" s="3"/>
      <c r="EZP53" s="3"/>
      <c r="EZQ53" s="3"/>
      <c r="EZR53" s="3"/>
      <c r="EZS53" s="3"/>
      <c r="EZT53" s="3"/>
      <c r="EZU53" s="3"/>
      <c r="EZV53" s="3"/>
      <c r="EZW53" s="3"/>
      <c r="EZX53" s="3"/>
      <c r="EZY53" s="3"/>
      <c r="EZZ53" s="3"/>
      <c r="FAA53" s="3"/>
      <c r="FAB53" s="3"/>
      <c r="FAC53" s="3"/>
      <c r="FAD53" s="3"/>
      <c r="FAE53" s="3"/>
      <c r="FAF53" s="3"/>
      <c r="FAG53" s="3"/>
      <c r="FAH53" s="3"/>
      <c r="FAI53" s="3"/>
      <c r="FAJ53" s="3"/>
      <c r="FAK53" s="3"/>
      <c r="FAL53" s="3"/>
      <c r="FAM53" s="3"/>
      <c r="FAN53" s="3"/>
      <c r="FAO53" s="3"/>
      <c r="FAP53" s="3"/>
      <c r="FAQ53" s="3"/>
      <c r="FAR53" s="3"/>
      <c r="FAS53" s="3"/>
      <c r="FAT53" s="3"/>
      <c r="FAU53" s="3"/>
      <c r="FAV53" s="3"/>
      <c r="FAW53" s="3"/>
      <c r="FAX53" s="3"/>
      <c r="FAY53" s="3"/>
      <c r="FAZ53" s="3"/>
      <c r="FBA53" s="3"/>
      <c r="FBB53" s="3"/>
      <c r="FBC53" s="3"/>
      <c r="FBD53" s="3"/>
      <c r="FBE53" s="3"/>
      <c r="FBF53" s="3"/>
      <c r="FBG53" s="3"/>
      <c r="FBH53" s="3"/>
      <c r="FBI53" s="3"/>
      <c r="FBJ53" s="3"/>
      <c r="FBK53" s="3"/>
      <c r="FBL53" s="3"/>
      <c r="FBM53" s="3"/>
      <c r="FBN53" s="3"/>
      <c r="FBO53" s="3"/>
      <c r="FBP53" s="3"/>
      <c r="FBQ53" s="3"/>
      <c r="FBR53" s="3"/>
      <c r="FBS53" s="3"/>
      <c r="FBT53" s="3"/>
      <c r="FBU53" s="3"/>
      <c r="FBV53" s="3"/>
      <c r="FBW53" s="3"/>
      <c r="FBX53" s="3"/>
      <c r="FBY53" s="3"/>
      <c r="FBZ53" s="3"/>
      <c r="FCA53" s="3"/>
      <c r="FCB53" s="3"/>
      <c r="FCC53" s="3"/>
      <c r="FCD53" s="3"/>
      <c r="FCE53" s="3"/>
      <c r="FCF53" s="3"/>
      <c r="FCG53" s="3"/>
      <c r="FCH53" s="3"/>
      <c r="FCI53" s="3"/>
      <c r="FCJ53" s="3"/>
      <c r="FCK53" s="3"/>
      <c r="FCL53" s="3"/>
      <c r="FCM53" s="3"/>
      <c r="FCN53" s="3"/>
      <c r="FCO53" s="3"/>
      <c r="FCP53" s="3"/>
      <c r="FCQ53" s="3"/>
      <c r="FCR53" s="3"/>
      <c r="FCS53" s="3"/>
      <c r="FCT53" s="3"/>
      <c r="FCU53" s="3"/>
      <c r="FCV53" s="3"/>
      <c r="FCW53" s="3"/>
      <c r="FCX53" s="3"/>
      <c r="FCY53" s="3"/>
      <c r="FCZ53" s="3"/>
      <c r="FDA53" s="3"/>
      <c r="FDB53" s="3"/>
      <c r="FDC53" s="3"/>
      <c r="FDD53" s="3"/>
      <c r="FDE53" s="3"/>
      <c r="FDF53" s="3"/>
      <c r="FDG53" s="3"/>
      <c r="FDH53" s="3"/>
      <c r="FDI53" s="3"/>
      <c r="FDJ53" s="3"/>
      <c r="FDK53" s="3"/>
      <c r="FDL53" s="3"/>
      <c r="FDM53" s="3"/>
      <c r="FDN53" s="3"/>
      <c r="FDO53" s="3"/>
      <c r="FDP53" s="3"/>
      <c r="FDQ53" s="3"/>
      <c r="FDR53" s="3"/>
      <c r="FDS53" s="3"/>
      <c r="FDT53" s="3"/>
      <c r="FDU53" s="3"/>
      <c r="FDV53" s="3"/>
      <c r="FDW53" s="3"/>
      <c r="FDX53" s="3"/>
      <c r="FDY53" s="3"/>
      <c r="FDZ53" s="3"/>
      <c r="FEA53" s="3"/>
      <c r="FEB53" s="3"/>
      <c r="FEC53" s="3"/>
      <c r="FED53" s="3"/>
      <c r="FEE53" s="3"/>
      <c r="FEF53" s="3"/>
      <c r="FEG53" s="3"/>
      <c r="FEH53" s="3"/>
      <c r="FEI53" s="3"/>
      <c r="FEJ53" s="3"/>
      <c r="FEK53" s="3"/>
      <c r="FEL53" s="3"/>
      <c r="FEM53" s="3"/>
      <c r="FEN53" s="3"/>
      <c r="FEO53" s="3"/>
      <c r="FEP53" s="3"/>
      <c r="FEQ53" s="3"/>
      <c r="FER53" s="3"/>
      <c r="FES53" s="3"/>
      <c r="FET53" s="3"/>
      <c r="FEU53" s="3"/>
      <c r="FEV53" s="3"/>
      <c r="FEW53" s="3"/>
      <c r="FEX53" s="3"/>
      <c r="FEY53" s="3"/>
      <c r="FEZ53" s="3"/>
      <c r="FFA53" s="3"/>
      <c r="FFB53" s="3"/>
      <c r="FFC53" s="3"/>
      <c r="FFD53" s="3"/>
      <c r="FFE53" s="3"/>
      <c r="FFF53" s="3"/>
      <c r="FFG53" s="3"/>
      <c r="FFH53" s="3"/>
      <c r="FFI53" s="3"/>
      <c r="FFJ53" s="3"/>
      <c r="FFK53" s="3"/>
      <c r="FFL53" s="3"/>
      <c r="FFM53" s="3"/>
      <c r="FFN53" s="3"/>
      <c r="FFO53" s="3"/>
      <c r="FFP53" s="3"/>
      <c r="FFQ53" s="3"/>
      <c r="FFR53" s="3"/>
      <c r="FFS53" s="3"/>
      <c r="FFT53" s="3"/>
      <c r="FFU53" s="3"/>
      <c r="FFV53" s="3"/>
      <c r="FFW53" s="3"/>
      <c r="FFX53" s="3"/>
      <c r="FFY53" s="3"/>
      <c r="FFZ53" s="3"/>
      <c r="FGA53" s="3"/>
      <c r="FGB53" s="3"/>
      <c r="FGC53" s="3"/>
      <c r="FGD53" s="3"/>
      <c r="FGE53" s="3"/>
      <c r="FGF53" s="3"/>
      <c r="FGG53" s="3"/>
      <c r="FGH53" s="3"/>
      <c r="FGI53" s="3"/>
      <c r="FGJ53" s="3"/>
      <c r="FGK53" s="3"/>
      <c r="FGL53" s="3"/>
      <c r="FGM53" s="3"/>
      <c r="FGN53" s="3"/>
      <c r="FGO53" s="3"/>
      <c r="FGP53" s="3"/>
      <c r="FGQ53" s="3"/>
      <c r="FGR53" s="3"/>
      <c r="FGS53" s="3"/>
      <c r="FGT53" s="3"/>
      <c r="FGU53" s="3"/>
      <c r="FGV53" s="3"/>
      <c r="FGW53" s="3"/>
      <c r="FGX53" s="3"/>
      <c r="FGY53" s="3"/>
      <c r="FGZ53" s="3"/>
      <c r="FHA53" s="3"/>
      <c r="FHB53" s="3"/>
      <c r="FHC53" s="3"/>
      <c r="FHD53" s="3"/>
      <c r="FHE53" s="3"/>
      <c r="FHF53" s="3"/>
      <c r="FHG53" s="3"/>
      <c r="FHH53" s="3"/>
      <c r="FHI53" s="3"/>
      <c r="FHJ53" s="3"/>
      <c r="FHK53" s="3"/>
      <c r="FHL53" s="3"/>
      <c r="FHM53" s="3"/>
      <c r="FHN53" s="3"/>
      <c r="FHO53" s="3"/>
      <c r="FHP53" s="3"/>
      <c r="FHQ53" s="3"/>
      <c r="FHR53" s="3"/>
      <c r="FHS53" s="3"/>
      <c r="FHT53" s="3"/>
      <c r="FHU53" s="3"/>
      <c r="FHV53" s="3"/>
      <c r="FHW53" s="3"/>
      <c r="FHX53" s="3"/>
      <c r="FHY53" s="3"/>
      <c r="FHZ53" s="3"/>
      <c r="FIA53" s="3"/>
      <c r="FIB53" s="3"/>
      <c r="FIC53" s="3"/>
      <c r="FID53" s="3"/>
      <c r="FIE53" s="3"/>
      <c r="FIF53" s="3"/>
      <c r="FIG53" s="3"/>
      <c r="FIH53" s="3"/>
      <c r="FII53" s="3"/>
      <c r="FIJ53" s="3"/>
      <c r="FIK53" s="3"/>
      <c r="FIL53" s="3"/>
      <c r="FIM53" s="3"/>
      <c r="FIN53" s="3"/>
      <c r="FIO53" s="3"/>
      <c r="FIP53" s="3"/>
      <c r="FIQ53" s="3"/>
      <c r="FIR53" s="3"/>
      <c r="FIS53" s="3"/>
      <c r="FIT53" s="3"/>
      <c r="FIU53" s="3"/>
      <c r="FIV53" s="3"/>
      <c r="FIW53" s="3"/>
      <c r="FIX53" s="3"/>
      <c r="FIY53" s="3"/>
      <c r="FIZ53" s="3"/>
      <c r="FJA53" s="3"/>
      <c r="FJB53" s="3"/>
      <c r="FJC53" s="3"/>
      <c r="FJD53" s="3"/>
      <c r="FJE53" s="3"/>
      <c r="FJF53" s="3"/>
      <c r="FJG53" s="3"/>
      <c r="FJH53" s="3"/>
      <c r="FJI53" s="3"/>
      <c r="FJJ53" s="3"/>
      <c r="FJK53" s="3"/>
      <c r="FJL53" s="3"/>
      <c r="FJM53" s="3"/>
      <c r="FJN53" s="3"/>
      <c r="FJO53" s="3"/>
      <c r="FJP53" s="3"/>
      <c r="FJQ53" s="3"/>
      <c r="FJR53" s="3"/>
      <c r="FJS53" s="3"/>
      <c r="FJT53" s="3"/>
      <c r="FJU53" s="3"/>
      <c r="FJV53" s="3"/>
      <c r="FJW53" s="3"/>
      <c r="FJX53" s="3"/>
      <c r="FJY53" s="3"/>
      <c r="FJZ53" s="3"/>
      <c r="FKA53" s="3"/>
      <c r="FKB53" s="3"/>
      <c r="FKC53" s="3"/>
      <c r="FKD53" s="3"/>
      <c r="FKE53" s="3"/>
      <c r="FKF53" s="3"/>
      <c r="FKG53" s="3"/>
      <c r="FKH53" s="3"/>
      <c r="FKI53" s="3"/>
      <c r="FKJ53" s="3"/>
      <c r="FKK53" s="3"/>
      <c r="FKL53" s="3"/>
      <c r="FKM53" s="3"/>
      <c r="FKN53" s="3"/>
      <c r="FKO53" s="3"/>
      <c r="FKP53" s="3"/>
      <c r="FKQ53" s="3"/>
      <c r="FKR53" s="3"/>
      <c r="FKS53" s="3"/>
      <c r="FKT53" s="3"/>
      <c r="FKU53" s="3"/>
      <c r="FKV53" s="3"/>
      <c r="FKW53" s="3"/>
      <c r="FKX53" s="3"/>
      <c r="FKY53" s="3"/>
      <c r="FKZ53" s="3"/>
      <c r="FLA53" s="3"/>
      <c r="FLB53" s="3"/>
      <c r="FLC53" s="3"/>
      <c r="FLD53" s="3"/>
      <c r="FLE53" s="3"/>
      <c r="FLF53" s="3"/>
      <c r="FLG53" s="3"/>
      <c r="FLH53" s="3"/>
      <c r="FLI53" s="3"/>
      <c r="FLJ53" s="3"/>
      <c r="FLK53" s="3"/>
      <c r="FLL53" s="3"/>
      <c r="FLM53" s="3"/>
      <c r="FLN53" s="3"/>
      <c r="FLO53" s="3"/>
      <c r="FLP53" s="3"/>
      <c r="FLQ53" s="3"/>
      <c r="FLR53" s="3"/>
      <c r="FLS53" s="3"/>
      <c r="FLT53" s="3"/>
      <c r="FLU53" s="3"/>
      <c r="FLV53" s="3"/>
      <c r="FLW53" s="3"/>
      <c r="FLX53" s="3"/>
      <c r="FLY53" s="3"/>
      <c r="FLZ53" s="3"/>
      <c r="FMA53" s="3"/>
      <c r="FMB53" s="3"/>
      <c r="FMC53" s="3"/>
      <c r="FMD53" s="3"/>
      <c r="FME53" s="3"/>
      <c r="FMF53" s="3"/>
      <c r="FMG53" s="3"/>
      <c r="FMH53" s="3"/>
      <c r="FMI53" s="3"/>
      <c r="FMJ53" s="3"/>
      <c r="FMK53" s="3"/>
      <c r="FML53" s="3"/>
      <c r="FMM53" s="3"/>
      <c r="FMN53" s="3"/>
      <c r="FMO53" s="3"/>
      <c r="FMP53" s="3"/>
      <c r="FMQ53" s="3"/>
      <c r="FMR53" s="3"/>
      <c r="FMS53" s="3"/>
      <c r="FMT53" s="3"/>
      <c r="FMU53" s="3"/>
      <c r="FMV53" s="3"/>
      <c r="FMW53" s="3"/>
      <c r="FMX53" s="3"/>
      <c r="FMY53" s="3"/>
      <c r="FMZ53" s="3"/>
      <c r="FNA53" s="3"/>
      <c r="FNB53" s="3"/>
      <c r="FNC53" s="3"/>
      <c r="FND53" s="3"/>
      <c r="FNE53" s="3"/>
      <c r="FNF53" s="3"/>
      <c r="FNG53" s="3"/>
      <c r="FNH53" s="3"/>
      <c r="FNI53" s="3"/>
      <c r="FNJ53" s="3"/>
      <c r="FNK53" s="3"/>
      <c r="FNL53" s="3"/>
      <c r="FNM53" s="3"/>
      <c r="FNN53" s="3"/>
      <c r="FNO53" s="3"/>
      <c r="FNP53" s="3"/>
      <c r="FNQ53" s="3"/>
      <c r="FNR53" s="3"/>
      <c r="FNS53" s="3"/>
      <c r="FNT53" s="3"/>
      <c r="FNU53" s="3"/>
      <c r="FNV53" s="3"/>
      <c r="FNW53" s="3"/>
      <c r="FNX53" s="3"/>
      <c r="FNY53" s="3"/>
      <c r="FNZ53" s="3"/>
      <c r="FOA53" s="3"/>
      <c r="FOB53" s="3"/>
      <c r="FOC53" s="3"/>
      <c r="FOD53" s="3"/>
      <c r="FOE53" s="3"/>
      <c r="FOF53" s="3"/>
      <c r="FOG53" s="3"/>
      <c r="FOH53" s="3"/>
      <c r="FOI53" s="3"/>
      <c r="FOJ53" s="3"/>
      <c r="FOK53" s="3"/>
      <c r="FOL53" s="3"/>
      <c r="FOM53" s="3"/>
      <c r="FON53" s="3"/>
      <c r="FOO53" s="3"/>
      <c r="FOP53" s="3"/>
      <c r="FOQ53" s="3"/>
      <c r="FOR53" s="3"/>
      <c r="FOS53" s="3"/>
      <c r="FOT53" s="3"/>
      <c r="FOU53" s="3"/>
      <c r="FOV53" s="3"/>
      <c r="FOW53" s="3"/>
      <c r="FOX53" s="3"/>
      <c r="FOY53" s="3"/>
      <c r="FOZ53" s="3"/>
      <c r="FPA53" s="3"/>
      <c r="FPB53" s="3"/>
      <c r="FPC53" s="3"/>
      <c r="FPD53" s="3"/>
      <c r="FPE53" s="3"/>
      <c r="FPF53" s="3"/>
      <c r="FPG53" s="3"/>
      <c r="FPH53" s="3"/>
      <c r="FPI53" s="3"/>
      <c r="FPJ53" s="3"/>
      <c r="FPK53" s="3"/>
      <c r="FPL53" s="3"/>
      <c r="FPM53" s="3"/>
      <c r="FPN53" s="3"/>
      <c r="FPO53" s="3"/>
      <c r="FPP53" s="3"/>
      <c r="FPQ53" s="3"/>
      <c r="FPR53" s="3"/>
      <c r="FPS53" s="3"/>
      <c r="FPT53" s="3"/>
      <c r="FPU53" s="3"/>
      <c r="FPV53" s="3"/>
      <c r="FPW53" s="3"/>
      <c r="FPX53" s="3"/>
      <c r="FPY53" s="3"/>
      <c r="FPZ53" s="3"/>
      <c r="FQA53" s="3"/>
      <c r="FQB53" s="3"/>
      <c r="FQC53" s="3"/>
      <c r="FQD53" s="3"/>
      <c r="FQE53" s="3"/>
      <c r="FQF53" s="3"/>
      <c r="FQG53" s="3"/>
      <c r="FQH53" s="3"/>
      <c r="FQI53" s="3"/>
      <c r="FQJ53" s="3"/>
      <c r="FQK53" s="3"/>
      <c r="FQL53" s="3"/>
      <c r="FQM53" s="3"/>
      <c r="FQN53" s="3"/>
      <c r="FQO53" s="3"/>
      <c r="FQP53" s="3"/>
      <c r="FQQ53" s="3"/>
      <c r="FQR53" s="3"/>
      <c r="FQS53" s="3"/>
      <c r="FQT53" s="3"/>
      <c r="FQU53" s="3"/>
      <c r="FQV53" s="3"/>
      <c r="FQW53" s="3"/>
      <c r="FQX53" s="3"/>
      <c r="FQY53" s="3"/>
      <c r="FQZ53" s="3"/>
      <c r="FRA53" s="3"/>
      <c r="FRB53" s="3"/>
      <c r="FRC53" s="3"/>
      <c r="FRD53" s="3"/>
      <c r="FRE53" s="3"/>
      <c r="FRF53" s="3"/>
      <c r="FRG53" s="3"/>
      <c r="FRH53" s="3"/>
      <c r="FRI53" s="3"/>
      <c r="FRJ53" s="3"/>
      <c r="FRK53" s="3"/>
      <c r="FRL53" s="3"/>
      <c r="FRM53" s="3"/>
      <c r="FRN53" s="3"/>
      <c r="FRO53" s="3"/>
      <c r="FRP53" s="3"/>
      <c r="FRQ53" s="3"/>
      <c r="FRR53" s="3"/>
      <c r="FRS53" s="3"/>
      <c r="FRT53" s="3"/>
      <c r="FRU53" s="3"/>
      <c r="FRV53" s="3"/>
      <c r="FRW53" s="3"/>
      <c r="FRX53" s="3"/>
      <c r="FRY53" s="3"/>
      <c r="FRZ53" s="3"/>
      <c r="FSA53" s="3"/>
      <c r="FSB53" s="3"/>
      <c r="FSC53" s="3"/>
      <c r="FSD53" s="3"/>
      <c r="FSE53" s="3"/>
      <c r="FSF53" s="3"/>
      <c r="FSG53" s="3"/>
      <c r="FSH53" s="3"/>
      <c r="FSI53" s="3"/>
      <c r="FSJ53" s="3"/>
      <c r="FSK53" s="3"/>
      <c r="FSL53" s="3"/>
      <c r="FSM53" s="3"/>
      <c r="FSN53" s="3"/>
      <c r="FSO53" s="3"/>
      <c r="FSP53" s="3"/>
      <c r="FSQ53" s="3"/>
      <c r="FSR53" s="3"/>
      <c r="FSS53" s="3"/>
      <c r="FST53" s="3"/>
      <c r="FSU53" s="3"/>
      <c r="FSV53" s="3"/>
      <c r="FSW53" s="3"/>
      <c r="FSX53" s="3"/>
      <c r="FSY53" s="3"/>
      <c r="FSZ53" s="3"/>
      <c r="FTA53" s="3"/>
      <c r="FTB53" s="3"/>
      <c r="FTC53" s="3"/>
      <c r="FTD53" s="3"/>
      <c r="FTE53" s="3"/>
      <c r="FTF53" s="3"/>
      <c r="FTG53" s="3"/>
      <c r="FTH53" s="3"/>
      <c r="FTI53" s="3"/>
      <c r="FTJ53" s="3"/>
      <c r="FTK53" s="3"/>
      <c r="FTL53" s="3"/>
      <c r="FTM53" s="3"/>
      <c r="FTN53" s="3"/>
      <c r="FTO53" s="3"/>
      <c r="FTP53" s="3"/>
      <c r="FTQ53" s="3"/>
      <c r="FTR53" s="3"/>
      <c r="FTS53" s="3"/>
      <c r="FTT53" s="3"/>
      <c r="FTU53" s="3"/>
      <c r="FTV53" s="3"/>
      <c r="FTW53" s="3"/>
      <c r="FTX53" s="3"/>
      <c r="FTY53" s="3"/>
      <c r="FTZ53" s="3"/>
      <c r="FUA53" s="3"/>
      <c r="FUB53" s="3"/>
      <c r="FUC53" s="3"/>
      <c r="FUD53" s="3"/>
      <c r="FUE53" s="3"/>
      <c r="FUF53" s="3"/>
      <c r="FUG53" s="3"/>
      <c r="FUH53" s="3"/>
      <c r="FUI53" s="3"/>
      <c r="FUJ53" s="3"/>
      <c r="FUK53" s="3"/>
      <c r="FUL53" s="3"/>
      <c r="FUM53" s="3"/>
      <c r="FUN53" s="3"/>
      <c r="FUO53" s="3"/>
      <c r="FUP53" s="3"/>
      <c r="FUQ53" s="3"/>
      <c r="FUR53" s="3"/>
      <c r="FUS53" s="3"/>
      <c r="FUT53" s="3"/>
      <c r="FUU53" s="3"/>
      <c r="FUV53" s="3"/>
      <c r="FUW53" s="3"/>
      <c r="FUX53" s="3"/>
      <c r="FUY53" s="3"/>
      <c r="FUZ53" s="3"/>
      <c r="FVA53" s="3"/>
      <c r="FVB53" s="3"/>
      <c r="FVC53" s="3"/>
      <c r="FVD53" s="3"/>
      <c r="FVE53" s="3"/>
      <c r="FVF53" s="3"/>
      <c r="FVG53" s="3"/>
      <c r="FVH53" s="3"/>
      <c r="FVI53" s="3"/>
      <c r="FVJ53" s="3"/>
      <c r="FVK53" s="3"/>
      <c r="FVL53" s="3"/>
      <c r="FVM53" s="3"/>
      <c r="FVN53" s="3"/>
      <c r="FVO53" s="3"/>
      <c r="FVP53" s="3"/>
      <c r="FVQ53" s="3"/>
      <c r="FVR53" s="3"/>
      <c r="FVS53" s="3"/>
      <c r="FVT53" s="3"/>
      <c r="FVU53" s="3"/>
      <c r="FVV53" s="3"/>
      <c r="FVW53" s="3"/>
      <c r="FVX53" s="3"/>
      <c r="FVY53" s="3"/>
      <c r="FVZ53" s="3"/>
      <c r="FWA53" s="3"/>
      <c r="FWB53" s="3"/>
      <c r="FWC53" s="3"/>
      <c r="FWD53" s="3"/>
      <c r="FWE53" s="3"/>
      <c r="FWF53" s="3"/>
      <c r="FWG53" s="3"/>
      <c r="FWH53" s="3"/>
      <c r="FWI53" s="3"/>
      <c r="FWJ53" s="3"/>
      <c r="FWK53" s="3"/>
      <c r="FWL53" s="3"/>
      <c r="FWM53" s="3"/>
      <c r="FWN53" s="3"/>
      <c r="FWO53" s="3"/>
      <c r="FWP53" s="3"/>
      <c r="FWQ53" s="3"/>
      <c r="FWR53" s="3"/>
      <c r="FWS53" s="3"/>
      <c r="FWT53" s="3"/>
      <c r="FWU53" s="3"/>
      <c r="FWV53" s="3"/>
      <c r="FWW53" s="3"/>
      <c r="FWX53" s="3"/>
      <c r="FWY53" s="3"/>
      <c r="FWZ53" s="3"/>
      <c r="FXA53" s="3"/>
      <c r="FXB53" s="3"/>
      <c r="FXC53" s="3"/>
      <c r="FXD53" s="3"/>
      <c r="FXE53" s="3"/>
      <c r="FXF53" s="3"/>
      <c r="FXG53" s="3"/>
      <c r="FXH53" s="3"/>
      <c r="FXI53" s="3"/>
      <c r="FXJ53" s="3"/>
      <c r="FXK53" s="3"/>
      <c r="FXL53" s="3"/>
      <c r="FXM53" s="3"/>
      <c r="FXN53" s="3"/>
      <c r="FXO53" s="3"/>
      <c r="FXP53" s="3"/>
      <c r="FXQ53" s="3"/>
      <c r="FXR53" s="3"/>
      <c r="FXS53" s="3"/>
      <c r="FXT53" s="3"/>
      <c r="FXU53" s="3"/>
      <c r="FXV53" s="3"/>
      <c r="FXW53" s="3"/>
      <c r="FXX53" s="3"/>
      <c r="FXY53" s="3"/>
      <c r="FXZ53" s="3"/>
      <c r="FYA53" s="3"/>
      <c r="FYB53" s="3"/>
      <c r="FYC53" s="3"/>
      <c r="FYD53" s="3"/>
      <c r="FYE53" s="3"/>
      <c r="FYF53" s="3"/>
      <c r="FYG53" s="3"/>
      <c r="FYH53" s="3"/>
      <c r="FYI53" s="3"/>
      <c r="FYJ53" s="3"/>
      <c r="FYK53" s="3"/>
      <c r="FYL53" s="3"/>
      <c r="FYM53" s="3"/>
      <c r="FYN53" s="3"/>
      <c r="FYO53" s="3"/>
      <c r="FYP53" s="3"/>
      <c r="FYQ53" s="3"/>
      <c r="FYR53" s="3"/>
      <c r="FYS53" s="3"/>
      <c r="FYT53" s="3"/>
      <c r="FYU53" s="3"/>
      <c r="FYV53" s="3"/>
      <c r="FYW53" s="3"/>
      <c r="FYX53" s="3"/>
      <c r="FYY53" s="3"/>
      <c r="FYZ53" s="3"/>
      <c r="FZA53" s="3"/>
      <c r="FZB53" s="3"/>
      <c r="FZC53" s="3"/>
      <c r="FZD53" s="3"/>
      <c r="FZE53" s="3"/>
      <c r="FZF53" s="3"/>
      <c r="FZG53" s="3"/>
      <c r="FZH53" s="3"/>
      <c r="FZI53" s="3"/>
      <c r="FZJ53" s="3"/>
      <c r="FZK53" s="3"/>
      <c r="FZL53" s="3"/>
      <c r="FZM53" s="3"/>
      <c r="FZN53" s="3"/>
      <c r="FZO53" s="3"/>
      <c r="FZP53" s="3"/>
      <c r="FZQ53" s="3"/>
      <c r="FZR53" s="3"/>
      <c r="FZS53" s="3"/>
      <c r="FZT53" s="3"/>
      <c r="FZU53" s="3"/>
      <c r="FZV53" s="3"/>
      <c r="FZW53" s="3"/>
      <c r="FZX53" s="3"/>
      <c r="FZY53" s="3"/>
      <c r="FZZ53" s="3"/>
      <c r="GAA53" s="3"/>
      <c r="GAB53" s="3"/>
      <c r="GAC53" s="3"/>
      <c r="GAD53" s="3"/>
      <c r="GAE53" s="3"/>
      <c r="GAF53" s="3"/>
      <c r="GAG53" s="3"/>
      <c r="GAH53" s="3"/>
      <c r="GAI53" s="3"/>
      <c r="GAJ53" s="3"/>
      <c r="GAK53" s="3"/>
      <c r="GAL53" s="3"/>
      <c r="GAM53" s="3"/>
      <c r="GAN53" s="3"/>
      <c r="GAO53" s="3"/>
      <c r="GAP53" s="3"/>
      <c r="GAQ53" s="3"/>
      <c r="GAR53" s="3"/>
      <c r="GAS53" s="3"/>
      <c r="GAT53" s="3"/>
      <c r="GAU53" s="3"/>
      <c r="GAV53" s="3"/>
      <c r="GAW53" s="3"/>
      <c r="GAX53" s="3"/>
      <c r="GAY53" s="3"/>
      <c r="GAZ53" s="3"/>
      <c r="GBA53" s="3"/>
      <c r="GBB53" s="3"/>
      <c r="GBC53" s="3"/>
      <c r="GBD53" s="3"/>
      <c r="GBE53" s="3"/>
      <c r="GBF53" s="3"/>
      <c r="GBG53" s="3"/>
      <c r="GBH53" s="3"/>
      <c r="GBI53" s="3"/>
      <c r="GBJ53" s="3"/>
      <c r="GBK53" s="3"/>
      <c r="GBL53" s="3"/>
      <c r="GBM53" s="3"/>
      <c r="GBN53" s="3"/>
      <c r="GBO53" s="3"/>
      <c r="GBP53" s="3"/>
      <c r="GBQ53" s="3"/>
      <c r="GBR53" s="3"/>
      <c r="GBS53" s="3"/>
      <c r="GBT53" s="3"/>
      <c r="GBU53" s="3"/>
      <c r="GBV53" s="3"/>
      <c r="GBW53" s="3"/>
      <c r="GBX53" s="3"/>
      <c r="GBY53" s="3"/>
      <c r="GBZ53" s="3"/>
      <c r="GCA53" s="3"/>
      <c r="GCB53" s="3"/>
      <c r="GCC53" s="3"/>
      <c r="GCD53" s="3"/>
      <c r="GCE53" s="3"/>
      <c r="GCF53" s="3"/>
      <c r="GCG53" s="3"/>
      <c r="GCH53" s="3"/>
      <c r="GCI53" s="3"/>
      <c r="GCJ53" s="3"/>
      <c r="GCK53" s="3"/>
      <c r="GCL53" s="3"/>
      <c r="GCM53" s="3"/>
      <c r="GCN53" s="3"/>
      <c r="GCO53" s="3"/>
      <c r="GCP53" s="3"/>
      <c r="GCQ53" s="3"/>
      <c r="GCR53" s="3"/>
      <c r="GCS53" s="3"/>
      <c r="GCT53" s="3"/>
      <c r="GCU53" s="3"/>
      <c r="GCV53" s="3"/>
      <c r="GCW53" s="3"/>
      <c r="GCX53" s="3"/>
      <c r="GCY53" s="3"/>
      <c r="GCZ53" s="3"/>
      <c r="GDA53" s="3"/>
      <c r="GDB53" s="3"/>
      <c r="GDC53" s="3"/>
      <c r="GDD53" s="3"/>
      <c r="GDE53" s="3"/>
      <c r="GDF53" s="3"/>
      <c r="GDG53" s="3"/>
      <c r="GDH53" s="3"/>
      <c r="GDI53" s="3"/>
      <c r="GDJ53" s="3"/>
      <c r="GDK53" s="3"/>
      <c r="GDL53" s="3"/>
      <c r="GDM53" s="3"/>
      <c r="GDN53" s="3"/>
      <c r="GDO53" s="3"/>
      <c r="GDP53" s="3"/>
      <c r="GDQ53" s="3"/>
      <c r="GDR53" s="3"/>
      <c r="GDS53" s="3"/>
      <c r="GDT53" s="3"/>
      <c r="GDU53" s="3"/>
      <c r="GDV53" s="3"/>
      <c r="GDW53" s="3"/>
      <c r="GDX53" s="3"/>
      <c r="GDY53" s="3"/>
      <c r="GDZ53" s="3"/>
      <c r="GEA53" s="3"/>
      <c r="GEB53" s="3"/>
      <c r="GEC53" s="3"/>
      <c r="GED53" s="3"/>
      <c r="GEE53" s="3"/>
      <c r="GEF53" s="3"/>
      <c r="GEG53" s="3"/>
      <c r="GEH53" s="3"/>
      <c r="GEI53" s="3"/>
      <c r="GEJ53" s="3"/>
      <c r="GEK53" s="3"/>
      <c r="GEL53" s="3"/>
      <c r="GEM53" s="3"/>
      <c r="GEN53" s="3"/>
      <c r="GEO53" s="3"/>
      <c r="GEP53" s="3"/>
      <c r="GEQ53" s="3"/>
      <c r="GER53" s="3"/>
      <c r="GES53" s="3"/>
      <c r="GET53" s="3"/>
      <c r="GEU53" s="3"/>
      <c r="GEV53" s="3"/>
      <c r="GEW53" s="3"/>
      <c r="GEX53" s="3"/>
      <c r="GEY53" s="3"/>
      <c r="GEZ53" s="3"/>
      <c r="GFA53" s="3"/>
      <c r="GFB53" s="3"/>
      <c r="GFC53" s="3"/>
      <c r="GFD53" s="3"/>
      <c r="GFE53" s="3"/>
      <c r="GFF53" s="3"/>
      <c r="GFG53" s="3"/>
      <c r="GFH53" s="3"/>
      <c r="GFI53" s="3"/>
      <c r="GFJ53" s="3"/>
      <c r="GFK53" s="3"/>
      <c r="GFL53" s="3"/>
      <c r="GFM53" s="3"/>
      <c r="GFN53" s="3"/>
      <c r="GFO53" s="3"/>
      <c r="GFP53" s="3"/>
      <c r="GFQ53" s="3"/>
      <c r="GFR53" s="3"/>
      <c r="GFS53" s="3"/>
      <c r="GFT53" s="3"/>
      <c r="GFU53" s="3"/>
      <c r="GFV53" s="3"/>
      <c r="GFW53" s="3"/>
      <c r="GFX53" s="3"/>
      <c r="GFY53" s="3"/>
      <c r="GFZ53" s="3"/>
      <c r="GGA53" s="3"/>
      <c r="GGB53" s="3"/>
      <c r="GGC53" s="3"/>
      <c r="GGD53" s="3"/>
      <c r="GGE53" s="3"/>
      <c r="GGF53" s="3"/>
      <c r="GGG53" s="3"/>
      <c r="GGH53" s="3"/>
      <c r="GGI53" s="3"/>
      <c r="GGJ53" s="3"/>
      <c r="GGK53" s="3"/>
      <c r="GGL53" s="3"/>
      <c r="GGM53" s="3"/>
      <c r="GGN53" s="3"/>
      <c r="GGO53" s="3"/>
      <c r="GGP53" s="3"/>
      <c r="GGQ53" s="3"/>
      <c r="GGR53" s="3"/>
      <c r="GGS53" s="3"/>
      <c r="GGT53" s="3"/>
      <c r="GGU53" s="3"/>
      <c r="GGV53" s="3"/>
      <c r="GGW53" s="3"/>
      <c r="GGX53" s="3"/>
      <c r="GGY53" s="3"/>
      <c r="GGZ53" s="3"/>
      <c r="GHA53" s="3"/>
      <c r="GHB53" s="3"/>
      <c r="GHC53" s="3"/>
      <c r="GHD53" s="3"/>
      <c r="GHE53" s="3"/>
      <c r="GHF53" s="3"/>
      <c r="GHG53" s="3"/>
      <c r="GHH53" s="3"/>
      <c r="GHI53" s="3"/>
      <c r="GHJ53" s="3"/>
      <c r="GHK53" s="3"/>
      <c r="GHL53" s="3"/>
      <c r="GHM53" s="3"/>
      <c r="GHN53" s="3"/>
      <c r="GHO53" s="3"/>
      <c r="GHP53" s="3"/>
      <c r="GHQ53" s="3"/>
      <c r="GHR53" s="3"/>
      <c r="GHS53" s="3"/>
      <c r="GHT53" s="3"/>
      <c r="GHU53" s="3"/>
      <c r="GHV53" s="3"/>
      <c r="GHW53" s="3"/>
      <c r="GHX53" s="3"/>
      <c r="GHY53" s="3"/>
      <c r="GHZ53" s="3"/>
      <c r="GIA53" s="3"/>
      <c r="GIB53" s="3"/>
      <c r="GIC53" s="3"/>
      <c r="GID53" s="3"/>
      <c r="GIE53" s="3"/>
      <c r="GIF53" s="3"/>
      <c r="GIG53" s="3"/>
      <c r="GIH53" s="3"/>
      <c r="GII53" s="3"/>
      <c r="GIJ53" s="3"/>
      <c r="GIK53" s="3"/>
      <c r="GIL53" s="3"/>
      <c r="GIM53" s="3"/>
      <c r="GIN53" s="3"/>
      <c r="GIO53" s="3"/>
      <c r="GIP53" s="3"/>
      <c r="GIQ53" s="3"/>
      <c r="GIR53" s="3"/>
      <c r="GIS53" s="3"/>
      <c r="GIT53" s="3"/>
      <c r="GIU53" s="3"/>
      <c r="GIV53" s="3"/>
      <c r="GIW53" s="3"/>
      <c r="GIX53" s="3"/>
      <c r="GIY53" s="3"/>
      <c r="GIZ53" s="3"/>
      <c r="GJA53" s="3"/>
      <c r="GJB53" s="3"/>
      <c r="GJC53" s="3"/>
      <c r="GJD53" s="3"/>
      <c r="GJE53" s="3"/>
      <c r="GJF53" s="3"/>
      <c r="GJG53" s="3"/>
      <c r="GJH53" s="3"/>
      <c r="GJI53" s="3"/>
      <c r="GJJ53" s="3"/>
      <c r="GJK53" s="3"/>
      <c r="GJL53" s="3"/>
      <c r="GJM53" s="3"/>
      <c r="GJN53" s="3"/>
      <c r="GJO53" s="3"/>
      <c r="GJP53" s="3"/>
      <c r="GJQ53" s="3"/>
      <c r="GJR53" s="3"/>
      <c r="GJS53" s="3"/>
      <c r="GJT53" s="3"/>
      <c r="GJU53" s="3"/>
      <c r="GJV53" s="3"/>
      <c r="GJW53" s="3"/>
      <c r="GJX53" s="3"/>
      <c r="GJY53" s="3"/>
      <c r="GJZ53" s="3"/>
      <c r="GKA53" s="3"/>
      <c r="GKB53" s="3"/>
      <c r="GKC53" s="3"/>
      <c r="GKD53" s="3"/>
      <c r="GKE53" s="3"/>
      <c r="GKF53" s="3"/>
      <c r="GKG53" s="3"/>
      <c r="GKH53" s="3"/>
      <c r="GKI53" s="3"/>
      <c r="GKJ53" s="3"/>
      <c r="GKK53" s="3"/>
      <c r="GKL53" s="3"/>
      <c r="GKM53" s="3"/>
      <c r="GKN53" s="3"/>
      <c r="GKO53" s="3"/>
      <c r="GKP53" s="3"/>
      <c r="GKQ53" s="3"/>
      <c r="GKR53" s="3"/>
      <c r="GKS53" s="3"/>
      <c r="GKT53" s="3"/>
      <c r="GKU53" s="3"/>
      <c r="GKV53" s="3"/>
      <c r="GKW53" s="3"/>
      <c r="GKX53" s="3"/>
      <c r="GKY53" s="3"/>
      <c r="GKZ53" s="3"/>
      <c r="GLA53" s="3"/>
      <c r="GLB53" s="3"/>
      <c r="GLC53" s="3"/>
      <c r="GLD53" s="3"/>
      <c r="GLE53" s="3"/>
      <c r="GLF53" s="3"/>
      <c r="GLG53" s="3"/>
      <c r="GLH53" s="3"/>
      <c r="GLI53" s="3"/>
      <c r="GLJ53" s="3"/>
      <c r="GLK53" s="3"/>
      <c r="GLL53" s="3"/>
      <c r="GLM53" s="3"/>
      <c r="GLN53" s="3"/>
      <c r="GLO53" s="3"/>
      <c r="GLP53" s="3"/>
      <c r="GLQ53" s="3"/>
      <c r="GLR53" s="3"/>
      <c r="GLS53" s="3"/>
      <c r="GLT53" s="3"/>
      <c r="GLU53" s="3"/>
      <c r="GLV53" s="3"/>
      <c r="GLW53" s="3"/>
      <c r="GLX53" s="3"/>
      <c r="GLY53" s="3"/>
      <c r="GLZ53" s="3"/>
      <c r="GMA53" s="3"/>
      <c r="GMB53" s="3"/>
      <c r="GMC53" s="3"/>
      <c r="GMD53" s="3"/>
      <c r="GME53" s="3"/>
      <c r="GMF53" s="3"/>
      <c r="GMG53" s="3"/>
      <c r="GMH53" s="3"/>
      <c r="GMI53" s="3"/>
      <c r="GMJ53" s="3"/>
      <c r="GMK53" s="3"/>
      <c r="GML53" s="3"/>
      <c r="GMM53" s="3"/>
      <c r="GMN53" s="3"/>
      <c r="GMO53" s="3"/>
      <c r="GMP53" s="3"/>
      <c r="GMQ53" s="3"/>
      <c r="GMR53" s="3"/>
      <c r="GMS53" s="3"/>
      <c r="GMT53" s="3"/>
      <c r="GMU53" s="3"/>
      <c r="GMV53" s="3"/>
      <c r="GMW53" s="3"/>
      <c r="GMX53" s="3"/>
      <c r="GMY53" s="3"/>
      <c r="GMZ53" s="3"/>
      <c r="GNA53" s="3"/>
      <c r="GNB53" s="3"/>
      <c r="GNC53" s="3"/>
      <c r="GND53" s="3"/>
      <c r="GNE53" s="3"/>
      <c r="GNF53" s="3"/>
      <c r="GNG53" s="3"/>
      <c r="GNH53" s="3"/>
      <c r="GNI53" s="3"/>
      <c r="GNJ53" s="3"/>
      <c r="GNK53" s="3"/>
      <c r="GNL53" s="3"/>
      <c r="GNM53" s="3"/>
      <c r="GNN53" s="3"/>
      <c r="GNO53" s="3"/>
      <c r="GNP53" s="3"/>
      <c r="GNQ53" s="3"/>
      <c r="GNR53" s="3"/>
      <c r="GNS53" s="3"/>
      <c r="GNT53" s="3"/>
      <c r="GNU53" s="3"/>
      <c r="GNV53" s="3"/>
      <c r="GNW53" s="3"/>
      <c r="GNX53" s="3"/>
      <c r="GNY53" s="3"/>
      <c r="GNZ53" s="3"/>
      <c r="GOA53" s="3"/>
      <c r="GOB53" s="3"/>
      <c r="GOC53" s="3"/>
      <c r="GOD53" s="3"/>
      <c r="GOE53" s="3"/>
      <c r="GOF53" s="3"/>
      <c r="GOG53" s="3"/>
      <c r="GOH53" s="3"/>
      <c r="GOI53" s="3"/>
      <c r="GOJ53" s="3"/>
      <c r="GOK53" s="3"/>
      <c r="GOL53" s="3"/>
      <c r="GOM53" s="3"/>
      <c r="GON53" s="3"/>
      <c r="GOO53" s="3"/>
      <c r="GOP53" s="3"/>
      <c r="GOQ53" s="3"/>
      <c r="GOR53" s="3"/>
      <c r="GOS53" s="3"/>
      <c r="GOT53" s="3"/>
      <c r="GOU53" s="3"/>
      <c r="GOV53" s="3"/>
      <c r="GOW53" s="3"/>
      <c r="GOX53" s="3"/>
      <c r="GOY53" s="3"/>
      <c r="GOZ53" s="3"/>
      <c r="GPA53" s="3"/>
      <c r="GPB53" s="3"/>
      <c r="GPC53" s="3"/>
      <c r="GPD53" s="3"/>
      <c r="GPE53" s="3"/>
      <c r="GPF53" s="3"/>
      <c r="GPG53" s="3"/>
      <c r="GPH53" s="3"/>
      <c r="GPI53" s="3"/>
      <c r="GPJ53" s="3"/>
      <c r="GPK53" s="3"/>
      <c r="GPL53" s="3"/>
      <c r="GPM53" s="3"/>
      <c r="GPN53" s="3"/>
      <c r="GPO53" s="3"/>
      <c r="GPP53" s="3"/>
      <c r="GPQ53" s="3"/>
      <c r="GPR53" s="3"/>
      <c r="GPS53" s="3"/>
      <c r="GPT53" s="3"/>
      <c r="GPU53" s="3"/>
      <c r="GPV53" s="3"/>
      <c r="GPW53" s="3"/>
      <c r="GPX53" s="3"/>
      <c r="GPY53" s="3"/>
      <c r="GPZ53" s="3"/>
      <c r="GQA53" s="3"/>
      <c r="GQB53" s="3"/>
      <c r="GQC53" s="3"/>
      <c r="GQD53" s="3"/>
      <c r="GQE53" s="3"/>
      <c r="GQF53" s="3"/>
      <c r="GQG53" s="3"/>
      <c r="GQH53" s="3"/>
      <c r="GQI53" s="3"/>
      <c r="GQJ53" s="3"/>
      <c r="GQK53" s="3"/>
      <c r="GQL53" s="3"/>
      <c r="GQM53" s="3"/>
      <c r="GQN53" s="3"/>
      <c r="GQO53" s="3"/>
      <c r="GQP53" s="3"/>
      <c r="GQQ53" s="3"/>
      <c r="GQR53" s="3"/>
      <c r="GQS53" s="3"/>
      <c r="GQT53" s="3"/>
      <c r="GQU53" s="3"/>
      <c r="GQV53" s="3"/>
      <c r="GQW53" s="3"/>
      <c r="GQX53" s="3"/>
      <c r="GQY53" s="3"/>
      <c r="GQZ53" s="3"/>
      <c r="GRA53" s="3"/>
      <c r="GRB53" s="3"/>
      <c r="GRC53" s="3"/>
      <c r="GRD53" s="3"/>
      <c r="GRE53" s="3"/>
      <c r="GRF53" s="3"/>
      <c r="GRG53" s="3"/>
      <c r="GRH53" s="3"/>
      <c r="GRI53" s="3"/>
      <c r="GRJ53" s="3"/>
      <c r="GRK53" s="3"/>
      <c r="GRL53" s="3"/>
      <c r="GRM53" s="3"/>
      <c r="GRN53" s="3"/>
      <c r="GRO53" s="3"/>
      <c r="GRP53" s="3"/>
      <c r="GRQ53" s="3"/>
      <c r="GRR53" s="3"/>
      <c r="GRS53" s="3"/>
      <c r="GRT53" s="3"/>
      <c r="GRU53" s="3"/>
      <c r="GRV53" s="3"/>
      <c r="GRW53" s="3"/>
      <c r="GRX53" s="3"/>
      <c r="GRY53" s="3"/>
      <c r="GRZ53" s="3"/>
      <c r="GSA53" s="3"/>
      <c r="GSB53" s="3"/>
      <c r="GSC53" s="3"/>
      <c r="GSD53" s="3"/>
      <c r="GSE53" s="3"/>
      <c r="GSF53" s="3"/>
      <c r="GSG53" s="3"/>
      <c r="GSH53" s="3"/>
      <c r="GSI53" s="3"/>
      <c r="GSJ53" s="3"/>
      <c r="GSK53" s="3"/>
      <c r="GSL53" s="3"/>
      <c r="GSM53" s="3"/>
      <c r="GSN53" s="3"/>
      <c r="GSO53" s="3"/>
      <c r="GSP53" s="3"/>
      <c r="GSQ53" s="3"/>
      <c r="GSR53" s="3"/>
      <c r="GSS53" s="3"/>
      <c r="GST53" s="3"/>
      <c r="GSU53" s="3"/>
      <c r="GSV53" s="3"/>
      <c r="GSW53" s="3"/>
      <c r="GSX53" s="3"/>
      <c r="GSY53" s="3"/>
      <c r="GSZ53" s="3"/>
      <c r="GTA53" s="3"/>
      <c r="GTB53" s="3"/>
      <c r="GTC53" s="3"/>
      <c r="GTD53" s="3"/>
      <c r="GTE53" s="3"/>
      <c r="GTF53" s="3"/>
      <c r="GTG53" s="3"/>
      <c r="GTH53" s="3"/>
      <c r="GTI53" s="3"/>
      <c r="GTJ53" s="3"/>
      <c r="GTK53" s="3"/>
      <c r="GTL53" s="3"/>
      <c r="GTM53" s="3"/>
      <c r="GTN53" s="3"/>
      <c r="GTO53" s="3"/>
      <c r="GTP53" s="3"/>
      <c r="GTQ53" s="3"/>
      <c r="GTR53" s="3"/>
      <c r="GTS53" s="3"/>
      <c r="GTT53" s="3"/>
      <c r="GTU53" s="3"/>
      <c r="GTV53" s="3"/>
      <c r="GTW53" s="3"/>
      <c r="GTX53" s="3"/>
      <c r="GTY53" s="3"/>
      <c r="GTZ53" s="3"/>
      <c r="GUA53" s="3"/>
      <c r="GUB53" s="3"/>
      <c r="GUC53" s="3"/>
      <c r="GUD53" s="3"/>
      <c r="GUE53" s="3"/>
      <c r="GUF53" s="3"/>
      <c r="GUG53" s="3"/>
      <c r="GUH53" s="3"/>
      <c r="GUI53" s="3"/>
      <c r="GUJ53" s="3"/>
      <c r="GUK53" s="3"/>
      <c r="GUL53" s="3"/>
      <c r="GUM53" s="3"/>
      <c r="GUN53" s="3"/>
      <c r="GUO53" s="3"/>
      <c r="GUP53" s="3"/>
      <c r="GUQ53" s="3"/>
      <c r="GUR53" s="3"/>
      <c r="GUS53" s="3"/>
      <c r="GUT53" s="3"/>
      <c r="GUU53" s="3"/>
      <c r="GUV53" s="3"/>
      <c r="GUW53" s="3"/>
      <c r="GUX53" s="3"/>
      <c r="GUY53" s="3"/>
      <c r="GUZ53" s="3"/>
      <c r="GVA53" s="3"/>
      <c r="GVB53" s="3"/>
      <c r="GVC53" s="3"/>
      <c r="GVD53" s="3"/>
      <c r="GVE53" s="3"/>
      <c r="GVF53" s="3"/>
      <c r="GVG53" s="3"/>
      <c r="GVH53" s="3"/>
      <c r="GVI53" s="3"/>
      <c r="GVJ53" s="3"/>
      <c r="GVK53" s="3"/>
      <c r="GVL53" s="3"/>
      <c r="GVM53" s="3"/>
      <c r="GVN53" s="3"/>
      <c r="GVO53" s="3"/>
      <c r="GVP53" s="3"/>
      <c r="GVQ53" s="3"/>
      <c r="GVR53" s="3"/>
      <c r="GVS53" s="3"/>
      <c r="GVT53" s="3"/>
      <c r="GVU53" s="3"/>
      <c r="GVV53" s="3"/>
      <c r="GVW53" s="3"/>
      <c r="GVX53" s="3"/>
      <c r="GVY53" s="3"/>
      <c r="GVZ53" s="3"/>
      <c r="GWA53" s="3"/>
      <c r="GWB53" s="3"/>
      <c r="GWC53" s="3"/>
      <c r="GWD53" s="3"/>
      <c r="GWE53" s="3"/>
      <c r="GWF53" s="3"/>
      <c r="GWG53" s="3"/>
      <c r="GWH53" s="3"/>
      <c r="GWI53" s="3"/>
      <c r="GWJ53" s="3"/>
      <c r="GWK53" s="3"/>
      <c r="GWL53" s="3"/>
      <c r="GWM53" s="3"/>
      <c r="GWN53" s="3"/>
      <c r="GWO53" s="3"/>
      <c r="GWP53" s="3"/>
      <c r="GWQ53" s="3"/>
      <c r="GWR53" s="3"/>
      <c r="GWS53" s="3"/>
      <c r="GWT53" s="3"/>
      <c r="GWU53" s="3"/>
      <c r="GWV53" s="3"/>
      <c r="GWW53" s="3"/>
      <c r="GWX53" s="3"/>
      <c r="GWY53" s="3"/>
      <c r="GWZ53" s="3"/>
      <c r="GXA53" s="3"/>
      <c r="GXB53" s="3"/>
      <c r="GXC53" s="3"/>
      <c r="GXD53" s="3"/>
      <c r="GXE53" s="3"/>
      <c r="GXF53" s="3"/>
      <c r="GXG53" s="3"/>
      <c r="GXH53" s="3"/>
      <c r="GXI53" s="3"/>
      <c r="GXJ53" s="3"/>
      <c r="GXK53" s="3"/>
      <c r="GXL53" s="3"/>
      <c r="GXM53" s="3"/>
      <c r="GXN53" s="3"/>
      <c r="GXO53" s="3"/>
      <c r="GXP53" s="3"/>
      <c r="GXQ53" s="3"/>
      <c r="GXR53" s="3"/>
      <c r="GXS53" s="3"/>
      <c r="GXT53" s="3"/>
      <c r="GXU53" s="3"/>
      <c r="GXV53" s="3"/>
      <c r="GXW53" s="3"/>
      <c r="GXX53" s="3"/>
      <c r="GXY53" s="3"/>
      <c r="GXZ53" s="3"/>
      <c r="GYA53" s="3"/>
      <c r="GYB53" s="3"/>
      <c r="GYC53" s="3"/>
      <c r="GYD53" s="3"/>
      <c r="GYE53" s="3"/>
      <c r="GYF53" s="3"/>
      <c r="GYG53" s="3"/>
      <c r="GYH53" s="3"/>
      <c r="GYI53" s="3"/>
      <c r="GYJ53" s="3"/>
      <c r="GYK53" s="3"/>
      <c r="GYL53" s="3"/>
      <c r="GYM53" s="3"/>
      <c r="GYN53" s="3"/>
      <c r="GYO53" s="3"/>
      <c r="GYP53" s="3"/>
      <c r="GYQ53" s="3"/>
      <c r="GYR53" s="3"/>
      <c r="GYS53" s="3"/>
      <c r="GYT53" s="3"/>
      <c r="GYU53" s="3"/>
      <c r="GYV53" s="3"/>
      <c r="GYW53" s="3"/>
      <c r="GYX53" s="3"/>
      <c r="GYY53" s="3"/>
      <c r="GYZ53" s="3"/>
      <c r="GZA53" s="3"/>
      <c r="GZB53" s="3"/>
      <c r="GZC53" s="3"/>
      <c r="GZD53" s="3"/>
      <c r="GZE53" s="3"/>
      <c r="GZF53" s="3"/>
      <c r="GZG53" s="3"/>
      <c r="GZH53" s="3"/>
      <c r="GZI53" s="3"/>
      <c r="GZJ53" s="3"/>
      <c r="GZK53" s="3"/>
      <c r="GZL53" s="3"/>
      <c r="GZM53" s="3"/>
      <c r="GZN53" s="3"/>
      <c r="GZO53" s="3"/>
      <c r="GZP53" s="3"/>
      <c r="GZQ53" s="3"/>
      <c r="GZR53" s="3"/>
      <c r="GZS53" s="3"/>
      <c r="GZT53" s="3"/>
      <c r="GZU53" s="3"/>
      <c r="GZV53" s="3"/>
      <c r="GZW53" s="3"/>
      <c r="GZX53" s="3"/>
      <c r="GZY53" s="3"/>
      <c r="GZZ53" s="3"/>
      <c r="HAA53" s="3"/>
      <c r="HAB53" s="3"/>
      <c r="HAC53" s="3"/>
      <c r="HAD53" s="3"/>
      <c r="HAE53" s="3"/>
      <c r="HAF53" s="3"/>
      <c r="HAG53" s="3"/>
      <c r="HAH53" s="3"/>
      <c r="HAI53" s="3"/>
      <c r="HAJ53" s="3"/>
      <c r="HAK53" s="3"/>
      <c r="HAL53" s="3"/>
      <c r="HAM53" s="3"/>
      <c r="HAN53" s="3"/>
      <c r="HAO53" s="3"/>
      <c r="HAP53" s="3"/>
      <c r="HAQ53" s="3"/>
      <c r="HAR53" s="3"/>
      <c r="HAS53" s="3"/>
      <c r="HAT53" s="3"/>
      <c r="HAU53" s="3"/>
      <c r="HAV53" s="3"/>
      <c r="HAW53" s="3"/>
      <c r="HAX53" s="3"/>
      <c r="HAY53" s="3"/>
      <c r="HAZ53" s="3"/>
      <c r="HBA53" s="3"/>
      <c r="HBB53" s="3"/>
      <c r="HBC53" s="3"/>
      <c r="HBD53" s="3"/>
      <c r="HBE53" s="3"/>
      <c r="HBF53" s="3"/>
      <c r="HBG53" s="3"/>
      <c r="HBH53" s="3"/>
      <c r="HBI53" s="3"/>
      <c r="HBJ53" s="3"/>
      <c r="HBK53" s="3"/>
      <c r="HBL53" s="3"/>
      <c r="HBM53" s="3"/>
      <c r="HBN53" s="3"/>
      <c r="HBO53" s="3"/>
      <c r="HBP53" s="3"/>
      <c r="HBQ53" s="3"/>
      <c r="HBR53" s="3"/>
      <c r="HBS53" s="3"/>
      <c r="HBT53" s="3"/>
      <c r="HBU53" s="3"/>
      <c r="HBV53" s="3"/>
      <c r="HBW53" s="3"/>
      <c r="HBX53" s="3"/>
      <c r="HBY53" s="3"/>
      <c r="HBZ53" s="3"/>
      <c r="HCA53" s="3"/>
      <c r="HCB53" s="3"/>
      <c r="HCC53" s="3"/>
      <c r="HCD53" s="3"/>
      <c r="HCE53" s="3"/>
      <c r="HCF53" s="3"/>
      <c r="HCG53" s="3"/>
      <c r="HCH53" s="3"/>
      <c r="HCI53" s="3"/>
      <c r="HCJ53" s="3"/>
      <c r="HCK53" s="3"/>
      <c r="HCL53" s="3"/>
      <c r="HCM53" s="3"/>
      <c r="HCN53" s="3"/>
      <c r="HCO53" s="3"/>
      <c r="HCP53" s="3"/>
      <c r="HCQ53" s="3"/>
      <c r="HCR53" s="3"/>
      <c r="HCS53" s="3"/>
      <c r="HCT53" s="3"/>
      <c r="HCU53" s="3"/>
      <c r="HCV53" s="3"/>
      <c r="HCW53" s="3"/>
      <c r="HCX53" s="3"/>
      <c r="HCY53" s="3"/>
      <c r="HCZ53" s="3"/>
      <c r="HDA53" s="3"/>
      <c r="HDB53" s="3"/>
      <c r="HDC53" s="3"/>
      <c r="HDD53" s="3"/>
      <c r="HDE53" s="3"/>
      <c r="HDF53" s="3"/>
      <c r="HDG53" s="3"/>
      <c r="HDH53" s="3"/>
      <c r="HDI53" s="3"/>
      <c r="HDJ53" s="3"/>
      <c r="HDK53" s="3"/>
      <c r="HDL53" s="3"/>
      <c r="HDM53" s="3"/>
      <c r="HDN53" s="3"/>
      <c r="HDO53" s="3"/>
      <c r="HDP53" s="3"/>
      <c r="HDQ53" s="3"/>
      <c r="HDR53" s="3"/>
      <c r="HDS53" s="3"/>
      <c r="HDT53" s="3"/>
      <c r="HDU53" s="3"/>
      <c r="HDV53" s="3"/>
      <c r="HDW53" s="3"/>
      <c r="HDX53" s="3"/>
      <c r="HDY53" s="3"/>
      <c r="HDZ53" s="3"/>
      <c r="HEA53" s="3"/>
      <c r="HEB53" s="3"/>
      <c r="HEC53" s="3"/>
      <c r="HED53" s="3"/>
      <c r="HEE53" s="3"/>
      <c r="HEF53" s="3"/>
      <c r="HEG53" s="3"/>
      <c r="HEH53" s="3"/>
      <c r="HEI53" s="3"/>
      <c r="HEJ53" s="3"/>
      <c r="HEK53" s="3"/>
      <c r="HEL53" s="3"/>
      <c r="HEM53" s="3"/>
      <c r="HEN53" s="3"/>
      <c r="HEO53" s="3"/>
      <c r="HEP53" s="3"/>
      <c r="HEQ53" s="3"/>
      <c r="HER53" s="3"/>
      <c r="HES53" s="3"/>
      <c r="HET53" s="3"/>
      <c r="HEU53" s="3"/>
      <c r="HEV53" s="3"/>
      <c r="HEW53" s="3"/>
      <c r="HEX53" s="3"/>
      <c r="HEY53" s="3"/>
      <c r="HEZ53" s="3"/>
      <c r="HFA53" s="3"/>
      <c r="HFB53" s="3"/>
      <c r="HFC53" s="3"/>
      <c r="HFD53" s="3"/>
      <c r="HFE53" s="3"/>
      <c r="HFF53" s="3"/>
      <c r="HFG53" s="3"/>
      <c r="HFH53" s="3"/>
      <c r="HFI53" s="3"/>
      <c r="HFJ53" s="3"/>
      <c r="HFK53" s="3"/>
      <c r="HFL53" s="3"/>
      <c r="HFM53" s="3"/>
      <c r="HFN53" s="3"/>
      <c r="HFO53" s="3"/>
      <c r="HFP53" s="3"/>
      <c r="HFQ53" s="3"/>
      <c r="HFR53" s="3"/>
      <c r="HFS53" s="3"/>
      <c r="HFT53" s="3"/>
      <c r="HFU53" s="3"/>
      <c r="HFV53" s="3"/>
      <c r="HFW53" s="3"/>
      <c r="HFX53" s="3"/>
      <c r="HFY53" s="3"/>
      <c r="HFZ53" s="3"/>
      <c r="HGA53" s="3"/>
      <c r="HGB53" s="3"/>
      <c r="HGC53" s="3"/>
      <c r="HGD53" s="3"/>
      <c r="HGE53" s="3"/>
      <c r="HGF53" s="3"/>
      <c r="HGG53" s="3"/>
      <c r="HGH53" s="3"/>
      <c r="HGI53" s="3"/>
      <c r="HGJ53" s="3"/>
      <c r="HGK53" s="3"/>
      <c r="HGL53" s="3"/>
      <c r="HGM53" s="3"/>
      <c r="HGN53" s="3"/>
      <c r="HGO53" s="3"/>
      <c r="HGP53" s="3"/>
      <c r="HGQ53" s="3"/>
      <c r="HGR53" s="3"/>
      <c r="HGS53" s="3"/>
      <c r="HGT53" s="3"/>
      <c r="HGU53" s="3"/>
      <c r="HGV53" s="3"/>
      <c r="HGW53" s="3"/>
      <c r="HGX53" s="3"/>
      <c r="HGY53" s="3"/>
      <c r="HGZ53" s="3"/>
      <c r="HHA53" s="3"/>
      <c r="HHB53" s="3"/>
      <c r="HHC53" s="3"/>
      <c r="HHD53" s="3"/>
      <c r="HHE53" s="3"/>
      <c r="HHF53" s="3"/>
      <c r="HHG53" s="3"/>
      <c r="HHH53" s="3"/>
      <c r="HHI53" s="3"/>
      <c r="HHJ53" s="3"/>
      <c r="HHK53" s="3"/>
      <c r="HHL53" s="3"/>
      <c r="HHM53" s="3"/>
      <c r="HHN53" s="3"/>
      <c r="HHO53" s="3"/>
      <c r="HHP53" s="3"/>
      <c r="HHQ53" s="3"/>
      <c r="HHR53" s="3"/>
      <c r="HHS53" s="3"/>
      <c r="HHT53" s="3"/>
      <c r="HHU53" s="3"/>
      <c r="HHV53" s="3"/>
      <c r="HHW53" s="3"/>
      <c r="HHX53" s="3"/>
      <c r="HHY53" s="3"/>
      <c r="HHZ53" s="3"/>
      <c r="HIA53" s="3"/>
      <c r="HIB53" s="3"/>
      <c r="HIC53" s="3"/>
      <c r="HID53" s="3"/>
      <c r="HIE53" s="3"/>
      <c r="HIF53" s="3"/>
      <c r="HIG53" s="3"/>
      <c r="HIH53" s="3"/>
      <c r="HII53" s="3"/>
      <c r="HIJ53" s="3"/>
      <c r="HIK53" s="3"/>
      <c r="HIL53" s="3"/>
      <c r="HIM53" s="3"/>
      <c r="HIN53" s="3"/>
      <c r="HIO53" s="3"/>
      <c r="HIP53" s="3"/>
      <c r="HIQ53" s="3"/>
      <c r="HIR53" s="3"/>
      <c r="HIS53" s="3"/>
      <c r="HIT53" s="3"/>
      <c r="HIU53" s="3"/>
      <c r="HIV53" s="3"/>
      <c r="HIW53" s="3"/>
      <c r="HIX53" s="3"/>
      <c r="HIY53" s="3"/>
      <c r="HIZ53" s="3"/>
      <c r="HJA53" s="3"/>
      <c r="HJB53" s="3"/>
      <c r="HJC53" s="3"/>
      <c r="HJD53" s="3"/>
      <c r="HJE53" s="3"/>
      <c r="HJF53" s="3"/>
      <c r="HJG53" s="3"/>
      <c r="HJH53" s="3"/>
      <c r="HJI53" s="3"/>
      <c r="HJJ53" s="3"/>
      <c r="HJK53" s="3"/>
      <c r="HJL53" s="3"/>
      <c r="HJM53" s="3"/>
      <c r="HJN53" s="3"/>
      <c r="HJO53" s="3"/>
      <c r="HJP53" s="3"/>
      <c r="HJQ53" s="3"/>
      <c r="HJR53" s="3"/>
      <c r="HJS53" s="3"/>
      <c r="HJT53" s="3"/>
      <c r="HJU53" s="3"/>
      <c r="HJV53" s="3"/>
      <c r="HJW53" s="3"/>
      <c r="HJX53" s="3"/>
      <c r="HJY53" s="3"/>
      <c r="HJZ53" s="3"/>
      <c r="HKA53" s="3"/>
      <c r="HKB53" s="3"/>
      <c r="HKC53" s="3"/>
      <c r="HKD53" s="3"/>
      <c r="HKE53" s="3"/>
      <c r="HKF53" s="3"/>
      <c r="HKG53" s="3"/>
      <c r="HKH53" s="3"/>
      <c r="HKI53" s="3"/>
      <c r="HKJ53" s="3"/>
      <c r="HKK53" s="3"/>
      <c r="HKL53" s="3"/>
      <c r="HKM53" s="3"/>
      <c r="HKN53" s="3"/>
      <c r="HKO53" s="3"/>
      <c r="HKP53" s="3"/>
      <c r="HKQ53" s="3"/>
      <c r="HKR53" s="3"/>
      <c r="HKS53" s="3"/>
      <c r="HKT53" s="3"/>
      <c r="HKU53" s="3"/>
      <c r="HKV53" s="3"/>
      <c r="HKW53" s="3"/>
      <c r="HKX53" s="3"/>
      <c r="HKY53" s="3"/>
      <c r="HKZ53" s="3"/>
      <c r="HLA53" s="3"/>
      <c r="HLB53" s="3"/>
      <c r="HLC53" s="3"/>
      <c r="HLD53" s="3"/>
      <c r="HLE53" s="3"/>
      <c r="HLF53" s="3"/>
      <c r="HLG53" s="3"/>
      <c r="HLH53" s="3"/>
      <c r="HLI53" s="3"/>
      <c r="HLJ53" s="3"/>
      <c r="HLK53" s="3"/>
      <c r="HLL53" s="3"/>
      <c r="HLM53" s="3"/>
      <c r="HLN53" s="3"/>
      <c r="HLO53" s="3"/>
      <c r="HLP53" s="3"/>
      <c r="HLQ53" s="3"/>
      <c r="HLR53" s="3"/>
      <c r="HLS53" s="3"/>
      <c r="HLT53" s="3"/>
      <c r="HLU53" s="3"/>
      <c r="HLV53" s="3"/>
      <c r="HLW53" s="3"/>
      <c r="HLX53" s="3"/>
      <c r="HLY53" s="3"/>
      <c r="HLZ53" s="3"/>
      <c r="HMA53" s="3"/>
      <c r="HMB53" s="3"/>
      <c r="HMC53" s="3"/>
      <c r="HMD53" s="3"/>
      <c r="HME53" s="3"/>
      <c r="HMF53" s="3"/>
      <c r="HMG53" s="3"/>
      <c r="HMH53" s="3"/>
      <c r="HMI53" s="3"/>
      <c r="HMJ53" s="3"/>
      <c r="HMK53" s="3"/>
      <c r="HML53" s="3"/>
      <c r="HMM53" s="3"/>
      <c r="HMN53" s="3"/>
      <c r="HMO53" s="3"/>
      <c r="HMP53" s="3"/>
      <c r="HMQ53" s="3"/>
      <c r="HMR53" s="3"/>
      <c r="HMS53" s="3"/>
      <c r="HMT53" s="3"/>
      <c r="HMU53" s="3"/>
      <c r="HMV53" s="3"/>
      <c r="HMW53" s="3"/>
      <c r="HMX53" s="3"/>
      <c r="HMY53" s="3"/>
      <c r="HMZ53" s="3"/>
      <c r="HNA53" s="3"/>
      <c r="HNB53" s="3"/>
      <c r="HNC53" s="3"/>
      <c r="HND53" s="3"/>
      <c r="HNE53" s="3"/>
      <c r="HNF53" s="3"/>
      <c r="HNG53" s="3"/>
      <c r="HNH53" s="3"/>
      <c r="HNI53" s="3"/>
      <c r="HNJ53" s="3"/>
      <c r="HNK53" s="3"/>
      <c r="HNL53" s="3"/>
      <c r="HNM53" s="3"/>
      <c r="HNN53" s="3"/>
      <c r="HNO53" s="3"/>
      <c r="HNP53" s="3"/>
      <c r="HNQ53" s="3"/>
      <c r="HNR53" s="3"/>
      <c r="HNS53" s="3"/>
      <c r="HNT53" s="3"/>
      <c r="HNU53" s="3"/>
      <c r="HNV53" s="3"/>
      <c r="HNW53" s="3"/>
      <c r="HNX53" s="3"/>
      <c r="HNY53" s="3"/>
      <c r="HNZ53" s="3"/>
      <c r="HOA53" s="3"/>
      <c r="HOB53" s="3"/>
      <c r="HOC53" s="3"/>
      <c r="HOD53" s="3"/>
      <c r="HOE53" s="3"/>
      <c r="HOF53" s="3"/>
      <c r="HOG53" s="3"/>
      <c r="HOH53" s="3"/>
      <c r="HOI53" s="3"/>
      <c r="HOJ53" s="3"/>
      <c r="HOK53" s="3"/>
      <c r="HOL53" s="3"/>
      <c r="HOM53" s="3"/>
      <c r="HON53" s="3"/>
      <c r="HOO53" s="3"/>
      <c r="HOP53" s="3"/>
      <c r="HOQ53" s="3"/>
      <c r="HOR53" s="3"/>
      <c r="HOS53" s="3"/>
      <c r="HOT53" s="3"/>
      <c r="HOU53" s="3"/>
      <c r="HOV53" s="3"/>
      <c r="HOW53" s="3"/>
      <c r="HOX53" s="3"/>
      <c r="HOY53" s="3"/>
      <c r="HOZ53" s="3"/>
      <c r="HPA53" s="3"/>
      <c r="HPB53" s="3"/>
      <c r="HPC53" s="3"/>
      <c r="HPD53" s="3"/>
      <c r="HPE53" s="3"/>
      <c r="HPF53" s="3"/>
      <c r="HPG53" s="3"/>
      <c r="HPH53" s="3"/>
      <c r="HPI53" s="3"/>
      <c r="HPJ53" s="3"/>
      <c r="HPK53" s="3"/>
      <c r="HPL53" s="3"/>
      <c r="HPM53" s="3"/>
      <c r="HPN53" s="3"/>
      <c r="HPO53" s="3"/>
      <c r="HPP53" s="3"/>
      <c r="HPQ53" s="3"/>
      <c r="HPR53" s="3"/>
      <c r="HPS53" s="3"/>
      <c r="HPT53" s="3"/>
      <c r="HPU53" s="3"/>
      <c r="HPV53" s="3"/>
      <c r="HPW53" s="3"/>
      <c r="HPX53" s="3"/>
      <c r="HPY53" s="3"/>
      <c r="HPZ53" s="3"/>
      <c r="HQA53" s="3"/>
      <c r="HQB53" s="3"/>
      <c r="HQC53" s="3"/>
      <c r="HQD53" s="3"/>
      <c r="HQE53" s="3"/>
      <c r="HQF53" s="3"/>
      <c r="HQG53" s="3"/>
      <c r="HQH53" s="3"/>
      <c r="HQI53" s="3"/>
      <c r="HQJ53" s="3"/>
      <c r="HQK53" s="3"/>
      <c r="HQL53" s="3"/>
      <c r="HQM53" s="3"/>
      <c r="HQN53" s="3"/>
      <c r="HQO53" s="3"/>
      <c r="HQP53" s="3"/>
      <c r="HQQ53" s="3"/>
      <c r="HQR53" s="3"/>
      <c r="HQS53" s="3"/>
      <c r="HQT53" s="3"/>
      <c r="HQU53" s="3"/>
      <c r="HQV53" s="3"/>
      <c r="HQW53" s="3"/>
      <c r="HQX53" s="3"/>
      <c r="HQY53" s="3"/>
      <c r="HQZ53" s="3"/>
      <c r="HRA53" s="3"/>
      <c r="HRB53" s="3"/>
      <c r="HRC53" s="3"/>
      <c r="HRD53" s="3"/>
      <c r="HRE53" s="3"/>
      <c r="HRF53" s="3"/>
      <c r="HRG53" s="3"/>
      <c r="HRH53" s="3"/>
      <c r="HRI53" s="3"/>
      <c r="HRJ53" s="3"/>
      <c r="HRK53" s="3"/>
      <c r="HRL53" s="3"/>
      <c r="HRM53" s="3"/>
      <c r="HRN53" s="3"/>
      <c r="HRO53" s="3"/>
      <c r="HRP53" s="3"/>
      <c r="HRQ53" s="3"/>
      <c r="HRR53" s="3"/>
      <c r="HRS53" s="3"/>
      <c r="HRT53" s="3"/>
      <c r="HRU53" s="3"/>
      <c r="HRV53" s="3"/>
      <c r="HRW53" s="3"/>
      <c r="HRX53" s="3"/>
      <c r="HRY53" s="3"/>
      <c r="HRZ53" s="3"/>
      <c r="HSA53" s="3"/>
      <c r="HSB53" s="3"/>
      <c r="HSC53" s="3"/>
      <c r="HSD53" s="3"/>
      <c r="HSE53" s="3"/>
      <c r="HSF53" s="3"/>
      <c r="HSG53" s="3"/>
      <c r="HSH53" s="3"/>
      <c r="HSI53" s="3"/>
      <c r="HSJ53" s="3"/>
      <c r="HSK53" s="3"/>
      <c r="HSL53" s="3"/>
      <c r="HSM53" s="3"/>
      <c r="HSN53" s="3"/>
      <c r="HSO53" s="3"/>
      <c r="HSP53" s="3"/>
      <c r="HSQ53" s="3"/>
      <c r="HSR53" s="3"/>
      <c r="HSS53" s="3"/>
      <c r="HST53" s="3"/>
      <c r="HSU53" s="3"/>
      <c r="HSV53" s="3"/>
      <c r="HSW53" s="3"/>
      <c r="HSX53" s="3"/>
      <c r="HSY53" s="3"/>
      <c r="HSZ53" s="3"/>
      <c r="HTA53" s="3"/>
      <c r="HTB53" s="3"/>
      <c r="HTC53" s="3"/>
      <c r="HTD53" s="3"/>
      <c r="HTE53" s="3"/>
      <c r="HTF53" s="3"/>
      <c r="HTG53" s="3"/>
      <c r="HTH53" s="3"/>
      <c r="HTI53" s="3"/>
      <c r="HTJ53" s="3"/>
      <c r="HTK53" s="3"/>
      <c r="HTL53" s="3"/>
      <c r="HTM53" s="3"/>
      <c r="HTN53" s="3"/>
      <c r="HTO53" s="3"/>
      <c r="HTP53" s="3"/>
      <c r="HTQ53" s="3"/>
      <c r="HTR53" s="3"/>
      <c r="HTS53" s="3"/>
      <c r="HTT53" s="3"/>
      <c r="HTU53" s="3"/>
      <c r="HTV53" s="3"/>
      <c r="HTW53" s="3"/>
      <c r="HTX53" s="3"/>
      <c r="HTY53" s="3"/>
      <c r="HTZ53" s="3"/>
      <c r="HUA53" s="3"/>
      <c r="HUB53" s="3"/>
      <c r="HUC53" s="3"/>
      <c r="HUD53" s="3"/>
      <c r="HUE53" s="3"/>
      <c r="HUF53" s="3"/>
      <c r="HUG53" s="3"/>
      <c r="HUH53" s="3"/>
      <c r="HUI53" s="3"/>
      <c r="HUJ53" s="3"/>
      <c r="HUK53" s="3"/>
      <c r="HUL53" s="3"/>
      <c r="HUM53" s="3"/>
      <c r="HUN53" s="3"/>
      <c r="HUO53" s="3"/>
      <c r="HUP53" s="3"/>
      <c r="HUQ53" s="3"/>
      <c r="HUR53" s="3"/>
      <c r="HUS53" s="3"/>
      <c r="HUT53" s="3"/>
      <c r="HUU53" s="3"/>
      <c r="HUV53" s="3"/>
      <c r="HUW53" s="3"/>
      <c r="HUX53" s="3"/>
      <c r="HUY53" s="3"/>
      <c r="HUZ53" s="3"/>
      <c r="HVA53" s="3"/>
      <c r="HVB53" s="3"/>
      <c r="HVC53" s="3"/>
      <c r="HVD53" s="3"/>
      <c r="HVE53" s="3"/>
      <c r="HVF53" s="3"/>
      <c r="HVG53" s="3"/>
      <c r="HVH53" s="3"/>
      <c r="HVI53" s="3"/>
      <c r="HVJ53" s="3"/>
      <c r="HVK53" s="3"/>
      <c r="HVL53" s="3"/>
      <c r="HVM53" s="3"/>
      <c r="HVN53" s="3"/>
      <c r="HVO53" s="3"/>
      <c r="HVP53" s="3"/>
      <c r="HVQ53" s="3"/>
      <c r="HVR53" s="3"/>
      <c r="HVS53" s="3"/>
      <c r="HVT53" s="3"/>
      <c r="HVU53" s="3"/>
      <c r="HVV53" s="3"/>
      <c r="HVW53" s="3"/>
      <c r="HVX53" s="3"/>
      <c r="HVY53" s="3"/>
      <c r="HVZ53" s="3"/>
      <c r="HWA53" s="3"/>
      <c r="HWB53" s="3"/>
      <c r="HWC53" s="3"/>
      <c r="HWD53" s="3"/>
      <c r="HWE53" s="3"/>
      <c r="HWF53" s="3"/>
      <c r="HWG53" s="3"/>
      <c r="HWH53" s="3"/>
      <c r="HWI53" s="3"/>
      <c r="HWJ53" s="3"/>
      <c r="HWK53" s="3"/>
      <c r="HWL53" s="3"/>
      <c r="HWM53" s="3"/>
      <c r="HWN53" s="3"/>
      <c r="HWO53" s="3"/>
      <c r="HWP53" s="3"/>
      <c r="HWQ53" s="3"/>
      <c r="HWR53" s="3"/>
      <c r="HWS53" s="3"/>
      <c r="HWT53" s="3"/>
      <c r="HWU53" s="3"/>
      <c r="HWV53" s="3"/>
      <c r="HWW53" s="3"/>
      <c r="HWX53" s="3"/>
      <c r="HWY53" s="3"/>
      <c r="HWZ53" s="3"/>
      <c r="HXA53" s="3"/>
      <c r="HXB53" s="3"/>
      <c r="HXC53" s="3"/>
      <c r="HXD53" s="3"/>
      <c r="HXE53" s="3"/>
      <c r="HXF53" s="3"/>
      <c r="HXG53" s="3"/>
      <c r="HXH53" s="3"/>
      <c r="HXI53" s="3"/>
      <c r="HXJ53" s="3"/>
      <c r="HXK53" s="3"/>
      <c r="HXL53" s="3"/>
      <c r="HXM53" s="3"/>
      <c r="HXN53" s="3"/>
      <c r="HXO53" s="3"/>
      <c r="HXP53" s="3"/>
      <c r="HXQ53" s="3"/>
      <c r="HXR53" s="3"/>
      <c r="HXS53" s="3"/>
      <c r="HXT53" s="3"/>
      <c r="HXU53" s="3"/>
      <c r="HXV53" s="3"/>
      <c r="HXW53" s="3"/>
      <c r="HXX53" s="3"/>
      <c r="HXY53" s="3"/>
      <c r="HXZ53" s="3"/>
      <c r="HYA53" s="3"/>
      <c r="HYB53" s="3"/>
      <c r="HYC53" s="3"/>
      <c r="HYD53" s="3"/>
      <c r="HYE53" s="3"/>
      <c r="HYF53" s="3"/>
      <c r="HYG53" s="3"/>
      <c r="HYH53" s="3"/>
      <c r="HYI53" s="3"/>
      <c r="HYJ53" s="3"/>
      <c r="HYK53" s="3"/>
      <c r="HYL53" s="3"/>
      <c r="HYM53" s="3"/>
      <c r="HYN53" s="3"/>
      <c r="HYO53" s="3"/>
      <c r="HYP53" s="3"/>
      <c r="HYQ53" s="3"/>
      <c r="HYR53" s="3"/>
      <c r="HYS53" s="3"/>
      <c r="HYT53" s="3"/>
      <c r="HYU53" s="3"/>
      <c r="HYV53" s="3"/>
      <c r="HYW53" s="3"/>
      <c r="HYX53" s="3"/>
      <c r="HYY53" s="3"/>
      <c r="HYZ53" s="3"/>
      <c r="HZA53" s="3"/>
      <c r="HZB53" s="3"/>
      <c r="HZC53" s="3"/>
      <c r="HZD53" s="3"/>
      <c r="HZE53" s="3"/>
      <c r="HZF53" s="3"/>
      <c r="HZG53" s="3"/>
      <c r="HZH53" s="3"/>
      <c r="HZI53" s="3"/>
      <c r="HZJ53" s="3"/>
      <c r="HZK53" s="3"/>
      <c r="HZL53" s="3"/>
      <c r="HZM53" s="3"/>
      <c r="HZN53" s="3"/>
      <c r="HZO53" s="3"/>
      <c r="HZP53" s="3"/>
      <c r="HZQ53" s="3"/>
      <c r="HZR53" s="3"/>
      <c r="HZS53" s="3"/>
      <c r="HZT53" s="3"/>
      <c r="HZU53" s="3"/>
      <c r="HZV53" s="3"/>
      <c r="HZW53" s="3"/>
      <c r="HZX53" s="3"/>
      <c r="HZY53" s="3"/>
      <c r="HZZ53" s="3"/>
      <c r="IAA53" s="3"/>
      <c r="IAB53" s="3"/>
      <c r="IAC53" s="3"/>
      <c r="IAD53" s="3"/>
      <c r="IAE53" s="3"/>
      <c r="IAF53" s="3"/>
      <c r="IAG53" s="3"/>
      <c r="IAH53" s="3"/>
      <c r="IAI53" s="3"/>
      <c r="IAJ53" s="3"/>
      <c r="IAK53" s="3"/>
      <c r="IAL53" s="3"/>
      <c r="IAM53" s="3"/>
      <c r="IAN53" s="3"/>
      <c r="IAO53" s="3"/>
      <c r="IAP53" s="3"/>
      <c r="IAQ53" s="3"/>
      <c r="IAR53" s="3"/>
      <c r="IAS53" s="3"/>
      <c r="IAT53" s="3"/>
      <c r="IAU53" s="3"/>
      <c r="IAV53" s="3"/>
      <c r="IAW53" s="3"/>
      <c r="IAX53" s="3"/>
      <c r="IAY53" s="3"/>
      <c r="IAZ53" s="3"/>
      <c r="IBA53" s="3"/>
      <c r="IBB53" s="3"/>
      <c r="IBC53" s="3"/>
      <c r="IBD53" s="3"/>
      <c r="IBE53" s="3"/>
      <c r="IBF53" s="3"/>
      <c r="IBG53" s="3"/>
      <c r="IBH53" s="3"/>
      <c r="IBI53" s="3"/>
      <c r="IBJ53" s="3"/>
      <c r="IBK53" s="3"/>
      <c r="IBL53" s="3"/>
      <c r="IBM53" s="3"/>
      <c r="IBN53" s="3"/>
      <c r="IBO53" s="3"/>
      <c r="IBP53" s="3"/>
      <c r="IBQ53" s="3"/>
      <c r="IBR53" s="3"/>
      <c r="IBS53" s="3"/>
      <c r="IBT53" s="3"/>
      <c r="IBU53" s="3"/>
      <c r="IBV53" s="3"/>
      <c r="IBW53" s="3"/>
      <c r="IBX53" s="3"/>
      <c r="IBY53" s="3"/>
      <c r="IBZ53" s="3"/>
      <c r="ICA53" s="3"/>
      <c r="ICB53" s="3"/>
      <c r="ICC53" s="3"/>
      <c r="ICD53" s="3"/>
      <c r="ICE53" s="3"/>
      <c r="ICF53" s="3"/>
      <c r="ICG53" s="3"/>
      <c r="ICH53" s="3"/>
      <c r="ICI53" s="3"/>
      <c r="ICJ53" s="3"/>
      <c r="ICK53" s="3"/>
      <c r="ICL53" s="3"/>
      <c r="ICM53" s="3"/>
      <c r="ICN53" s="3"/>
      <c r="ICO53" s="3"/>
      <c r="ICP53" s="3"/>
      <c r="ICQ53" s="3"/>
      <c r="ICR53" s="3"/>
      <c r="ICS53" s="3"/>
      <c r="ICT53" s="3"/>
      <c r="ICU53" s="3"/>
      <c r="ICV53" s="3"/>
      <c r="ICW53" s="3"/>
      <c r="ICX53" s="3"/>
      <c r="ICY53" s="3"/>
      <c r="ICZ53" s="3"/>
      <c r="IDA53" s="3"/>
      <c r="IDB53" s="3"/>
      <c r="IDC53" s="3"/>
      <c r="IDD53" s="3"/>
      <c r="IDE53" s="3"/>
      <c r="IDF53" s="3"/>
      <c r="IDG53" s="3"/>
      <c r="IDH53" s="3"/>
      <c r="IDI53" s="3"/>
      <c r="IDJ53" s="3"/>
      <c r="IDK53" s="3"/>
      <c r="IDL53" s="3"/>
      <c r="IDM53" s="3"/>
      <c r="IDN53" s="3"/>
      <c r="IDO53" s="3"/>
      <c r="IDP53" s="3"/>
      <c r="IDQ53" s="3"/>
      <c r="IDR53" s="3"/>
      <c r="IDS53" s="3"/>
      <c r="IDT53" s="3"/>
      <c r="IDU53" s="3"/>
      <c r="IDV53" s="3"/>
      <c r="IDW53" s="3"/>
      <c r="IDX53" s="3"/>
      <c r="IDY53" s="3"/>
      <c r="IDZ53" s="3"/>
      <c r="IEA53" s="3"/>
      <c r="IEB53" s="3"/>
      <c r="IEC53" s="3"/>
      <c r="IED53" s="3"/>
      <c r="IEE53" s="3"/>
      <c r="IEF53" s="3"/>
      <c r="IEG53" s="3"/>
      <c r="IEH53" s="3"/>
      <c r="IEI53" s="3"/>
      <c r="IEJ53" s="3"/>
      <c r="IEK53" s="3"/>
      <c r="IEL53" s="3"/>
      <c r="IEM53" s="3"/>
      <c r="IEN53" s="3"/>
      <c r="IEO53" s="3"/>
      <c r="IEP53" s="3"/>
      <c r="IEQ53" s="3"/>
      <c r="IER53" s="3"/>
      <c r="IES53" s="3"/>
      <c r="IET53" s="3"/>
      <c r="IEU53" s="3"/>
      <c r="IEV53" s="3"/>
      <c r="IEW53" s="3"/>
      <c r="IEX53" s="3"/>
      <c r="IEY53" s="3"/>
      <c r="IEZ53" s="3"/>
      <c r="IFA53" s="3"/>
      <c r="IFB53" s="3"/>
      <c r="IFC53" s="3"/>
      <c r="IFD53" s="3"/>
      <c r="IFE53" s="3"/>
      <c r="IFF53" s="3"/>
      <c r="IFG53" s="3"/>
      <c r="IFH53" s="3"/>
      <c r="IFI53" s="3"/>
      <c r="IFJ53" s="3"/>
      <c r="IFK53" s="3"/>
      <c r="IFL53" s="3"/>
      <c r="IFM53" s="3"/>
      <c r="IFN53" s="3"/>
      <c r="IFO53" s="3"/>
      <c r="IFP53" s="3"/>
      <c r="IFQ53" s="3"/>
      <c r="IFR53" s="3"/>
      <c r="IFS53" s="3"/>
      <c r="IFT53" s="3"/>
      <c r="IFU53" s="3"/>
      <c r="IFV53" s="3"/>
      <c r="IFW53" s="3"/>
      <c r="IFX53" s="3"/>
      <c r="IFY53" s="3"/>
      <c r="IFZ53" s="3"/>
      <c r="IGA53" s="3"/>
      <c r="IGB53" s="3"/>
      <c r="IGC53" s="3"/>
      <c r="IGD53" s="3"/>
      <c r="IGE53" s="3"/>
      <c r="IGF53" s="3"/>
      <c r="IGG53" s="3"/>
      <c r="IGH53" s="3"/>
      <c r="IGI53" s="3"/>
      <c r="IGJ53" s="3"/>
      <c r="IGK53" s="3"/>
      <c r="IGL53" s="3"/>
      <c r="IGM53" s="3"/>
      <c r="IGN53" s="3"/>
      <c r="IGO53" s="3"/>
      <c r="IGP53" s="3"/>
      <c r="IGQ53" s="3"/>
      <c r="IGR53" s="3"/>
      <c r="IGS53" s="3"/>
      <c r="IGT53" s="3"/>
      <c r="IGU53" s="3"/>
      <c r="IGV53" s="3"/>
      <c r="IGW53" s="3"/>
      <c r="IGX53" s="3"/>
      <c r="IGY53" s="3"/>
      <c r="IGZ53" s="3"/>
      <c r="IHA53" s="3"/>
      <c r="IHB53" s="3"/>
      <c r="IHC53" s="3"/>
      <c r="IHD53" s="3"/>
      <c r="IHE53" s="3"/>
      <c r="IHF53" s="3"/>
      <c r="IHG53" s="3"/>
      <c r="IHH53" s="3"/>
      <c r="IHI53" s="3"/>
      <c r="IHJ53" s="3"/>
      <c r="IHK53" s="3"/>
      <c r="IHL53" s="3"/>
      <c r="IHM53" s="3"/>
      <c r="IHN53" s="3"/>
      <c r="IHO53" s="3"/>
      <c r="IHP53" s="3"/>
      <c r="IHQ53" s="3"/>
      <c r="IHR53" s="3"/>
      <c r="IHS53" s="3"/>
      <c r="IHT53" s="3"/>
      <c r="IHU53" s="3"/>
      <c r="IHV53" s="3"/>
      <c r="IHW53" s="3"/>
      <c r="IHX53" s="3"/>
      <c r="IHY53" s="3"/>
      <c r="IHZ53" s="3"/>
      <c r="IIA53" s="3"/>
      <c r="IIB53" s="3"/>
      <c r="IIC53" s="3"/>
      <c r="IID53" s="3"/>
      <c r="IIE53" s="3"/>
      <c r="IIF53" s="3"/>
      <c r="IIG53" s="3"/>
      <c r="IIH53" s="3"/>
      <c r="III53" s="3"/>
      <c r="IIJ53" s="3"/>
      <c r="IIK53" s="3"/>
      <c r="IIL53" s="3"/>
      <c r="IIM53" s="3"/>
      <c r="IIN53" s="3"/>
      <c r="IIO53" s="3"/>
      <c r="IIP53" s="3"/>
      <c r="IIQ53" s="3"/>
      <c r="IIR53" s="3"/>
      <c r="IIS53" s="3"/>
      <c r="IIT53" s="3"/>
      <c r="IIU53" s="3"/>
      <c r="IIV53" s="3"/>
      <c r="IIW53" s="3"/>
      <c r="IIX53" s="3"/>
      <c r="IIY53" s="3"/>
      <c r="IIZ53" s="3"/>
      <c r="IJA53" s="3"/>
      <c r="IJB53" s="3"/>
      <c r="IJC53" s="3"/>
      <c r="IJD53" s="3"/>
      <c r="IJE53" s="3"/>
      <c r="IJF53" s="3"/>
      <c r="IJG53" s="3"/>
      <c r="IJH53" s="3"/>
      <c r="IJI53" s="3"/>
      <c r="IJJ53" s="3"/>
      <c r="IJK53" s="3"/>
      <c r="IJL53" s="3"/>
      <c r="IJM53" s="3"/>
      <c r="IJN53" s="3"/>
      <c r="IJO53" s="3"/>
      <c r="IJP53" s="3"/>
      <c r="IJQ53" s="3"/>
      <c r="IJR53" s="3"/>
      <c r="IJS53" s="3"/>
      <c r="IJT53" s="3"/>
      <c r="IJU53" s="3"/>
      <c r="IJV53" s="3"/>
      <c r="IJW53" s="3"/>
      <c r="IJX53" s="3"/>
      <c r="IJY53" s="3"/>
      <c r="IJZ53" s="3"/>
      <c r="IKA53" s="3"/>
      <c r="IKB53" s="3"/>
      <c r="IKC53" s="3"/>
      <c r="IKD53" s="3"/>
      <c r="IKE53" s="3"/>
      <c r="IKF53" s="3"/>
      <c r="IKG53" s="3"/>
      <c r="IKH53" s="3"/>
      <c r="IKI53" s="3"/>
      <c r="IKJ53" s="3"/>
      <c r="IKK53" s="3"/>
      <c r="IKL53" s="3"/>
      <c r="IKM53" s="3"/>
      <c r="IKN53" s="3"/>
      <c r="IKO53" s="3"/>
      <c r="IKP53" s="3"/>
      <c r="IKQ53" s="3"/>
      <c r="IKR53" s="3"/>
      <c r="IKS53" s="3"/>
      <c r="IKT53" s="3"/>
      <c r="IKU53" s="3"/>
      <c r="IKV53" s="3"/>
      <c r="IKW53" s="3"/>
      <c r="IKX53" s="3"/>
      <c r="IKY53" s="3"/>
      <c r="IKZ53" s="3"/>
      <c r="ILA53" s="3"/>
      <c r="ILB53" s="3"/>
      <c r="ILC53" s="3"/>
      <c r="ILD53" s="3"/>
      <c r="ILE53" s="3"/>
      <c r="ILF53" s="3"/>
      <c r="ILG53" s="3"/>
      <c r="ILH53" s="3"/>
      <c r="ILI53" s="3"/>
      <c r="ILJ53" s="3"/>
      <c r="ILK53" s="3"/>
      <c r="ILL53" s="3"/>
      <c r="ILM53" s="3"/>
      <c r="ILN53" s="3"/>
      <c r="ILO53" s="3"/>
      <c r="ILP53" s="3"/>
      <c r="ILQ53" s="3"/>
      <c r="ILR53" s="3"/>
      <c r="ILS53" s="3"/>
      <c r="ILT53" s="3"/>
      <c r="ILU53" s="3"/>
      <c r="ILV53" s="3"/>
      <c r="ILW53" s="3"/>
      <c r="ILX53" s="3"/>
      <c r="ILY53" s="3"/>
      <c r="ILZ53" s="3"/>
      <c r="IMA53" s="3"/>
      <c r="IMB53" s="3"/>
      <c r="IMC53" s="3"/>
      <c r="IMD53" s="3"/>
      <c r="IME53" s="3"/>
      <c r="IMF53" s="3"/>
      <c r="IMG53" s="3"/>
      <c r="IMH53" s="3"/>
      <c r="IMI53" s="3"/>
      <c r="IMJ53" s="3"/>
      <c r="IMK53" s="3"/>
      <c r="IML53" s="3"/>
      <c r="IMM53" s="3"/>
      <c r="IMN53" s="3"/>
      <c r="IMO53" s="3"/>
      <c r="IMP53" s="3"/>
      <c r="IMQ53" s="3"/>
      <c r="IMR53" s="3"/>
      <c r="IMS53" s="3"/>
      <c r="IMT53" s="3"/>
      <c r="IMU53" s="3"/>
      <c r="IMV53" s="3"/>
      <c r="IMW53" s="3"/>
      <c r="IMX53" s="3"/>
      <c r="IMY53" s="3"/>
      <c r="IMZ53" s="3"/>
      <c r="INA53" s="3"/>
      <c r="INB53" s="3"/>
      <c r="INC53" s="3"/>
      <c r="IND53" s="3"/>
      <c r="INE53" s="3"/>
      <c r="INF53" s="3"/>
      <c r="ING53" s="3"/>
      <c r="INH53" s="3"/>
      <c r="INI53" s="3"/>
      <c r="INJ53" s="3"/>
      <c r="INK53" s="3"/>
      <c r="INL53" s="3"/>
      <c r="INM53" s="3"/>
      <c r="INN53" s="3"/>
      <c r="INO53" s="3"/>
      <c r="INP53" s="3"/>
      <c r="INQ53" s="3"/>
      <c r="INR53" s="3"/>
      <c r="INS53" s="3"/>
      <c r="INT53" s="3"/>
      <c r="INU53" s="3"/>
      <c r="INV53" s="3"/>
      <c r="INW53" s="3"/>
      <c r="INX53" s="3"/>
      <c r="INY53" s="3"/>
      <c r="INZ53" s="3"/>
      <c r="IOA53" s="3"/>
      <c r="IOB53" s="3"/>
      <c r="IOC53" s="3"/>
      <c r="IOD53" s="3"/>
      <c r="IOE53" s="3"/>
      <c r="IOF53" s="3"/>
      <c r="IOG53" s="3"/>
      <c r="IOH53" s="3"/>
      <c r="IOI53" s="3"/>
      <c r="IOJ53" s="3"/>
      <c r="IOK53" s="3"/>
      <c r="IOL53" s="3"/>
      <c r="IOM53" s="3"/>
      <c r="ION53" s="3"/>
      <c r="IOO53" s="3"/>
      <c r="IOP53" s="3"/>
      <c r="IOQ53" s="3"/>
      <c r="IOR53" s="3"/>
      <c r="IOS53" s="3"/>
      <c r="IOT53" s="3"/>
      <c r="IOU53" s="3"/>
      <c r="IOV53" s="3"/>
      <c r="IOW53" s="3"/>
      <c r="IOX53" s="3"/>
      <c r="IOY53" s="3"/>
      <c r="IOZ53" s="3"/>
      <c r="IPA53" s="3"/>
      <c r="IPB53" s="3"/>
      <c r="IPC53" s="3"/>
      <c r="IPD53" s="3"/>
      <c r="IPE53" s="3"/>
      <c r="IPF53" s="3"/>
      <c r="IPG53" s="3"/>
      <c r="IPH53" s="3"/>
      <c r="IPI53" s="3"/>
      <c r="IPJ53" s="3"/>
      <c r="IPK53" s="3"/>
      <c r="IPL53" s="3"/>
      <c r="IPM53" s="3"/>
      <c r="IPN53" s="3"/>
      <c r="IPO53" s="3"/>
      <c r="IPP53" s="3"/>
      <c r="IPQ53" s="3"/>
      <c r="IPR53" s="3"/>
      <c r="IPS53" s="3"/>
      <c r="IPT53" s="3"/>
      <c r="IPU53" s="3"/>
      <c r="IPV53" s="3"/>
      <c r="IPW53" s="3"/>
      <c r="IPX53" s="3"/>
      <c r="IPY53" s="3"/>
      <c r="IPZ53" s="3"/>
      <c r="IQA53" s="3"/>
      <c r="IQB53" s="3"/>
      <c r="IQC53" s="3"/>
      <c r="IQD53" s="3"/>
      <c r="IQE53" s="3"/>
      <c r="IQF53" s="3"/>
      <c r="IQG53" s="3"/>
      <c r="IQH53" s="3"/>
      <c r="IQI53" s="3"/>
      <c r="IQJ53" s="3"/>
      <c r="IQK53" s="3"/>
      <c r="IQL53" s="3"/>
      <c r="IQM53" s="3"/>
      <c r="IQN53" s="3"/>
      <c r="IQO53" s="3"/>
      <c r="IQP53" s="3"/>
      <c r="IQQ53" s="3"/>
      <c r="IQR53" s="3"/>
      <c r="IQS53" s="3"/>
      <c r="IQT53" s="3"/>
      <c r="IQU53" s="3"/>
      <c r="IQV53" s="3"/>
      <c r="IQW53" s="3"/>
      <c r="IQX53" s="3"/>
      <c r="IQY53" s="3"/>
      <c r="IQZ53" s="3"/>
      <c r="IRA53" s="3"/>
      <c r="IRB53" s="3"/>
      <c r="IRC53" s="3"/>
      <c r="IRD53" s="3"/>
      <c r="IRE53" s="3"/>
      <c r="IRF53" s="3"/>
      <c r="IRG53" s="3"/>
      <c r="IRH53" s="3"/>
      <c r="IRI53" s="3"/>
      <c r="IRJ53" s="3"/>
      <c r="IRK53" s="3"/>
      <c r="IRL53" s="3"/>
      <c r="IRM53" s="3"/>
      <c r="IRN53" s="3"/>
      <c r="IRO53" s="3"/>
      <c r="IRP53" s="3"/>
      <c r="IRQ53" s="3"/>
      <c r="IRR53" s="3"/>
      <c r="IRS53" s="3"/>
      <c r="IRT53" s="3"/>
      <c r="IRU53" s="3"/>
      <c r="IRV53" s="3"/>
      <c r="IRW53" s="3"/>
      <c r="IRX53" s="3"/>
      <c r="IRY53" s="3"/>
      <c r="IRZ53" s="3"/>
      <c r="ISA53" s="3"/>
      <c r="ISB53" s="3"/>
      <c r="ISC53" s="3"/>
      <c r="ISD53" s="3"/>
      <c r="ISE53" s="3"/>
      <c r="ISF53" s="3"/>
      <c r="ISG53" s="3"/>
      <c r="ISH53" s="3"/>
      <c r="ISI53" s="3"/>
      <c r="ISJ53" s="3"/>
      <c r="ISK53" s="3"/>
      <c r="ISL53" s="3"/>
      <c r="ISM53" s="3"/>
      <c r="ISN53" s="3"/>
      <c r="ISO53" s="3"/>
      <c r="ISP53" s="3"/>
      <c r="ISQ53" s="3"/>
      <c r="ISR53" s="3"/>
      <c r="ISS53" s="3"/>
      <c r="IST53" s="3"/>
      <c r="ISU53" s="3"/>
      <c r="ISV53" s="3"/>
      <c r="ISW53" s="3"/>
      <c r="ISX53" s="3"/>
      <c r="ISY53" s="3"/>
      <c r="ISZ53" s="3"/>
      <c r="ITA53" s="3"/>
      <c r="ITB53" s="3"/>
      <c r="ITC53" s="3"/>
      <c r="ITD53" s="3"/>
      <c r="ITE53" s="3"/>
      <c r="ITF53" s="3"/>
      <c r="ITG53" s="3"/>
      <c r="ITH53" s="3"/>
      <c r="ITI53" s="3"/>
      <c r="ITJ53" s="3"/>
      <c r="ITK53" s="3"/>
      <c r="ITL53" s="3"/>
      <c r="ITM53" s="3"/>
      <c r="ITN53" s="3"/>
      <c r="ITO53" s="3"/>
      <c r="ITP53" s="3"/>
      <c r="ITQ53" s="3"/>
      <c r="ITR53" s="3"/>
      <c r="ITS53" s="3"/>
      <c r="ITT53" s="3"/>
      <c r="ITU53" s="3"/>
      <c r="ITV53" s="3"/>
      <c r="ITW53" s="3"/>
      <c r="ITX53" s="3"/>
      <c r="ITY53" s="3"/>
      <c r="ITZ53" s="3"/>
      <c r="IUA53" s="3"/>
      <c r="IUB53" s="3"/>
      <c r="IUC53" s="3"/>
      <c r="IUD53" s="3"/>
      <c r="IUE53" s="3"/>
      <c r="IUF53" s="3"/>
      <c r="IUG53" s="3"/>
      <c r="IUH53" s="3"/>
      <c r="IUI53" s="3"/>
      <c r="IUJ53" s="3"/>
      <c r="IUK53" s="3"/>
      <c r="IUL53" s="3"/>
      <c r="IUM53" s="3"/>
      <c r="IUN53" s="3"/>
      <c r="IUO53" s="3"/>
      <c r="IUP53" s="3"/>
      <c r="IUQ53" s="3"/>
      <c r="IUR53" s="3"/>
      <c r="IUS53" s="3"/>
      <c r="IUT53" s="3"/>
      <c r="IUU53" s="3"/>
      <c r="IUV53" s="3"/>
      <c r="IUW53" s="3"/>
      <c r="IUX53" s="3"/>
      <c r="IUY53" s="3"/>
      <c r="IUZ53" s="3"/>
      <c r="IVA53" s="3"/>
      <c r="IVB53" s="3"/>
      <c r="IVC53" s="3"/>
      <c r="IVD53" s="3"/>
      <c r="IVE53" s="3"/>
      <c r="IVF53" s="3"/>
      <c r="IVG53" s="3"/>
      <c r="IVH53" s="3"/>
      <c r="IVI53" s="3"/>
      <c r="IVJ53" s="3"/>
      <c r="IVK53" s="3"/>
      <c r="IVL53" s="3"/>
      <c r="IVM53" s="3"/>
      <c r="IVN53" s="3"/>
      <c r="IVO53" s="3"/>
      <c r="IVP53" s="3"/>
      <c r="IVQ53" s="3"/>
      <c r="IVR53" s="3"/>
      <c r="IVS53" s="3"/>
      <c r="IVT53" s="3"/>
      <c r="IVU53" s="3"/>
      <c r="IVV53" s="3"/>
      <c r="IVW53" s="3"/>
      <c r="IVX53" s="3"/>
      <c r="IVY53" s="3"/>
      <c r="IVZ53" s="3"/>
      <c r="IWA53" s="3"/>
      <c r="IWB53" s="3"/>
      <c r="IWC53" s="3"/>
      <c r="IWD53" s="3"/>
      <c r="IWE53" s="3"/>
      <c r="IWF53" s="3"/>
      <c r="IWG53" s="3"/>
      <c r="IWH53" s="3"/>
      <c r="IWI53" s="3"/>
      <c r="IWJ53" s="3"/>
      <c r="IWK53" s="3"/>
      <c r="IWL53" s="3"/>
      <c r="IWM53" s="3"/>
      <c r="IWN53" s="3"/>
      <c r="IWO53" s="3"/>
      <c r="IWP53" s="3"/>
      <c r="IWQ53" s="3"/>
      <c r="IWR53" s="3"/>
      <c r="IWS53" s="3"/>
      <c r="IWT53" s="3"/>
      <c r="IWU53" s="3"/>
      <c r="IWV53" s="3"/>
      <c r="IWW53" s="3"/>
      <c r="IWX53" s="3"/>
      <c r="IWY53" s="3"/>
      <c r="IWZ53" s="3"/>
      <c r="IXA53" s="3"/>
      <c r="IXB53" s="3"/>
      <c r="IXC53" s="3"/>
      <c r="IXD53" s="3"/>
      <c r="IXE53" s="3"/>
      <c r="IXF53" s="3"/>
      <c r="IXG53" s="3"/>
      <c r="IXH53" s="3"/>
      <c r="IXI53" s="3"/>
      <c r="IXJ53" s="3"/>
      <c r="IXK53" s="3"/>
      <c r="IXL53" s="3"/>
      <c r="IXM53" s="3"/>
      <c r="IXN53" s="3"/>
      <c r="IXO53" s="3"/>
      <c r="IXP53" s="3"/>
      <c r="IXQ53" s="3"/>
      <c r="IXR53" s="3"/>
      <c r="IXS53" s="3"/>
      <c r="IXT53" s="3"/>
      <c r="IXU53" s="3"/>
      <c r="IXV53" s="3"/>
      <c r="IXW53" s="3"/>
      <c r="IXX53" s="3"/>
      <c r="IXY53" s="3"/>
      <c r="IXZ53" s="3"/>
      <c r="IYA53" s="3"/>
      <c r="IYB53" s="3"/>
      <c r="IYC53" s="3"/>
      <c r="IYD53" s="3"/>
      <c r="IYE53" s="3"/>
      <c r="IYF53" s="3"/>
      <c r="IYG53" s="3"/>
      <c r="IYH53" s="3"/>
      <c r="IYI53" s="3"/>
      <c r="IYJ53" s="3"/>
      <c r="IYK53" s="3"/>
      <c r="IYL53" s="3"/>
      <c r="IYM53" s="3"/>
      <c r="IYN53" s="3"/>
      <c r="IYO53" s="3"/>
      <c r="IYP53" s="3"/>
      <c r="IYQ53" s="3"/>
      <c r="IYR53" s="3"/>
      <c r="IYS53" s="3"/>
      <c r="IYT53" s="3"/>
      <c r="IYU53" s="3"/>
      <c r="IYV53" s="3"/>
      <c r="IYW53" s="3"/>
      <c r="IYX53" s="3"/>
      <c r="IYY53" s="3"/>
      <c r="IYZ53" s="3"/>
      <c r="IZA53" s="3"/>
      <c r="IZB53" s="3"/>
      <c r="IZC53" s="3"/>
      <c r="IZD53" s="3"/>
      <c r="IZE53" s="3"/>
      <c r="IZF53" s="3"/>
      <c r="IZG53" s="3"/>
      <c r="IZH53" s="3"/>
      <c r="IZI53" s="3"/>
      <c r="IZJ53" s="3"/>
      <c r="IZK53" s="3"/>
      <c r="IZL53" s="3"/>
      <c r="IZM53" s="3"/>
      <c r="IZN53" s="3"/>
      <c r="IZO53" s="3"/>
      <c r="IZP53" s="3"/>
      <c r="IZQ53" s="3"/>
      <c r="IZR53" s="3"/>
      <c r="IZS53" s="3"/>
      <c r="IZT53" s="3"/>
      <c r="IZU53" s="3"/>
      <c r="IZV53" s="3"/>
      <c r="IZW53" s="3"/>
      <c r="IZX53" s="3"/>
      <c r="IZY53" s="3"/>
      <c r="IZZ53" s="3"/>
      <c r="JAA53" s="3"/>
      <c r="JAB53" s="3"/>
      <c r="JAC53" s="3"/>
      <c r="JAD53" s="3"/>
      <c r="JAE53" s="3"/>
      <c r="JAF53" s="3"/>
      <c r="JAG53" s="3"/>
      <c r="JAH53" s="3"/>
      <c r="JAI53" s="3"/>
      <c r="JAJ53" s="3"/>
      <c r="JAK53" s="3"/>
      <c r="JAL53" s="3"/>
      <c r="JAM53" s="3"/>
      <c r="JAN53" s="3"/>
      <c r="JAO53" s="3"/>
      <c r="JAP53" s="3"/>
      <c r="JAQ53" s="3"/>
      <c r="JAR53" s="3"/>
      <c r="JAS53" s="3"/>
      <c r="JAT53" s="3"/>
      <c r="JAU53" s="3"/>
      <c r="JAV53" s="3"/>
      <c r="JAW53" s="3"/>
      <c r="JAX53" s="3"/>
      <c r="JAY53" s="3"/>
      <c r="JAZ53" s="3"/>
      <c r="JBA53" s="3"/>
      <c r="JBB53" s="3"/>
      <c r="JBC53" s="3"/>
      <c r="JBD53" s="3"/>
      <c r="JBE53" s="3"/>
      <c r="JBF53" s="3"/>
      <c r="JBG53" s="3"/>
      <c r="JBH53" s="3"/>
      <c r="JBI53" s="3"/>
      <c r="JBJ53" s="3"/>
      <c r="JBK53" s="3"/>
      <c r="JBL53" s="3"/>
      <c r="JBM53" s="3"/>
      <c r="JBN53" s="3"/>
      <c r="JBO53" s="3"/>
      <c r="JBP53" s="3"/>
      <c r="JBQ53" s="3"/>
      <c r="JBR53" s="3"/>
      <c r="JBS53" s="3"/>
      <c r="JBT53" s="3"/>
      <c r="JBU53" s="3"/>
      <c r="JBV53" s="3"/>
      <c r="JBW53" s="3"/>
      <c r="JBX53" s="3"/>
      <c r="JBY53" s="3"/>
      <c r="JBZ53" s="3"/>
      <c r="JCA53" s="3"/>
      <c r="JCB53" s="3"/>
      <c r="JCC53" s="3"/>
      <c r="JCD53" s="3"/>
      <c r="JCE53" s="3"/>
      <c r="JCF53" s="3"/>
      <c r="JCG53" s="3"/>
      <c r="JCH53" s="3"/>
      <c r="JCI53" s="3"/>
      <c r="JCJ53" s="3"/>
      <c r="JCK53" s="3"/>
      <c r="JCL53" s="3"/>
      <c r="JCM53" s="3"/>
      <c r="JCN53" s="3"/>
      <c r="JCO53" s="3"/>
      <c r="JCP53" s="3"/>
      <c r="JCQ53" s="3"/>
      <c r="JCR53" s="3"/>
      <c r="JCS53" s="3"/>
      <c r="JCT53" s="3"/>
      <c r="JCU53" s="3"/>
      <c r="JCV53" s="3"/>
      <c r="JCW53" s="3"/>
      <c r="JCX53" s="3"/>
      <c r="JCY53" s="3"/>
      <c r="JCZ53" s="3"/>
      <c r="JDA53" s="3"/>
      <c r="JDB53" s="3"/>
      <c r="JDC53" s="3"/>
      <c r="JDD53" s="3"/>
      <c r="JDE53" s="3"/>
      <c r="JDF53" s="3"/>
      <c r="JDG53" s="3"/>
      <c r="JDH53" s="3"/>
      <c r="JDI53" s="3"/>
      <c r="JDJ53" s="3"/>
      <c r="JDK53" s="3"/>
      <c r="JDL53" s="3"/>
      <c r="JDM53" s="3"/>
      <c r="JDN53" s="3"/>
      <c r="JDO53" s="3"/>
      <c r="JDP53" s="3"/>
      <c r="JDQ53" s="3"/>
      <c r="JDR53" s="3"/>
      <c r="JDS53" s="3"/>
      <c r="JDT53" s="3"/>
      <c r="JDU53" s="3"/>
      <c r="JDV53" s="3"/>
      <c r="JDW53" s="3"/>
      <c r="JDX53" s="3"/>
      <c r="JDY53" s="3"/>
      <c r="JDZ53" s="3"/>
      <c r="JEA53" s="3"/>
      <c r="JEB53" s="3"/>
      <c r="JEC53" s="3"/>
      <c r="JED53" s="3"/>
      <c r="JEE53" s="3"/>
      <c r="JEF53" s="3"/>
      <c r="JEG53" s="3"/>
      <c r="JEH53" s="3"/>
      <c r="JEI53" s="3"/>
      <c r="JEJ53" s="3"/>
      <c r="JEK53" s="3"/>
      <c r="JEL53" s="3"/>
      <c r="JEM53" s="3"/>
      <c r="JEN53" s="3"/>
      <c r="JEO53" s="3"/>
      <c r="JEP53" s="3"/>
      <c r="JEQ53" s="3"/>
      <c r="JER53" s="3"/>
      <c r="JES53" s="3"/>
      <c r="JET53" s="3"/>
      <c r="JEU53" s="3"/>
      <c r="JEV53" s="3"/>
      <c r="JEW53" s="3"/>
      <c r="JEX53" s="3"/>
      <c r="JEY53" s="3"/>
      <c r="JEZ53" s="3"/>
      <c r="JFA53" s="3"/>
      <c r="JFB53" s="3"/>
      <c r="JFC53" s="3"/>
      <c r="JFD53" s="3"/>
      <c r="JFE53" s="3"/>
      <c r="JFF53" s="3"/>
      <c r="JFG53" s="3"/>
      <c r="JFH53" s="3"/>
      <c r="JFI53" s="3"/>
      <c r="JFJ53" s="3"/>
      <c r="JFK53" s="3"/>
      <c r="JFL53" s="3"/>
      <c r="JFM53" s="3"/>
      <c r="JFN53" s="3"/>
      <c r="JFO53" s="3"/>
      <c r="JFP53" s="3"/>
      <c r="JFQ53" s="3"/>
      <c r="JFR53" s="3"/>
      <c r="JFS53" s="3"/>
      <c r="JFT53" s="3"/>
      <c r="JFU53" s="3"/>
      <c r="JFV53" s="3"/>
      <c r="JFW53" s="3"/>
      <c r="JFX53" s="3"/>
      <c r="JFY53" s="3"/>
      <c r="JFZ53" s="3"/>
      <c r="JGA53" s="3"/>
      <c r="JGB53" s="3"/>
      <c r="JGC53" s="3"/>
      <c r="JGD53" s="3"/>
      <c r="JGE53" s="3"/>
      <c r="JGF53" s="3"/>
      <c r="JGG53" s="3"/>
      <c r="JGH53" s="3"/>
      <c r="JGI53" s="3"/>
      <c r="JGJ53" s="3"/>
      <c r="JGK53" s="3"/>
      <c r="JGL53" s="3"/>
      <c r="JGM53" s="3"/>
      <c r="JGN53" s="3"/>
      <c r="JGO53" s="3"/>
      <c r="JGP53" s="3"/>
      <c r="JGQ53" s="3"/>
      <c r="JGR53" s="3"/>
      <c r="JGS53" s="3"/>
      <c r="JGT53" s="3"/>
      <c r="JGU53" s="3"/>
      <c r="JGV53" s="3"/>
      <c r="JGW53" s="3"/>
      <c r="JGX53" s="3"/>
      <c r="JGY53" s="3"/>
      <c r="JGZ53" s="3"/>
      <c r="JHA53" s="3"/>
      <c r="JHB53" s="3"/>
      <c r="JHC53" s="3"/>
      <c r="JHD53" s="3"/>
      <c r="JHE53" s="3"/>
      <c r="JHF53" s="3"/>
      <c r="JHG53" s="3"/>
      <c r="JHH53" s="3"/>
      <c r="JHI53" s="3"/>
      <c r="JHJ53" s="3"/>
      <c r="JHK53" s="3"/>
      <c r="JHL53" s="3"/>
      <c r="JHM53" s="3"/>
      <c r="JHN53" s="3"/>
      <c r="JHO53" s="3"/>
      <c r="JHP53" s="3"/>
      <c r="JHQ53" s="3"/>
      <c r="JHR53" s="3"/>
      <c r="JHS53" s="3"/>
      <c r="JHT53" s="3"/>
      <c r="JHU53" s="3"/>
      <c r="JHV53" s="3"/>
      <c r="JHW53" s="3"/>
      <c r="JHX53" s="3"/>
      <c r="JHY53" s="3"/>
      <c r="JHZ53" s="3"/>
      <c r="JIA53" s="3"/>
      <c r="JIB53" s="3"/>
      <c r="JIC53" s="3"/>
      <c r="JID53" s="3"/>
      <c r="JIE53" s="3"/>
      <c r="JIF53" s="3"/>
      <c r="JIG53" s="3"/>
      <c r="JIH53" s="3"/>
      <c r="JII53" s="3"/>
      <c r="JIJ53" s="3"/>
      <c r="JIK53" s="3"/>
      <c r="JIL53" s="3"/>
      <c r="JIM53" s="3"/>
      <c r="JIN53" s="3"/>
      <c r="JIO53" s="3"/>
      <c r="JIP53" s="3"/>
      <c r="JIQ53" s="3"/>
      <c r="JIR53" s="3"/>
      <c r="JIS53" s="3"/>
      <c r="JIT53" s="3"/>
      <c r="JIU53" s="3"/>
      <c r="JIV53" s="3"/>
      <c r="JIW53" s="3"/>
      <c r="JIX53" s="3"/>
      <c r="JIY53" s="3"/>
      <c r="JIZ53" s="3"/>
      <c r="JJA53" s="3"/>
      <c r="JJB53" s="3"/>
      <c r="JJC53" s="3"/>
      <c r="JJD53" s="3"/>
      <c r="JJE53" s="3"/>
      <c r="JJF53" s="3"/>
      <c r="JJG53" s="3"/>
      <c r="JJH53" s="3"/>
      <c r="JJI53" s="3"/>
      <c r="JJJ53" s="3"/>
      <c r="JJK53" s="3"/>
      <c r="JJL53" s="3"/>
      <c r="JJM53" s="3"/>
      <c r="JJN53" s="3"/>
      <c r="JJO53" s="3"/>
      <c r="JJP53" s="3"/>
      <c r="JJQ53" s="3"/>
      <c r="JJR53" s="3"/>
      <c r="JJS53" s="3"/>
      <c r="JJT53" s="3"/>
      <c r="JJU53" s="3"/>
      <c r="JJV53" s="3"/>
      <c r="JJW53" s="3"/>
      <c r="JJX53" s="3"/>
      <c r="JJY53" s="3"/>
      <c r="JJZ53" s="3"/>
      <c r="JKA53" s="3"/>
      <c r="JKB53" s="3"/>
      <c r="JKC53" s="3"/>
      <c r="JKD53" s="3"/>
      <c r="JKE53" s="3"/>
      <c r="JKF53" s="3"/>
      <c r="JKG53" s="3"/>
      <c r="JKH53" s="3"/>
      <c r="JKI53" s="3"/>
      <c r="JKJ53" s="3"/>
      <c r="JKK53" s="3"/>
      <c r="JKL53" s="3"/>
      <c r="JKM53" s="3"/>
      <c r="JKN53" s="3"/>
      <c r="JKO53" s="3"/>
      <c r="JKP53" s="3"/>
      <c r="JKQ53" s="3"/>
      <c r="JKR53" s="3"/>
      <c r="JKS53" s="3"/>
      <c r="JKT53" s="3"/>
      <c r="JKU53" s="3"/>
      <c r="JKV53" s="3"/>
      <c r="JKW53" s="3"/>
      <c r="JKX53" s="3"/>
      <c r="JKY53" s="3"/>
      <c r="JKZ53" s="3"/>
      <c r="JLA53" s="3"/>
      <c r="JLB53" s="3"/>
      <c r="JLC53" s="3"/>
      <c r="JLD53" s="3"/>
      <c r="JLE53" s="3"/>
      <c r="JLF53" s="3"/>
      <c r="JLG53" s="3"/>
      <c r="JLH53" s="3"/>
      <c r="JLI53" s="3"/>
      <c r="JLJ53" s="3"/>
      <c r="JLK53" s="3"/>
      <c r="JLL53" s="3"/>
      <c r="JLM53" s="3"/>
      <c r="JLN53" s="3"/>
      <c r="JLO53" s="3"/>
      <c r="JLP53" s="3"/>
      <c r="JLQ53" s="3"/>
      <c r="JLR53" s="3"/>
      <c r="JLS53" s="3"/>
      <c r="JLT53" s="3"/>
      <c r="JLU53" s="3"/>
      <c r="JLV53" s="3"/>
      <c r="JLW53" s="3"/>
      <c r="JLX53" s="3"/>
      <c r="JLY53" s="3"/>
      <c r="JLZ53" s="3"/>
      <c r="JMA53" s="3"/>
      <c r="JMB53" s="3"/>
      <c r="JMC53" s="3"/>
      <c r="JMD53" s="3"/>
      <c r="JME53" s="3"/>
      <c r="JMF53" s="3"/>
      <c r="JMG53" s="3"/>
      <c r="JMH53" s="3"/>
      <c r="JMI53" s="3"/>
      <c r="JMJ53" s="3"/>
      <c r="JMK53" s="3"/>
      <c r="JML53" s="3"/>
      <c r="JMM53" s="3"/>
      <c r="JMN53" s="3"/>
      <c r="JMO53" s="3"/>
      <c r="JMP53" s="3"/>
      <c r="JMQ53" s="3"/>
      <c r="JMR53" s="3"/>
      <c r="JMS53" s="3"/>
      <c r="JMT53" s="3"/>
      <c r="JMU53" s="3"/>
      <c r="JMV53" s="3"/>
      <c r="JMW53" s="3"/>
      <c r="JMX53" s="3"/>
      <c r="JMY53" s="3"/>
      <c r="JMZ53" s="3"/>
      <c r="JNA53" s="3"/>
      <c r="JNB53" s="3"/>
      <c r="JNC53" s="3"/>
      <c r="JND53" s="3"/>
      <c r="JNE53" s="3"/>
      <c r="JNF53" s="3"/>
      <c r="JNG53" s="3"/>
      <c r="JNH53" s="3"/>
      <c r="JNI53" s="3"/>
      <c r="JNJ53" s="3"/>
      <c r="JNK53" s="3"/>
      <c r="JNL53" s="3"/>
      <c r="JNM53" s="3"/>
      <c r="JNN53" s="3"/>
      <c r="JNO53" s="3"/>
      <c r="JNP53" s="3"/>
      <c r="JNQ53" s="3"/>
      <c r="JNR53" s="3"/>
      <c r="JNS53" s="3"/>
      <c r="JNT53" s="3"/>
      <c r="JNU53" s="3"/>
      <c r="JNV53" s="3"/>
      <c r="JNW53" s="3"/>
      <c r="JNX53" s="3"/>
      <c r="JNY53" s="3"/>
      <c r="JNZ53" s="3"/>
      <c r="JOA53" s="3"/>
      <c r="JOB53" s="3"/>
      <c r="JOC53" s="3"/>
      <c r="JOD53" s="3"/>
      <c r="JOE53" s="3"/>
      <c r="JOF53" s="3"/>
      <c r="JOG53" s="3"/>
      <c r="JOH53" s="3"/>
      <c r="JOI53" s="3"/>
      <c r="JOJ53" s="3"/>
      <c r="JOK53" s="3"/>
      <c r="JOL53" s="3"/>
      <c r="JOM53" s="3"/>
      <c r="JON53" s="3"/>
      <c r="JOO53" s="3"/>
      <c r="JOP53" s="3"/>
      <c r="JOQ53" s="3"/>
      <c r="JOR53" s="3"/>
      <c r="JOS53" s="3"/>
      <c r="JOT53" s="3"/>
      <c r="JOU53" s="3"/>
      <c r="JOV53" s="3"/>
      <c r="JOW53" s="3"/>
      <c r="JOX53" s="3"/>
      <c r="JOY53" s="3"/>
      <c r="JOZ53" s="3"/>
      <c r="JPA53" s="3"/>
      <c r="JPB53" s="3"/>
      <c r="JPC53" s="3"/>
      <c r="JPD53" s="3"/>
      <c r="JPE53" s="3"/>
      <c r="JPF53" s="3"/>
      <c r="JPG53" s="3"/>
      <c r="JPH53" s="3"/>
      <c r="JPI53" s="3"/>
      <c r="JPJ53" s="3"/>
      <c r="JPK53" s="3"/>
      <c r="JPL53" s="3"/>
      <c r="JPM53" s="3"/>
      <c r="JPN53" s="3"/>
      <c r="JPO53" s="3"/>
      <c r="JPP53" s="3"/>
      <c r="JPQ53" s="3"/>
      <c r="JPR53" s="3"/>
      <c r="JPS53" s="3"/>
      <c r="JPT53" s="3"/>
      <c r="JPU53" s="3"/>
      <c r="JPV53" s="3"/>
      <c r="JPW53" s="3"/>
      <c r="JPX53" s="3"/>
      <c r="JPY53" s="3"/>
      <c r="JPZ53" s="3"/>
      <c r="JQA53" s="3"/>
      <c r="JQB53" s="3"/>
      <c r="JQC53" s="3"/>
      <c r="JQD53" s="3"/>
      <c r="JQE53" s="3"/>
      <c r="JQF53" s="3"/>
      <c r="JQG53" s="3"/>
      <c r="JQH53" s="3"/>
      <c r="JQI53" s="3"/>
      <c r="JQJ53" s="3"/>
      <c r="JQK53" s="3"/>
      <c r="JQL53" s="3"/>
      <c r="JQM53" s="3"/>
      <c r="JQN53" s="3"/>
      <c r="JQO53" s="3"/>
      <c r="JQP53" s="3"/>
      <c r="JQQ53" s="3"/>
      <c r="JQR53" s="3"/>
      <c r="JQS53" s="3"/>
      <c r="JQT53" s="3"/>
      <c r="JQU53" s="3"/>
      <c r="JQV53" s="3"/>
      <c r="JQW53" s="3"/>
      <c r="JQX53" s="3"/>
      <c r="JQY53" s="3"/>
      <c r="JQZ53" s="3"/>
      <c r="JRA53" s="3"/>
      <c r="JRB53" s="3"/>
      <c r="JRC53" s="3"/>
      <c r="JRD53" s="3"/>
      <c r="JRE53" s="3"/>
      <c r="JRF53" s="3"/>
      <c r="JRG53" s="3"/>
      <c r="JRH53" s="3"/>
      <c r="JRI53" s="3"/>
      <c r="JRJ53" s="3"/>
      <c r="JRK53" s="3"/>
      <c r="JRL53" s="3"/>
      <c r="JRM53" s="3"/>
      <c r="JRN53" s="3"/>
      <c r="JRO53" s="3"/>
      <c r="JRP53" s="3"/>
      <c r="JRQ53" s="3"/>
      <c r="JRR53" s="3"/>
      <c r="JRS53" s="3"/>
      <c r="JRT53" s="3"/>
      <c r="JRU53" s="3"/>
      <c r="JRV53" s="3"/>
      <c r="JRW53" s="3"/>
      <c r="JRX53" s="3"/>
      <c r="JRY53" s="3"/>
      <c r="JRZ53" s="3"/>
      <c r="JSA53" s="3"/>
      <c r="JSB53" s="3"/>
      <c r="JSC53" s="3"/>
      <c r="JSD53" s="3"/>
      <c r="JSE53" s="3"/>
      <c r="JSF53" s="3"/>
      <c r="JSG53" s="3"/>
      <c r="JSH53" s="3"/>
      <c r="JSI53" s="3"/>
      <c r="JSJ53" s="3"/>
      <c r="JSK53" s="3"/>
      <c r="JSL53" s="3"/>
      <c r="JSM53" s="3"/>
      <c r="JSN53" s="3"/>
      <c r="JSO53" s="3"/>
      <c r="JSP53" s="3"/>
      <c r="JSQ53" s="3"/>
      <c r="JSR53" s="3"/>
      <c r="JSS53" s="3"/>
      <c r="JST53" s="3"/>
      <c r="JSU53" s="3"/>
      <c r="JSV53" s="3"/>
      <c r="JSW53" s="3"/>
      <c r="JSX53" s="3"/>
      <c r="JSY53" s="3"/>
      <c r="JSZ53" s="3"/>
      <c r="JTA53" s="3"/>
      <c r="JTB53" s="3"/>
      <c r="JTC53" s="3"/>
      <c r="JTD53" s="3"/>
      <c r="JTE53" s="3"/>
      <c r="JTF53" s="3"/>
      <c r="JTG53" s="3"/>
      <c r="JTH53" s="3"/>
      <c r="JTI53" s="3"/>
      <c r="JTJ53" s="3"/>
      <c r="JTK53" s="3"/>
      <c r="JTL53" s="3"/>
      <c r="JTM53" s="3"/>
      <c r="JTN53" s="3"/>
      <c r="JTO53" s="3"/>
      <c r="JTP53" s="3"/>
      <c r="JTQ53" s="3"/>
      <c r="JTR53" s="3"/>
      <c r="JTS53" s="3"/>
      <c r="JTT53" s="3"/>
      <c r="JTU53" s="3"/>
      <c r="JTV53" s="3"/>
      <c r="JTW53" s="3"/>
      <c r="JTX53" s="3"/>
      <c r="JTY53" s="3"/>
      <c r="JTZ53" s="3"/>
      <c r="JUA53" s="3"/>
      <c r="JUB53" s="3"/>
      <c r="JUC53" s="3"/>
      <c r="JUD53" s="3"/>
      <c r="JUE53" s="3"/>
      <c r="JUF53" s="3"/>
      <c r="JUG53" s="3"/>
      <c r="JUH53" s="3"/>
      <c r="JUI53" s="3"/>
      <c r="JUJ53" s="3"/>
      <c r="JUK53" s="3"/>
      <c r="JUL53" s="3"/>
      <c r="JUM53" s="3"/>
      <c r="JUN53" s="3"/>
      <c r="JUO53" s="3"/>
      <c r="JUP53" s="3"/>
      <c r="JUQ53" s="3"/>
      <c r="JUR53" s="3"/>
      <c r="JUS53" s="3"/>
      <c r="JUT53" s="3"/>
      <c r="JUU53" s="3"/>
      <c r="JUV53" s="3"/>
      <c r="JUW53" s="3"/>
      <c r="JUX53" s="3"/>
      <c r="JUY53" s="3"/>
      <c r="JUZ53" s="3"/>
      <c r="JVA53" s="3"/>
      <c r="JVB53" s="3"/>
      <c r="JVC53" s="3"/>
      <c r="JVD53" s="3"/>
      <c r="JVE53" s="3"/>
      <c r="JVF53" s="3"/>
      <c r="JVG53" s="3"/>
      <c r="JVH53" s="3"/>
      <c r="JVI53" s="3"/>
      <c r="JVJ53" s="3"/>
      <c r="JVK53" s="3"/>
      <c r="JVL53" s="3"/>
      <c r="JVM53" s="3"/>
      <c r="JVN53" s="3"/>
      <c r="JVO53" s="3"/>
      <c r="JVP53" s="3"/>
      <c r="JVQ53" s="3"/>
      <c r="JVR53" s="3"/>
      <c r="JVS53" s="3"/>
      <c r="JVT53" s="3"/>
      <c r="JVU53" s="3"/>
      <c r="JVV53" s="3"/>
      <c r="JVW53" s="3"/>
      <c r="JVX53" s="3"/>
      <c r="JVY53" s="3"/>
      <c r="JVZ53" s="3"/>
      <c r="JWA53" s="3"/>
      <c r="JWB53" s="3"/>
      <c r="JWC53" s="3"/>
      <c r="JWD53" s="3"/>
      <c r="JWE53" s="3"/>
      <c r="JWF53" s="3"/>
      <c r="JWG53" s="3"/>
      <c r="JWH53" s="3"/>
      <c r="JWI53" s="3"/>
      <c r="JWJ53" s="3"/>
      <c r="JWK53" s="3"/>
      <c r="JWL53" s="3"/>
      <c r="JWM53" s="3"/>
      <c r="JWN53" s="3"/>
      <c r="JWO53" s="3"/>
      <c r="JWP53" s="3"/>
      <c r="JWQ53" s="3"/>
      <c r="JWR53" s="3"/>
      <c r="JWS53" s="3"/>
      <c r="JWT53" s="3"/>
      <c r="JWU53" s="3"/>
      <c r="JWV53" s="3"/>
      <c r="JWW53" s="3"/>
      <c r="JWX53" s="3"/>
      <c r="JWY53" s="3"/>
      <c r="JWZ53" s="3"/>
      <c r="JXA53" s="3"/>
      <c r="JXB53" s="3"/>
      <c r="JXC53" s="3"/>
      <c r="JXD53" s="3"/>
      <c r="JXE53" s="3"/>
      <c r="JXF53" s="3"/>
      <c r="JXG53" s="3"/>
      <c r="JXH53" s="3"/>
      <c r="JXI53" s="3"/>
      <c r="JXJ53" s="3"/>
      <c r="JXK53" s="3"/>
      <c r="JXL53" s="3"/>
      <c r="JXM53" s="3"/>
      <c r="JXN53" s="3"/>
      <c r="JXO53" s="3"/>
      <c r="JXP53" s="3"/>
      <c r="JXQ53" s="3"/>
      <c r="JXR53" s="3"/>
      <c r="JXS53" s="3"/>
      <c r="JXT53" s="3"/>
      <c r="JXU53" s="3"/>
      <c r="JXV53" s="3"/>
      <c r="JXW53" s="3"/>
      <c r="JXX53" s="3"/>
      <c r="JXY53" s="3"/>
      <c r="JXZ53" s="3"/>
      <c r="JYA53" s="3"/>
      <c r="JYB53" s="3"/>
      <c r="JYC53" s="3"/>
      <c r="JYD53" s="3"/>
      <c r="JYE53" s="3"/>
      <c r="JYF53" s="3"/>
      <c r="JYG53" s="3"/>
      <c r="JYH53" s="3"/>
      <c r="JYI53" s="3"/>
      <c r="JYJ53" s="3"/>
      <c r="JYK53" s="3"/>
      <c r="JYL53" s="3"/>
      <c r="JYM53" s="3"/>
      <c r="JYN53" s="3"/>
      <c r="JYO53" s="3"/>
      <c r="JYP53" s="3"/>
      <c r="JYQ53" s="3"/>
      <c r="JYR53" s="3"/>
      <c r="JYS53" s="3"/>
      <c r="JYT53" s="3"/>
      <c r="JYU53" s="3"/>
      <c r="JYV53" s="3"/>
      <c r="JYW53" s="3"/>
      <c r="JYX53" s="3"/>
      <c r="JYY53" s="3"/>
      <c r="JYZ53" s="3"/>
      <c r="JZA53" s="3"/>
      <c r="JZB53" s="3"/>
      <c r="JZC53" s="3"/>
      <c r="JZD53" s="3"/>
      <c r="JZE53" s="3"/>
      <c r="JZF53" s="3"/>
      <c r="JZG53" s="3"/>
      <c r="JZH53" s="3"/>
      <c r="JZI53" s="3"/>
      <c r="JZJ53" s="3"/>
      <c r="JZK53" s="3"/>
      <c r="JZL53" s="3"/>
      <c r="JZM53" s="3"/>
      <c r="JZN53" s="3"/>
      <c r="JZO53" s="3"/>
      <c r="JZP53" s="3"/>
      <c r="JZQ53" s="3"/>
      <c r="JZR53" s="3"/>
      <c r="JZS53" s="3"/>
      <c r="JZT53" s="3"/>
      <c r="JZU53" s="3"/>
      <c r="JZV53" s="3"/>
      <c r="JZW53" s="3"/>
      <c r="JZX53" s="3"/>
      <c r="JZY53" s="3"/>
      <c r="JZZ53" s="3"/>
      <c r="KAA53" s="3"/>
      <c r="KAB53" s="3"/>
      <c r="KAC53" s="3"/>
      <c r="KAD53" s="3"/>
      <c r="KAE53" s="3"/>
      <c r="KAF53" s="3"/>
      <c r="KAG53" s="3"/>
      <c r="KAH53" s="3"/>
      <c r="KAI53" s="3"/>
      <c r="KAJ53" s="3"/>
      <c r="KAK53" s="3"/>
      <c r="KAL53" s="3"/>
      <c r="KAM53" s="3"/>
      <c r="KAN53" s="3"/>
      <c r="KAO53" s="3"/>
      <c r="KAP53" s="3"/>
      <c r="KAQ53" s="3"/>
      <c r="KAR53" s="3"/>
      <c r="KAS53" s="3"/>
      <c r="KAT53" s="3"/>
      <c r="KAU53" s="3"/>
      <c r="KAV53" s="3"/>
      <c r="KAW53" s="3"/>
      <c r="KAX53" s="3"/>
      <c r="KAY53" s="3"/>
      <c r="KAZ53" s="3"/>
      <c r="KBA53" s="3"/>
      <c r="KBB53" s="3"/>
      <c r="KBC53" s="3"/>
      <c r="KBD53" s="3"/>
      <c r="KBE53" s="3"/>
      <c r="KBF53" s="3"/>
      <c r="KBG53" s="3"/>
      <c r="KBH53" s="3"/>
      <c r="KBI53" s="3"/>
      <c r="KBJ53" s="3"/>
      <c r="KBK53" s="3"/>
      <c r="KBL53" s="3"/>
      <c r="KBM53" s="3"/>
      <c r="KBN53" s="3"/>
      <c r="KBO53" s="3"/>
      <c r="KBP53" s="3"/>
      <c r="KBQ53" s="3"/>
      <c r="KBR53" s="3"/>
      <c r="KBS53" s="3"/>
      <c r="KBT53" s="3"/>
      <c r="KBU53" s="3"/>
      <c r="KBV53" s="3"/>
      <c r="KBW53" s="3"/>
      <c r="KBX53" s="3"/>
      <c r="KBY53" s="3"/>
      <c r="KBZ53" s="3"/>
      <c r="KCA53" s="3"/>
      <c r="KCB53" s="3"/>
      <c r="KCC53" s="3"/>
      <c r="KCD53" s="3"/>
      <c r="KCE53" s="3"/>
      <c r="KCF53" s="3"/>
      <c r="KCG53" s="3"/>
      <c r="KCH53" s="3"/>
      <c r="KCI53" s="3"/>
      <c r="KCJ53" s="3"/>
      <c r="KCK53" s="3"/>
      <c r="KCL53" s="3"/>
      <c r="KCM53" s="3"/>
      <c r="KCN53" s="3"/>
      <c r="KCO53" s="3"/>
      <c r="KCP53" s="3"/>
      <c r="KCQ53" s="3"/>
      <c r="KCR53" s="3"/>
      <c r="KCS53" s="3"/>
      <c r="KCT53" s="3"/>
      <c r="KCU53" s="3"/>
      <c r="KCV53" s="3"/>
      <c r="KCW53" s="3"/>
      <c r="KCX53" s="3"/>
      <c r="KCY53" s="3"/>
      <c r="KCZ53" s="3"/>
      <c r="KDA53" s="3"/>
      <c r="KDB53" s="3"/>
      <c r="KDC53" s="3"/>
      <c r="KDD53" s="3"/>
      <c r="KDE53" s="3"/>
      <c r="KDF53" s="3"/>
      <c r="KDG53" s="3"/>
      <c r="KDH53" s="3"/>
      <c r="KDI53" s="3"/>
      <c r="KDJ53" s="3"/>
      <c r="KDK53" s="3"/>
      <c r="KDL53" s="3"/>
      <c r="KDM53" s="3"/>
      <c r="KDN53" s="3"/>
      <c r="KDO53" s="3"/>
      <c r="KDP53" s="3"/>
      <c r="KDQ53" s="3"/>
      <c r="KDR53" s="3"/>
      <c r="KDS53" s="3"/>
      <c r="KDT53" s="3"/>
      <c r="KDU53" s="3"/>
      <c r="KDV53" s="3"/>
      <c r="KDW53" s="3"/>
      <c r="KDX53" s="3"/>
      <c r="KDY53" s="3"/>
      <c r="KDZ53" s="3"/>
      <c r="KEA53" s="3"/>
      <c r="KEB53" s="3"/>
      <c r="KEC53" s="3"/>
      <c r="KED53" s="3"/>
      <c r="KEE53" s="3"/>
      <c r="KEF53" s="3"/>
      <c r="KEG53" s="3"/>
      <c r="KEH53" s="3"/>
      <c r="KEI53" s="3"/>
      <c r="KEJ53" s="3"/>
      <c r="KEK53" s="3"/>
      <c r="KEL53" s="3"/>
      <c r="KEM53" s="3"/>
      <c r="KEN53" s="3"/>
      <c r="KEO53" s="3"/>
      <c r="KEP53" s="3"/>
      <c r="KEQ53" s="3"/>
      <c r="KER53" s="3"/>
      <c r="KES53" s="3"/>
      <c r="KET53" s="3"/>
      <c r="KEU53" s="3"/>
      <c r="KEV53" s="3"/>
      <c r="KEW53" s="3"/>
      <c r="KEX53" s="3"/>
      <c r="KEY53" s="3"/>
      <c r="KEZ53" s="3"/>
      <c r="KFA53" s="3"/>
      <c r="KFB53" s="3"/>
      <c r="KFC53" s="3"/>
      <c r="KFD53" s="3"/>
      <c r="KFE53" s="3"/>
      <c r="KFF53" s="3"/>
      <c r="KFG53" s="3"/>
      <c r="KFH53" s="3"/>
      <c r="KFI53" s="3"/>
      <c r="KFJ53" s="3"/>
      <c r="KFK53" s="3"/>
      <c r="KFL53" s="3"/>
      <c r="KFM53" s="3"/>
      <c r="KFN53" s="3"/>
      <c r="KFO53" s="3"/>
      <c r="KFP53" s="3"/>
      <c r="KFQ53" s="3"/>
      <c r="KFR53" s="3"/>
      <c r="KFS53" s="3"/>
      <c r="KFT53" s="3"/>
      <c r="KFU53" s="3"/>
      <c r="KFV53" s="3"/>
      <c r="KFW53" s="3"/>
      <c r="KFX53" s="3"/>
      <c r="KFY53" s="3"/>
      <c r="KFZ53" s="3"/>
      <c r="KGA53" s="3"/>
      <c r="KGB53" s="3"/>
      <c r="KGC53" s="3"/>
      <c r="KGD53" s="3"/>
      <c r="KGE53" s="3"/>
      <c r="KGF53" s="3"/>
      <c r="KGG53" s="3"/>
      <c r="KGH53" s="3"/>
      <c r="KGI53" s="3"/>
      <c r="KGJ53" s="3"/>
      <c r="KGK53" s="3"/>
      <c r="KGL53" s="3"/>
      <c r="KGM53" s="3"/>
      <c r="KGN53" s="3"/>
      <c r="KGO53" s="3"/>
      <c r="KGP53" s="3"/>
      <c r="KGQ53" s="3"/>
      <c r="KGR53" s="3"/>
      <c r="KGS53" s="3"/>
      <c r="KGT53" s="3"/>
      <c r="KGU53" s="3"/>
      <c r="KGV53" s="3"/>
      <c r="KGW53" s="3"/>
      <c r="KGX53" s="3"/>
      <c r="KGY53" s="3"/>
      <c r="KGZ53" s="3"/>
      <c r="KHA53" s="3"/>
      <c r="KHB53" s="3"/>
      <c r="KHC53" s="3"/>
      <c r="KHD53" s="3"/>
      <c r="KHE53" s="3"/>
      <c r="KHF53" s="3"/>
      <c r="KHG53" s="3"/>
      <c r="KHH53" s="3"/>
      <c r="KHI53" s="3"/>
      <c r="KHJ53" s="3"/>
      <c r="KHK53" s="3"/>
      <c r="KHL53" s="3"/>
      <c r="KHM53" s="3"/>
      <c r="KHN53" s="3"/>
      <c r="KHO53" s="3"/>
      <c r="KHP53" s="3"/>
      <c r="KHQ53" s="3"/>
      <c r="KHR53" s="3"/>
      <c r="KHS53" s="3"/>
      <c r="KHT53" s="3"/>
      <c r="KHU53" s="3"/>
      <c r="KHV53" s="3"/>
      <c r="KHW53" s="3"/>
      <c r="KHX53" s="3"/>
      <c r="KHY53" s="3"/>
      <c r="KHZ53" s="3"/>
      <c r="KIA53" s="3"/>
      <c r="KIB53" s="3"/>
      <c r="KIC53" s="3"/>
      <c r="KID53" s="3"/>
      <c r="KIE53" s="3"/>
      <c r="KIF53" s="3"/>
      <c r="KIG53" s="3"/>
      <c r="KIH53" s="3"/>
      <c r="KII53" s="3"/>
      <c r="KIJ53" s="3"/>
      <c r="KIK53" s="3"/>
      <c r="KIL53" s="3"/>
      <c r="KIM53" s="3"/>
      <c r="KIN53" s="3"/>
      <c r="KIO53" s="3"/>
      <c r="KIP53" s="3"/>
      <c r="KIQ53" s="3"/>
      <c r="KIR53" s="3"/>
      <c r="KIS53" s="3"/>
      <c r="KIT53" s="3"/>
      <c r="KIU53" s="3"/>
      <c r="KIV53" s="3"/>
      <c r="KIW53" s="3"/>
      <c r="KIX53" s="3"/>
      <c r="KIY53" s="3"/>
      <c r="KIZ53" s="3"/>
      <c r="KJA53" s="3"/>
      <c r="KJB53" s="3"/>
      <c r="KJC53" s="3"/>
      <c r="KJD53" s="3"/>
      <c r="KJE53" s="3"/>
      <c r="KJF53" s="3"/>
      <c r="KJG53" s="3"/>
      <c r="KJH53" s="3"/>
      <c r="KJI53" s="3"/>
      <c r="KJJ53" s="3"/>
      <c r="KJK53" s="3"/>
      <c r="KJL53" s="3"/>
      <c r="KJM53" s="3"/>
      <c r="KJN53" s="3"/>
      <c r="KJO53" s="3"/>
      <c r="KJP53" s="3"/>
      <c r="KJQ53" s="3"/>
      <c r="KJR53" s="3"/>
      <c r="KJS53" s="3"/>
      <c r="KJT53" s="3"/>
      <c r="KJU53" s="3"/>
      <c r="KJV53" s="3"/>
      <c r="KJW53" s="3"/>
      <c r="KJX53" s="3"/>
      <c r="KJY53" s="3"/>
      <c r="KJZ53" s="3"/>
      <c r="KKA53" s="3"/>
      <c r="KKB53" s="3"/>
      <c r="KKC53" s="3"/>
      <c r="KKD53" s="3"/>
      <c r="KKE53" s="3"/>
      <c r="KKF53" s="3"/>
      <c r="KKG53" s="3"/>
      <c r="KKH53" s="3"/>
      <c r="KKI53" s="3"/>
      <c r="KKJ53" s="3"/>
      <c r="KKK53" s="3"/>
      <c r="KKL53" s="3"/>
      <c r="KKM53" s="3"/>
      <c r="KKN53" s="3"/>
      <c r="KKO53" s="3"/>
      <c r="KKP53" s="3"/>
      <c r="KKQ53" s="3"/>
      <c r="KKR53" s="3"/>
      <c r="KKS53" s="3"/>
      <c r="KKT53" s="3"/>
      <c r="KKU53" s="3"/>
      <c r="KKV53" s="3"/>
      <c r="KKW53" s="3"/>
      <c r="KKX53" s="3"/>
      <c r="KKY53" s="3"/>
      <c r="KKZ53" s="3"/>
      <c r="KLA53" s="3"/>
      <c r="KLB53" s="3"/>
      <c r="KLC53" s="3"/>
      <c r="KLD53" s="3"/>
      <c r="KLE53" s="3"/>
      <c r="KLF53" s="3"/>
      <c r="KLG53" s="3"/>
      <c r="KLH53" s="3"/>
      <c r="KLI53" s="3"/>
      <c r="KLJ53" s="3"/>
      <c r="KLK53" s="3"/>
      <c r="KLL53" s="3"/>
      <c r="KLM53" s="3"/>
      <c r="KLN53" s="3"/>
      <c r="KLO53" s="3"/>
      <c r="KLP53" s="3"/>
      <c r="KLQ53" s="3"/>
      <c r="KLR53" s="3"/>
      <c r="KLS53" s="3"/>
      <c r="KLT53" s="3"/>
      <c r="KLU53" s="3"/>
      <c r="KLV53" s="3"/>
      <c r="KLW53" s="3"/>
      <c r="KLX53" s="3"/>
      <c r="KLY53" s="3"/>
      <c r="KLZ53" s="3"/>
      <c r="KMA53" s="3"/>
      <c r="KMB53" s="3"/>
      <c r="KMC53" s="3"/>
      <c r="KMD53" s="3"/>
      <c r="KME53" s="3"/>
      <c r="KMF53" s="3"/>
      <c r="KMG53" s="3"/>
      <c r="KMH53" s="3"/>
      <c r="KMI53" s="3"/>
      <c r="KMJ53" s="3"/>
      <c r="KMK53" s="3"/>
      <c r="KML53" s="3"/>
      <c r="KMM53" s="3"/>
      <c r="KMN53" s="3"/>
      <c r="KMO53" s="3"/>
      <c r="KMP53" s="3"/>
      <c r="KMQ53" s="3"/>
      <c r="KMR53" s="3"/>
      <c r="KMS53" s="3"/>
      <c r="KMT53" s="3"/>
      <c r="KMU53" s="3"/>
      <c r="KMV53" s="3"/>
      <c r="KMW53" s="3"/>
      <c r="KMX53" s="3"/>
      <c r="KMY53" s="3"/>
      <c r="KMZ53" s="3"/>
      <c r="KNA53" s="3"/>
      <c r="KNB53" s="3"/>
      <c r="KNC53" s="3"/>
      <c r="KND53" s="3"/>
      <c r="KNE53" s="3"/>
      <c r="KNF53" s="3"/>
      <c r="KNG53" s="3"/>
      <c r="KNH53" s="3"/>
      <c r="KNI53" s="3"/>
      <c r="KNJ53" s="3"/>
      <c r="KNK53" s="3"/>
      <c r="KNL53" s="3"/>
      <c r="KNM53" s="3"/>
      <c r="KNN53" s="3"/>
      <c r="KNO53" s="3"/>
      <c r="KNP53" s="3"/>
      <c r="KNQ53" s="3"/>
      <c r="KNR53" s="3"/>
      <c r="KNS53" s="3"/>
      <c r="KNT53" s="3"/>
      <c r="KNU53" s="3"/>
      <c r="KNV53" s="3"/>
      <c r="KNW53" s="3"/>
      <c r="KNX53" s="3"/>
      <c r="KNY53" s="3"/>
      <c r="KNZ53" s="3"/>
      <c r="KOA53" s="3"/>
      <c r="KOB53" s="3"/>
      <c r="KOC53" s="3"/>
      <c r="KOD53" s="3"/>
      <c r="KOE53" s="3"/>
      <c r="KOF53" s="3"/>
      <c r="KOG53" s="3"/>
      <c r="KOH53" s="3"/>
      <c r="KOI53" s="3"/>
      <c r="KOJ53" s="3"/>
      <c r="KOK53" s="3"/>
      <c r="KOL53" s="3"/>
      <c r="KOM53" s="3"/>
      <c r="KON53" s="3"/>
      <c r="KOO53" s="3"/>
      <c r="KOP53" s="3"/>
      <c r="KOQ53" s="3"/>
      <c r="KOR53" s="3"/>
      <c r="KOS53" s="3"/>
      <c r="KOT53" s="3"/>
      <c r="KOU53" s="3"/>
      <c r="KOV53" s="3"/>
      <c r="KOW53" s="3"/>
      <c r="KOX53" s="3"/>
      <c r="KOY53" s="3"/>
      <c r="KOZ53" s="3"/>
      <c r="KPA53" s="3"/>
      <c r="KPB53" s="3"/>
      <c r="KPC53" s="3"/>
      <c r="KPD53" s="3"/>
      <c r="KPE53" s="3"/>
      <c r="KPF53" s="3"/>
      <c r="KPG53" s="3"/>
      <c r="KPH53" s="3"/>
      <c r="KPI53" s="3"/>
      <c r="KPJ53" s="3"/>
      <c r="KPK53" s="3"/>
      <c r="KPL53" s="3"/>
      <c r="KPM53" s="3"/>
      <c r="KPN53" s="3"/>
      <c r="KPO53" s="3"/>
      <c r="KPP53" s="3"/>
      <c r="KPQ53" s="3"/>
      <c r="KPR53" s="3"/>
      <c r="KPS53" s="3"/>
      <c r="KPT53" s="3"/>
      <c r="KPU53" s="3"/>
      <c r="KPV53" s="3"/>
      <c r="KPW53" s="3"/>
      <c r="KPX53" s="3"/>
      <c r="KPY53" s="3"/>
      <c r="KPZ53" s="3"/>
      <c r="KQA53" s="3"/>
      <c r="KQB53" s="3"/>
      <c r="KQC53" s="3"/>
      <c r="KQD53" s="3"/>
      <c r="KQE53" s="3"/>
      <c r="KQF53" s="3"/>
      <c r="KQG53" s="3"/>
      <c r="KQH53" s="3"/>
      <c r="KQI53" s="3"/>
      <c r="KQJ53" s="3"/>
      <c r="KQK53" s="3"/>
      <c r="KQL53" s="3"/>
      <c r="KQM53" s="3"/>
      <c r="KQN53" s="3"/>
      <c r="KQO53" s="3"/>
      <c r="KQP53" s="3"/>
      <c r="KQQ53" s="3"/>
      <c r="KQR53" s="3"/>
      <c r="KQS53" s="3"/>
      <c r="KQT53" s="3"/>
      <c r="KQU53" s="3"/>
      <c r="KQV53" s="3"/>
      <c r="KQW53" s="3"/>
      <c r="KQX53" s="3"/>
      <c r="KQY53" s="3"/>
      <c r="KQZ53" s="3"/>
      <c r="KRA53" s="3"/>
      <c r="KRB53" s="3"/>
      <c r="KRC53" s="3"/>
      <c r="KRD53" s="3"/>
      <c r="KRE53" s="3"/>
      <c r="KRF53" s="3"/>
      <c r="KRG53" s="3"/>
      <c r="KRH53" s="3"/>
      <c r="KRI53" s="3"/>
      <c r="KRJ53" s="3"/>
      <c r="KRK53" s="3"/>
      <c r="KRL53" s="3"/>
      <c r="KRM53" s="3"/>
      <c r="KRN53" s="3"/>
      <c r="KRO53" s="3"/>
      <c r="KRP53" s="3"/>
      <c r="KRQ53" s="3"/>
      <c r="KRR53" s="3"/>
      <c r="KRS53" s="3"/>
      <c r="KRT53" s="3"/>
      <c r="KRU53" s="3"/>
      <c r="KRV53" s="3"/>
      <c r="KRW53" s="3"/>
      <c r="KRX53" s="3"/>
      <c r="KRY53" s="3"/>
      <c r="KRZ53" s="3"/>
      <c r="KSA53" s="3"/>
      <c r="KSB53" s="3"/>
      <c r="KSC53" s="3"/>
      <c r="KSD53" s="3"/>
      <c r="KSE53" s="3"/>
      <c r="KSF53" s="3"/>
      <c r="KSG53" s="3"/>
      <c r="KSH53" s="3"/>
      <c r="KSI53" s="3"/>
      <c r="KSJ53" s="3"/>
      <c r="KSK53" s="3"/>
      <c r="KSL53" s="3"/>
      <c r="KSM53" s="3"/>
      <c r="KSN53" s="3"/>
      <c r="KSO53" s="3"/>
      <c r="KSP53" s="3"/>
      <c r="KSQ53" s="3"/>
      <c r="KSR53" s="3"/>
      <c r="KSS53" s="3"/>
      <c r="KST53" s="3"/>
      <c r="KSU53" s="3"/>
      <c r="KSV53" s="3"/>
      <c r="KSW53" s="3"/>
      <c r="KSX53" s="3"/>
      <c r="KSY53" s="3"/>
      <c r="KSZ53" s="3"/>
      <c r="KTA53" s="3"/>
      <c r="KTB53" s="3"/>
      <c r="KTC53" s="3"/>
      <c r="KTD53" s="3"/>
      <c r="KTE53" s="3"/>
      <c r="KTF53" s="3"/>
      <c r="KTG53" s="3"/>
      <c r="KTH53" s="3"/>
      <c r="KTI53" s="3"/>
      <c r="KTJ53" s="3"/>
      <c r="KTK53" s="3"/>
      <c r="KTL53" s="3"/>
      <c r="KTM53" s="3"/>
      <c r="KTN53" s="3"/>
      <c r="KTO53" s="3"/>
      <c r="KTP53" s="3"/>
      <c r="KTQ53" s="3"/>
      <c r="KTR53" s="3"/>
      <c r="KTS53" s="3"/>
      <c r="KTT53" s="3"/>
      <c r="KTU53" s="3"/>
      <c r="KTV53" s="3"/>
      <c r="KTW53" s="3"/>
      <c r="KTX53" s="3"/>
      <c r="KTY53" s="3"/>
      <c r="KTZ53" s="3"/>
      <c r="KUA53" s="3"/>
      <c r="KUB53" s="3"/>
      <c r="KUC53" s="3"/>
      <c r="KUD53" s="3"/>
      <c r="KUE53" s="3"/>
      <c r="KUF53" s="3"/>
      <c r="KUG53" s="3"/>
      <c r="KUH53" s="3"/>
      <c r="KUI53" s="3"/>
      <c r="KUJ53" s="3"/>
      <c r="KUK53" s="3"/>
      <c r="KUL53" s="3"/>
      <c r="KUM53" s="3"/>
      <c r="KUN53" s="3"/>
      <c r="KUO53" s="3"/>
      <c r="KUP53" s="3"/>
      <c r="KUQ53" s="3"/>
      <c r="KUR53" s="3"/>
      <c r="KUS53" s="3"/>
      <c r="KUT53" s="3"/>
      <c r="KUU53" s="3"/>
      <c r="KUV53" s="3"/>
      <c r="KUW53" s="3"/>
      <c r="KUX53" s="3"/>
      <c r="KUY53" s="3"/>
      <c r="KUZ53" s="3"/>
      <c r="KVA53" s="3"/>
      <c r="KVB53" s="3"/>
      <c r="KVC53" s="3"/>
      <c r="KVD53" s="3"/>
      <c r="KVE53" s="3"/>
      <c r="KVF53" s="3"/>
      <c r="KVG53" s="3"/>
      <c r="KVH53" s="3"/>
      <c r="KVI53" s="3"/>
      <c r="KVJ53" s="3"/>
      <c r="KVK53" s="3"/>
      <c r="KVL53" s="3"/>
      <c r="KVM53" s="3"/>
      <c r="KVN53" s="3"/>
      <c r="KVO53" s="3"/>
      <c r="KVP53" s="3"/>
      <c r="KVQ53" s="3"/>
      <c r="KVR53" s="3"/>
      <c r="KVS53" s="3"/>
      <c r="KVT53" s="3"/>
      <c r="KVU53" s="3"/>
      <c r="KVV53" s="3"/>
      <c r="KVW53" s="3"/>
      <c r="KVX53" s="3"/>
      <c r="KVY53" s="3"/>
      <c r="KVZ53" s="3"/>
      <c r="KWA53" s="3"/>
      <c r="KWB53" s="3"/>
      <c r="KWC53" s="3"/>
      <c r="KWD53" s="3"/>
      <c r="KWE53" s="3"/>
      <c r="KWF53" s="3"/>
      <c r="KWG53" s="3"/>
      <c r="KWH53" s="3"/>
      <c r="KWI53" s="3"/>
      <c r="KWJ53" s="3"/>
      <c r="KWK53" s="3"/>
      <c r="KWL53" s="3"/>
      <c r="KWM53" s="3"/>
      <c r="KWN53" s="3"/>
      <c r="KWO53" s="3"/>
      <c r="KWP53" s="3"/>
      <c r="KWQ53" s="3"/>
      <c r="KWR53" s="3"/>
      <c r="KWS53" s="3"/>
      <c r="KWT53" s="3"/>
      <c r="KWU53" s="3"/>
      <c r="KWV53" s="3"/>
      <c r="KWW53" s="3"/>
      <c r="KWX53" s="3"/>
      <c r="KWY53" s="3"/>
      <c r="KWZ53" s="3"/>
      <c r="KXA53" s="3"/>
      <c r="KXB53" s="3"/>
      <c r="KXC53" s="3"/>
      <c r="KXD53" s="3"/>
      <c r="KXE53" s="3"/>
      <c r="KXF53" s="3"/>
      <c r="KXG53" s="3"/>
      <c r="KXH53" s="3"/>
      <c r="KXI53" s="3"/>
      <c r="KXJ53" s="3"/>
      <c r="KXK53" s="3"/>
      <c r="KXL53" s="3"/>
      <c r="KXM53" s="3"/>
      <c r="KXN53" s="3"/>
      <c r="KXO53" s="3"/>
      <c r="KXP53" s="3"/>
      <c r="KXQ53" s="3"/>
      <c r="KXR53" s="3"/>
      <c r="KXS53" s="3"/>
      <c r="KXT53" s="3"/>
      <c r="KXU53" s="3"/>
      <c r="KXV53" s="3"/>
      <c r="KXW53" s="3"/>
      <c r="KXX53" s="3"/>
      <c r="KXY53" s="3"/>
      <c r="KXZ53" s="3"/>
      <c r="KYA53" s="3"/>
      <c r="KYB53" s="3"/>
      <c r="KYC53" s="3"/>
      <c r="KYD53" s="3"/>
      <c r="KYE53" s="3"/>
      <c r="KYF53" s="3"/>
      <c r="KYG53" s="3"/>
      <c r="KYH53" s="3"/>
      <c r="KYI53" s="3"/>
      <c r="KYJ53" s="3"/>
      <c r="KYK53" s="3"/>
      <c r="KYL53" s="3"/>
      <c r="KYM53" s="3"/>
      <c r="KYN53" s="3"/>
      <c r="KYO53" s="3"/>
      <c r="KYP53" s="3"/>
      <c r="KYQ53" s="3"/>
      <c r="KYR53" s="3"/>
      <c r="KYS53" s="3"/>
      <c r="KYT53" s="3"/>
      <c r="KYU53" s="3"/>
      <c r="KYV53" s="3"/>
      <c r="KYW53" s="3"/>
      <c r="KYX53" s="3"/>
      <c r="KYY53" s="3"/>
      <c r="KYZ53" s="3"/>
      <c r="KZA53" s="3"/>
      <c r="KZB53" s="3"/>
      <c r="KZC53" s="3"/>
      <c r="KZD53" s="3"/>
      <c r="KZE53" s="3"/>
      <c r="KZF53" s="3"/>
      <c r="KZG53" s="3"/>
      <c r="KZH53" s="3"/>
      <c r="KZI53" s="3"/>
      <c r="KZJ53" s="3"/>
      <c r="KZK53" s="3"/>
      <c r="KZL53" s="3"/>
      <c r="KZM53" s="3"/>
      <c r="KZN53" s="3"/>
      <c r="KZO53" s="3"/>
      <c r="KZP53" s="3"/>
      <c r="KZQ53" s="3"/>
      <c r="KZR53" s="3"/>
      <c r="KZS53" s="3"/>
      <c r="KZT53" s="3"/>
      <c r="KZU53" s="3"/>
      <c r="KZV53" s="3"/>
      <c r="KZW53" s="3"/>
      <c r="KZX53" s="3"/>
      <c r="KZY53" s="3"/>
      <c r="KZZ53" s="3"/>
      <c r="LAA53" s="3"/>
      <c r="LAB53" s="3"/>
      <c r="LAC53" s="3"/>
      <c r="LAD53" s="3"/>
      <c r="LAE53" s="3"/>
      <c r="LAF53" s="3"/>
      <c r="LAG53" s="3"/>
      <c r="LAH53" s="3"/>
      <c r="LAI53" s="3"/>
      <c r="LAJ53" s="3"/>
      <c r="LAK53" s="3"/>
      <c r="LAL53" s="3"/>
      <c r="LAM53" s="3"/>
      <c r="LAN53" s="3"/>
      <c r="LAO53" s="3"/>
      <c r="LAP53" s="3"/>
      <c r="LAQ53" s="3"/>
      <c r="LAR53" s="3"/>
      <c r="LAS53" s="3"/>
      <c r="LAT53" s="3"/>
      <c r="LAU53" s="3"/>
      <c r="LAV53" s="3"/>
      <c r="LAW53" s="3"/>
      <c r="LAX53" s="3"/>
      <c r="LAY53" s="3"/>
      <c r="LAZ53" s="3"/>
      <c r="LBA53" s="3"/>
      <c r="LBB53" s="3"/>
      <c r="LBC53" s="3"/>
      <c r="LBD53" s="3"/>
      <c r="LBE53" s="3"/>
      <c r="LBF53" s="3"/>
      <c r="LBG53" s="3"/>
      <c r="LBH53" s="3"/>
      <c r="LBI53" s="3"/>
      <c r="LBJ53" s="3"/>
      <c r="LBK53" s="3"/>
      <c r="LBL53" s="3"/>
      <c r="LBM53" s="3"/>
      <c r="LBN53" s="3"/>
      <c r="LBO53" s="3"/>
      <c r="LBP53" s="3"/>
      <c r="LBQ53" s="3"/>
      <c r="LBR53" s="3"/>
      <c r="LBS53" s="3"/>
      <c r="LBT53" s="3"/>
      <c r="LBU53" s="3"/>
      <c r="LBV53" s="3"/>
      <c r="LBW53" s="3"/>
      <c r="LBX53" s="3"/>
      <c r="LBY53" s="3"/>
      <c r="LBZ53" s="3"/>
      <c r="LCA53" s="3"/>
      <c r="LCB53" s="3"/>
      <c r="LCC53" s="3"/>
      <c r="LCD53" s="3"/>
      <c r="LCE53" s="3"/>
      <c r="LCF53" s="3"/>
      <c r="LCG53" s="3"/>
      <c r="LCH53" s="3"/>
      <c r="LCI53" s="3"/>
      <c r="LCJ53" s="3"/>
      <c r="LCK53" s="3"/>
      <c r="LCL53" s="3"/>
      <c r="LCM53" s="3"/>
      <c r="LCN53" s="3"/>
      <c r="LCO53" s="3"/>
      <c r="LCP53" s="3"/>
      <c r="LCQ53" s="3"/>
      <c r="LCR53" s="3"/>
      <c r="LCS53" s="3"/>
      <c r="LCT53" s="3"/>
      <c r="LCU53" s="3"/>
      <c r="LCV53" s="3"/>
      <c r="LCW53" s="3"/>
      <c r="LCX53" s="3"/>
      <c r="LCY53" s="3"/>
      <c r="LCZ53" s="3"/>
      <c r="LDA53" s="3"/>
      <c r="LDB53" s="3"/>
      <c r="LDC53" s="3"/>
      <c r="LDD53" s="3"/>
      <c r="LDE53" s="3"/>
      <c r="LDF53" s="3"/>
      <c r="LDG53" s="3"/>
      <c r="LDH53" s="3"/>
      <c r="LDI53" s="3"/>
      <c r="LDJ53" s="3"/>
      <c r="LDK53" s="3"/>
      <c r="LDL53" s="3"/>
      <c r="LDM53" s="3"/>
      <c r="LDN53" s="3"/>
      <c r="LDO53" s="3"/>
      <c r="LDP53" s="3"/>
      <c r="LDQ53" s="3"/>
      <c r="LDR53" s="3"/>
      <c r="LDS53" s="3"/>
      <c r="LDT53" s="3"/>
      <c r="LDU53" s="3"/>
      <c r="LDV53" s="3"/>
      <c r="LDW53" s="3"/>
      <c r="LDX53" s="3"/>
      <c r="LDY53" s="3"/>
      <c r="LDZ53" s="3"/>
      <c r="LEA53" s="3"/>
      <c r="LEB53" s="3"/>
      <c r="LEC53" s="3"/>
      <c r="LED53" s="3"/>
      <c r="LEE53" s="3"/>
      <c r="LEF53" s="3"/>
      <c r="LEG53" s="3"/>
      <c r="LEH53" s="3"/>
      <c r="LEI53" s="3"/>
      <c r="LEJ53" s="3"/>
      <c r="LEK53" s="3"/>
      <c r="LEL53" s="3"/>
      <c r="LEM53" s="3"/>
      <c r="LEN53" s="3"/>
      <c r="LEO53" s="3"/>
      <c r="LEP53" s="3"/>
      <c r="LEQ53" s="3"/>
      <c r="LER53" s="3"/>
      <c r="LES53" s="3"/>
      <c r="LET53" s="3"/>
      <c r="LEU53" s="3"/>
      <c r="LEV53" s="3"/>
      <c r="LEW53" s="3"/>
      <c r="LEX53" s="3"/>
      <c r="LEY53" s="3"/>
      <c r="LEZ53" s="3"/>
      <c r="LFA53" s="3"/>
      <c r="LFB53" s="3"/>
      <c r="LFC53" s="3"/>
      <c r="LFD53" s="3"/>
      <c r="LFE53" s="3"/>
      <c r="LFF53" s="3"/>
      <c r="LFG53" s="3"/>
      <c r="LFH53" s="3"/>
      <c r="LFI53" s="3"/>
      <c r="LFJ53" s="3"/>
      <c r="LFK53" s="3"/>
      <c r="LFL53" s="3"/>
      <c r="LFM53" s="3"/>
      <c r="LFN53" s="3"/>
      <c r="LFO53" s="3"/>
      <c r="LFP53" s="3"/>
      <c r="LFQ53" s="3"/>
      <c r="LFR53" s="3"/>
      <c r="LFS53" s="3"/>
      <c r="LFT53" s="3"/>
      <c r="LFU53" s="3"/>
      <c r="LFV53" s="3"/>
      <c r="LFW53" s="3"/>
      <c r="LFX53" s="3"/>
      <c r="LFY53" s="3"/>
      <c r="LFZ53" s="3"/>
      <c r="LGA53" s="3"/>
      <c r="LGB53" s="3"/>
      <c r="LGC53" s="3"/>
      <c r="LGD53" s="3"/>
      <c r="LGE53" s="3"/>
      <c r="LGF53" s="3"/>
      <c r="LGG53" s="3"/>
      <c r="LGH53" s="3"/>
      <c r="LGI53" s="3"/>
      <c r="LGJ53" s="3"/>
      <c r="LGK53" s="3"/>
      <c r="LGL53" s="3"/>
      <c r="LGM53" s="3"/>
      <c r="LGN53" s="3"/>
      <c r="LGO53" s="3"/>
      <c r="LGP53" s="3"/>
      <c r="LGQ53" s="3"/>
      <c r="LGR53" s="3"/>
      <c r="LGS53" s="3"/>
      <c r="LGT53" s="3"/>
      <c r="LGU53" s="3"/>
      <c r="LGV53" s="3"/>
      <c r="LGW53" s="3"/>
      <c r="LGX53" s="3"/>
      <c r="LGY53" s="3"/>
      <c r="LGZ53" s="3"/>
      <c r="LHA53" s="3"/>
      <c r="LHB53" s="3"/>
      <c r="LHC53" s="3"/>
      <c r="LHD53" s="3"/>
      <c r="LHE53" s="3"/>
      <c r="LHF53" s="3"/>
      <c r="LHG53" s="3"/>
      <c r="LHH53" s="3"/>
      <c r="LHI53" s="3"/>
      <c r="LHJ53" s="3"/>
      <c r="LHK53" s="3"/>
      <c r="LHL53" s="3"/>
      <c r="LHM53" s="3"/>
      <c r="LHN53" s="3"/>
      <c r="LHO53" s="3"/>
      <c r="LHP53" s="3"/>
      <c r="LHQ53" s="3"/>
      <c r="LHR53" s="3"/>
      <c r="LHS53" s="3"/>
      <c r="LHT53" s="3"/>
      <c r="LHU53" s="3"/>
      <c r="LHV53" s="3"/>
      <c r="LHW53" s="3"/>
      <c r="LHX53" s="3"/>
      <c r="LHY53" s="3"/>
      <c r="LHZ53" s="3"/>
      <c r="LIA53" s="3"/>
      <c r="LIB53" s="3"/>
      <c r="LIC53" s="3"/>
      <c r="LID53" s="3"/>
      <c r="LIE53" s="3"/>
      <c r="LIF53" s="3"/>
      <c r="LIG53" s="3"/>
      <c r="LIH53" s="3"/>
      <c r="LII53" s="3"/>
      <c r="LIJ53" s="3"/>
      <c r="LIK53" s="3"/>
      <c r="LIL53" s="3"/>
      <c r="LIM53" s="3"/>
      <c r="LIN53" s="3"/>
      <c r="LIO53" s="3"/>
      <c r="LIP53" s="3"/>
      <c r="LIQ53" s="3"/>
      <c r="LIR53" s="3"/>
      <c r="LIS53" s="3"/>
      <c r="LIT53" s="3"/>
      <c r="LIU53" s="3"/>
      <c r="LIV53" s="3"/>
      <c r="LIW53" s="3"/>
      <c r="LIX53" s="3"/>
      <c r="LIY53" s="3"/>
      <c r="LIZ53" s="3"/>
      <c r="LJA53" s="3"/>
      <c r="LJB53" s="3"/>
      <c r="LJC53" s="3"/>
      <c r="LJD53" s="3"/>
      <c r="LJE53" s="3"/>
      <c r="LJF53" s="3"/>
      <c r="LJG53" s="3"/>
      <c r="LJH53" s="3"/>
      <c r="LJI53" s="3"/>
      <c r="LJJ53" s="3"/>
      <c r="LJK53" s="3"/>
      <c r="LJL53" s="3"/>
      <c r="LJM53" s="3"/>
      <c r="LJN53" s="3"/>
      <c r="LJO53" s="3"/>
      <c r="LJP53" s="3"/>
      <c r="LJQ53" s="3"/>
      <c r="LJR53" s="3"/>
      <c r="LJS53" s="3"/>
      <c r="LJT53" s="3"/>
      <c r="LJU53" s="3"/>
      <c r="LJV53" s="3"/>
      <c r="LJW53" s="3"/>
      <c r="LJX53" s="3"/>
      <c r="LJY53" s="3"/>
      <c r="LJZ53" s="3"/>
      <c r="LKA53" s="3"/>
      <c r="LKB53" s="3"/>
      <c r="LKC53" s="3"/>
      <c r="LKD53" s="3"/>
      <c r="LKE53" s="3"/>
      <c r="LKF53" s="3"/>
      <c r="LKG53" s="3"/>
      <c r="LKH53" s="3"/>
      <c r="LKI53" s="3"/>
      <c r="LKJ53" s="3"/>
      <c r="LKK53" s="3"/>
      <c r="LKL53" s="3"/>
      <c r="LKM53" s="3"/>
      <c r="LKN53" s="3"/>
      <c r="LKO53" s="3"/>
      <c r="LKP53" s="3"/>
      <c r="LKQ53" s="3"/>
      <c r="LKR53" s="3"/>
      <c r="LKS53" s="3"/>
      <c r="LKT53" s="3"/>
      <c r="LKU53" s="3"/>
      <c r="LKV53" s="3"/>
      <c r="LKW53" s="3"/>
      <c r="LKX53" s="3"/>
      <c r="LKY53" s="3"/>
      <c r="LKZ53" s="3"/>
      <c r="LLA53" s="3"/>
      <c r="LLB53" s="3"/>
      <c r="LLC53" s="3"/>
      <c r="LLD53" s="3"/>
      <c r="LLE53" s="3"/>
      <c r="LLF53" s="3"/>
      <c r="LLG53" s="3"/>
      <c r="LLH53" s="3"/>
      <c r="LLI53" s="3"/>
      <c r="LLJ53" s="3"/>
      <c r="LLK53" s="3"/>
      <c r="LLL53" s="3"/>
      <c r="LLM53" s="3"/>
      <c r="LLN53" s="3"/>
      <c r="LLO53" s="3"/>
      <c r="LLP53" s="3"/>
      <c r="LLQ53" s="3"/>
      <c r="LLR53" s="3"/>
      <c r="LLS53" s="3"/>
      <c r="LLT53" s="3"/>
      <c r="LLU53" s="3"/>
      <c r="LLV53" s="3"/>
      <c r="LLW53" s="3"/>
      <c r="LLX53" s="3"/>
      <c r="LLY53" s="3"/>
      <c r="LLZ53" s="3"/>
      <c r="LMA53" s="3"/>
      <c r="LMB53" s="3"/>
      <c r="LMC53" s="3"/>
      <c r="LMD53" s="3"/>
      <c r="LME53" s="3"/>
      <c r="LMF53" s="3"/>
      <c r="LMG53" s="3"/>
      <c r="LMH53" s="3"/>
      <c r="LMI53" s="3"/>
      <c r="LMJ53" s="3"/>
      <c r="LMK53" s="3"/>
      <c r="LML53" s="3"/>
      <c r="LMM53" s="3"/>
      <c r="LMN53" s="3"/>
      <c r="LMO53" s="3"/>
      <c r="LMP53" s="3"/>
      <c r="LMQ53" s="3"/>
      <c r="LMR53" s="3"/>
      <c r="LMS53" s="3"/>
      <c r="LMT53" s="3"/>
      <c r="LMU53" s="3"/>
      <c r="LMV53" s="3"/>
      <c r="LMW53" s="3"/>
      <c r="LMX53" s="3"/>
      <c r="LMY53" s="3"/>
      <c r="LMZ53" s="3"/>
      <c r="LNA53" s="3"/>
      <c r="LNB53" s="3"/>
      <c r="LNC53" s="3"/>
      <c r="LND53" s="3"/>
      <c r="LNE53" s="3"/>
      <c r="LNF53" s="3"/>
      <c r="LNG53" s="3"/>
      <c r="LNH53" s="3"/>
      <c r="LNI53" s="3"/>
      <c r="LNJ53" s="3"/>
      <c r="LNK53" s="3"/>
      <c r="LNL53" s="3"/>
      <c r="LNM53" s="3"/>
      <c r="LNN53" s="3"/>
      <c r="LNO53" s="3"/>
      <c r="LNP53" s="3"/>
      <c r="LNQ53" s="3"/>
      <c r="LNR53" s="3"/>
      <c r="LNS53" s="3"/>
      <c r="LNT53" s="3"/>
      <c r="LNU53" s="3"/>
      <c r="LNV53" s="3"/>
      <c r="LNW53" s="3"/>
      <c r="LNX53" s="3"/>
      <c r="LNY53" s="3"/>
      <c r="LNZ53" s="3"/>
      <c r="LOA53" s="3"/>
      <c r="LOB53" s="3"/>
      <c r="LOC53" s="3"/>
      <c r="LOD53" s="3"/>
      <c r="LOE53" s="3"/>
      <c r="LOF53" s="3"/>
      <c r="LOG53" s="3"/>
      <c r="LOH53" s="3"/>
      <c r="LOI53" s="3"/>
      <c r="LOJ53" s="3"/>
      <c r="LOK53" s="3"/>
      <c r="LOL53" s="3"/>
      <c r="LOM53" s="3"/>
      <c r="LON53" s="3"/>
      <c r="LOO53" s="3"/>
      <c r="LOP53" s="3"/>
      <c r="LOQ53" s="3"/>
      <c r="LOR53" s="3"/>
      <c r="LOS53" s="3"/>
      <c r="LOT53" s="3"/>
      <c r="LOU53" s="3"/>
      <c r="LOV53" s="3"/>
      <c r="LOW53" s="3"/>
      <c r="LOX53" s="3"/>
      <c r="LOY53" s="3"/>
      <c r="LOZ53" s="3"/>
      <c r="LPA53" s="3"/>
      <c r="LPB53" s="3"/>
      <c r="LPC53" s="3"/>
      <c r="LPD53" s="3"/>
      <c r="LPE53" s="3"/>
      <c r="LPF53" s="3"/>
      <c r="LPG53" s="3"/>
      <c r="LPH53" s="3"/>
      <c r="LPI53" s="3"/>
      <c r="LPJ53" s="3"/>
      <c r="LPK53" s="3"/>
      <c r="LPL53" s="3"/>
      <c r="LPM53" s="3"/>
      <c r="LPN53" s="3"/>
      <c r="LPO53" s="3"/>
      <c r="LPP53" s="3"/>
      <c r="LPQ53" s="3"/>
      <c r="LPR53" s="3"/>
      <c r="LPS53" s="3"/>
      <c r="LPT53" s="3"/>
      <c r="LPU53" s="3"/>
      <c r="LPV53" s="3"/>
      <c r="LPW53" s="3"/>
      <c r="LPX53" s="3"/>
      <c r="LPY53" s="3"/>
      <c r="LPZ53" s="3"/>
      <c r="LQA53" s="3"/>
      <c r="LQB53" s="3"/>
      <c r="LQC53" s="3"/>
      <c r="LQD53" s="3"/>
      <c r="LQE53" s="3"/>
      <c r="LQF53" s="3"/>
      <c r="LQG53" s="3"/>
      <c r="LQH53" s="3"/>
      <c r="LQI53" s="3"/>
      <c r="LQJ53" s="3"/>
      <c r="LQK53" s="3"/>
      <c r="LQL53" s="3"/>
      <c r="LQM53" s="3"/>
      <c r="LQN53" s="3"/>
      <c r="LQO53" s="3"/>
      <c r="LQP53" s="3"/>
      <c r="LQQ53" s="3"/>
      <c r="LQR53" s="3"/>
      <c r="LQS53" s="3"/>
      <c r="LQT53" s="3"/>
      <c r="LQU53" s="3"/>
      <c r="LQV53" s="3"/>
      <c r="LQW53" s="3"/>
      <c r="LQX53" s="3"/>
      <c r="LQY53" s="3"/>
      <c r="LQZ53" s="3"/>
      <c r="LRA53" s="3"/>
      <c r="LRB53" s="3"/>
      <c r="LRC53" s="3"/>
      <c r="LRD53" s="3"/>
      <c r="LRE53" s="3"/>
      <c r="LRF53" s="3"/>
      <c r="LRG53" s="3"/>
      <c r="LRH53" s="3"/>
      <c r="LRI53" s="3"/>
      <c r="LRJ53" s="3"/>
      <c r="LRK53" s="3"/>
      <c r="LRL53" s="3"/>
      <c r="LRM53" s="3"/>
      <c r="LRN53" s="3"/>
      <c r="LRO53" s="3"/>
      <c r="LRP53" s="3"/>
      <c r="LRQ53" s="3"/>
      <c r="LRR53" s="3"/>
      <c r="LRS53" s="3"/>
      <c r="LRT53" s="3"/>
      <c r="LRU53" s="3"/>
      <c r="LRV53" s="3"/>
      <c r="LRW53" s="3"/>
      <c r="LRX53" s="3"/>
      <c r="LRY53" s="3"/>
      <c r="LRZ53" s="3"/>
      <c r="LSA53" s="3"/>
      <c r="LSB53" s="3"/>
      <c r="LSC53" s="3"/>
      <c r="LSD53" s="3"/>
      <c r="LSE53" s="3"/>
      <c r="LSF53" s="3"/>
      <c r="LSG53" s="3"/>
      <c r="LSH53" s="3"/>
      <c r="LSI53" s="3"/>
      <c r="LSJ53" s="3"/>
      <c r="LSK53" s="3"/>
      <c r="LSL53" s="3"/>
      <c r="LSM53" s="3"/>
      <c r="LSN53" s="3"/>
      <c r="LSO53" s="3"/>
      <c r="LSP53" s="3"/>
      <c r="LSQ53" s="3"/>
      <c r="LSR53" s="3"/>
      <c r="LSS53" s="3"/>
      <c r="LST53" s="3"/>
      <c r="LSU53" s="3"/>
      <c r="LSV53" s="3"/>
      <c r="LSW53" s="3"/>
      <c r="LSX53" s="3"/>
      <c r="LSY53" s="3"/>
      <c r="LSZ53" s="3"/>
      <c r="LTA53" s="3"/>
      <c r="LTB53" s="3"/>
      <c r="LTC53" s="3"/>
      <c r="LTD53" s="3"/>
      <c r="LTE53" s="3"/>
      <c r="LTF53" s="3"/>
      <c r="LTG53" s="3"/>
      <c r="LTH53" s="3"/>
      <c r="LTI53" s="3"/>
      <c r="LTJ53" s="3"/>
      <c r="LTK53" s="3"/>
      <c r="LTL53" s="3"/>
      <c r="LTM53" s="3"/>
      <c r="LTN53" s="3"/>
      <c r="LTO53" s="3"/>
      <c r="LTP53" s="3"/>
      <c r="LTQ53" s="3"/>
      <c r="LTR53" s="3"/>
      <c r="LTS53" s="3"/>
      <c r="LTT53" s="3"/>
      <c r="LTU53" s="3"/>
      <c r="LTV53" s="3"/>
      <c r="LTW53" s="3"/>
      <c r="LTX53" s="3"/>
      <c r="LTY53" s="3"/>
      <c r="LTZ53" s="3"/>
      <c r="LUA53" s="3"/>
      <c r="LUB53" s="3"/>
      <c r="LUC53" s="3"/>
      <c r="LUD53" s="3"/>
      <c r="LUE53" s="3"/>
      <c r="LUF53" s="3"/>
      <c r="LUG53" s="3"/>
      <c r="LUH53" s="3"/>
      <c r="LUI53" s="3"/>
      <c r="LUJ53" s="3"/>
      <c r="LUK53" s="3"/>
      <c r="LUL53" s="3"/>
      <c r="LUM53" s="3"/>
      <c r="LUN53" s="3"/>
      <c r="LUO53" s="3"/>
      <c r="LUP53" s="3"/>
      <c r="LUQ53" s="3"/>
      <c r="LUR53" s="3"/>
      <c r="LUS53" s="3"/>
      <c r="LUT53" s="3"/>
      <c r="LUU53" s="3"/>
      <c r="LUV53" s="3"/>
      <c r="LUW53" s="3"/>
      <c r="LUX53" s="3"/>
      <c r="LUY53" s="3"/>
      <c r="LUZ53" s="3"/>
      <c r="LVA53" s="3"/>
      <c r="LVB53" s="3"/>
      <c r="LVC53" s="3"/>
      <c r="LVD53" s="3"/>
      <c r="LVE53" s="3"/>
      <c r="LVF53" s="3"/>
      <c r="LVG53" s="3"/>
      <c r="LVH53" s="3"/>
      <c r="LVI53" s="3"/>
      <c r="LVJ53" s="3"/>
      <c r="LVK53" s="3"/>
      <c r="LVL53" s="3"/>
      <c r="LVM53" s="3"/>
      <c r="LVN53" s="3"/>
      <c r="LVO53" s="3"/>
      <c r="LVP53" s="3"/>
      <c r="LVQ53" s="3"/>
      <c r="LVR53" s="3"/>
      <c r="LVS53" s="3"/>
      <c r="LVT53" s="3"/>
      <c r="LVU53" s="3"/>
      <c r="LVV53" s="3"/>
      <c r="LVW53" s="3"/>
      <c r="LVX53" s="3"/>
      <c r="LVY53" s="3"/>
      <c r="LVZ53" s="3"/>
      <c r="LWA53" s="3"/>
      <c r="LWB53" s="3"/>
      <c r="LWC53" s="3"/>
      <c r="LWD53" s="3"/>
      <c r="LWE53" s="3"/>
      <c r="LWF53" s="3"/>
      <c r="LWG53" s="3"/>
      <c r="LWH53" s="3"/>
      <c r="LWI53" s="3"/>
      <c r="LWJ53" s="3"/>
      <c r="LWK53" s="3"/>
      <c r="LWL53" s="3"/>
      <c r="LWM53" s="3"/>
      <c r="LWN53" s="3"/>
      <c r="LWO53" s="3"/>
      <c r="LWP53" s="3"/>
      <c r="LWQ53" s="3"/>
      <c r="LWR53" s="3"/>
      <c r="LWS53" s="3"/>
      <c r="LWT53" s="3"/>
      <c r="LWU53" s="3"/>
      <c r="LWV53" s="3"/>
      <c r="LWW53" s="3"/>
      <c r="LWX53" s="3"/>
      <c r="LWY53" s="3"/>
      <c r="LWZ53" s="3"/>
      <c r="LXA53" s="3"/>
      <c r="LXB53" s="3"/>
      <c r="LXC53" s="3"/>
      <c r="LXD53" s="3"/>
      <c r="LXE53" s="3"/>
      <c r="LXF53" s="3"/>
      <c r="LXG53" s="3"/>
      <c r="LXH53" s="3"/>
      <c r="LXI53" s="3"/>
      <c r="LXJ53" s="3"/>
      <c r="LXK53" s="3"/>
      <c r="LXL53" s="3"/>
      <c r="LXM53" s="3"/>
      <c r="LXN53" s="3"/>
      <c r="LXO53" s="3"/>
      <c r="LXP53" s="3"/>
      <c r="LXQ53" s="3"/>
      <c r="LXR53" s="3"/>
      <c r="LXS53" s="3"/>
      <c r="LXT53" s="3"/>
      <c r="LXU53" s="3"/>
      <c r="LXV53" s="3"/>
      <c r="LXW53" s="3"/>
      <c r="LXX53" s="3"/>
      <c r="LXY53" s="3"/>
      <c r="LXZ53" s="3"/>
      <c r="LYA53" s="3"/>
      <c r="LYB53" s="3"/>
      <c r="LYC53" s="3"/>
      <c r="LYD53" s="3"/>
      <c r="LYE53" s="3"/>
      <c r="LYF53" s="3"/>
      <c r="LYG53" s="3"/>
      <c r="LYH53" s="3"/>
      <c r="LYI53" s="3"/>
      <c r="LYJ53" s="3"/>
      <c r="LYK53" s="3"/>
      <c r="LYL53" s="3"/>
      <c r="LYM53" s="3"/>
      <c r="LYN53" s="3"/>
      <c r="LYO53" s="3"/>
      <c r="LYP53" s="3"/>
      <c r="LYQ53" s="3"/>
      <c r="LYR53" s="3"/>
      <c r="LYS53" s="3"/>
      <c r="LYT53" s="3"/>
      <c r="LYU53" s="3"/>
      <c r="LYV53" s="3"/>
      <c r="LYW53" s="3"/>
      <c r="LYX53" s="3"/>
      <c r="LYY53" s="3"/>
      <c r="LYZ53" s="3"/>
      <c r="LZA53" s="3"/>
      <c r="LZB53" s="3"/>
      <c r="LZC53" s="3"/>
      <c r="LZD53" s="3"/>
      <c r="LZE53" s="3"/>
      <c r="LZF53" s="3"/>
      <c r="LZG53" s="3"/>
      <c r="LZH53" s="3"/>
      <c r="LZI53" s="3"/>
      <c r="LZJ53" s="3"/>
      <c r="LZK53" s="3"/>
      <c r="LZL53" s="3"/>
      <c r="LZM53" s="3"/>
      <c r="LZN53" s="3"/>
      <c r="LZO53" s="3"/>
      <c r="LZP53" s="3"/>
      <c r="LZQ53" s="3"/>
      <c r="LZR53" s="3"/>
      <c r="LZS53" s="3"/>
      <c r="LZT53" s="3"/>
      <c r="LZU53" s="3"/>
      <c r="LZV53" s="3"/>
      <c r="LZW53" s="3"/>
      <c r="LZX53" s="3"/>
      <c r="LZY53" s="3"/>
      <c r="LZZ53" s="3"/>
      <c r="MAA53" s="3"/>
      <c r="MAB53" s="3"/>
      <c r="MAC53" s="3"/>
      <c r="MAD53" s="3"/>
      <c r="MAE53" s="3"/>
      <c r="MAF53" s="3"/>
      <c r="MAG53" s="3"/>
      <c r="MAH53" s="3"/>
      <c r="MAI53" s="3"/>
      <c r="MAJ53" s="3"/>
      <c r="MAK53" s="3"/>
      <c r="MAL53" s="3"/>
      <c r="MAM53" s="3"/>
      <c r="MAN53" s="3"/>
      <c r="MAO53" s="3"/>
      <c r="MAP53" s="3"/>
      <c r="MAQ53" s="3"/>
      <c r="MAR53" s="3"/>
      <c r="MAS53" s="3"/>
      <c r="MAT53" s="3"/>
      <c r="MAU53" s="3"/>
      <c r="MAV53" s="3"/>
      <c r="MAW53" s="3"/>
      <c r="MAX53" s="3"/>
      <c r="MAY53" s="3"/>
      <c r="MAZ53" s="3"/>
      <c r="MBA53" s="3"/>
      <c r="MBB53" s="3"/>
      <c r="MBC53" s="3"/>
      <c r="MBD53" s="3"/>
      <c r="MBE53" s="3"/>
      <c r="MBF53" s="3"/>
      <c r="MBG53" s="3"/>
      <c r="MBH53" s="3"/>
      <c r="MBI53" s="3"/>
      <c r="MBJ53" s="3"/>
      <c r="MBK53" s="3"/>
      <c r="MBL53" s="3"/>
      <c r="MBM53" s="3"/>
      <c r="MBN53" s="3"/>
      <c r="MBO53" s="3"/>
      <c r="MBP53" s="3"/>
      <c r="MBQ53" s="3"/>
      <c r="MBR53" s="3"/>
      <c r="MBS53" s="3"/>
      <c r="MBT53" s="3"/>
      <c r="MBU53" s="3"/>
      <c r="MBV53" s="3"/>
      <c r="MBW53" s="3"/>
      <c r="MBX53" s="3"/>
      <c r="MBY53" s="3"/>
      <c r="MBZ53" s="3"/>
      <c r="MCA53" s="3"/>
      <c r="MCB53" s="3"/>
      <c r="MCC53" s="3"/>
      <c r="MCD53" s="3"/>
      <c r="MCE53" s="3"/>
      <c r="MCF53" s="3"/>
      <c r="MCG53" s="3"/>
      <c r="MCH53" s="3"/>
      <c r="MCI53" s="3"/>
      <c r="MCJ53" s="3"/>
      <c r="MCK53" s="3"/>
      <c r="MCL53" s="3"/>
      <c r="MCM53" s="3"/>
      <c r="MCN53" s="3"/>
      <c r="MCO53" s="3"/>
      <c r="MCP53" s="3"/>
      <c r="MCQ53" s="3"/>
      <c r="MCR53" s="3"/>
      <c r="MCS53" s="3"/>
      <c r="MCT53" s="3"/>
      <c r="MCU53" s="3"/>
      <c r="MCV53" s="3"/>
      <c r="MCW53" s="3"/>
      <c r="MCX53" s="3"/>
      <c r="MCY53" s="3"/>
      <c r="MCZ53" s="3"/>
      <c r="MDA53" s="3"/>
      <c r="MDB53" s="3"/>
      <c r="MDC53" s="3"/>
      <c r="MDD53" s="3"/>
      <c r="MDE53" s="3"/>
      <c r="MDF53" s="3"/>
      <c r="MDG53" s="3"/>
      <c r="MDH53" s="3"/>
      <c r="MDI53" s="3"/>
      <c r="MDJ53" s="3"/>
      <c r="MDK53" s="3"/>
      <c r="MDL53" s="3"/>
      <c r="MDM53" s="3"/>
      <c r="MDN53" s="3"/>
      <c r="MDO53" s="3"/>
      <c r="MDP53" s="3"/>
      <c r="MDQ53" s="3"/>
      <c r="MDR53" s="3"/>
      <c r="MDS53" s="3"/>
      <c r="MDT53" s="3"/>
      <c r="MDU53" s="3"/>
      <c r="MDV53" s="3"/>
      <c r="MDW53" s="3"/>
      <c r="MDX53" s="3"/>
      <c r="MDY53" s="3"/>
      <c r="MDZ53" s="3"/>
      <c r="MEA53" s="3"/>
      <c r="MEB53" s="3"/>
      <c r="MEC53" s="3"/>
      <c r="MED53" s="3"/>
      <c r="MEE53" s="3"/>
      <c r="MEF53" s="3"/>
      <c r="MEG53" s="3"/>
      <c r="MEH53" s="3"/>
      <c r="MEI53" s="3"/>
      <c r="MEJ53" s="3"/>
      <c r="MEK53" s="3"/>
      <c r="MEL53" s="3"/>
      <c r="MEM53" s="3"/>
      <c r="MEN53" s="3"/>
      <c r="MEO53" s="3"/>
      <c r="MEP53" s="3"/>
      <c r="MEQ53" s="3"/>
      <c r="MER53" s="3"/>
      <c r="MES53" s="3"/>
      <c r="MET53" s="3"/>
      <c r="MEU53" s="3"/>
      <c r="MEV53" s="3"/>
      <c r="MEW53" s="3"/>
      <c r="MEX53" s="3"/>
      <c r="MEY53" s="3"/>
      <c r="MEZ53" s="3"/>
      <c r="MFA53" s="3"/>
      <c r="MFB53" s="3"/>
      <c r="MFC53" s="3"/>
      <c r="MFD53" s="3"/>
      <c r="MFE53" s="3"/>
      <c r="MFF53" s="3"/>
      <c r="MFG53" s="3"/>
      <c r="MFH53" s="3"/>
      <c r="MFI53" s="3"/>
      <c r="MFJ53" s="3"/>
      <c r="MFK53" s="3"/>
      <c r="MFL53" s="3"/>
      <c r="MFM53" s="3"/>
      <c r="MFN53" s="3"/>
      <c r="MFO53" s="3"/>
      <c r="MFP53" s="3"/>
      <c r="MFQ53" s="3"/>
      <c r="MFR53" s="3"/>
      <c r="MFS53" s="3"/>
      <c r="MFT53" s="3"/>
      <c r="MFU53" s="3"/>
      <c r="MFV53" s="3"/>
      <c r="MFW53" s="3"/>
      <c r="MFX53" s="3"/>
      <c r="MFY53" s="3"/>
      <c r="MFZ53" s="3"/>
      <c r="MGA53" s="3"/>
      <c r="MGB53" s="3"/>
      <c r="MGC53" s="3"/>
      <c r="MGD53" s="3"/>
      <c r="MGE53" s="3"/>
      <c r="MGF53" s="3"/>
      <c r="MGG53" s="3"/>
      <c r="MGH53" s="3"/>
      <c r="MGI53" s="3"/>
      <c r="MGJ53" s="3"/>
      <c r="MGK53" s="3"/>
      <c r="MGL53" s="3"/>
      <c r="MGM53" s="3"/>
      <c r="MGN53" s="3"/>
      <c r="MGO53" s="3"/>
      <c r="MGP53" s="3"/>
      <c r="MGQ53" s="3"/>
      <c r="MGR53" s="3"/>
      <c r="MGS53" s="3"/>
      <c r="MGT53" s="3"/>
      <c r="MGU53" s="3"/>
      <c r="MGV53" s="3"/>
      <c r="MGW53" s="3"/>
      <c r="MGX53" s="3"/>
      <c r="MGY53" s="3"/>
      <c r="MGZ53" s="3"/>
      <c r="MHA53" s="3"/>
      <c r="MHB53" s="3"/>
      <c r="MHC53" s="3"/>
      <c r="MHD53" s="3"/>
      <c r="MHE53" s="3"/>
      <c r="MHF53" s="3"/>
      <c r="MHG53" s="3"/>
      <c r="MHH53" s="3"/>
      <c r="MHI53" s="3"/>
      <c r="MHJ53" s="3"/>
      <c r="MHK53" s="3"/>
      <c r="MHL53" s="3"/>
      <c r="MHM53" s="3"/>
      <c r="MHN53" s="3"/>
      <c r="MHO53" s="3"/>
      <c r="MHP53" s="3"/>
      <c r="MHQ53" s="3"/>
      <c r="MHR53" s="3"/>
      <c r="MHS53" s="3"/>
      <c r="MHT53" s="3"/>
      <c r="MHU53" s="3"/>
      <c r="MHV53" s="3"/>
      <c r="MHW53" s="3"/>
      <c r="MHX53" s="3"/>
      <c r="MHY53" s="3"/>
      <c r="MHZ53" s="3"/>
      <c r="MIA53" s="3"/>
      <c r="MIB53" s="3"/>
      <c r="MIC53" s="3"/>
      <c r="MID53" s="3"/>
      <c r="MIE53" s="3"/>
      <c r="MIF53" s="3"/>
      <c r="MIG53" s="3"/>
      <c r="MIH53" s="3"/>
      <c r="MII53" s="3"/>
      <c r="MIJ53" s="3"/>
      <c r="MIK53" s="3"/>
      <c r="MIL53" s="3"/>
      <c r="MIM53" s="3"/>
      <c r="MIN53" s="3"/>
      <c r="MIO53" s="3"/>
      <c r="MIP53" s="3"/>
      <c r="MIQ53" s="3"/>
      <c r="MIR53" s="3"/>
      <c r="MIS53" s="3"/>
      <c r="MIT53" s="3"/>
      <c r="MIU53" s="3"/>
      <c r="MIV53" s="3"/>
      <c r="MIW53" s="3"/>
      <c r="MIX53" s="3"/>
      <c r="MIY53" s="3"/>
      <c r="MIZ53" s="3"/>
      <c r="MJA53" s="3"/>
      <c r="MJB53" s="3"/>
      <c r="MJC53" s="3"/>
      <c r="MJD53" s="3"/>
      <c r="MJE53" s="3"/>
      <c r="MJF53" s="3"/>
      <c r="MJG53" s="3"/>
      <c r="MJH53" s="3"/>
      <c r="MJI53" s="3"/>
      <c r="MJJ53" s="3"/>
      <c r="MJK53" s="3"/>
      <c r="MJL53" s="3"/>
      <c r="MJM53" s="3"/>
      <c r="MJN53" s="3"/>
      <c r="MJO53" s="3"/>
      <c r="MJP53" s="3"/>
      <c r="MJQ53" s="3"/>
      <c r="MJR53" s="3"/>
      <c r="MJS53" s="3"/>
      <c r="MJT53" s="3"/>
      <c r="MJU53" s="3"/>
      <c r="MJV53" s="3"/>
      <c r="MJW53" s="3"/>
      <c r="MJX53" s="3"/>
      <c r="MJY53" s="3"/>
      <c r="MJZ53" s="3"/>
      <c r="MKA53" s="3"/>
      <c r="MKB53" s="3"/>
      <c r="MKC53" s="3"/>
      <c r="MKD53" s="3"/>
      <c r="MKE53" s="3"/>
      <c r="MKF53" s="3"/>
      <c r="MKG53" s="3"/>
      <c r="MKH53" s="3"/>
      <c r="MKI53" s="3"/>
      <c r="MKJ53" s="3"/>
      <c r="MKK53" s="3"/>
      <c r="MKL53" s="3"/>
      <c r="MKM53" s="3"/>
      <c r="MKN53" s="3"/>
      <c r="MKO53" s="3"/>
      <c r="MKP53" s="3"/>
      <c r="MKQ53" s="3"/>
      <c r="MKR53" s="3"/>
      <c r="MKS53" s="3"/>
      <c r="MKT53" s="3"/>
      <c r="MKU53" s="3"/>
      <c r="MKV53" s="3"/>
      <c r="MKW53" s="3"/>
      <c r="MKX53" s="3"/>
      <c r="MKY53" s="3"/>
      <c r="MKZ53" s="3"/>
      <c r="MLA53" s="3"/>
      <c r="MLB53" s="3"/>
      <c r="MLC53" s="3"/>
      <c r="MLD53" s="3"/>
      <c r="MLE53" s="3"/>
      <c r="MLF53" s="3"/>
      <c r="MLG53" s="3"/>
      <c r="MLH53" s="3"/>
      <c r="MLI53" s="3"/>
      <c r="MLJ53" s="3"/>
      <c r="MLK53" s="3"/>
      <c r="MLL53" s="3"/>
      <c r="MLM53" s="3"/>
      <c r="MLN53" s="3"/>
      <c r="MLO53" s="3"/>
      <c r="MLP53" s="3"/>
      <c r="MLQ53" s="3"/>
      <c r="MLR53" s="3"/>
      <c r="MLS53" s="3"/>
      <c r="MLT53" s="3"/>
      <c r="MLU53" s="3"/>
      <c r="MLV53" s="3"/>
      <c r="MLW53" s="3"/>
      <c r="MLX53" s="3"/>
      <c r="MLY53" s="3"/>
      <c r="MLZ53" s="3"/>
      <c r="MMA53" s="3"/>
      <c r="MMB53" s="3"/>
      <c r="MMC53" s="3"/>
      <c r="MMD53" s="3"/>
      <c r="MME53" s="3"/>
      <c r="MMF53" s="3"/>
      <c r="MMG53" s="3"/>
      <c r="MMH53" s="3"/>
      <c r="MMI53" s="3"/>
      <c r="MMJ53" s="3"/>
      <c r="MMK53" s="3"/>
      <c r="MML53" s="3"/>
      <c r="MMM53" s="3"/>
      <c r="MMN53" s="3"/>
      <c r="MMO53" s="3"/>
      <c r="MMP53" s="3"/>
      <c r="MMQ53" s="3"/>
      <c r="MMR53" s="3"/>
      <c r="MMS53" s="3"/>
      <c r="MMT53" s="3"/>
      <c r="MMU53" s="3"/>
      <c r="MMV53" s="3"/>
      <c r="MMW53" s="3"/>
      <c r="MMX53" s="3"/>
      <c r="MMY53" s="3"/>
      <c r="MMZ53" s="3"/>
      <c r="MNA53" s="3"/>
      <c r="MNB53" s="3"/>
      <c r="MNC53" s="3"/>
      <c r="MND53" s="3"/>
      <c r="MNE53" s="3"/>
      <c r="MNF53" s="3"/>
      <c r="MNG53" s="3"/>
      <c r="MNH53" s="3"/>
      <c r="MNI53" s="3"/>
      <c r="MNJ53" s="3"/>
      <c r="MNK53" s="3"/>
      <c r="MNL53" s="3"/>
      <c r="MNM53" s="3"/>
      <c r="MNN53" s="3"/>
      <c r="MNO53" s="3"/>
      <c r="MNP53" s="3"/>
      <c r="MNQ53" s="3"/>
      <c r="MNR53" s="3"/>
      <c r="MNS53" s="3"/>
      <c r="MNT53" s="3"/>
      <c r="MNU53" s="3"/>
      <c r="MNV53" s="3"/>
      <c r="MNW53" s="3"/>
      <c r="MNX53" s="3"/>
      <c r="MNY53" s="3"/>
      <c r="MNZ53" s="3"/>
      <c r="MOA53" s="3"/>
      <c r="MOB53" s="3"/>
      <c r="MOC53" s="3"/>
      <c r="MOD53" s="3"/>
      <c r="MOE53" s="3"/>
      <c r="MOF53" s="3"/>
      <c r="MOG53" s="3"/>
      <c r="MOH53" s="3"/>
      <c r="MOI53" s="3"/>
      <c r="MOJ53" s="3"/>
      <c r="MOK53" s="3"/>
      <c r="MOL53" s="3"/>
      <c r="MOM53" s="3"/>
      <c r="MON53" s="3"/>
      <c r="MOO53" s="3"/>
      <c r="MOP53" s="3"/>
      <c r="MOQ53" s="3"/>
      <c r="MOR53" s="3"/>
      <c r="MOS53" s="3"/>
      <c r="MOT53" s="3"/>
      <c r="MOU53" s="3"/>
      <c r="MOV53" s="3"/>
      <c r="MOW53" s="3"/>
      <c r="MOX53" s="3"/>
      <c r="MOY53" s="3"/>
      <c r="MOZ53" s="3"/>
      <c r="MPA53" s="3"/>
      <c r="MPB53" s="3"/>
      <c r="MPC53" s="3"/>
      <c r="MPD53" s="3"/>
      <c r="MPE53" s="3"/>
      <c r="MPF53" s="3"/>
      <c r="MPG53" s="3"/>
      <c r="MPH53" s="3"/>
      <c r="MPI53" s="3"/>
      <c r="MPJ53" s="3"/>
      <c r="MPK53" s="3"/>
      <c r="MPL53" s="3"/>
      <c r="MPM53" s="3"/>
      <c r="MPN53" s="3"/>
      <c r="MPO53" s="3"/>
      <c r="MPP53" s="3"/>
      <c r="MPQ53" s="3"/>
      <c r="MPR53" s="3"/>
      <c r="MPS53" s="3"/>
      <c r="MPT53" s="3"/>
      <c r="MPU53" s="3"/>
      <c r="MPV53" s="3"/>
      <c r="MPW53" s="3"/>
      <c r="MPX53" s="3"/>
      <c r="MPY53" s="3"/>
      <c r="MPZ53" s="3"/>
      <c r="MQA53" s="3"/>
      <c r="MQB53" s="3"/>
      <c r="MQC53" s="3"/>
      <c r="MQD53" s="3"/>
      <c r="MQE53" s="3"/>
      <c r="MQF53" s="3"/>
      <c r="MQG53" s="3"/>
      <c r="MQH53" s="3"/>
      <c r="MQI53" s="3"/>
      <c r="MQJ53" s="3"/>
      <c r="MQK53" s="3"/>
      <c r="MQL53" s="3"/>
      <c r="MQM53" s="3"/>
      <c r="MQN53" s="3"/>
      <c r="MQO53" s="3"/>
      <c r="MQP53" s="3"/>
      <c r="MQQ53" s="3"/>
      <c r="MQR53" s="3"/>
      <c r="MQS53" s="3"/>
      <c r="MQT53" s="3"/>
      <c r="MQU53" s="3"/>
      <c r="MQV53" s="3"/>
      <c r="MQW53" s="3"/>
      <c r="MQX53" s="3"/>
      <c r="MQY53" s="3"/>
      <c r="MQZ53" s="3"/>
      <c r="MRA53" s="3"/>
      <c r="MRB53" s="3"/>
      <c r="MRC53" s="3"/>
      <c r="MRD53" s="3"/>
      <c r="MRE53" s="3"/>
      <c r="MRF53" s="3"/>
      <c r="MRG53" s="3"/>
      <c r="MRH53" s="3"/>
      <c r="MRI53" s="3"/>
      <c r="MRJ53" s="3"/>
      <c r="MRK53" s="3"/>
      <c r="MRL53" s="3"/>
      <c r="MRM53" s="3"/>
      <c r="MRN53" s="3"/>
      <c r="MRO53" s="3"/>
      <c r="MRP53" s="3"/>
      <c r="MRQ53" s="3"/>
      <c r="MRR53" s="3"/>
      <c r="MRS53" s="3"/>
      <c r="MRT53" s="3"/>
      <c r="MRU53" s="3"/>
      <c r="MRV53" s="3"/>
      <c r="MRW53" s="3"/>
      <c r="MRX53" s="3"/>
      <c r="MRY53" s="3"/>
      <c r="MRZ53" s="3"/>
      <c r="MSA53" s="3"/>
      <c r="MSB53" s="3"/>
      <c r="MSC53" s="3"/>
      <c r="MSD53" s="3"/>
      <c r="MSE53" s="3"/>
      <c r="MSF53" s="3"/>
      <c r="MSG53" s="3"/>
      <c r="MSH53" s="3"/>
      <c r="MSI53" s="3"/>
      <c r="MSJ53" s="3"/>
      <c r="MSK53" s="3"/>
      <c r="MSL53" s="3"/>
      <c r="MSM53" s="3"/>
      <c r="MSN53" s="3"/>
      <c r="MSO53" s="3"/>
      <c r="MSP53" s="3"/>
      <c r="MSQ53" s="3"/>
      <c r="MSR53" s="3"/>
      <c r="MSS53" s="3"/>
      <c r="MST53" s="3"/>
      <c r="MSU53" s="3"/>
      <c r="MSV53" s="3"/>
      <c r="MSW53" s="3"/>
      <c r="MSX53" s="3"/>
      <c r="MSY53" s="3"/>
      <c r="MSZ53" s="3"/>
      <c r="MTA53" s="3"/>
      <c r="MTB53" s="3"/>
      <c r="MTC53" s="3"/>
      <c r="MTD53" s="3"/>
      <c r="MTE53" s="3"/>
      <c r="MTF53" s="3"/>
      <c r="MTG53" s="3"/>
      <c r="MTH53" s="3"/>
      <c r="MTI53" s="3"/>
      <c r="MTJ53" s="3"/>
      <c r="MTK53" s="3"/>
      <c r="MTL53" s="3"/>
      <c r="MTM53" s="3"/>
      <c r="MTN53" s="3"/>
      <c r="MTO53" s="3"/>
      <c r="MTP53" s="3"/>
      <c r="MTQ53" s="3"/>
      <c r="MTR53" s="3"/>
      <c r="MTS53" s="3"/>
      <c r="MTT53" s="3"/>
      <c r="MTU53" s="3"/>
      <c r="MTV53" s="3"/>
      <c r="MTW53" s="3"/>
      <c r="MTX53" s="3"/>
      <c r="MTY53" s="3"/>
      <c r="MTZ53" s="3"/>
      <c r="MUA53" s="3"/>
      <c r="MUB53" s="3"/>
      <c r="MUC53" s="3"/>
      <c r="MUD53" s="3"/>
      <c r="MUE53" s="3"/>
      <c r="MUF53" s="3"/>
      <c r="MUG53" s="3"/>
      <c r="MUH53" s="3"/>
      <c r="MUI53" s="3"/>
      <c r="MUJ53" s="3"/>
      <c r="MUK53" s="3"/>
      <c r="MUL53" s="3"/>
      <c r="MUM53" s="3"/>
      <c r="MUN53" s="3"/>
      <c r="MUO53" s="3"/>
      <c r="MUP53" s="3"/>
      <c r="MUQ53" s="3"/>
      <c r="MUR53" s="3"/>
      <c r="MUS53" s="3"/>
      <c r="MUT53" s="3"/>
      <c r="MUU53" s="3"/>
      <c r="MUV53" s="3"/>
      <c r="MUW53" s="3"/>
      <c r="MUX53" s="3"/>
      <c r="MUY53" s="3"/>
      <c r="MUZ53" s="3"/>
      <c r="MVA53" s="3"/>
      <c r="MVB53" s="3"/>
      <c r="MVC53" s="3"/>
      <c r="MVD53" s="3"/>
      <c r="MVE53" s="3"/>
      <c r="MVF53" s="3"/>
      <c r="MVG53" s="3"/>
      <c r="MVH53" s="3"/>
      <c r="MVI53" s="3"/>
      <c r="MVJ53" s="3"/>
      <c r="MVK53" s="3"/>
      <c r="MVL53" s="3"/>
      <c r="MVM53" s="3"/>
      <c r="MVN53" s="3"/>
      <c r="MVO53" s="3"/>
      <c r="MVP53" s="3"/>
      <c r="MVQ53" s="3"/>
      <c r="MVR53" s="3"/>
      <c r="MVS53" s="3"/>
      <c r="MVT53" s="3"/>
      <c r="MVU53" s="3"/>
      <c r="MVV53" s="3"/>
      <c r="MVW53" s="3"/>
      <c r="MVX53" s="3"/>
      <c r="MVY53" s="3"/>
      <c r="MVZ53" s="3"/>
      <c r="MWA53" s="3"/>
      <c r="MWB53" s="3"/>
      <c r="MWC53" s="3"/>
      <c r="MWD53" s="3"/>
      <c r="MWE53" s="3"/>
      <c r="MWF53" s="3"/>
      <c r="MWG53" s="3"/>
      <c r="MWH53" s="3"/>
      <c r="MWI53" s="3"/>
      <c r="MWJ53" s="3"/>
      <c r="MWK53" s="3"/>
      <c r="MWL53" s="3"/>
      <c r="MWM53" s="3"/>
      <c r="MWN53" s="3"/>
      <c r="MWO53" s="3"/>
      <c r="MWP53" s="3"/>
      <c r="MWQ53" s="3"/>
      <c r="MWR53" s="3"/>
      <c r="MWS53" s="3"/>
      <c r="MWT53" s="3"/>
      <c r="MWU53" s="3"/>
      <c r="MWV53" s="3"/>
      <c r="MWW53" s="3"/>
      <c r="MWX53" s="3"/>
      <c r="MWY53" s="3"/>
      <c r="MWZ53" s="3"/>
      <c r="MXA53" s="3"/>
      <c r="MXB53" s="3"/>
      <c r="MXC53" s="3"/>
      <c r="MXD53" s="3"/>
      <c r="MXE53" s="3"/>
      <c r="MXF53" s="3"/>
      <c r="MXG53" s="3"/>
      <c r="MXH53" s="3"/>
      <c r="MXI53" s="3"/>
      <c r="MXJ53" s="3"/>
      <c r="MXK53" s="3"/>
      <c r="MXL53" s="3"/>
      <c r="MXM53" s="3"/>
      <c r="MXN53" s="3"/>
      <c r="MXO53" s="3"/>
      <c r="MXP53" s="3"/>
      <c r="MXQ53" s="3"/>
      <c r="MXR53" s="3"/>
      <c r="MXS53" s="3"/>
      <c r="MXT53" s="3"/>
      <c r="MXU53" s="3"/>
      <c r="MXV53" s="3"/>
      <c r="MXW53" s="3"/>
      <c r="MXX53" s="3"/>
      <c r="MXY53" s="3"/>
      <c r="MXZ53" s="3"/>
      <c r="MYA53" s="3"/>
      <c r="MYB53" s="3"/>
      <c r="MYC53" s="3"/>
      <c r="MYD53" s="3"/>
      <c r="MYE53" s="3"/>
      <c r="MYF53" s="3"/>
      <c r="MYG53" s="3"/>
      <c r="MYH53" s="3"/>
      <c r="MYI53" s="3"/>
      <c r="MYJ53" s="3"/>
      <c r="MYK53" s="3"/>
      <c r="MYL53" s="3"/>
      <c r="MYM53" s="3"/>
      <c r="MYN53" s="3"/>
      <c r="MYO53" s="3"/>
      <c r="MYP53" s="3"/>
      <c r="MYQ53" s="3"/>
      <c r="MYR53" s="3"/>
      <c r="MYS53" s="3"/>
      <c r="MYT53" s="3"/>
      <c r="MYU53" s="3"/>
      <c r="MYV53" s="3"/>
      <c r="MYW53" s="3"/>
      <c r="MYX53" s="3"/>
      <c r="MYY53" s="3"/>
      <c r="MYZ53" s="3"/>
      <c r="MZA53" s="3"/>
      <c r="MZB53" s="3"/>
      <c r="MZC53" s="3"/>
      <c r="MZD53" s="3"/>
      <c r="MZE53" s="3"/>
      <c r="MZF53" s="3"/>
      <c r="MZG53" s="3"/>
      <c r="MZH53" s="3"/>
      <c r="MZI53" s="3"/>
      <c r="MZJ53" s="3"/>
      <c r="MZK53" s="3"/>
      <c r="MZL53" s="3"/>
      <c r="MZM53" s="3"/>
      <c r="MZN53" s="3"/>
      <c r="MZO53" s="3"/>
      <c r="MZP53" s="3"/>
      <c r="MZQ53" s="3"/>
      <c r="MZR53" s="3"/>
      <c r="MZS53" s="3"/>
      <c r="MZT53" s="3"/>
      <c r="MZU53" s="3"/>
      <c r="MZV53" s="3"/>
      <c r="MZW53" s="3"/>
      <c r="MZX53" s="3"/>
      <c r="MZY53" s="3"/>
      <c r="MZZ53" s="3"/>
      <c r="NAA53" s="3"/>
      <c r="NAB53" s="3"/>
      <c r="NAC53" s="3"/>
      <c r="NAD53" s="3"/>
      <c r="NAE53" s="3"/>
      <c r="NAF53" s="3"/>
      <c r="NAG53" s="3"/>
      <c r="NAH53" s="3"/>
      <c r="NAI53" s="3"/>
      <c r="NAJ53" s="3"/>
      <c r="NAK53" s="3"/>
      <c r="NAL53" s="3"/>
      <c r="NAM53" s="3"/>
      <c r="NAN53" s="3"/>
      <c r="NAO53" s="3"/>
      <c r="NAP53" s="3"/>
      <c r="NAQ53" s="3"/>
      <c r="NAR53" s="3"/>
      <c r="NAS53" s="3"/>
      <c r="NAT53" s="3"/>
      <c r="NAU53" s="3"/>
      <c r="NAV53" s="3"/>
      <c r="NAW53" s="3"/>
      <c r="NAX53" s="3"/>
      <c r="NAY53" s="3"/>
      <c r="NAZ53" s="3"/>
      <c r="NBA53" s="3"/>
      <c r="NBB53" s="3"/>
      <c r="NBC53" s="3"/>
      <c r="NBD53" s="3"/>
      <c r="NBE53" s="3"/>
      <c r="NBF53" s="3"/>
      <c r="NBG53" s="3"/>
      <c r="NBH53" s="3"/>
      <c r="NBI53" s="3"/>
      <c r="NBJ53" s="3"/>
      <c r="NBK53" s="3"/>
      <c r="NBL53" s="3"/>
      <c r="NBM53" s="3"/>
      <c r="NBN53" s="3"/>
      <c r="NBO53" s="3"/>
      <c r="NBP53" s="3"/>
      <c r="NBQ53" s="3"/>
      <c r="NBR53" s="3"/>
      <c r="NBS53" s="3"/>
      <c r="NBT53" s="3"/>
      <c r="NBU53" s="3"/>
      <c r="NBV53" s="3"/>
      <c r="NBW53" s="3"/>
      <c r="NBX53" s="3"/>
      <c r="NBY53" s="3"/>
      <c r="NBZ53" s="3"/>
      <c r="NCA53" s="3"/>
      <c r="NCB53" s="3"/>
      <c r="NCC53" s="3"/>
      <c r="NCD53" s="3"/>
      <c r="NCE53" s="3"/>
      <c r="NCF53" s="3"/>
      <c r="NCG53" s="3"/>
      <c r="NCH53" s="3"/>
      <c r="NCI53" s="3"/>
      <c r="NCJ53" s="3"/>
      <c r="NCK53" s="3"/>
      <c r="NCL53" s="3"/>
      <c r="NCM53" s="3"/>
      <c r="NCN53" s="3"/>
      <c r="NCO53" s="3"/>
      <c r="NCP53" s="3"/>
      <c r="NCQ53" s="3"/>
      <c r="NCR53" s="3"/>
      <c r="NCS53" s="3"/>
      <c r="NCT53" s="3"/>
      <c r="NCU53" s="3"/>
      <c r="NCV53" s="3"/>
      <c r="NCW53" s="3"/>
      <c r="NCX53" s="3"/>
      <c r="NCY53" s="3"/>
      <c r="NCZ53" s="3"/>
      <c r="NDA53" s="3"/>
      <c r="NDB53" s="3"/>
      <c r="NDC53" s="3"/>
      <c r="NDD53" s="3"/>
      <c r="NDE53" s="3"/>
      <c r="NDF53" s="3"/>
      <c r="NDG53" s="3"/>
      <c r="NDH53" s="3"/>
      <c r="NDI53" s="3"/>
      <c r="NDJ53" s="3"/>
      <c r="NDK53" s="3"/>
      <c r="NDL53" s="3"/>
      <c r="NDM53" s="3"/>
      <c r="NDN53" s="3"/>
      <c r="NDO53" s="3"/>
      <c r="NDP53" s="3"/>
      <c r="NDQ53" s="3"/>
      <c r="NDR53" s="3"/>
      <c r="NDS53" s="3"/>
      <c r="NDT53" s="3"/>
      <c r="NDU53" s="3"/>
      <c r="NDV53" s="3"/>
      <c r="NDW53" s="3"/>
      <c r="NDX53" s="3"/>
      <c r="NDY53" s="3"/>
      <c r="NDZ53" s="3"/>
      <c r="NEA53" s="3"/>
      <c r="NEB53" s="3"/>
      <c r="NEC53" s="3"/>
      <c r="NED53" s="3"/>
      <c r="NEE53" s="3"/>
      <c r="NEF53" s="3"/>
      <c r="NEG53" s="3"/>
      <c r="NEH53" s="3"/>
      <c r="NEI53" s="3"/>
      <c r="NEJ53" s="3"/>
      <c r="NEK53" s="3"/>
      <c r="NEL53" s="3"/>
      <c r="NEM53" s="3"/>
      <c r="NEN53" s="3"/>
      <c r="NEO53" s="3"/>
      <c r="NEP53" s="3"/>
      <c r="NEQ53" s="3"/>
      <c r="NER53" s="3"/>
      <c r="NES53" s="3"/>
      <c r="NET53" s="3"/>
      <c r="NEU53" s="3"/>
      <c r="NEV53" s="3"/>
      <c r="NEW53" s="3"/>
      <c r="NEX53" s="3"/>
      <c r="NEY53" s="3"/>
      <c r="NEZ53" s="3"/>
      <c r="NFA53" s="3"/>
      <c r="NFB53" s="3"/>
      <c r="NFC53" s="3"/>
      <c r="NFD53" s="3"/>
      <c r="NFE53" s="3"/>
      <c r="NFF53" s="3"/>
      <c r="NFG53" s="3"/>
      <c r="NFH53" s="3"/>
      <c r="NFI53" s="3"/>
      <c r="NFJ53" s="3"/>
      <c r="NFK53" s="3"/>
      <c r="NFL53" s="3"/>
      <c r="NFM53" s="3"/>
      <c r="NFN53" s="3"/>
      <c r="NFO53" s="3"/>
      <c r="NFP53" s="3"/>
      <c r="NFQ53" s="3"/>
      <c r="NFR53" s="3"/>
      <c r="NFS53" s="3"/>
      <c r="NFT53" s="3"/>
      <c r="NFU53" s="3"/>
      <c r="NFV53" s="3"/>
      <c r="NFW53" s="3"/>
      <c r="NFX53" s="3"/>
      <c r="NFY53" s="3"/>
      <c r="NFZ53" s="3"/>
      <c r="NGA53" s="3"/>
      <c r="NGB53" s="3"/>
      <c r="NGC53" s="3"/>
      <c r="NGD53" s="3"/>
      <c r="NGE53" s="3"/>
      <c r="NGF53" s="3"/>
      <c r="NGG53" s="3"/>
      <c r="NGH53" s="3"/>
      <c r="NGI53" s="3"/>
      <c r="NGJ53" s="3"/>
      <c r="NGK53" s="3"/>
      <c r="NGL53" s="3"/>
      <c r="NGM53" s="3"/>
      <c r="NGN53" s="3"/>
      <c r="NGO53" s="3"/>
      <c r="NGP53" s="3"/>
      <c r="NGQ53" s="3"/>
      <c r="NGR53" s="3"/>
      <c r="NGS53" s="3"/>
      <c r="NGT53" s="3"/>
      <c r="NGU53" s="3"/>
      <c r="NGV53" s="3"/>
      <c r="NGW53" s="3"/>
      <c r="NGX53" s="3"/>
      <c r="NGY53" s="3"/>
      <c r="NGZ53" s="3"/>
      <c r="NHA53" s="3"/>
      <c r="NHB53" s="3"/>
      <c r="NHC53" s="3"/>
      <c r="NHD53" s="3"/>
      <c r="NHE53" s="3"/>
      <c r="NHF53" s="3"/>
      <c r="NHG53" s="3"/>
      <c r="NHH53" s="3"/>
      <c r="NHI53" s="3"/>
      <c r="NHJ53" s="3"/>
      <c r="NHK53" s="3"/>
      <c r="NHL53" s="3"/>
      <c r="NHM53" s="3"/>
      <c r="NHN53" s="3"/>
      <c r="NHO53" s="3"/>
      <c r="NHP53" s="3"/>
      <c r="NHQ53" s="3"/>
      <c r="NHR53" s="3"/>
      <c r="NHS53" s="3"/>
      <c r="NHT53" s="3"/>
      <c r="NHU53" s="3"/>
      <c r="NHV53" s="3"/>
      <c r="NHW53" s="3"/>
      <c r="NHX53" s="3"/>
      <c r="NHY53" s="3"/>
      <c r="NHZ53" s="3"/>
      <c r="NIA53" s="3"/>
      <c r="NIB53" s="3"/>
      <c r="NIC53" s="3"/>
      <c r="NID53" s="3"/>
      <c r="NIE53" s="3"/>
      <c r="NIF53" s="3"/>
      <c r="NIG53" s="3"/>
      <c r="NIH53" s="3"/>
      <c r="NII53" s="3"/>
      <c r="NIJ53" s="3"/>
      <c r="NIK53" s="3"/>
      <c r="NIL53" s="3"/>
      <c r="NIM53" s="3"/>
      <c r="NIN53" s="3"/>
      <c r="NIO53" s="3"/>
      <c r="NIP53" s="3"/>
      <c r="NIQ53" s="3"/>
      <c r="NIR53" s="3"/>
      <c r="NIS53" s="3"/>
      <c r="NIT53" s="3"/>
      <c r="NIU53" s="3"/>
      <c r="NIV53" s="3"/>
      <c r="NIW53" s="3"/>
      <c r="NIX53" s="3"/>
      <c r="NIY53" s="3"/>
      <c r="NIZ53" s="3"/>
      <c r="NJA53" s="3"/>
      <c r="NJB53" s="3"/>
      <c r="NJC53" s="3"/>
      <c r="NJD53" s="3"/>
      <c r="NJE53" s="3"/>
      <c r="NJF53" s="3"/>
      <c r="NJG53" s="3"/>
      <c r="NJH53" s="3"/>
      <c r="NJI53" s="3"/>
      <c r="NJJ53" s="3"/>
      <c r="NJK53" s="3"/>
      <c r="NJL53" s="3"/>
      <c r="NJM53" s="3"/>
      <c r="NJN53" s="3"/>
      <c r="NJO53" s="3"/>
      <c r="NJP53" s="3"/>
      <c r="NJQ53" s="3"/>
      <c r="NJR53" s="3"/>
      <c r="NJS53" s="3"/>
      <c r="NJT53" s="3"/>
      <c r="NJU53" s="3"/>
      <c r="NJV53" s="3"/>
      <c r="NJW53" s="3"/>
      <c r="NJX53" s="3"/>
      <c r="NJY53" s="3"/>
      <c r="NJZ53" s="3"/>
      <c r="NKA53" s="3"/>
      <c r="NKB53" s="3"/>
      <c r="NKC53" s="3"/>
      <c r="NKD53" s="3"/>
      <c r="NKE53" s="3"/>
      <c r="NKF53" s="3"/>
      <c r="NKG53" s="3"/>
      <c r="NKH53" s="3"/>
      <c r="NKI53" s="3"/>
      <c r="NKJ53" s="3"/>
      <c r="NKK53" s="3"/>
      <c r="NKL53" s="3"/>
      <c r="NKM53" s="3"/>
      <c r="NKN53" s="3"/>
      <c r="NKO53" s="3"/>
      <c r="NKP53" s="3"/>
      <c r="NKQ53" s="3"/>
      <c r="NKR53" s="3"/>
      <c r="NKS53" s="3"/>
      <c r="NKT53" s="3"/>
      <c r="NKU53" s="3"/>
      <c r="NKV53" s="3"/>
      <c r="NKW53" s="3"/>
      <c r="NKX53" s="3"/>
      <c r="NKY53" s="3"/>
      <c r="NKZ53" s="3"/>
      <c r="NLA53" s="3"/>
      <c r="NLB53" s="3"/>
      <c r="NLC53" s="3"/>
      <c r="NLD53" s="3"/>
      <c r="NLE53" s="3"/>
      <c r="NLF53" s="3"/>
      <c r="NLG53" s="3"/>
      <c r="NLH53" s="3"/>
      <c r="NLI53" s="3"/>
      <c r="NLJ53" s="3"/>
      <c r="NLK53" s="3"/>
      <c r="NLL53" s="3"/>
      <c r="NLM53" s="3"/>
      <c r="NLN53" s="3"/>
      <c r="NLO53" s="3"/>
      <c r="NLP53" s="3"/>
      <c r="NLQ53" s="3"/>
      <c r="NLR53" s="3"/>
      <c r="NLS53" s="3"/>
      <c r="NLT53" s="3"/>
      <c r="NLU53" s="3"/>
      <c r="NLV53" s="3"/>
      <c r="NLW53" s="3"/>
      <c r="NLX53" s="3"/>
      <c r="NLY53" s="3"/>
      <c r="NLZ53" s="3"/>
      <c r="NMA53" s="3"/>
      <c r="NMB53" s="3"/>
      <c r="NMC53" s="3"/>
      <c r="NMD53" s="3"/>
      <c r="NME53" s="3"/>
      <c r="NMF53" s="3"/>
      <c r="NMG53" s="3"/>
      <c r="NMH53" s="3"/>
      <c r="NMI53" s="3"/>
      <c r="NMJ53" s="3"/>
      <c r="NMK53" s="3"/>
      <c r="NML53" s="3"/>
      <c r="NMM53" s="3"/>
      <c r="NMN53" s="3"/>
      <c r="NMO53" s="3"/>
      <c r="NMP53" s="3"/>
      <c r="NMQ53" s="3"/>
      <c r="NMR53" s="3"/>
      <c r="NMS53" s="3"/>
      <c r="NMT53" s="3"/>
      <c r="NMU53" s="3"/>
      <c r="NMV53" s="3"/>
      <c r="NMW53" s="3"/>
      <c r="NMX53" s="3"/>
      <c r="NMY53" s="3"/>
      <c r="NMZ53" s="3"/>
      <c r="NNA53" s="3"/>
      <c r="NNB53" s="3"/>
      <c r="NNC53" s="3"/>
      <c r="NND53" s="3"/>
      <c r="NNE53" s="3"/>
      <c r="NNF53" s="3"/>
      <c r="NNG53" s="3"/>
      <c r="NNH53" s="3"/>
      <c r="NNI53" s="3"/>
      <c r="NNJ53" s="3"/>
      <c r="NNK53" s="3"/>
      <c r="NNL53" s="3"/>
      <c r="NNM53" s="3"/>
      <c r="NNN53" s="3"/>
      <c r="NNO53" s="3"/>
      <c r="NNP53" s="3"/>
      <c r="NNQ53" s="3"/>
      <c r="NNR53" s="3"/>
      <c r="NNS53" s="3"/>
      <c r="NNT53" s="3"/>
      <c r="NNU53" s="3"/>
      <c r="NNV53" s="3"/>
      <c r="NNW53" s="3"/>
      <c r="NNX53" s="3"/>
      <c r="NNY53" s="3"/>
      <c r="NNZ53" s="3"/>
      <c r="NOA53" s="3"/>
      <c r="NOB53" s="3"/>
      <c r="NOC53" s="3"/>
      <c r="NOD53" s="3"/>
      <c r="NOE53" s="3"/>
      <c r="NOF53" s="3"/>
      <c r="NOG53" s="3"/>
      <c r="NOH53" s="3"/>
      <c r="NOI53" s="3"/>
      <c r="NOJ53" s="3"/>
      <c r="NOK53" s="3"/>
      <c r="NOL53" s="3"/>
      <c r="NOM53" s="3"/>
      <c r="NON53" s="3"/>
      <c r="NOO53" s="3"/>
      <c r="NOP53" s="3"/>
      <c r="NOQ53" s="3"/>
      <c r="NOR53" s="3"/>
      <c r="NOS53" s="3"/>
      <c r="NOT53" s="3"/>
      <c r="NOU53" s="3"/>
      <c r="NOV53" s="3"/>
      <c r="NOW53" s="3"/>
      <c r="NOX53" s="3"/>
      <c r="NOY53" s="3"/>
      <c r="NOZ53" s="3"/>
      <c r="NPA53" s="3"/>
      <c r="NPB53" s="3"/>
      <c r="NPC53" s="3"/>
      <c r="NPD53" s="3"/>
      <c r="NPE53" s="3"/>
      <c r="NPF53" s="3"/>
      <c r="NPG53" s="3"/>
      <c r="NPH53" s="3"/>
      <c r="NPI53" s="3"/>
      <c r="NPJ53" s="3"/>
      <c r="NPK53" s="3"/>
      <c r="NPL53" s="3"/>
      <c r="NPM53" s="3"/>
      <c r="NPN53" s="3"/>
      <c r="NPO53" s="3"/>
      <c r="NPP53" s="3"/>
      <c r="NPQ53" s="3"/>
      <c r="NPR53" s="3"/>
      <c r="NPS53" s="3"/>
      <c r="NPT53" s="3"/>
      <c r="NPU53" s="3"/>
      <c r="NPV53" s="3"/>
      <c r="NPW53" s="3"/>
      <c r="NPX53" s="3"/>
      <c r="NPY53" s="3"/>
      <c r="NPZ53" s="3"/>
      <c r="NQA53" s="3"/>
      <c r="NQB53" s="3"/>
      <c r="NQC53" s="3"/>
      <c r="NQD53" s="3"/>
      <c r="NQE53" s="3"/>
      <c r="NQF53" s="3"/>
      <c r="NQG53" s="3"/>
      <c r="NQH53" s="3"/>
      <c r="NQI53" s="3"/>
      <c r="NQJ53" s="3"/>
      <c r="NQK53" s="3"/>
      <c r="NQL53" s="3"/>
      <c r="NQM53" s="3"/>
      <c r="NQN53" s="3"/>
      <c r="NQO53" s="3"/>
      <c r="NQP53" s="3"/>
      <c r="NQQ53" s="3"/>
      <c r="NQR53" s="3"/>
      <c r="NQS53" s="3"/>
      <c r="NQT53" s="3"/>
      <c r="NQU53" s="3"/>
      <c r="NQV53" s="3"/>
      <c r="NQW53" s="3"/>
      <c r="NQX53" s="3"/>
      <c r="NQY53" s="3"/>
      <c r="NQZ53" s="3"/>
      <c r="NRA53" s="3"/>
      <c r="NRB53" s="3"/>
      <c r="NRC53" s="3"/>
      <c r="NRD53" s="3"/>
      <c r="NRE53" s="3"/>
      <c r="NRF53" s="3"/>
      <c r="NRG53" s="3"/>
      <c r="NRH53" s="3"/>
      <c r="NRI53" s="3"/>
      <c r="NRJ53" s="3"/>
      <c r="NRK53" s="3"/>
      <c r="NRL53" s="3"/>
      <c r="NRM53" s="3"/>
      <c r="NRN53" s="3"/>
      <c r="NRO53" s="3"/>
      <c r="NRP53" s="3"/>
      <c r="NRQ53" s="3"/>
      <c r="NRR53" s="3"/>
      <c r="NRS53" s="3"/>
      <c r="NRT53" s="3"/>
      <c r="NRU53" s="3"/>
      <c r="NRV53" s="3"/>
      <c r="NRW53" s="3"/>
      <c r="NRX53" s="3"/>
      <c r="NRY53" s="3"/>
      <c r="NRZ53" s="3"/>
      <c r="NSA53" s="3"/>
      <c r="NSB53" s="3"/>
      <c r="NSC53" s="3"/>
      <c r="NSD53" s="3"/>
      <c r="NSE53" s="3"/>
      <c r="NSF53" s="3"/>
      <c r="NSG53" s="3"/>
      <c r="NSH53" s="3"/>
      <c r="NSI53" s="3"/>
      <c r="NSJ53" s="3"/>
      <c r="NSK53" s="3"/>
      <c r="NSL53" s="3"/>
      <c r="NSM53" s="3"/>
      <c r="NSN53" s="3"/>
      <c r="NSO53" s="3"/>
      <c r="NSP53" s="3"/>
      <c r="NSQ53" s="3"/>
      <c r="NSR53" s="3"/>
      <c r="NSS53" s="3"/>
      <c r="NST53" s="3"/>
      <c r="NSU53" s="3"/>
      <c r="NSV53" s="3"/>
      <c r="NSW53" s="3"/>
      <c r="NSX53" s="3"/>
      <c r="NSY53" s="3"/>
      <c r="NSZ53" s="3"/>
      <c r="NTA53" s="3"/>
      <c r="NTB53" s="3"/>
      <c r="NTC53" s="3"/>
      <c r="NTD53" s="3"/>
      <c r="NTE53" s="3"/>
      <c r="NTF53" s="3"/>
      <c r="NTG53" s="3"/>
      <c r="NTH53" s="3"/>
      <c r="NTI53" s="3"/>
      <c r="NTJ53" s="3"/>
      <c r="NTK53" s="3"/>
      <c r="NTL53" s="3"/>
      <c r="NTM53" s="3"/>
      <c r="NTN53" s="3"/>
      <c r="NTO53" s="3"/>
      <c r="NTP53" s="3"/>
      <c r="NTQ53" s="3"/>
      <c r="NTR53" s="3"/>
      <c r="NTS53" s="3"/>
      <c r="NTT53" s="3"/>
      <c r="NTU53" s="3"/>
      <c r="NTV53" s="3"/>
      <c r="NTW53" s="3"/>
      <c r="NTX53" s="3"/>
      <c r="NTY53" s="3"/>
      <c r="NTZ53" s="3"/>
      <c r="NUA53" s="3"/>
      <c r="NUB53" s="3"/>
      <c r="NUC53" s="3"/>
      <c r="NUD53" s="3"/>
      <c r="NUE53" s="3"/>
      <c r="NUF53" s="3"/>
      <c r="NUG53" s="3"/>
      <c r="NUH53" s="3"/>
      <c r="NUI53" s="3"/>
      <c r="NUJ53" s="3"/>
      <c r="NUK53" s="3"/>
      <c r="NUL53" s="3"/>
      <c r="NUM53" s="3"/>
      <c r="NUN53" s="3"/>
      <c r="NUO53" s="3"/>
      <c r="NUP53" s="3"/>
      <c r="NUQ53" s="3"/>
      <c r="NUR53" s="3"/>
      <c r="NUS53" s="3"/>
      <c r="NUT53" s="3"/>
      <c r="NUU53" s="3"/>
      <c r="NUV53" s="3"/>
      <c r="NUW53" s="3"/>
      <c r="NUX53" s="3"/>
      <c r="NUY53" s="3"/>
      <c r="NUZ53" s="3"/>
      <c r="NVA53" s="3"/>
      <c r="NVB53" s="3"/>
      <c r="NVC53" s="3"/>
      <c r="NVD53" s="3"/>
      <c r="NVE53" s="3"/>
      <c r="NVF53" s="3"/>
      <c r="NVG53" s="3"/>
      <c r="NVH53" s="3"/>
      <c r="NVI53" s="3"/>
      <c r="NVJ53" s="3"/>
      <c r="NVK53" s="3"/>
      <c r="NVL53" s="3"/>
      <c r="NVM53" s="3"/>
      <c r="NVN53" s="3"/>
      <c r="NVO53" s="3"/>
      <c r="NVP53" s="3"/>
      <c r="NVQ53" s="3"/>
      <c r="NVR53" s="3"/>
      <c r="NVS53" s="3"/>
      <c r="NVT53" s="3"/>
      <c r="NVU53" s="3"/>
      <c r="NVV53" s="3"/>
      <c r="NVW53" s="3"/>
      <c r="NVX53" s="3"/>
      <c r="NVY53" s="3"/>
      <c r="NVZ53" s="3"/>
      <c r="NWA53" s="3"/>
      <c r="NWB53" s="3"/>
      <c r="NWC53" s="3"/>
      <c r="NWD53" s="3"/>
      <c r="NWE53" s="3"/>
      <c r="NWF53" s="3"/>
      <c r="NWG53" s="3"/>
      <c r="NWH53" s="3"/>
      <c r="NWI53" s="3"/>
      <c r="NWJ53" s="3"/>
      <c r="NWK53" s="3"/>
      <c r="NWL53" s="3"/>
      <c r="NWM53" s="3"/>
      <c r="NWN53" s="3"/>
      <c r="NWO53" s="3"/>
      <c r="NWP53" s="3"/>
      <c r="NWQ53" s="3"/>
      <c r="NWR53" s="3"/>
      <c r="NWS53" s="3"/>
      <c r="NWT53" s="3"/>
      <c r="NWU53" s="3"/>
      <c r="NWV53" s="3"/>
      <c r="NWW53" s="3"/>
      <c r="NWX53" s="3"/>
      <c r="NWY53" s="3"/>
      <c r="NWZ53" s="3"/>
      <c r="NXA53" s="3"/>
      <c r="NXB53" s="3"/>
      <c r="NXC53" s="3"/>
      <c r="NXD53" s="3"/>
      <c r="NXE53" s="3"/>
      <c r="NXF53" s="3"/>
      <c r="NXG53" s="3"/>
      <c r="NXH53" s="3"/>
      <c r="NXI53" s="3"/>
      <c r="NXJ53" s="3"/>
      <c r="NXK53" s="3"/>
      <c r="NXL53" s="3"/>
      <c r="NXM53" s="3"/>
      <c r="NXN53" s="3"/>
      <c r="NXO53" s="3"/>
      <c r="NXP53" s="3"/>
      <c r="NXQ53" s="3"/>
      <c r="NXR53" s="3"/>
      <c r="NXS53" s="3"/>
      <c r="NXT53" s="3"/>
      <c r="NXU53" s="3"/>
      <c r="NXV53" s="3"/>
      <c r="NXW53" s="3"/>
      <c r="NXX53" s="3"/>
      <c r="NXY53" s="3"/>
      <c r="NXZ53" s="3"/>
      <c r="NYA53" s="3"/>
      <c r="NYB53" s="3"/>
      <c r="NYC53" s="3"/>
      <c r="NYD53" s="3"/>
      <c r="NYE53" s="3"/>
      <c r="NYF53" s="3"/>
      <c r="NYG53" s="3"/>
      <c r="NYH53" s="3"/>
      <c r="NYI53" s="3"/>
      <c r="NYJ53" s="3"/>
      <c r="NYK53" s="3"/>
      <c r="NYL53" s="3"/>
      <c r="NYM53" s="3"/>
      <c r="NYN53" s="3"/>
      <c r="NYO53" s="3"/>
      <c r="NYP53" s="3"/>
      <c r="NYQ53" s="3"/>
      <c r="NYR53" s="3"/>
      <c r="NYS53" s="3"/>
      <c r="NYT53" s="3"/>
      <c r="NYU53" s="3"/>
      <c r="NYV53" s="3"/>
      <c r="NYW53" s="3"/>
      <c r="NYX53" s="3"/>
      <c r="NYY53" s="3"/>
      <c r="NYZ53" s="3"/>
      <c r="NZA53" s="3"/>
      <c r="NZB53" s="3"/>
      <c r="NZC53" s="3"/>
      <c r="NZD53" s="3"/>
      <c r="NZE53" s="3"/>
      <c r="NZF53" s="3"/>
      <c r="NZG53" s="3"/>
      <c r="NZH53" s="3"/>
      <c r="NZI53" s="3"/>
      <c r="NZJ53" s="3"/>
      <c r="NZK53" s="3"/>
      <c r="NZL53" s="3"/>
      <c r="NZM53" s="3"/>
      <c r="NZN53" s="3"/>
      <c r="NZO53" s="3"/>
      <c r="NZP53" s="3"/>
      <c r="NZQ53" s="3"/>
      <c r="NZR53" s="3"/>
      <c r="NZS53" s="3"/>
      <c r="NZT53" s="3"/>
      <c r="NZU53" s="3"/>
      <c r="NZV53" s="3"/>
      <c r="NZW53" s="3"/>
      <c r="NZX53" s="3"/>
      <c r="NZY53" s="3"/>
      <c r="NZZ53" s="3"/>
      <c r="OAA53" s="3"/>
      <c r="OAB53" s="3"/>
      <c r="OAC53" s="3"/>
      <c r="OAD53" s="3"/>
      <c r="OAE53" s="3"/>
      <c r="OAF53" s="3"/>
      <c r="OAG53" s="3"/>
      <c r="OAH53" s="3"/>
      <c r="OAI53" s="3"/>
      <c r="OAJ53" s="3"/>
      <c r="OAK53" s="3"/>
      <c r="OAL53" s="3"/>
      <c r="OAM53" s="3"/>
      <c r="OAN53" s="3"/>
      <c r="OAO53" s="3"/>
      <c r="OAP53" s="3"/>
      <c r="OAQ53" s="3"/>
      <c r="OAR53" s="3"/>
      <c r="OAS53" s="3"/>
      <c r="OAT53" s="3"/>
      <c r="OAU53" s="3"/>
      <c r="OAV53" s="3"/>
      <c r="OAW53" s="3"/>
      <c r="OAX53" s="3"/>
      <c r="OAY53" s="3"/>
      <c r="OAZ53" s="3"/>
      <c r="OBA53" s="3"/>
      <c r="OBB53" s="3"/>
      <c r="OBC53" s="3"/>
      <c r="OBD53" s="3"/>
      <c r="OBE53" s="3"/>
      <c r="OBF53" s="3"/>
      <c r="OBG53" s="3"/>
      <c r="OBH53" s="3"/>
      <c r="OBI53" s="3"/>
      <c r="OBJ53" s="3"/>
      <c r="OBK53" s="3"/>
      <c r="OBL53" s="3"/>
      <c r="OBM53" s="3"/>
      <c r="OBN53" s="3"/>
      <c r="OBO53" s="3"/>
      <c r="OBP53" s="3"/>
      <c r="OBQ53" s="3"/>
      <c r="OBR53" s="3"/>
      <c r="OBS53" s="3"/>
      <c r="OBT53" s="3"/>
      <c r="OBU53" s="3"/>
      <c r="OBV53" s="3"/>
      <c r="OBW53" s="3"/>
      <c r="OBX53" s="3"/>
      <c r="OBY53" s="3"/>
      <c r="OBZ53" s="3"/>
      <c r="OCA53" s="3"/>
      <c r="OCB53" s="3"/>
      <c r="OCC53" s="3"/>
      <c r="OCD53" s="3"/>
      <c r="OCE53" s="3"/>
      <c r="OCF53" s="3"/>
      <c r="OCG53" s="3"/>
      <c r="OCH53" s="3"/>
      <c r="OCI53" s="3"/>
      <c r="OCJ53" s="3"/>
      <c r="OCK53" s="3"/>
      <c r="OCL53" s="3"/>
      <c r="OCM53" s="3"/>
      <c r="OCN53" s="3"/>
      <c r="OCO53" s="3"/>
      <c r="OCP53" s="3"/>
      <c r="OCQ53" s="3"/>
      <c r="OCR53" s="3"/>
      <c r="OCS53" s="3"/>
      <c r="OCT53" s="3"/>
      <c r="OCU53" s="3"/>
      <c r="OCV53" s="3"/>
      <c r="OCW53" s="3"/>
      <c r="OCX53" s="3"/>
      <c r="OCY53" s="3"/>
      <c r="OCZ53" s="3"/>
      <c r="ODA53" s="3"/>
      <c r="ODB53" s="3"/>
      <c r="ODC53" s="3"/>
      <c r="ODD53" s="3"/>
      <c r="ODE53" s="3"/>
      <c r="ODF53" s="3"/>
      <c r="ODG53" s="3"/>
      <c r="ODH53" s="3"/>
      <c r="ODI53" s="3"/>
      <c r="ODJ53" s="3"/>
      <c r="ODK53" s="3"/>
      <c r="ODL53" s="3"/>
      <c r="ODM53" s="3"/>
      <c r="ODN53" s="3"/>
      <c r="ODO53" s="3"/>
      <c r="ODP53" s="3"/>
      <c r="ODQ53" s="3"/>
      <c r="ODR53" s="3"/>
      <c r="ODS53" s="3"/>
      <c r="ODT53" s="3"/>
      <c r="ODU53" s="3"/>
      <c r="ODV53" s="3"/>
      <c r="ODW53" s="3"/>
      <c r="ODX53" s="3"/>
      <c r="ODY53" s="3"/>
      <c r="ODZ53" s="3"/>
      <c r="OEA53" s="3"/>
      <c r="OEB53" s="3"/>
      <c r="OEC53" s="3"/>
      <c r="OED53" s="3"/>
      <c r="OEE53" s="3"/>
      <c r="OEF53" s="3"/>
      <c r="OEG53" s="3"/>
      <c r="OEH53" s="3"/>
      <c r="OEI53" s="3"/>
      <c r="OEJ53" s="3"/>
      <c r="OEK53" s="3"/>
      <c r="OEL53" s="3"/>
      <c r="OEM53" s="3"/>
      <c r="OEN53" s="3"/>
      <c r="OEO53" s="3"/>
      <c r="OEP53" s="3"/>
      <c r="OEQ53" s="3"/>
      <c r="OER53" s="3"/>
      <c r="OES53" s="3"/>
      <c r="OET53" s="3"/>
      <c r="OEU53" s="3"/>
      <c r="OEV53" s="3"/>
      <c r="OEW53" s="3"/>
      <c r="OEX53" s="3"/>
      <c r="OEY53" s="3"/>
      <c r="OEZ53" s="3"/>
      <c r="OFA53" s="3"/>
      <c r="OFB53" s="3"/>
      <c r="OFC53" s="3"/>
      <c r="OFD53" s="3"/>
      <c r="OFE53" s="3"/>
      <c r="OFF53" s="3"/>
      <c r="OFG53" s="3"/>
      <c r="OFH53" s="3"/>
      <c r="OFI53" s="3"/>
      <c r="OFJ53" s="3"/>
      <c r="OFK53" s="3"/>
      <c r="OFL53" s="3"/>
      <c r="OFM53" s="3"/>
      <c r="OFN53" s="3"/>
      <c r="OFO53" s="3"/>
      <c r="OFP53" s="3"/>
      <c r="OFQ53" s="3"/>
      <c r="OFR53" s="3"/>
      <c r="OFS53" s="3"/>
      <c r="OFT53" s="3"/>
      <c r="OFU53" s="3"/>
      <c r="OFV53" s="3"/>
      <c r="OFW53" s="3"/>
      <c r="OFX53" s="3"/>
      <c r="OFY53" s="3"/>
      <c r="OFZ53" s="3"/>
      <c r="OGA53" s="3"/>
      <c r="OGB53" s="3"/>
      <c r="OGC53" s="3"/>
      <c r="OGD53" s="3"/>
      <c r="OGE53" s="3"/>
      <c r="OGF53" s="3"/>
      <c r="OGG53" s="3"/>
      <c r="OGH53" s="3"/>
      <c r="OGI53" s="3"/>
      <c r="OGJ53" s="3"/>
      <c r="OGK53" s="3"/>
      <c r="OGL53" s="3"/>
      <c r="OGM53" s="3"/>
      <c r="OGN53" s="3"/>
      <c r="OGO53" s="3"/>
      <c r="OGP53" s="3"/>
      <c r="OGQ53" s="3"/>
      <c r="OGR53" s="3"/>
      <c r="OGS53" s="3"/>
      <c r="OGT53" s="3"/>
      <c r="OGU53" s="3"/>
      <c r="OGV53" s="3"/>
      <c r="OGW53" s="3"/>
      <c r="OGX53" s="3"/>
      <c r="OGY53" s="3"/>
      <c r="OGZ53" s="3"/>
      <c r="OHA53" s="3"/>
      <c r="OHB53" s="3"/>
      <c r="OHC53" s="3"/>
      <c r="OHD53" s="3"/>
      <c r="OHE53" s="3"/>
      <c r="OHF53" s="3"/>
      <c r="OHG53" s="3"/>
      <c r="OHH53" s="3"/>
      <c r="OHI53" s="3"/>
      <c r="OHJ53" s="3"/>
      <c r="OHK53" s="3"/>
      <c r="OHL53" s="3"/>
      <c r="OHM53" s="3"/>
      <c r="OHN53" s="3"/>
      <c r="OHO53" s="3"/>
      <c r="OHP53" s="3"/>
      <c r="OHQ53" s="3"/>
      <c r="OHR53" s="3"/>
      <c r="OHS53" s="3"/>
      <c r="OHT53" s="3"/>
      <c r="OHU53" s="3"/>
      <c r="OHV53" s="3"/>
      <c r="OHW53" s="3"/>
      <c r="OHX53" s="3"/>
      <c r="OHY53" s="3"/>
      <c r="OHZ53" s="3"/>
      <c r="OIA53" s="3"/>
      <c r="OIB53" s="3"/>
      <c r="OIC53" s="3"/>
      <c r="OID53" s="3"/>
      <c r="OIE53" s="3"/>
      <c r="OIF53" s="3"/>
      <c r="OIG53" s="3"/>
      <c r="OIH53" s="3"/>
      <c r="OII53" s="3"/>
      <c r="OIJ53" s="3"/>
      <c r="OIK53" s="3"/>
      <c r="OIL53" s="3"/>
      <c r="OIM53" s="3"/>
      <c r="OIN53" s="3"/>
      <c r="OIO53" s="3"/>
      <c r="OIP53" s="3"/>
      <c r="OIQ53" s="3"/>
      <c r="OIR53" s="3"/>
      <c r="OIS53" s="3"/>
      <c r="OIT53" s="3"/>
      <c r="OIU53" s="3"/>
      <c r="OIV53" s="3"/>
      <c r="OIW53" s="3"/>
      <c r="OIX53" s="3"/>
      <c r="OIY53" s="3"/>
      <c r="OIZ53" s="3"/>
      <c r="OJA53" s="3"/>
      <c r="OJB53" s="3"/>
      <c r="OJC53" s="3"/>
      <c r="OJD53" s="3"/>
      <c r="OJE53" s="3"/>
      <c r="OJF53" s="3"/>
      <c r="OJG53" s="3"/>
      <c r="OJH53" s="3"/>
      <c r="OJI53" s="3"/>
      <c r="OJJ53" s="3"/>
      <c r="OJK53" s="3"/>
      <c r="OJL53" s="3"/>
      <c r="OJM53" s="3"/>
      <c r="OJN53" s="3"/>
      <c r="OJO53" s="3"/>
      <c r="OJP53" s="3"/>
      <c r="OJQ53" s="3"/>
      <c r="OJR53" s="3"/>
      <c r="OJS53" s="3"/>
      <c r="OJT53" s="3"/>
      <c r="OJU53" s="3"/>
      <c r="OJV53" s="3"/>
      <c r="OJW53" s="3"/>
      <c r="OJX53" s="3"/>
      <c r="OJY53" s="3"/>
      <c r="OJZ53" s="3"/>
      <c r="OKA53" s="3"/>
      <c r="OKB53" s="3"/>
      <c r="OKC53" s="3"/>
      <c r="OKD53" s="3"/>
      <c r="OKE53" s="3"/>
      <c r="OKF53" s="3"/>
      <c r="OKG53" s="3"/>
      <c r="OKH53" s="3"/>
      <c r="OKI53" s="3"/>
      <c r="OKJ53" s="3"/>
      <c r="OKK53" s="3"/>
      <c r="OKL53" s="3"/>
      <c r="OKM53" s="3"/>
      <c r="OKN53" s="3"/>
      <c r="OKO53" s="3"/>
      <c r="OKP53" s="3"/>
      <c r="OKQ53" s="3"/>
      <c r="OKR53" s="3"/>
      <c r="OKS53" s="3"/>
      <c r="OKT53" s="3"/>
      <c r="OKU53" s="3"/>
      <c r="OKV53" s="3"/>
      <c r="OKW53" s="3"/>
      <c r="OKX53" s="3"/>
      <c r="OKY53" s="3"/>
      <c r="OKZ53" s="3"/>
      <c r="OLA53" s="3"/>
      <c r="OLB53" s="3"/>
      <c r="OLC53" s="3"/>
      <c r="OLD53" s="3"/>
      <c r="OLE53" s="3"/>
      <c r="OLF53" s="3"/>
      <c r="OLG53" s="3"/>
      <c r="OLH53" s="3"/>
      <c r="OLI53" s="3"/>
      <c r="OLJ53" s="3"/>
      <c r="OLK53" s="3"/>
      <c r="OLL53" s="3"/>
      <c r="OLM53" s="3"/>
      <c r="OLN53" s="3"/>
      <c r="OLO53" s="3"/>
      <c r="OLP53" s="3"/>
      <c r="OLQ53" s="3"/>
      <c r="OLR53" s="3"/>
      <c r="OLS53" s="3"/>
      <c r="OLT53" s="3"/>
      <c r="OLU53" s="3"/>
      <c r="OLV53" s="3"/>
      <c r="OLW53" s="3"/>
      <c r="OLX53" s="3"/>
      <c r="OLY53" s="3"/>
      <c r="OLZ53" s="3"/>
      <c r="OMA53" s="3"/>
      <c r="OMB53" s="3"/>
      <c r="OMC53" s="3"/>
      <c r="OMD53" s="3"/>
      <c r="OME53" s="3"/>
      <c r="OMF53" s="3"/>
      <c r="OMG53" s="3"/>
      <c r="OMH53" s="3"/>
      <c r="OMI53" s="3"/>
      <c r="OMJ53" s="3"/>
      <c r="OMK53" s="3"/>
      <c r="OML53" s="3"/>
      <c r="OMM53" s="3"/>
      <c r="OMN53" s="3"/>
      <c r="OMO53" s="3"/>
      <c r="OMP53" s="3"/>
      <c r="OMQ53" s="3"/>
      <c r="OMR53" s="3"/>
      <c r="OMS53" s="3"/>
      <c r="OMT53" s="3"/>
      <c r="OMU53" s="3"/>
      <c r="OMV53" s="3"/>
      <c r="OMW53" s="3"/>
      <c r="OMX53" s="3"/>
      <c r="OMY53" s="3"/>
      <c r="OMZ53" s="3"/>
      <c r="ONA53" s="3"/>
      <c r="ONB53" s="3"/>
      <c r="ONC53" s="3"/>
      <c r="OND53" s="3"/>
      <c r="ONE53" s="3"/>
      <c r="ONF53" s="3"/>
      <c r="ONG53" s="3"/>
      <c r="ONH53" s="3"/>
      <c r="ONI53" s="3"/>
      <c r="ONJ53" s="3"/>
      <c r="ONK53" s="3"/>
      <c r="ONL53" s="3"/>
      <c r="ONM53" s="3"/>
      <c r="ONN53" s="3"/>
      <c r="ONO53" s="3"/>
      <c r="ONP53" s="3"/>
      <c r="ONQ53" s="3"/>
      <c r="ONR53" s="3"/>
      <c r="ONS53" s="3"/>
      <c r="ONT53" s="3"/>
      <c r="ONU53" s="3"/>
      <c r="ONV53" s="3"/>
      <c r="ONW53" s="3"/>
      <c r="ONX53" s="3"/>
      <c r="ONY53" s="3"/>
      <c r="ONZ53" s="3"/>
      <c r="OOA53" s="3"/>
      <c r="OOB53" s="3"/>
      <c r="OOC53" s="3"/>
      <c r="OOD53" s="3"/>
      <c r="OOE53" s="3"/>
      <c r="OOF53" s="3"/>
      <c r="OOG53" s="3"/>
      <c r="OOH53" s="3"/>
      <c r="OOI53" s="3"/>
      <c r="OOJ53" s="3"/>
      <c r="OOK53" s="3"/>
      <c r="OOL53" s="3"/>
      <c r="OOM53" s="3"/>
      <c r="OON53" s="3"/>
      <c r="OOO53" s="3"/>
      <c r="OOP53" s="3"/>
      <c r="OOQ53" s="3"/>
      <c r="OOR53" s="3"/>
      <c r="OOS53" s="3"/>
      <c r="OOT53" s="3"/>
      <c r="OOU53" s="3"/>
      <c r="OOV53" s="3"/>
      <c r="OOW53" s="3"/>
      <c r="OOX53" s="3"/>
      <c r="OOY53" s="3"/>
      <c r="OOZ53" s="3"/>
      <c r="OPA53" s="3"/>
      <c r="OPB53" s="3"/>
      <c r="OPC53" s="3"/>
      <c r="OPD53" s="3"/>
      <c r="OPE53" s="3"/>
      <c r="OPF53" s="3"/>
      <c r="OPG53" s="3"/>
      <c r="OPH53" s="3"/>
      <c r="OPI53" s="3"/>
      <c r="OPJ53" s="3"/>
      <c r="OPK53" s="3"/>
      <c r="OPL53" s="3"/>
      <c r="OPM53" s="3"/>
      <c r="OPN53" s="3"/>
      <c r="OPO53" s="3"/>
      <c r="OPP53" s="3"/>
      <c r="OPQ53" s="3"/>
      <c r="OPR53" s="3"/>
      <c r="OPS53" s="3"/>
      <c r="OPT53" s="3"/>
      <c r="OPU53" s="3"/>
      <c r="OPV53" s="3"/>
      <c r="OPW53" s="3"/>
      <c r="OPX53" s="3"/>
      <c r="OPY53" s="3"/>
      <c r="OPZ53" s="3"/>
      <c r="OQA53" s="3"/>
      <c r="OQB53" s="3"/>
      <c r="OQC53" s="3"/>
      <c r="OQD53" s="3"/>
      <c r="OQE53" s="3"/>
      <c r="OQF53" s="3"/>
      <c r="OQG53" s="3"/>
      <c r="OQH53" s="3"/>
      <c r="OQI53" s="3"/>
      <c r="OQJ53" s="3"/>
      <c r="OQK53" s="3"/>
      <c r="OQL53" s="3"/>
      <c r="OQM53" s="3"/>
      <c r="OQN53" s="3"/>
      <c r="OQO53" s="3"/>
      <c r="OQP53" s="3"/>
      <c r="OQQ53" s="3"/>
      <c r="OQR53" s="3"/>
      <c r="OQS53" s="3"/>
      <c r="OQT53" s="3"/>
      <c r="OQU53" s="3"/>
      <c r="OQV53" s="3"/>
      <c r="OQW53" s="3"/>
      <c r="OQX53" s="3"/>
      <c r="OQY53" s="3"/>
      <c r="OQZ53" s="3"/>
      <c r="ORA53" s="3"/>
      <c r="ORB53" s="3"/>
      <c r="ORC53" s="3"/>
      <c r="ORD53" s="3"/>
      <c r="ORE53" s="3"/>
      <c r="ORF53" s="3"/>
      <c r="ORG53" s="3"/>
      <c r="ORH53" s="3"/>
      <c r="ORI53" s="3"/>
      <c r="ORJ53" s="3"/>
      <c r="ORK53" s="3"/>
      <c r="ORL53" s="3"/>
      <c r="ORM53" s="3"/>
      <c r="ORN53" s="3"/>
      <c r="ORO53" s="3"/>
      <c r="ORP53" s="3"/>
      <c r="ORQ53" s="3"/>
      <c r="ORR53" s="3"/>
      <c r="ORS53" s="3"/>
      <c r="ORT53" s="3"/>
      <c r="ORU53" s="3"/>
      <c r="ORV53" s="3"/>
      <c r="ORW53" s="3"/>
      <c r="ORX53" s="3"/>
      <c r="ORY53" s="3"/>
      <c r="ORZ53" s="3"/>
      <c r="OSA53" s="3"/>
      <c r="OSB53" s="3"/>
      <c r="OSC53" s="3"/>
      <c r="OSD53" s="3"/>
      <c r="OSE53" s="3"/>
      <c r="OSF53" s="3"/>
      <c r="OSG53" s="3"/>
      <c r="OSH53" s="3"/>
      <c r="OSI53" s="3"/>
      <c r="OSJ53" s="3"/>
      <c r="OSK53" s="3"/>
      <c r="OSL53" s="3"/>
      <c r="OSM53" s="3"/>
      <c r="OSN53" s="3"/>
      <c r="OSO53" s="3"/>
      <c r="OSP53" s="3"/>
      <c r="OSQ53" s="3"/>
      <c r="OSR53" s="3"/>
      <c r="OSS53" s="3"/>
      <c r="OST53" s="3"/>
      <c r="OSU53" s="3"/>
      <c r="OSV53" s="3"/>
      <c r="OSW53" s="3"/>
      <c r="OSX53" s="3"/>
      <c r="OSY53" s="3"/>
      <c r="OSZ53" s="3"/>
      <c r="OTA53" s="3"/>
      <c r="OTB53" s="3"/>
      <c r="OTC53" s="3"/>
      <c r="OTD53" s="3"/>
      <c r="OTE53" s="3"/>
      <c r="OTF53" s="3"/>
      <c r="OTG53" s="3"/>
      <c r="OTH53" s="3"/>
      <c r="OTI53" s="3"/>
      <c r="OTJ53" s="3"/>
      <c r="OTK53" s="3"/>
      <c r="OTL53" s="3"/>
      <c r="OTM53" s="3"/>
      <c r="OTN53" s="3"/>
      <c r="OTO53" s="3"/>
      <c r="OTP53" s="3"/>
      <c r="OTQ53" s="3"/>
      <c r="OTR53" s="3"/>
      <c r="OTS53" s="3"/>
      <c r="OTT53" s="3"/>
      <c r="OTU53" s="3"/>
      <c r="OTV53" s="3"/>
      <c r="OTW53" s="3"/>
      <c r="OTX53" s="3"/>
      <c r="OTY53" s="3"/>
      <c r="OTZ53" s="3"/>
      <c r="OUA53" s="3"/>
      <c r="OUB53" s="3"/>
      <c r="OUC53" s="3"/>
      <c r="OUD53" s="3"/>
      <c r="OUE53" s="3"/>
      <c r="OUF53" s="3"/>
      <c r="OUG53" s="3"/>
      <c r="OUH53" s="3"/>
      <c r="OUI53" s="3"/>
      <c r="OUJ53" s="3"/>
      <c r="OUK53" s="3"/>
      <c r="OUL53" s="3"/>
      <c r="OUM53" s="3"/>
      <c r="OUN53" s="3"/>
      <c r="OUO53" s="3"/>
      <c r="OUP53" s="3"/>
      <c r="OUQ53" s="3"/>
      <c r="OUR53" s="3"/>
      <c r="OUS53" s="3"/>
      <c r="OUT53" s="3"/>
      <c r="OUU53" s="3"/>
      <c r="OUV53" s="3"/>
      <c r="OUW53" s="3"/>
      <c r="OUX53" s="3"/>
      <c r="OUY53" s="3"/>
      <c r="OUZ53" s="3"/>
      <c r="OVA53" s="3"/>
      <c r="OVB53" s="3"/>
      <c r="OVC53" s="3"/>
      <c r="OVD53" s="3"/>
      <c r="OVE53" s="3"/>
      <c r="OVF53" s="3"/>
      <c r="OVG53" s="3"/>
      <c r="OVH53" s="3"/>
      <c r="OVI53" s="3"/>
      <c r="OVJ53" s="3"/>
      <c r="OVK53" s="3"/>
      <c r="OVL53" s="3"/>
      <c r="OVM53" s="3"/>
      <c r="OVN53" s="3"/>
      <c r="OVO53" s="3"/>
      <c r="OVP53" s="3"/>
      <c r="OVQ53" s="3"/>
      <c r="OVR53" s="3"/>
      <c r="OVS53" s="3"/>
      <c r="OVT53" s="3"/>
      <c r="OVU53" s="3"/>
      <c r="OVV53" s="3"/>
      <c r="OVW53" s="3"/>
      <c r="OVX53" s="3"/>
      <c r="OVY53" s="3"/>
      <c r="OVZ53" s="3"/>
      <c r="OWA53" s="3"/>
      <c r="OWB53" s="3"/>
      <c r="OWC53" s="3"/>
      <c r="OWD53" s="3"/>
      <c r="OWE53" s="3"/>
      <c r="OWF53" s="3"/>
      <c r="OWG53" s="3"/>
      <c r="OWH53" s="3"/>
      <c r="OWI53" s="3"/>
      <c r="OWJ53" s="3"/>
      <c r="OWK53" s="3"/>
      <c r="OWL53" s="3"/>
      <c r="OWM53" s="3"/>
      <c r="OWN53" s="3"/>
      <c r="OWO53" s="3"/>
      <c r="OWP53" s="3"/>
      <c r="OWQ53" s="3"/>
      <c r="OWR53" s="3"/>
      <c r="OWS53" s="3"/>
      <c r="OWT53" s="3"/>
      <c r="OWU53" s="3"/>
      <c r="OWV53" s="3"/>
      <c r="OWW53" s="3"/>
      <c r="OWX53" s="3"/>
      <c r="OWY53" s="3"/>
      <c r="OWZ53" s="3"/>
      <c r="OXA53" s="3"/>
      <c r="OXB53" s="3"/>
      <c r="OXC53" s="3"/>
      <c r="OXD53" s="3"/>
      <c r="OXE53" s="3"/>
      <c r="OXF53" s="3"/>
      <c r="OXG53" s="3"/>
      <c r="OXH53" s="3"/>
      <c r="OXI53" s="3"/>
      <c r="OXJ53" s="3"/>
      <c r="OXK53" s="3"/>
      <c r="OXL53" s="3"/>
      <c r="OXM53" s="3"/>
      <c r="OXN53" s="3"/>
      <c r="OXO53" s="3"/>
      <c r="OXP53" s="3"/>
      <c r="OXQ53" s="3"/>
      <c r="OXR53" s="3"/>
      <c r="OXS53" s="3"/>
      <c r="OXT53" s="3"/>
      <c r="OXU53" s="3"/>
      <c r="OXV53" s="3"/>
      <c r="OXW53" s="3"/>
      <c r="OXX53" s="3"/>
      <c r="OXY53" s="3"/>
      <c r="OXZ53" s="3"/>
      <c r="OYA53" s="3"/>
      <c r="OYB53" s="3"/>
      <c r="OYC53" s="3"/>
      <c r="OYD53" s="3"/>
      <c r="OYE53" s="3"/>
      <c r="OYF53" s="3"/>
      <c r="OYG53" s="3"/>
      <c r="OYH53" s="3"/>
      <c r="OYI53" s="3"/>
      <c r="OYJ53" s="3"/>
      <c r="OYK53" s="3"/>
      <c r="OYL53" s="3"/>
      <c r="OYM53" s="3"/>
      <c r="OYN53" s="3"/>
      <c r="OYO53" s="3"/>
      <c r="OYP53" s="3"/>
      <c r="OYQ53" s="3"/>
      <c r="OYR53" s="3"/>
      <c r="OYS53" s="3"/>
      <c r="OYT53" s="3"/>
      <c r="OYU53" s="3"/>
      <c r="OYV53" s="3"/>
      <c r="OYW53" s="3"/>
      <c r="OYX53" s="3"/>
      <c r="OYY53" s="3"/>
      <c r="OYZ53" s="3"/>
      <c r="OZA53" s="3"/>
      <c r="OZB53" s="3"/>
      <c r="OZC53" s="3"/>
      <c r="OZD53" s="3"/>
      <c r="OZE53" s="3"/>
      <c r="OZF53" s="3"/>
      <c r="OZG53" s="3"/>
      <c r="OZH53" s="3"/>
      <c r="OZI53" s="3"/>
      <c r="OZJ53" s="3"/>
      <c r="OZK53" s="3"/>
      <c r="OZL53" s="3"/>
      <c r="OZM53" s="3"/>
      <c r="OZN53" s="3"/>
      <c r="OZO53" s="3"/>
      <c r="OZP53" s="3"/>
      <c r="OZQ53" s="3"/>
      <c r="OZR53" s="3"/>
      <c r="OZS53" s="3"/>
      <c r="OZT53" s="3"/>
      <c r="OZU53" s="3"/>
      <c r="OZV53" s="3"/>
      <c r="OZW53" s="3"/>
      <c r="OZX53" s="3"/>
      <c r="OZY53" s="3"/>
      <c r="OZZ53" s="3"/>
      <c r="PAA53" s="3"/>
      <c r="PAB53" s="3"/>
      <c r="PAC53" s="3"/>
      <c r="PAD53" s="3"/>
      <c r="PAE53" s="3"/>
      <c r="PAF53" s="3"/>
      <c r="PAG53" s="3"/>
      <c r="PAH53" s="3"/>
      <c r="PAI53" s="3"/>
      <c r="PAJ53" s="3"/>
      <c r="PAK53" s="3"/>
      <c r="PAL53" s="3"/>
      <c r="PAM53" s="3"/>
      <c r="PAN53" s="3"/>
      <c r="PAO53" s="3"/>
      <c r="PAP53" s="3"/>
      <c r="PAQ53" s="3"/>
      <c r="PAR53" s="3"/>
      <c r="PAS53" s="3"/>
      <c r="PAT53" s="3"/>
      <c r="PAU53" s="3"/>
      <c r="PAV53" s="3"/>
      <c r="PAW53" s="3"/>
      <c r="PAX53" s="3"/>
      <c r="PAY53" s="3"/>
      <c r="PAZ53" s="3"/>
      <c r="PBA53" s="3"/>
      <c r="PBB53" s="3"/>
      <c r="PBC53" s="3"/>
      <c r="PBD53" s="3"/>
      <c r="PBE53" s="3"/>
      <c r="PBF53" s="3"/>
      <c r="PBG53" s="3"/>
      <c r="PBH53" s="3"/>
      <c r="PBI53" s="3"/>
      <c r="PBJ53" s="3"/>
      <c r="PBK53" s="3"/>
      <c r="PBL53" s="3"/>
      <c r="PBM53" s="3"/>
      <c r="PBN53" s="3"/>
      <c r="PBO53" s="3"/>
      <c r="PBP53" s="3"/>
      <c r="PBQ53" s="3"/>
      <c r="PBR53" s="3"/>
      <c r="PBS53" s="3"/>
      <c r="PBT53" s="3"/>
      <c r="PBU53" s="3"/>
      <c r="PBV53" s="3"/>
      <c r="PBW53" s="3"/>
      <c r="PBX53" s="3"/>
      <c r="PBY53" s="3"/>
      <c r="PBZ53" s="3"/>
      <c r="PCA53" s="3"/>
      <c r="PCB53" s="3"/>
      <c r="PCC53" s="3"/>
      <c r="PCD53" s="3"/>
      <c r="PCE53" s="3"/>
      <c r="PCF53" s="3"/>
      <c r="PCG53" s="3"/>
      <c r="PCH53" s="3"/>
      <c r="PCI53" s="3"/>
      <c r="PCJ53" s="3"/>
      <c r="PCK53" s="3"/>
      <c r="PCL53" s="3"/>
      <c r="PCM53" s="3"/>
      <c r="PCN53" s="3"/>
      <c r="PCO53" s="3"/>
      <c r="PCP53" s="3"/>
      <c r="PCQ53" s="3"/>
      <c r="PCR53" s="3"/>
      <c r="PCS53" s="3"/>
      <c r="PCT53" s="3"/>
      <c r="PCU53" s="3"/>
      <c r="PCV53" s="3"/>
      <c r="PCW53" s="3"/>
      <c r="PCX53" s="3"/>
      <c r="PCY53" s="3"/>
      <c r="PCZ53" s="3"/>
      <c r="PDA53" s="3"/>
      <c r="PDB53" s="3"/>
      <c r="PDC53" s="3"/>
      <c r="PDD53" s="3"/>
      <c r="PDE53" s="3"/>
      <c r="PDF53" s="3"/>
      <c r="PDG53" s="3"/>
      <c r="PDH53" s="3"/>
      <c r="PDI53" s="3"/>
      <c r="PDJ53" s="3"/>
      <c r="PDK53" s="3"/>
      <c r="PDL53" s="3"/>
      <c r="PDM53" s="3"/>
      <c r="PDN53" s="3"/>
      <c r="PDO53" s="3"/>
      <c r="PDP53" s="3"/>
      <c r="PDQ53" s="3"/>
      <c r="PDR53" s="3"/>
      <c r="PDS53" s="3"/>
      <c r="PDT53" s="3"/>
      <c r="PDU53" s="3"/>
      <c r="PDV53" s="3"/>
      <c r="PDW53" s="3"/>
      <c r="PDX53" s="3"/>
      <c r="PDY53" s="3"/>
      <c r="PDZ53" s="3"/>
      <c r="PEA53" s="3"/>
      <c r="PEB53" s="3"/>
      <c r="PEC53" s="3"/>
      <c r="PED53" s="3"/>
      <c r="PEE53" s="3"/>
      <c r="PEF53" s="3"/>
      <c r="PEG53" s="3"/>
      <c r="PEH53" s="3"/>
      <c r="PEI53" s="3"/>
      <c r="PEJ53" s="3"/>
      <c r="PEK53" s="3"/>
      <c r="PEL53" s="3"/>
      <c r="PEM53" s="3"/>
      <c r="PEN53" s="3"/>
      <c r="PEO53" s="3"/>
      <c r="PEP53" s="3"/>
      <c r="PEQ53" s="3"/>
      <c r="PER53" s="3"/>
      <c r="PES53" s="3"/>
      <c r="PET53" s="3"/>
      <c r="PEU53" s="3"/>
      <c r="PEV53" s="3"/>
      <c r="PEW53" s="3"/>
      <c r="PEX53" s="3"/>
      <c r="PEY53" s="3"/>
      <c r="PEZ53" s="3"/>
      <c r="PFA53" s="3"/>
      <c r="PFB53" s="3"/>
      <c r="PFC53" s="3"/>
      <c r="PFD53" s="3"/>
      <c r="PFE53" s="3"/>
      <c r="PFF53" s="3"/>
      <c r="PFG53" s="3"/>
      <c r="PFH53" s="3"/>
      <c r="PFI53" s="3"/>
      <c r="PFJ53" s="3"/>
      <c r="PFK53" s="3"/>
      <c r="PFL53" s="3"/>
      <c r="PFM53" s="3"/>
      <c r="PFN53" s="3"/>
      <c r="PFO53" s="3"/>
      <c r="PFP53" s="3"/>
      <c r="PFQ53" s="3"/>
      <c r="PFR53" s="3"/>
      <c r="PFS53" s="3"/>
      <c r="PFT53" s="3"/>
      <c r="PFU53" s="3"/>
      <c r="PFV53" s="3"/>
      <c r="PFW53" s="3"/>
      <c r="PFX53" s="3"/>
      <c r="PFY53" s="3"/>
      <c r="PFZ53" s="3"/>
      <c r="PGA53" s="3"/>
      <c r="PGB53" s="3"/>
      <c r="PGC53" s="3"/>
      <c r="PGD53" s="3"/>
      <c r="PGE53" s="3"/>
      <c r="PGF53" s="3"/>
      <c r="PGG53" s="3"/>
      <c r="PGH53" s="3"/>
      <c r="PGI53" s="3"/>
      <c r="PGJ53" s="3"/>
      <c r="PGK53" s="3"/>
      <c r="PGL53" s="3"/>
      <c r="PGM53" s="3"/>
      <c r="PGN53" s="3"/>
      <c r="PGO53" s="3"/>
      <c r="PGP53" s="3"/>
      <c r="PGQ53" s="3"/>
      <c r="PGR53" s="3"/>
      <c r="PGS53" s="3"/>
      <c r="PGT53" s="3"/>
      <c r="PGU53" s="3"/>
      <c r="PGV53" s="3"/>
      <c r="PGW53" s="3"/>
      <c r="PGX53" s="3"/>
      <c r="PGY53" s="3"/>
      <c r="PGZ53" s="3"/>
      <c r="PHA53" s="3"/>
      <c r="PHB53" s="3"/>
      <c r="PHC53" s="3"/>
      <c r="PHD53" s="3"/>
      <c r="PHE53" s="3"/>
      <c r="PHF53" s="3"/>
      <c r="PHG53" s="3"/>
      <c r="PHH53" s="3"/>
      <c r="PHI53" s="3"/>
      <c r="PHJ53" s="3"/>
      <c r="PHK53" s="3"/>
      <c r="PHL53" s="3"/>
      <c r="PHM53" s="3"/>
      <c r="PHN53" s="3"/>
      <c r="PHO53" s="3"/>
      <c r="PHP53" s="3"/>
      <c r="PHQ53" s="3"/>
      <c r="PHR53" s="3"/>
      <c r="PHS53" s="3"/>
      <c r="PHT53" s="3"/>
      <c r="PHU53" s="3"/>
      <c r="PHV53" s="3"/>
      <c r="PHW53" s="3"/>
      <c r="PHX53" s="3"/>
      <c r="PHY53" s="3"/>
      <c r="PHZ53" s="3"/>
      <c r="PIA53" s="3"/>
      <c r="PIB53" s="3"/>
      <c r="PIC53" s="3"/>
      <c r="PID53" s="3"/>
      <c r="PIE53" s="3"/>
      <c r="PIF53" s="3"/>
      <c r="PIG53" s="3"/>
      <c r="PIH53" s="3"/>
      <c r="PII53" s="3"/>
      <c r="PIJ53" s="3"/>
      <c r="PIK53" s="3"/>
      <c r="PIL53" s="3"/>
      <c r="PIM53" s="3"/>
      <c r="PIN53" s="3"/>
      <c r="PIO53" s="3"/>
      <c r="PIP53" s="3"/>
      <c r="PIQ53" s="3"/>
      <c r="PIR53" s="3"/>
      <c r="PIS53" s="3"/>
      <c r="PIT53" s="3"/>
      <c r="PIU53" s="3"/>
      <c r="PIV53" s="3"/>
      <c r="PIW53" s="3"/>
      <c r="PIX53" s="3"/>
      <c r="PIY53" s="3"/>
      <c r="PIZ53" s="3"/>
      <c r="PJA53" s="3"/>
      <c r="PJB53" s="3"/>
      <c r="PJC53" s="3"/>
      <c r="PJD53" s="3"/>
      <c r="PJE53" s="3"/>
      <c r="PJF53" s="3"/>
      <c r="PJG53" s="3"/>
      <c r="PJH53" s="3"/>
      <c r="PJI53" s="3"/>
      <c r="PJJ53" s="3"/>
      <c r="PJK53" s="3"/>
      <c r="PJL53" s="3"/>
      <c r="PJM53" s="3"/>
      <c r="PJN53" s="3"/>
      <c r="PJO53" s="3"/>
      <c r="PJP53" s="3"/>
      <c r="PJQ53" s="3"/>
      <c r="PJR53" s="3"/>
      <c r="PJS53" s="3"/>
      <c r="PJT53" s="3"/>
      <c r="PJU53" s="3"/>
      <c r="PJV53" s="3"/>
      <c r="PJW53" s="3"/>
      <c r="PJX53" s="3"/>
      <c r="PJY53" s="3"/>
      <c r="PJZ53" s="3"/>
      <c r="PKA53" s="3"/>
      <c r="PKB53" s="3"/>
      <c r="PKC53" s="3"/>
      <c r="PKD53" s="3"/>
      <c r="PKE53" s="3"/>
      <c r="PKF53" s="3"/>
      <c r="PKG53" s="3"/>
      <c r="PKH53" s="3"/>
      <c r="PKI53" s="3"/>
      <c r="PKJ53" s="3"/>
      <c r="PKK53" s="3"/>
      <c r="PKL53" s="3"/>
      <c r="PKM53" s="3"/>
      <c r="PKN53" s="3"/>
      <c r="PKO53" s="3"/>
      <c r="PKP53" s="3"/>
      <c r="PKQ53" s="3"/>
      <c r="PKR53" s="3"/>
      <c r="PKS53" s="3"/>
      <c r="PKT53" s="3"/>
      <c r="PKU53" s="3"/>
      <c r="PKV53" s="3"/>
      <c r="PKW53" s="3"/>
      <c r="PKX53" s="3"/>
      <c r="PKY53" s="3"/>
      <c r="PKZ53" s="3"/>
      <c r="PLA53" s="3"/>
      <c r="PLB53" s="3"/>
      <c r="PLC53" s="3"/>
      <c r="PLD53" s="3"/>
      <c r="PLE53" s="3"/>
      <c r="PLF53" s="3"/>
      <c r="PLG53" s="3"/>
      <c r="PLH53" s="3"/>
      <c r="PLI53" s="3"/>
      <c r="PLJ53" s="3"/>
      <c r="PLK53" s="3"/>
      <c r="PLL53" s="3"/>
      <c r="PLM53" s="3"/>
      <c r="PLN53" s="3"/>
      <c r="PLO53" s="3"/>
      <c r="PLP53" s="3"/>
      <c r="PLQ53" s="3"/>
      <c r="PLR53" s="3"/>
      <c r="PLS53" s="3"/>
      <c r="PLT53" s="3"/>
      <c r="PLU53" s="3"/>
      <c r="PLV53" s="3"/>
      <c r="PLW53" s="3"/>
      <c r="PLX53" s="3"/>
      <c r="PLY53" s="3"/>
      <c r="PLZ53" s="3"/>
      <c r="PMA53" s="3"/>
      <c r="PMB53" s="3"/>
      <c r="PMC53" s="3"/>
      <c r="PMD53" s="3"/>
      <c r="PME53" s="3"/>
      <c r="PMF53" s="3"/>
      <c r="PMG53" s="3"/>
      <c r="PMH53" s="3"/>
      <c r="PMI53" s="3"/>
      <c r="PMJ53" s="3"/>
      <c r="PMK53" s="3"/>
      <c r="PML53" s="3"/>
      <c r="PMM53" s="3"/>
      <c r="PMN53" s="3"/>
      <c r="PMO53" s="3"/>
      <c r="PMP53" s="3"/>
      <c r="PMQ53" s="3"/>
      <c r="PMR53" s="3"/>
      <c r="PMS53" s="3"/>
      <c r="PMT53" s="3"/>
      <c r="PMU53" s="3"/>
      <c r="PMV53" s="3"/>
      <c r="PMW53" s="3"/>
      <c r="PMX53" s="3"/>
      <c r="PMY53" s="3"/>
      <c r="PMZ53" s="3"/>
      <c r="PNA53" s="3"/>
      <c r="PNB53" s="3"/>
      <c r="PNC53" s="3"/>
      <c r="PND53" s="3"/>
      <c r="PNE53" s="3"/>
      <c r="PNF53" s="3"/>
      <c r="PNG53" s="3"/>
      <c r="PNH53" s="3"/>
      <c r="PNI53" s="3"/>
      <c r="PNJ53" s="3"/>
      <c r="PNK53" s="3"/>
      <c r="PNL53" s="3"/>
      <c r="PNM53" s="3"/>
      <c r="PNN53" s="3"/>
      <c r="PNO53" s="3"/>
      <c r="PNP53" s="3"/>
      <c r="PNQ53" s="3"/>
      <c r="PNR53" s="3"/>
      <c r="PNS53" s="3"/>
      <c r="PNT53" s="3"/>
      <c r="PNU53" s="3"/>
      <c r="PNV53" s="3"/>
      <c r="PNW53" s="3"/>
      <c r="PNX53" s="3"/>
      <c r="PNY53" s="3"/>
      <c r="PNZ53" s="3"/>
      <c r="POA53" s="3"/>
      <c r="POB53" s="3"/>
      <c r="POC53" s="3"/>
      <c r="POD53" s="3"/>
      <c r="POE53" s="3"/>
      <c r="POF53" s="3"/>
      <c r="POG53" s="3"/>
      <c r="POH53" s="3"/>
      <c r="POI53" s="3"/>
      <c r="POJ53" s="3"/>
      <c r="POK53" s="3"/>
      <c r="POL53" s="3"/>
      <c r="POM53" s="3"/>
      <c r="PON53" s="3"/>
      <c r="POO53" s="3"/>
      <c r="POP53" s="3"/>
      <c r="POQ53" s="3"/>
      <c r="POR53" s="3"/>
      <c r="POS53" s="3"/>
      <c r="POT53" s="3"/>
      <c r="POU53" s="3"/>
      <c r="POV53" s="3"/>
      <c r="POW53" s="3"/>
      <c r="POX53" s="3"/>
      <c r="POY53" s="3"/>
      <c r="POZ53" s="3"/>
      <c r="PPA53" s="3"/>
      <c r="PPB53" s="3"/>
      <c r="PPC53" s="3"/>
      <c r="PPD53" s="3"/>
      <c r="PPE53" s="3"/>
      <c r="PPF53" s="3"/>
      <c r="PPG53" s="3"/>
      <c r="PPH53" s="3"/>
      <c r="PPI53" s="3"/>
      <c r="PPJ53" s="3"/>
      <c r="PPK53" s="3"/>
      <c r="PPL53" s="3"/>
      <c r="PPM53" s="3"/>
      <c r="PPN53" s="3"/>
      <c r="PPO53" s="3"/>
      <c r="PPP53" s="3"/>
      <c r="PPQ53" s="3"/>
      <c r="PPR53" s="3"/>
      <c r="PPS53" s="3"/>
      <c r="PPT53" s="3"/>
      <c r="PPU53" s="3"/>
      <c r="PPV53" s="3"/>
      <c r="PPW53" s="3"/>
      <c r="PPX53" s="3"/>
      <c r="PPY53" s="3"/>
      <c r="PPZ53" s="3"/>
      <c r="PQA53" s="3"/>
      <c r="PQB53" s="3"/>
      <c r="PQC53" s="3"/>
      <c r="PQD53" s="3"/>
      <c r="PQE53" s="3"/>
      <c r="PQF53" s="3"/>
      <c r="PQG53" s="3"/>
      <c r="PQH53" s="3"/>
      <c r="PQI53" s="3"/>
      <c r="PQJ53" s="3"/>
      <c r="PQK53" s="3"/>
      <c r="PQL53" s="3"/>
      <c r="PQM53" s="3"/>
      <c r="PQN53" s="3"/>
      <c r="PQO53" s="3"/>
      <c r="PQP53" s="3"/>
      <c r="PQQ53" s="3"/>
      <c r="PQR53" s="3"/>
      <c r="PQS53" s="3"/>
      <c r="PQT53" s="3"/>
      <c r="PQU53" s="3"/>
      <c r="PQV53" s="3"/>
      <c r="PQW53" s="3"/>
      <c r="PQX53" s="3"/>
      <c r="PQY53" s="3"/>
      <c r="PQZ53" s="3"/>
      <c r="PRA53" s="3"/>
      <c r="PRB53" s="3"/>
      <c r="PRC53" s="3"/>
      <c r="PRD53" s="3"/>
      <c r="PRE53" s="3"/>
      <c r="PRF53" s="3"/>
      <c r="PRG53" s="3"/>
      <c r="PRH53" s="3"/>
      <c r="PRI53" s="3"/>
      <c r="PRJ53" s="3"/>
      <c r="PRK53" s="3"/>
      <c r="PRL53" s="3"/>
      <c r="PRM53" s="3"/>
      <c r="PRN53" s="3"/>
      <c r="PRO53" s="3"/>
      <c r="PRP53" s="3"/>
      <c r="PRQ53" s="3"/>
      <c r="PRR53" s="3"/>
      <c r="PRS53" s="3"/>
      <c r="PRT53" s="3"/>
      <c r="PRU53" s="3"/>
      <c r="PRV53" s="3"/>
      <c r="PRW53" s="3"/>
      <c r="PRX53" s="3"/>
      <c r="PRY53" s="3"/>
      <c r="PRZ53" s="3"/>
      <c r="PSA53" s="3"/>
      <c r="PSB53" s="3"/>
      <c r="PSC53" s="3"/>
      <c r="PSD53" s="3"/>
      <c r="PSE53" s="3"/>
      <c r="PSF53" s="3"/>
      <c r="PSG53" s="3"/>
      <c r="PSH53" s="3"/>
      <c r="PSI53" s="3"/>
      <c r="PSJ53" s="3"/>
      <c r="PSK53" s="3"/>
      <c r="PSL53" s="3"/>
      <c r="PSM53" s="3"/>
      <c r="PSN53" s="3"/>
      <c r="PSO53" s="3"/>
      <c r="PSP53" s="3"/>
      <c r="PSQ53" s="3"/>
      <c r="PSR53" s="3"/>
      <c r="PSS53" s="3"/>
      <c r="PST53" s="3"/>
      <c r="PSU53" s="3"/>
      <c r="PSV53" s="3"/>
      <c r="PSW53" s="3"/>
      <c r="PSX53" s="3"/>
      <c r="PSY53" s="3"/>
      <c r="PSZ53" s="3"/>
      <c r="PTA53" s="3"/>
      <c r="PTB53" s="3"/>
      <c r="PTC53" s="3"/>
      <c r="PTD53" s="3"/>
      <c r="PTE53" s="3"/>
      <c r="PTF53" s="3"/>
      <c r="PTG53" s="3"/>
      <c r="PTH53" s="3"/>
      <c r="PTI53" s="3"/>
      <c r="PTJ53" s="3"/>
      <c r="PTK53" s="3"/>
      <c r="PTL53" s="3"/>
      <c r="PTM53" s="3"/>
      <c r="PTN53" s="3"/>
      <c r="PTO53" s="3"/>
      <c r="PTP53" s="3"/>
      <c r="PTQ53" s="3"/>
      <c r="PTR53" s="3"/>
      <c r="PTS53" s="3"/>
      <c r="PTT53" s="3"/>
      <c r="PTU53" s="3"/>
      <c r="PTV53" s="3"/>
      <c r="PTW53" s="3"/>
      <c r="PTX53" s="3"/>
      <c r="PTY53" s="3"/>
      <c r="PTZ53" s="3"/>
      <c r="PUA53" s="3"/>
      <c r="PUB53" s="3"/>
      <c r="PUC53" s="3"/>
      <c r="PUD53" s="3"/>
      <c r="PUE53" s="3"/>
      <c r="PUF53" s="3"/>
      <c r="PUG53" s="3"/>
      <c r="PUH53" s="3"/>
      <c r="PUI53" s="3"/>
      <c r="PUJ53" s="3"/>
      <c r="PUK53" s="3"/>
      <c r="PUL53" s="3"/>
      <c r="PUM53" s="3"/>
      <c r="PUN53" s="3"/>
      <c r="PUO53" s="3"/>
      <c r="PUP53" s="3"/>
      <c r="PUQ53" s="3"/>
      <c r="PUR53" s="3"/>
      <c r="PUS53" s="3"/>
      <c r="PUT53" s="3"/>
      <c r="PUU53" s="3"/>
      <c r="PUV53" s="3"/>
      <c r="PUW53" s="3"/>
      <c r="PUX53" s="3"/>
      <c r="PUY53" s="3"/>
      <c r="PUZ53" s="3"/>
      <c r="PVA53" s="3"/>
      <c r="PVB53" s="3"/>
      <c r="PVC53" s="3"/>
      <c r="PVD53" s="3"/>
      <c r="PVE53" s="3"/>
      <c r="PVF53" s="3"/>
      <c r="PVG53" s="3"/>
      <c r="PVH53" s="3"/>
      <c r="PVI53" s="3"/>
      <c r="PVJ53" s="3"/>
      <c r="PVK53" s="3"/>
      <c r="PVL53" s="3"/>
      <c r="PVM53" s="3"/>
      <c r="PVN53" s="3"/>
      <c r="PVO53" s="3"/>
      <c r="PVP53" s="3"/>
      <c r="PVQ53" s="3"/>
      <c r="PVR53" s="3"/>
      <c r="PVS53" s="3"/>
      <c r="PVT53" s="3"/>
      <c r="PVU53" s="3"/>
      <c r="PVV53" s="3"/>
      <c r="PVW53" s="3"/>
      <c r="PVX53" s="3"/>
      <c r="PVY53" s="3"/>
      <c r="PVZ53" s="3"/>
      <c r="PWA53" s="3"/>
      <c r="PWB53" s="3"/>
      <c r="PWC53" s="3"/>
      <c r="PWD53" s="3"/>
      <c r="PWE53" s="3"/>
      <c r="PWF53" s="3"/>
      <c r="PWG53" s="3"/>
      <c r="PWH53" s="3"/>
      <c r="PWI53" s="3"/>
      <c r="PWJ53" s="3"/>
      <c r="PWK53" s="3"/>
      <c r="PWL53" s="3"/>
      <c r="PWM53" s="3"/>
      <c r="PWN53" s="3"/>
      <c r="PWO53" s="3"/>
      <c r="PWP53" s="3"/>
      <c r="PWQ53" s="3"/>
      <c r="PWR53" s="3"/>
      <c r="PWS53" s="3"/>
      <c r="PWT53" s="3"/>
      <c r="PWU53" s="3"/>
      <c r="PWV53" s="3"/>
      <c r="PWW53" s="3"/>
      <c r="PWX53" s="3"/>
      <c r="PWY53" s="3"/>
      <c r="PWZ53" s="3"/>
      <c r="PXA53" s="3"/>
      <c r="PXB53" s="3"/>
      <c r="PXC53" s="3"/>
      <c r="PXD53" s="3"/>
      <c r="PXE53" s="3"/>
      <c r="PXF53" s="3"/>
      <c r="PXG53" s="3"/>
      <c r="PXH53" s="3"/>
      <c r="PXI53" s="3"/>
      <c r="PXJ53" s="3"/>
      <c r="PXK53" s="3"/>
      <c r="PXL53" s="3"/>
      <c r="PXM53" s="3"/>
      <c r="PXN53" s="3"/>
      <c r="PXO53" s="3"/>
      <c r="PXP53" s="3"/>
      <c r="PXQ53" s="3"/>
      <c r="PXR53" s="3"/>
      <c r="PXS53" s="3"/>
      <c r="PXT53" s="3"/>
      <c r="PXU53" s="3"/>
      <c r="PXV53" s="3"/>
      <c r="PXW53" s="3"/>
      <c r="PXX53" s="3"/>
      <c r="PXY53" s="3"/>
      <c r="PXZ53" s="3"/>
      <c r="PYA53" s="3"/>
      <c r="PYB53" s="3"/>
      <c r="PYC53" s="3"/>
      <c r="PYD53" s="3"/>
      <c r="PYE53" s="3"/>
      <c r="PYF53" s="3"/>
      <c r="PYG53" s="3"/>
      <c r="PYH53" s="3"/>
      <c r="PYI53" s="3"/>
      <c r="PYJ53" s="3"/>
      <c r="PYK53" s="3"/>
      <c r="PYL53" s="3"/>
      <c r="PYM53" s="3"/>
      <c r="PYN53" s="3"/>
      <c r="PYO53" s="3"/>
      <c r="PYP53" s="3"/>
      <c r="PYQ53" s="3"/>
      <c r="PYR53" s="3"/>
      <c r="PYS53" s="3"/>
      <c r="PYT53" s="3"/>
      <c r="PYU53" s="3"/>
      <c r="PYV53" s="3"/>
      <c r="PYW53" s="3"/>
      <c r="PYX53" s="3"/>
      <c r="PYY53" s="3"/>
      <c r="PYZ53" s="3"/>
      <c r="PZA53" s="3"/>
      <c r="PZB53" s="3"/>
      <c r="PZC53" s="3"/>
      <c r="PZD53" s="3"/>
      <c r="PZE53" s="3"/>
      <c r="PZF53" s="3"/>
      <c r="PZG53" s="3"/>
      <c r="PZH53" s="3"/>
      <c r="PZI53" s="3"/>
      <c r="PZJ53" s="3"/>
      <c r="PZK53" s="3"/>
      <c r="PZL53" s="3"/>
      <c r="PZM53" s="3"/>
      <c r="PZN53" s="3"/>
      <c r="PZO53" s="3"/>
      <c r="PZP53" s="3"/>
      <c r="PZQ53" s="3"/>
      <c r="PZR53" s="3"/>
      <c r="PZS53" s="3"/>
      <c r="PZT53" s="3"/>
      <c r="PZU53" s="3"/>
      <c r="PZV53" s="3"/>
      <c r="PZW53" s="3"/>
      <c r="PZX53" s="3"/>
      <c r="PZY53" s="3"/>
      <c r="PZZ53" s="3"/>
      <c r="QAA53" s="3"/>
      <c r="QAB53" s="3"/>
      <c r="QAC53" s="3"/>
      <c r="QAD53" s="3"/>
      <c r="QAE53" s="3"/>
      <c r="QAF53" s="3"/>
      <c r="QAG53" s="3"/>
      <c r="QAH53" s="3"/>
      <c r="QAI53" s="3"/>
      <c r="QAJ53" s="3"/>
      <c r="QAK53" s="3"/>
      <c r="QAL53" s="3"/>
      <c r="QAM53" s="3"/>
      <c r="QAN53" s="3"/>
      <c r="QAO53" s="3"/>
      <c r="QAP53" s="3"/>
      <c r="QAQ53" s="3"/>
      <c r="QAR53" s="3"/>
      <c r="QAS53" s="3"/>
      <c r="QAT53" s="3"/>
      <c r="QAU53" s="3"/>
      <c r="QAV53" s="3"/>
      <c r="QAW53" s="3"/>
      <c r="QAX53" s="3"/>
      <c r="QAY53" s="3"/>
      <c r="QAZ53" s="3"/>
      <c r="QBA53" s="3"/>
      <c r="QBB53" s="3"/>
      <c r="QBC53" s="3"/>
      <c r="QBD53" s="3"/>
      <c r="QBE53" s="3"/>
      <c r="QBF53" s="3"/>
      <c r="QBG53" s="3"/>
      <c r="QBH53" s="3"/>
      <c r="QBI53" s="3"/>
      <c r="QBJ53" s="3"/>
      <c r="QBK53" s="3"/>
      <c r="QBL53" s="3"/>
      <c r="QBM53" s="3"/>
      <c r="QBN53" s="3"/>
      <c r="QBO53" s="3"/>
      <c r="QBP53" s="3"/>
      <c r="QBQ53" s="3"/>
      <c r="QBR53" s="3"/>
      <c r="QBS53" s="3"/>
      <c r="QBT53" s="3"/>
      <c r="QBU53" s="3"/>
      <c r="QBV53" s="3"/>
      <c r="QBW53" s="3"/>
      <c r="QBX53" s="3"/>
      <c r="QBY53" s="3"/>
      <c r="QBZ53" s="3"/>
      <c r="QCA53" s="3"/>
      <c r="QCB53" s="3"/>
      <c r="QCC53" s="3"/>
      <c r="QCD53" s="3"/>
      <c r="QCE53" s="3"/>
      <c r="QCF53" s="3"/>
      <c r="QCG53" s="3"/>
      <c r="QCH53" s="3"/>
      <c r="QCI53" s="3"/>
      <c r="QCJ53" s="3"/>
      <c r="QCK53" s="3"/>
      <c r="QCL53" s="3"/>
      <c r="QCM53" s="3"/>
      <c r="QCN53" s="3"/>
      <c r="QCO53" s="3"/>
      <c r="QCP53" s="3"/>
      <c r="QCQ53" s="3"/>
      <c r="QCR53" s="3"/>
      <c r="QCS53" s="3"/>
      <c r="QCT53" s="3"/>
      <c r="QCU53" s="3"/>
      <c r="QCV53" s="3"/>
      <c r="QCW53" s="3"/>
      <c r="QCX53" s="3"/>
      <c r="QCY53" s="3"/>
      <c r="QCZ53" s="3"/>
      <c r="QDA53" s="3"/>
      <c r="QDB53" s="3"/>
      <c r="QDC53" s="3"/>
      <c r="QDD53" s="3"/>
      <c r="QDE53" s="3"/>
      <c r="QDF53" s="3"/>
      <c r="QDG53" s="3"/>
      <c r="QDH53" s="3"/>
      <c r="QDI53" s="3"/>
      <c r="QDJ53" s="3"/>
      <c r="QDK53" s="3"/>
      <c r="QDL53" s="3"/>
      <c r="QDM53" s="3"/>
      <c r="QDN53" s="3"/>
      <c r="QDO53" s="3"/>
      <c r="QDP53" s="3"/>
      <c r="QDQ53" s="3"/>
      <c r="QDR53" s="3"/>
      <c r="QDS53" s="3"/>
      <c r="QDT53" s="3"/>
      <c r="QDU53" s="3"/>
      <c r="QDV53" s="3"/>
      <c r="QDW53" s="3"/>
      <c r="QDX53" s="3"/>
      <c r="QDY53" s="3"/>
      <c r="QDZ53" s="3"/>
      <c r="QEA53" s="3"/>
      <c r="QEB53" s="3"/>
      <c r="QEC53" s="3"/>
      <c r="QED53" s="3"/>
      <c r="QEE53" s="3"/>
      <c r="QEF53" s="3"/>
      <c r="QEG53" s="3"/>
      <c r="QEH53" s="3"/>
      <c r="QEI53" s="3"/>
      <c r="QEJ53" s="3"/>
      <c r="QEK53" s="3"/>
      <c r="QEL53" s="3"/>
      <c r="QEM53" s="3"/>
      <c r="QEN53" s="3"/>
      <c r="QEO53" s="3"/>
      <c r="QEP53" s="3"/>
      <c r="QEQ53" s="3"/>
      <c r="QER53" s="3"/>
      <c r="QES53" s="3"/>
      <c r="QET53" s="3"/>
      <c r="QEU53" s="3"/>
      <c r="QEV53" s="3"/>
      <c r="QEW53" s="3"/>
      <c r="QEX53" s="3"/>
      <c r="QEY53" s="3"/>
      <c r="QEZ53" s="3"/>
      <c r="QFA53" s="3"/>
      <c r="QFB53" s="3"/>
      <c r="QFC53" s="3"/>
      <c r="QFD53" s="3"/>
      <c r="QFE53" s="3"/>
      <c r="QFF53" s="3"/>
      <c r="QFG53" s="3"/>
      <c r="QFH53" s="3"/>
      <c r="QFI53" s="3"/>
      <c r="QFJ53" s="3"/>
      <c r="QFK53" s="3"/>
      <c r="QFL53" s="3"/>
      <c r="QFM53" s="3"/>
      <c r="QFN53" s="3"/>
      <c r="QFO53" s="3"/>
      <c r="QFP53" s="3"/>
      <c r="QFQ53" s="3"/>
      <c r="QFR53" s="3"/>
      <c r="QFS53" s="3"/>
      <c r="QFT53" s="3"/>
      <c r="QFU53" s="3"/>
      <c r="QFV53" s="3"/>
      <c r="QFW53" s="3"/>
      <c r="QFX53" s="3"/>
      <c r="QFY53" s="3"/>
      <c r="QFZ53" s="3"/>
      <c r="QGA53" s="3"/>
      <c r="QGB53" s="3"/>
      <c r="QGC53" s="3"/>
      <c r="QGD53" s="3"/>
      <c r="QGE53" s="3"/>
      <c r="QGF53" s="3"/>
      <c r="QGG53" s="3"/>
      <c r="QGH53" s="3"/>
      <c r="QGI53" s="3"/>
      <c r="QGJ53" s="3"/>
      <c r="QGK53" s="3"/>
      <c r="QGL53" s="3"/>
      <c r="QGM53" s="3"/>
      <c r="QGN53" s="3"/>
      <c r="QGO53" s="3"/>
      <c r="QGP53" s="3"/>
      <c r="QGQ53" s="3"/>
      <c r="QGR53" s="3"/>
      <c r="QGS53" s="3"/>
      <c r="QGT53" s="3"/>
      <c r="QGU53" s="3"/>
      <c r="QGV53" s="3"/>
      <c r="QGW53" s="3"/>
      <c r="QGX53" s="3"/>
      <c r="QGY53" s="3"/>
      <c r="QGZ53" s="3"/>
      <c r="QHA53" s="3"/>
      <c r="QHB53" s="3"/>
      <c r="QHC53" s="3"/>
      <c r="QHD53" s="3"/>
      <c r="QHE53" s="3"/>
      <c r="QHF53" s="3"/>
      <c r="QHG53" s="3"/>
      <c r="QHH53" s="3"/>
      <c r="QHI53" s="3"/>
      <c r="QHJ53" s="3"/>
      <c r="QHK53" s="3"/>
      <c r="QHL53" s="3"/>
      <c r="QHM53" s="3"/>
      <c r="QHN53" s="3"/>
      <c r="QHO53" s="3"/>
      <c r="QHP53" s="3"/>
      <c r="QHQ53" s="3"/>
      <c r="QHR53" s="3"/>
      <c r="QHS53" s="3"/>
      <c r="QHT53" s="3"/>
      <c r="QHU53" s="3"/>
      <c r="QHV53" s="3"/>
      <c r="QHW53" s="3"/>
      <c r="QHX53" s="3"/>
      <c r="QHY53" s="3"/>
      <c r="QHZ53" s="3"/>
      <c r="QIA53" s="3"/>
      <c r="QIB53" s="3"/>
      <c r="QIC53" s="3"/>
      <c r="QID53" s="3"/>
      <c r="QIE53" s="3"/>
      <c r="QIF53" s="3"/>
      <c r="QIG53" s="3"/>
      <c r="QIH53" s="3"/>
      <c r="QII53" s="3"/>
      <c r="QIJ53" s="3"/>
      <c r="QIK53" s="3"/>
      <c r="QIL53" s="3"/>
      <c r="QIM53" s="3"/>
      <c r="QIN53" s="3"/>
      <c r="QIO53" s="3"/>
      <c r="QIP53" s="3"/>
      <c r="QIQ53" s="3"/>
      <c r="QIR53" s="3"/>
      <c r="QIS53" s="3"/>
      <c r="QIT53" s="3"/>
      <c r="QIU53" s="3"/>
      <c r="QIV53" s="3"/>
      <c r="QIW53" s="3"/>
      <c r="QIX53" s="3"/>
      <c r="QIY53" s="3"/>
      <c r="QIZ53" s="3"/>
      <c r="QJA53" s="3"/>
      <c r="QJB53" s="3"/>
      <c r="QJC53" s="3"/>
      <c r="QJD53" s="3"/>
      <c r="QJE53" s="3"/>
      <c r="QJF53" s="3"/>
      <c r="QJG53" s="3"/>
      <c r="QJH53" s="3"/>
      <c r="QJI53" s="3"/>
      <c r="QJJ53" s="3"/>
      <c r="QJK53" s="3"/>
      <c r="QJL53" s="3"/>
      <c r="QJM53" s="3"/>
      <c r="QJN53" s="3"/>
      <c r="QJO53" s="3"/>
      <c r="QJP53" s="3"/>
      <c r="QJQ53" s="3"/>
      <c r="QJR53" s="3"/>
      <c r="QJS53" s="3"/>
      <c r="QJT53" s="3"/>
      <c r="QJU53" s="3"/>
      <c r="QJV53" s="3"/>
      <c r="QJW53" s="3"/>
      <c r="QJX53" s="3"/>
      <c r="QJY53" s="3"/>
      <c r="QJZ53" s="3"/>
      <c r="QKA53" s="3"/>
      <c r="QKB53" s="3"/>
      <c r="QKC53" s="3"/>
      <c r="QKD53" s="3"/>
      <c r="QKE53" s="3"/>
      <c r="QKF53" s="3"/>
      <c r="QKG53" s="3"/>
      <c r="QKH53" s="3"/>
      <c r="QKI53" s="3"/>
      <c r="QKJ53" s="3"/>
      <c r="QKK53" s="3"/>
      <c r="QKL53" s="3"/>
      <c r="QKM53" s="3"/>
      <c r="QKN53" s="3"/>
      <c r="QKO53" s="3"/>
      <c r="QKP53" s="3"/>
      <c r="QKQ53" s="3"/>
      <c r="QKR53" s="3"/>
      <c r="QKS53" s="3"/>
      <c r="QKT53" s="3"/>
      <c r="QKU53" s="3"/>
      <c r="QKV53" s="3"/>
      <c r="QKW53" s="3"/>
      <c r="QKX53" s="3"/>
      <c r="QKY53" s="3"/>
      <c r="QKZ53" s="3"/>
      <c r="QLA53" s="3"/>
      <c r="QLB53" s="3"/>
      <c r="QLC53" s="3"/>
      <c r="QLD53" s="3"/>
      <c r="QLE53" s="3"/>
      <c r="QLF53" s="3"/>
      <c r="QLG53" s="3"/>
      <c r="QLH53" s="3"/>
      <c r="QLI53" s="3"/>
      <c r="QLJ53" s="3"/>
      <c r="QLK53" s="3"/>
      <c r="QLL53" s="3"/>
      <c r="QLM53" s="3"/>
      <c r="QLN53" s="3"/>
      <c r="QLO53" s="3"/>
      <c r="QLP53" s="3"/>
      <c r="QLQ53" s="3"/>
      <c r="QLR53" s="3"/>
      <c r="QLS53" s="3"/>
      <c r="QLT53" s="3"/>
      <c r="QLU53" s="3"/>
      <c r="QLV53" s="3"/>
      <c r="QLW53" s="3"/>
      <c r="QLX53" s="3"/>
      <c r="QLY53" s="3"/>
      <c r="QLZ53" s="3"/>
      <c r="QMA53" s="3"/>
      <c r="QMB53" s="3"/>
      <c r="QMC53" s="3"/>
      <c r="QMD53" s="3"/>
      <c r="QME53" s="3"/>
      <c r="QMF53" s="3"/>
      <c r="QMG53" s="3"/>
      <c r="QMH53" s="3"/>
      <c r="QMI53" s="3"/>
      <c r="QMJ53" s="3"/>
      <c r="QMK53" s="3"/>
      <c r="QML53" s="3"/>
      <c r="QMM53" s="3"/>
      <c r="QMN53" s="3"/>
      <c r="QMO53" s="3"/>
      <c r="QMP53" s="3"/>
      <c r="QMQ53" s="3"/>
      <c r="QMR53" s="3"/>
      <c r="QMS53" s="3"/>
      <c r="QMT53" s="3"/>
      <c r="QMU53" s="3"/>
      <c r="QMV53" s="3"/>
      <c r="QMW53" s="3"/>
      <c r="QMX53" s="3"/>
      <c r="QMY53" s="3"/>
      <c r="QMZ53" s="3"/>
      <c r="QNA53" s="3"/>
      <c r="QNB53" s="3"/>
      <c r="QNC53" s="3"/>
      <c r="QND53" s="3"/>
      <c r="QNE53" s="3"/>
      <c r="QNF53" s="3"/>
      <c r="QNG53" s="3"/>
      <c r="QNH53" s="3"/>
      <c r="QNI53" s="3"/>
      <c r="QNJ53" s="3"/>
      <c r="QNK53" s="3"/>
      <c r="QNL53" s="3"/>
      <c r="QNM53" s="3"/>
      <c r="QNN53" s="3"/>
      <c r="QNO53" s="3"/>
      <c r="QNP53" s="3"/>
      <c r="QNQ53" s="3"/>
      <c r="QNR53" s="3"/>
      <c r="QNS53" s="3"/>
      <c r="QNT53" s="3"/>
      <c r="QNU53" s="3"/>
      <c r="QNV53" s="3"/>
      <c r="QNW53" s="3"/>
      <c r="QNX53" s="3"/>
      <c r="QNY53" s="3"/>
      <c r="QNZ53" s="3"/>
      <c r="QOA53" s="3"/>
      <c r="QOB53" s="3"/>
      <c r="QOC53" s="3"/>
      <c r="QOD53" s="3"/>
      <c r="QOE53" s="3"/>
      <c r="QOF53" s="3"/>
      <c r="QOG53" s="3"/>
      <c r="QOH53" s="3"/>
      <c r="QOI53" s="3"/>
      <c r="QOJ53" s="3"/>
      <c r="QOK53" s="3"/>
      <c r="QOL53" s="3"/>
      <c r="QOM53" s="3"/>
      <c r="QON53" s="3"/>
      <c r="QOO53" s="3"/>
      <c r="QOP53" s="3"/>
      <c r="QOQ53" s="3"/>
      <c r="QOR53" s="3"/>
      <c r="QOS53" s="3"/>
      <c r="QOT53" s="3"/>
      <c r="QOU53" s="3"/>
      <c r="QOV53" s="3"/>
      <c r="QOW53" s="3"/>
      <c r="QOX53" s="3"/>
      <c r="QOY53" s="3"/>
      <c r="QOZ53" s="3"/>
      <c r="QPA53" s="3"/>
      <c r="QPB53" s="3"/>
      <c r="QPC53" s="3"/>
      <c r="QPD53" s="3"/>
      <c r="QPE53" s="3"/>
      <c r="QPF53" s="3"/>
      <c r="QPG53" s="3"/>
      <c r="QPH53" s="3"/>
      <c r="QPI53" s="3"/>
      <c r="QPJ53" s="3"/>
      <c r="QPK53" s="3"/>
      <c r="QPL53" s="3"/>
      <c r="QPM53" s="3"/>
      <c r="QPN53" s="3"/>
      <c r="QPO53" s="3"/>
      <c r="QPP53" s="3"/>
      <c r="QPQ53" s="3"/>
      <c r="QPR53" s="3"/>
      <c r="QPS53" s="3"/>
      <c r="QPT53" s="3"/>
      <c r="QPU53" s="3"/>
      <c r="QPV53" s="3"/>
      <c r="QPW53" s="3"/>
      <c r="QPX53" s="3"/>
      <c r="QPY53" s="3"/>
      <c r="QPZ53" s="3"/>
      <c r="QQA53" s="3"/>
      <c r="QQB53" s="3"/>
      <c r="QQC53" s="3"/>
      <c r="QQD53" s="3"/>
      <c r="QQE53" s="3"/>
      <c r="QQF53" s="3"/>
      <c r="QQG53" s="3"/>
      <c r="QQH53" s="3"/>
      <c r="QQI53" s="3"/>
      <c r="QQJ53" s="3"/>
      <c r="QQK53" s="3"/>
      <c r="QQL53" s="3"/>
      <c r="QQM53" s="3"/>
      <c r="QQN53" s="3"/>
      <c r="QQO53" s="3"/>
      <c r="QQP53" s="3"/>
      <c r="QQQ53" s="3"/>
      <c r="QQR53" s="3"/>
      <c r="QQS53" s="3"/>
      <c r="QQT53" s="3"/>
      <c r="QQU53" s="3"/>
      <c r="QQV53" s="3"/>
      <c r="QQW53" s="3"/>
      <c r="QQX53" s="3"/>
      <c r="QQY53" s="3"/>
      <c r="QQZ53" s="3"/>
      <c r="QRA53" s="3"/>
      <c r="QRB53" s="3"/>
      <c r="QRC53" s="3"/>
      <c r="QRD53" s="3"/>
      <c r="QRE53" s="3"/>
      <c r="QRF53" s="3"/>
      <c r="QRG53" s="3"/>
      <c r="QRH53" s="3"/>
      <c r="QRI53" s="3"/>
      <c r="QRJ53" s="3"/>
      <c r="QRK53" s="3"/>
      <c r="QRL53" s="3"/>
      <c r="QRM53" s="3"/>
      <c r="QRN53" s="3"/>
      <c r="QRO53" s="3"/>
      <c r="QRP53" s="3"/>
      <c r="QRQ53" s="3"/>
      <c r="QRR53" s="3"/>
      <c r="QRS53" s="3"/>
      <c r="QRT53" s="3"/>
      <c r="QRU53" s="3"/>
      <c r="QRV53" s="3"/>
      <c r="QRW53" s="3"/>
      <c r="QRX53" s="3"/>
      <c r="QRY53" s="3"/>
      <c r="QRZ53" s="3"/>
      <c r="QSA53" s="3"/>
      <c r="QSB53" s="3"/>
      <c r="QSC53" s="3"/>
      <c r="QSD53" s="3"/>
      <c r="QSE53" s="3"/>
      <c r="QSF53" s="3"/>
      <c r="QSG53" s="3"/>
      <c r="QSH53" s="3"/>
      <c r="QSI53" s="3"/>
      <c r="QSJ53" s="3"/>
      <c r="QSK53" s="3"/>
      <c r="QSL53" s="3"/>
      <c r="QSM53" s="3"/>
      <c r="QSN53" s="3"/>
      <c r="QSO53" s="3"/>
      <c r="QSP53" s="3"/>
      <c r="QSQ53" s="3"/>
      <c r="QSR53" s="3"/>
      <c r="QSS53" s="3"/>
      <c r="QST53" s="3"/>
      <c r="QSU53" s="3"/>
      <c r="QSV53" s="3"/>
      <c r="QSW53" s="3"/>
      <c r="QSX53" s="3"/>
      <c r="QSY53" s="3"/>
      <c r="QSZ53" s="3"/>
      <c r="QTA53" s="3"/>
      <c r="QTB53" s="3"/>
      <c r="QTC53" s="3"/>
      <c r="QTD53" s="3"/>
      <c r="QTE53" s="3"/>
      <c r="QTF53" s="3"/>
      <c r="QTG53" s="3"/>
      <c r="QTH53" s="3"/>
      <c r="QTI53" s="3"/>
      <c r="QTJ53" s="3"/>
      <c r="QTK53" s="3"/>
      <c r="QTL53" s="3"/>
      <c r="QTM53" s="3"/>
      <c r="QTN53" s="3"/>
      <c r="QTO53" s="3"/>
      <c r="QTP53" s="3"/>
      <c r="QTQ53" s="3"/>
      <c r="QTR53" s="3"/>
      <c r="QTS53" s="3"/>
      <c r="QTT53" s="3"/>
      <c r="QTU53" s="3"/>
      <c r="QTV53" s="3"/>
      <c r="QTW53" s="3"/>
      <c r="QTX53" s="3"/>
      <c r="QTY53" s="3"/>
      <c r="QTZ53" s="3"/>
      <c r="QUA53" s="3"/>
      <c r="QUB53" s="3"/>
      <c r="QUC53" s="3"/>
      <c r="QUD53" s="3"/>
      <c r="QUE53" s="3"/>
      <c r="QUF53" s="3"/>
      <c r="QUG53" s="3"/>
      <c r="QUH53" s="3"/>
      <c r="QUI53" s="3"/>
      <c r="QUJ53" s="3"/>
      <c r="QUK53" s="3"/>
      <c r="QUL53" s="3"/>
      <c r="QUM53" s="3"/>
      <c r="QUN53" s="3"/>
      <c r="QUO53" s="3"/>
      <c r="QUP53" s="3"/>
      <c r="QUQ53" s="3"/>
      <c r="QUR53" s="3"/>
      <c r="QUS53" s="3"/>
      <c r="QUT53" s="3"/>
      <c r="QUU53" s="3"/>
      <c r="QUV53" s="3"/>
      <c r="QUW53" s="3"/>
      <c r="QUX53" s="3"/>
      <c r="QUY53" s="3"/>
      <c r="QUZ53" s="3"/>
      <c r="QVA53" s="3"/>
      <c r="QVB53" s="3"/>
      <c r="QVC53" s="3"/>
      <c r="QVD53" s="3"/>
      <c r="QVE53" s="3"/>
      <c r="QVF53" s="3"/>
      <c r="QVG53" s="3"/>
      <c r="QVH53" s="3"/>
      <c r="QVI53" s="3"/>
      <c r="QVJ53" s="3"/>
      <c r="QVK53" s="3"/>
      <c r="QVL53" s="3"/>
      <c r="QVM53" s="3"/>
      <c r="QVN53" s="3"/>
      <c r="QVO53" s="3"/>
      <c r="QVP53" s="3"/>
      <c r="QVQ53" s="3"/>
      <c r="QVR53" s="3"/>
      <c r="QVS53" s="3"/>
      <c r="QVT53" s="3"/>
      <c r="QVU53" s="3"/>
      <c r="QVV53" s="3"/>
      <c r="QVW53" s="3"/>
      <c r="QVX53" s="3"/>
      <c r="QVY53" s="3"/>
      <c r="QVZ53" s="3"/>
      <c r="QWA53" s="3"/>
      <c r="QWB53" s="3"/>
      <c r="QWC53" s="3"/>
      <c r="QWD53" s="3"/>
      <c r="QWE53" s="3"/>
      <c r="QWF53" s="3"/>
      <c r="QWG53" s="3"/>
      <c r="QWH53" s="3"/>
      <c r="QWI53" s="3"/>
      <c r="QWJ53" s="3"/>
      <c r="QWK53" s="3"/>
      <c r="QWL53" s="3"/>
      <c r="QWM53" s="3"/>
      <c r="QWN53" s="3"/>
      <c r="QWO53" s="3"/>
      <c r="QWP53" s="3"/>
      <c r="QWQ53" s="3"/>
      <c r="QWR53" s="3"/>
      <c r="QWS53" s="3"/>
      <c r="QWT53" s="3"/>
      <c r="QWU53" s="3"/>
      <c r="QWV53" s="3"/>
      <c r="QWW53" s="3"/>
      <c r="QWX53" s="3"/>
      <c r="QWY53" s="3"/>
      <c r="QWZ53" s="3"/>
      <c r="QXA53" s="3"/>
      <c r="QXB53" s="3"/>
      <c r="QXC53" s="3"/>
      <c r="QXD53" s="3"/>
      <c r="QXE53" s="3"/>
      <c r="QXF53" s="3"/>
      <c r="QXG53" s="3"/>
      <c r="QXH53" s="3"/>
      <c r="QXI53" s="3"/>
      <c r="QXJ53" s="3"/>
      <c r="QXK53" s="3"/>
      <c r="QXL53" s="3"/>
      <c r="QXM53" s="3"/>
      <c r="QXN53" s="3"/>
      <c r="QXO53" s="3"/>
      <c r="QXP53" s="3"/>
      <c r="QXQ53" s="3"/>
      <c r="QXR53" s="3"/>
      <c r="QXS53" s="3"/>
      <c r="QXT53" s="3"/>
      <c r="QXU53" s="3"/>
      <c r="QXV53" s="3"/>
      <c r="QXW53" s="3"/>
      <c r="QXX53" s="3"/>
      <c r="QXY53" s="3"/>
      <c r="QXZ53" s="3"/>
      <c r="QYA53" s="3"/>
      <c r="QYB53" s="3"/>
      <c r="QYC53" s="3"/>
      <c r="QYD53" s="3"/>
      <c r="QYE53" s="3"/>
      <c r="QYF53" s="3"/>
      <c r="QYG53" s="3"/>
      <c r="QYH53" s="3"/>
      <c r="QYI53" s="3"/>
      <c r="QYJ53" s="3"/>
      <c r="QYK53" s="3"/>
      <c r="QYL53" s="3"/>
      <c r="QYM53" s="3"/>
      <c r="QYN53" s="3"/>
      <c r="QYO53" s="3"/>
      <c r="QYP53" s="3"/>
      <c r="QYQ53" s="3"/>
      <c r="QYR53" s="3"/>
      <c r="QYS53" s="3"/>
      <c r="QYT53" s="3"/>
      <c r="QYU53" s="3"/>
      <c r="QYV53" s="3"/>
      <c r="QYW53" s="3"/>
      <c r="QYX53" s="3"/>
      <c r="QYY53" s="3"/>
      <c r="QYZ53" s="3"/>
      <c r="QZA53" s="3"/>
      <c r="QZB53" s="3"/>
      <c r="QZC53" s="3"/>
      <c r="QZD53" s="3"/>
      <c r="QZE53" s="3"/>
      <c r="QZF53" s="3"/>
      <c r="QZG53" s="3"/>
      <c r="QZH53" s="3"/>
      <c r="QZI53" s="3"/>
      <c r="QZJ53" s="3"/>
      <c r="QZK53" s="3"/>
      <c r="QZL53" s="3"/>
      <c r="QZM53" s="3"/>
      <c r="QZN53" s="3"/>
      <c r="QZO53" s="3"/>
      <c r="QZP53" s="3"/>
      <c r="QZQ53" s="3"/>
      <c r="QZR53" s="3"/>
      <c r="QZS53" s="3"/>
      <c r="QZT53" s="3"/>
      <c r="QZU53" s="3"/>
      <c r="QZV53" s="3"/>
      <c r="QZW53" s="3"/>
      <c r="QZX53" s="3"/>
      <c r="QZY53" s="3"/>
      <c r="QZZ53" s="3"/>
      <c r="RAA53" s="3"/>
      <c r="RAB53" s="3"/>
      <c r="RAC53" s="3"/>
      <c r="RAD53" s="3"/>
      <c r="RAE53" s="3"/>
      <c r="RAF53" s="3"/>
      <c r="RAG53" s="3"/>
      <c r="RAH53" s="3"/>
      <c r="RAI53" s="3"/>
      <c r="RAJ53" s="3"/>
      <c r="RAK53" s="3"/>
      <c r="RAL53" s="3"/>
      <c r="RAM53" s="3"/>
      <c r="RAN53" s="3"/>
      <c r="RAO53" s="3"/>
      <c r="RAP53" s="3"/>
      <c r="RAQ53" s="3"/>
      <c r="RAR53" s="3"/>
      <c r="RAS53" s="3"/>
      <c r="RAT53" s="3"/>
      <c r="RAU53" s="3"/>
      <c r="RAV53" s="3"/>
      <c r="RAW53" s="3"/>
      <c r="RAX53" s="3"/>
      <c r="RAY53" s="3"/>
      <c r="RAZ53" s="3"/>
      <c r="RBA53" s="3"/>
      <c r="RBB53" s="3"/>
      <c r="RBC53" s="3"/>
      <c r="RBD53" s="3"/>
      <c r="RBE53" s="3"/>
      <c r="RBF53" s="3"/>
      <c r="RBG53" s="3"/>
      <c r="RBH53" s="3"/>
      <c r="RBI53" s="3"/>
      <c r="RBJ53" s="3"/>
      <c r="RBK53" s="3"/>
      <c r="RBL53" s="3"/>
      <c r="RBM53" s="3"/>
      <c r="RBN53" s="3"/>
      <c r="RBO53" s="3"/>
      <c r="RBP53" s="3"/>
      <c r="RBQ53" s="3"/>
      <c r="RBR53" s="3"/>
      <c r="RBS53" s="3"/>
      <c r="RBT53" s="3"/>
      <c r="RBU53" s="3"/>
      <c r="RBV53" s="3"/>
      <c r="RBW53" s="3"/>
      <c r="RBX53" s="3"/>
      <c r="RBY53" s="3"/>
      <c r="RBZ53" s="3"/>
      <c r="RCA53" s="3"/>
      <c r="RCB53" s="3"/>
      <c r="RCC53" s="3"/>
      <c r="RCD53" s="3"/>
      <c r="RCE53" s="3"/>
      <c r="RCF53" s="3"/>
      <c r="RCG53" s="3"/>
      <c r="RCH53" s="3"/>
      <c r="RCI53" s="3"/>
      <c r="RCJ53" s="3"/>
      <c r="RCK53" s="3"/>
      <c r="RCL53" s="3"/>
      <c r="RCM53" s="3"/>
      <c r="RCN53" s="3"/>
      <c r="RCO53" s="3"/>
      <c r="RCP53" s="3"/>
      <c r="RCQ53" s="3"/>
      <c r="RCR53" s="3"/>
      <c r="RCS53" s="3"/>
      <c r="RCT53" s="3"/>
      <c r="RCU53" s="3"/>
      <c r="RCV53" s="3"/>
      <c r="RCW53" s="3"/>
      <c r="RCX53" s="3"/>
      <c r="RCY53" s="3"/>
      <c r="RCZ53" s="3"/>
      <c r="RDA53" s="3"/>
      <c r="RDB53" s="3"/>
      <c r="RDC53" s="3"/>
      <c r="RDD53" s="3"/>
      <c r="RDE53" s="3"/>
      <c r="RDF53" s="3"/>
      <c r="RDG53" s="3"/>
      <c r="RDH53" s="3"/>
      <c r="RDI53" s="3"/>
      <c r="RDJ53" s="3"/>
      <c r="RDK53" s="3"/>
      <c r="RDL53" s="3"/>
      <c r="RDM53" s="3"/>
      <c r="RDN53" s="3"/>
      <c r="RDO53" s="3"/>
      <c r="RDP53" s="3"/>
      <c r="RDQ53" s="3"/>
      <c r="RDR53" s="3"/>
      <c r="RDS53" s="3"/>
      <c r="RDT53" s="3"/>
      <c r="RDU53" s="3"/>
      <c r="RDV53" s="3"/>
      <c r="RDW53" s="3"/>
      <c r="RDX53" s="3"/>
      <c r="RDY53" s="3"/>
      <c r="RDZ53" s="3"/>
      <c r="REA53" s="3"/>
      <c r="REB53" s="3"/>
      <c r="REC53" s="3"/>
      <c r="RED53" s="3"/>
      <c r="REE53" s="3"/>
      <c r="REF53" s="3"/>
      <c r="REG53" s="3"/>
      <c r="REH53" s="3"/>
      <c r="REI53" s="3"/>
      <c r="REJ53" s="3"/>
      <c r="REK53" s="3"/>
      <c r="REL53" s="3"/>
      <c r="REM53" s="3"/>
      <c r="REN53" s="3"/>
      <c r="REO53" s="3"/>
      <c r="REP53" s="3"/>
      <c r="REQ53" s="3"/>
      <c r="RER53" s="3"/>
      <c r="RES53" s="3"/>
      <c r="RET53" s="3"/>
      <c r="REU53" s="3"/>
      <c r="REV53" s="3"/>
      <c r="REW53" s="3"/>
      <c r="REX53" s="3"/>
      <c r="REY53" s="3"/>
      <c r="REZ53" s="3"/>
      <c r="RFA53" s="3"/>
      <c r="RFB53" s="3"/>
      <c r="RFC53" s="3"/>
      <c r="RFD53" s="3"/>
      <c r="RFE53" s="3"/>
      <c r="RFF53" s="3"/>
      <c r="RFG53" s="3"/>
      <c r="RFH53" s="3"/>
      <c r="RFI53" s="3"/>
      <c r="RFJ53" s="3"/>
      <c r="RFK53" s="3"/>
      <c r="RFL53" s="3"/>
      <c r="RFM53" s="3"/>
      <c r="RFN53" s="3"/>
      <c r="RFO53" s="3"/>
      <c r="RFP53" s="3"/>
      <c r="RFQ53" s="3"/>
      <c r="RFR53" s="3"/>
      <c r="RFS53" s="3"/>
      <c r="RFT53" s="3"/>
      <c r="RFU53" s="3"/>
      <c r="RFV53" s="3"/>
      <c r="RFW53" s="3"/>
      <c r="RFX53" s="3"/>
      <c r="RFY53" s="3"/>
      <c r="RFZ53" s="3"/>
      <c r="RGA53" s="3"/>
      <c r="RGB53" s="3"/>
      <c r="RGC53" s="3"/>
      <c r="RGD53" s="3"/>
      <c r="RGE53" s="3"/>
      <c r="RGF53" s="3"/>
      <c r="RGG53" s="3"/>
      <c r="RGH53" s="3"/>
      <c r="RGI53" s="3"/>
      <c r="RGJ53" s="3"/>
      <c r="RGK53" s="3"/>
      <c r="RGL53" s="3"/>
      <c r="RGM53" s="3"/>
      <c r="RGN53" s="3"/>
      <c r="RGO53" s="3"/>
      <c r="RGP53" s="3"/>
      <c r="RGQ53" s="3"/>
      <c r="RGR53" s="3"/>
      <c r="RGS53" s="3"/>
      <c r="RGT53" s="3"/>
      <c r="RGU53" s="3"/>
      <c r="RGV53" s="3"/>
      <c r="RGW53" s="3"/>
      <c r="RGX53" s="3"/>
      <c r="RGY53" s="3"/>
      <c r="RGZ53" s="3"/>
      <c r="RHA53" s="3"/>
      <c r="RHB53" s="3"/>
      <c r="RHC53" s="3"/>
      <c r="RHD53" s="3"/>
      <c r="RHE53" s="3"/>
      <c r="RHF53" s="3"/>
      <c r="RHG53" s="3"/>
      <c r="RHH53" s="3"/>
      <c r="RHI53" s="3"/>
      <c r="RHJ53" s="3"/>
      <c r="RHK53" s="3"/>
      <c r="RHL53" s="3"/>
      <c r="RHM53" s="3"/>
      <c r="RHN53" s="3"/>
      <c r="RHO53" s="3"/>
      <c r="RHP53" s="3"/>
      <c r="RHQ53" s="3"/>
      <c r="RHR53" s="3"/>
      <c r="RHS53" s="3"/>
      <c r="RHT53" s="3"/>
      <c r="RHU53" s="3"/>
      <c r="RHV53" s="3"/>
      <c r="RHW53" s="3"/>
      <c r="RHX53" s="3"/>
      <c r="RHY53" s="3"/>
      <c r="RHZ53" s="3"/>
      <c r="RIA53" s="3"/>
      <c r="RIB53" s="3"/>
      <c r="RIC53" s="3"/>
      <c r="RID53" s="3"/>
      <c r="RIE53" s="3"/>
      <c r="RIF53" s="3"/>
      <c r="RIG53" s="3"/>
      <c r="RIH53" s="3"/>
      <c r="RII53" s="3"/>
      <c r="RIJ53" s="3"/>
      <c r="RIK53" s="3"/>
      <c r="RIL53" s="3"/>
      <c r="RIM53" s="3"/>
      <c r="RIN53" s="3"/>
      <c r="RIO53" s="3"/>
      <c r="RIP53" s="3"/>
      <c r="RIQ53" s="3"/>
      <c r="RIR53" s="3"/>
      <c r="RIS53" s="3"/>
      <c r="RIT53" s="3"/>
      <c r="RIU53" s="3"/>
      <c r="RIV53" s="3"/>
      <c r="RIW53" s="3"/>
      <c r="RIX53" s="3"/>
      <c r="RIY53" s="3"/>
      <c r="RIZ53" s="3"/>
      <c r="RJA53" s="3"/>
      <c r="RJB53" s="3"/>
      <c r="RJC53" s="3"/>
      <c r="RJD53" s="3"/>
      <c r="RJE53" s="3"/>
      <c r="RJF53" s="3"/>
      <c r="RJG53" s="3"/>
      <c r="RJH53" s="3"/>
      <c r="RJI53" s="3"/>
      <c r="RJJ53" s="3"/>
      <c r="RJK53" s="3"/>
      <c r="RJL53" s="3"/>
      <c r="RJM53" s="3"/>
      <c r="RJN53" s="3"/>
      <c r="RJO53" s="3"/>
      <c r="RJP53" s="3"/>
      <c r="RJQ53" s="3"/>
      <c r="RJR53" s="3"/>
      <c r="RJS53" s="3"/>
      <c r="RJT53" s="3"/>
      <c r="RJU53" s="3"/>
      <c r="RJV53" s="3"/>
      <c r="RJW53" s="3"/>
      <c r="RJX53" s="3"/>
      <c r="RJY53" s="3"/>
      <c r="RJZ53" s="3"/>
      <c r="RKA53" s="3"/>
      <c r="RKB53" s="3"/>
      <c r="RKC53" s="3"/>
      <c r="RKD53" s="3"/>
      <c r="RKE53" s="3"/>
      <c r="RKF53" s="3"/>
      <c r="RKG53" s="3"/>
      <c r="RKH53" s="3"/>
      <c r="RKI53" s="3"/>
      <c r="RKJ53" s="3"/>
      <c r="RKK53" s="3"/>
      <c r="RKL53" s="3"/>
      <c r="RKM53" s="3"/>
      <c r="RKN53" s="3"/>
      <c r="RKO53" s="3"/>
      <c r="RKP53" s="3"/>
      <c r="RKQ53" s="3"/>
      <c r="RKR53" s="3"/>
      <c r="RKS53" s="3"/>
      <c r="RKT53" s="3"/>
      <c r="RKU53" s="3"/>
      <c r="RKV53" s="3"/>
      <c r="RKW53" s="3"/>
      <c r="RKX53" s="3"/>
      <c r="RKY53" s="3"/>
      <c r="RKZ53" s="3"/>
      <c r="RLA53" s="3"/>
      <c r="RLB53" s="3"/>
      <c r="RLC53" s="3"/>
      <c r="RLD53" s="3"/>
      <c r="RLE53" s="3"/>
      <c r="RLF53" s="3"/>
      <c r="RLG53" s="3"/>
      <c r="RLH53" s="3"/>
      <c r="RLI53" s="3"/>
      <c r="RLJ53" s="3"/>
      <c r="RLK53" s="3"/>
      <c r="RLL53" s="3"/>
      <c r="RLM53" s="3"/>
      <c r="RLN53" s="3"/>
      <c r="RLO53" s="3"/>
      <c r="RLP53" s="3"/>
      <c r="RLQ53" s="3"/>
      <c r="RLR53" s="3"/>
      <c r="RLS53" s="3"/>
      <c r="RLT53" s="3"/>
      <c r="RLU53" s="3"/>
      <c r="RLV53" s="3"/>
      <c r="RLW53" s="3"/>
      <c r="RLX53" s="3"/>
      <c r="RLY53" s="3"/>
      <c r="RLZ53" s="3"/>
      <c r="RMA53" s="3"/>
      <c r="RMB53" s="3"/>
      <c r="RMC53" s="3"/>
      <c r="RMD53" s="3"/>
      <c r="RME53" s="3"/>
      <c r="RMF53" s="3"/>
      <c r="RMG53" s="3"/>
      <c r="RMH53" s="3"/>
      <c r="RMI53" s="3"/>
      <c r="RMJ53" s="3"/>
      <c r="RMK53" s="3"/>
      <c r="RML53" s="3"/>
      <c r="RMM53" s="3"/>
      <c r="RMN53" s="3"/>
      <c r="RMO53" s="3"/>
      <c r="RMP53" s="3"/>
      <c r="RMQ53" s="3"/>
      <c r="RMR53" s="3"/>
      <c r="RMS53" s="3"/>
      <c r="RMT53" s="3"/>
      <c r="RMU53" s="3"/>
      <c r="RMV53" s="3"/>
      <c r="RMW53" s="3"/>
      <c r="RMX53" s="3"/>
      <c r="RMY53" s="3"/>
      <c r="RMZ53" s="3"/>
      <c r="RNA53" s="3"/>
      <c r="RNB53" s="3"/>
      <c r="RNC53" s="3"/>
      <c r="RND53" s="3"/>
      <c r="RNE53" s="3"/>
      <c r="RNF53" s="3"/>
      <c r="RNG53" s="3"/>
      <c r="RNH53" s="3"/>
      <c r="RNI53" s="3"/>
      <c r="RNJ53" s="3"/>
      <c r="RNK53" s="3"/>
      <c r="RNL53" s="3"/>
      <c r="RNM53" s="3"/>
      <c r="RNN53" s="3"/>
      <c r="RNO53" s="3"/>
      <c r="RNP53" s="3"/>
      <c r="RNQ53" s="3"/>
      <c r="RNR53" s="3"/>
      <c r="RNS53" s="3"/>
      <c r="RNT53" s="3"/>
      <c r="RNU53" s="3"/>
      <c r="RNV53" s="3"/>
      <c r="RNW53" s="3"/>
      <c r="RNX53" s="3"/>
      <c r="RNY53" s="3"/>
      <c r="RNZ53" s="3"/>
      <c r="ROA53" s="3"/>
      <c r="ROB53" s="3"/>
      <c r="ROC53" s="3"/>
      <c r="ROD53" s="3"/>
      <c r="ROE53" s="3"/>
      <c r="ROF53" s="3"/>
      <c r="ROG53" s="3"/>
      <c r="ROH53" s="3"/>
      <c r="ROI53" s="3"/>
      <c r="ROJ53" s="3"/>
      <c r="ROK53" s="3"/>
      <c r="ROL53" s="3"/>
      <c r="ROM53" s="3"/>
      <c r="RON53" s="3"/>
      <c r="ROO53" s="3"/>
      <c r="ROP53" s="3"/>
      <c r="ROQ53" s="3"/>
      <c r="ROR53" s="3"/>
      <c r="ROS53" s="3"/>
      <c r="ROT53" s="3"/>
      <c r="ROU53" s="3"/>
      <c r="ROV53" s="3"/>
      <c r="ROW53" s="3"/>
      <c r="ROX53" s="3"/>
      <c r="ROY53" s="3"/>
      <c r="ROZ53" s="3"/>
      <c r="RPA53" s="3"/>
      <c r="RPB53" s="3"/>
      <c r="RPC53" s="3"/>
      <c r="RPD53" s="3"/>
      <c r="RPE53" s="3"/>
      <c r="RPF53" s="3"/>
      <c r="RPG53" s="3"/>
      <c r="RPH53" s="3"/>
      <c r="RPI53" s="3"/>
      <c r="RPJ53" s="3"/>
      <c r="RPK53" s="3"/>
      <c r="RPL53" s="3"/>
      <c r="RPM53" s="3"/>
      <c r="RPN53" s="3"/>
      <c r="RPO53" s="3"/>
      <c r="RPP53" s="3"/>
      <c r="RPQ53" s="3"/>
      <c r="RPR53" s="3"/>
      <c r="RPS53" s="3"/>
      <c r="RPT53" s="3"/>
      <c r="RPU53" s="3"/>
      <c r="RPV53" s="3"/>
      <c r="RPW53" s="3"/>
      <c r="RPX53" s="3"/>
      <c r="RPY53" s="3"/>
      <c r="RPZ53" s="3"/>
      <c r="RQA53" s="3"/>
      <c r="RQB53" s="3"/>
      <c r="RQC53" s="3"/>
      <c r="RQD53" s="3"/>
      <c r="RQE53" s="3"/>
      <c r="RQF53" s="3"/>
      <c r="RQG53" s="3"/>
      <c r="RQH53" s="3"/>
      <c r="RQI53" s="3"/>
      <c r="RQJ53" s="3"/>
      <c r="RQK53" s="3"/>
      <c r="RQL53" s="3"/>
      <c r="RQM53" s="3"/>
      <c r="RQN53" s="3"/>
      <c r="RQO53" s="3"/>
      <c r="RQP53" s="3"/>
      <c r="RQQ53" s="3"/>
      <c r="RQR53" s="3"/>
      <c r="RQS53" s="3"/>
      <c r="RQT53" s="3"/>
      <c r="RQU53" s="3"/>
      <c r="RQV53" s="3"/>
      <c r="RQW53" s="3"/>
      <c r="RQX53" s="3"/>
      <c r="RQY53" s="3"/>
      <c r="RQZ53" s="3"/>
      <c r="RRA53" s="3"/>
      <c r="RRB53" s="3"/>
      <c r="RRC53" s="3"/>
      <c r="RRD53" s="3"/>
      <c r="RRE53" s="3"/>
      <c r="RRF53" s="3"/>
      <c r="RRG53" s="3"/>
      <c r="RRH53" s="3"/>
      <c r="RRI53" s="3"/>
      <c r="RRJ53" s="3"/>
      <c r="RRK53" s="3"/>
      <c r="RRL53" s="3"/>
      <c r="RRM53" s="3"/>
      <c r="RRN53" s="3"/>
      <c r="RRO53" s="3"/>
      <c r="RRP53" s="3"/>
      <c r="RRQ53" s="3"/>
      <c r="RRR53" s="3"/>
      <c r="RRS53" s="3"/>
      <c r="RRT53" s="3"/>
      <c r="RRU53" s="3"/>
      <c r="RRV53" s="3"/>
      <c r="RRW53" s="3"/>
      <c r="RRX53" s="3"/>
      <c r="RRY53" s="3"/>
      <c r="RRZ53" s="3"/>
      <c r="RSA53" s="3"/>
      <c r="RSB53" s="3"/>
      <c r="RSC53" s="3"/>
      <c r="RSD53" s="3"/>
      <c r="RSE53" s="3"/>
      <c r="RSF53" s="3"/>
      <c r="RSG53" s="3"/>
      <c r="RSH53" s="3"/>
      <c r="RSI53" s="3"/>
      <c r="RSJ53" s="3"/>
      <c r="RSK53" s="3"/>
      <c r="RSL53" s="3"/>
      <c r="RSM53" s="3"/>
      <c r="RSN53" s="3"/>
      <c r="RSO53" s="3"/>
      <c r="RSP53" s="3"/>
      <c r="RSQ53" s="3"/>
      <c r="RSR53" s="3"/>
      <c r="RSS53" s="3"/>
      <c r="RST53" s="3"/>
      <c r="RSU53" s="3"/>
      <c r="RSV53" s="3"/>
      <c r="RSW53" s="3"/>
      <c r="RSX53" s="3"/>
      <c r="RSY53" s="3"/>
      <c r="RSZ53" s="3"/>
      <c r="RTA53" s="3"/>
      <c r="RTB53" s="3"/>
      <c r="RTC53" s="3"/>
      <c r="RTD53" s="3"/>
      <c r="RTE53" s="3"/>
      <c r="RTF53" s="3"/>
      <c r="RTG53" s="3"/>
      <c r="RTH53" s="3"/>
      <c r="RTI53" s="3"/>
      <c r="RTJ53" s="3"/>
      <c r="RTK53" s="3"/>
      <c r="RTL53" s="3"/>
      <c r="RTM53" s="3"/>
      <c r="RTN53" s="3"/>
      <c r="RTO53" s="3"/>
      <c r="RTP53" s="3"/>
      <c r="RTQ53" s="3"/>
      <c r="RTR53" s="3"/>
      <c r="RTS53" s="3"/>
      <c r="RTT53" s="3"/>
      <c r="RTU53" s="3"/>
      <c r="RTV53" s="3"/>
      <c r="RTW53" s="3"/>
      <c r="RTX53" s="3"/>
      <c r="RTY53" s="3"/>
      <c r="RTZ53" s="3"/>
      <c r="RUA53" s="3"/>
      <c r="RUB53" s="3"/>
      <c r="RUC53" s="3"/>
      <c r="RUD53" s="3"/>
      <c r="RUE53" s="3"/>
      <c r="RUF53" s="3"/>
      <c r="RUG53" s="3"/>
      <c r="RUH53" s="3"/>
      <c r="RUI53" s="3"/>
      <c r="RUJ53" s="3"/>
      <c r="RUK53" s="3"/>
      <c r="RUL53" s="3"/>
      <c r="RUM53" s="3"/>
      <c r="RUN53" s="3"/>
      <c r="RUO53" s="3"/>
      <c r="RUP53" s="3"/>
      <c r="RUQ53" s="3"/>
      <c r="RUR53" s="3"/>
      <c r="RUS53" s="3"/>
      <c r="RUT53" s="3"/>
      <c r="RUU53" s="3"/>
      <c r="RUV53" s="3"/>
      <c r="RUW53" s="3"/>
      <c r="RUX53" s="3"/>
      <c r="RUY53" s="3"/>
      <c r="RUZ53" s="3"/>
      <c r="RVA53" s="3"/>
      <c r="RVB53" s="3"/>
      <c r="RVC53" s="3"/>
      <c r="RVD53" s="3"/>
      <c r="RVE53" s="3"/>
      <c r="RVF53" s="3"/>
      <c r="RVG53" s="3"/>
      <c r="RVH53" s="3"/>
      <c r="RVI53" s="3"/>
      <c r="RVJ53" s="3"/>
      <c r="RVK53" s="3"/>
      <c r="RVL53" s="3"/>
      <c r="RVM53" s="3"/>
      <c r="RVN53" s="3"/>
      <c r="RVO53" s="3"/>
      <c r="RVP53" s="3"/>
      <c r="RVQ53" s="3"/>
      <c r="RVR53" s="3"/>
      <c r="RVS53" s="3"/>
      <c r="RVT53" s="3"/>
      <c r="RVU53" s="3"/>
      <c r="RVV53" s="3"/>
      <c r="RVW53" s="3"/>
      <c r="RVX53" s="3"/>
      <c r="RVY53" s="3"/>
      <c r="RVZ53" s="3"/>
      <c r="RWA53" s="3"/>
      <c r="RWB53" s="3"/>
      <c r="RWC53" s="3"/>
      <c r="RWD53" s="3"/>
      <c r="RWE53" s="3"/>
      <c r="RWF53" s="3"/>
      <c r="RWG53" s="3"/>
      <c r="RWH53" s="3"/>
      <c r="RWI53" s="3"/>
      <c r="RWJ53" s="3"/>
      <c r="RWK53" s="3"/>
      <c r="RWL53" s="3"/>
      <c r="RWM53" s="3"/>
      <c r="RWN53" s="3"/>
      <c r="RWO53" s="3"/>
      <c r="RWP53" s="3"/>
      <c r="RWQ53" s="3"/>
      <c r="RWR53" s="3"/>
      <c r="RWS53" s="3"/>
      <c r="RWT53" s="3"/>
      <c r="RWU53" s="3"/>
      <c r="RWV53" s="3"/>
      <c r="RWW53" s="3"/>
      <c r="RWX53" s="3"/>
      <c r="RWY53" s="3"/>
      <c r="RWZ53" s="3"/>
      <c r="RXA53" s="3"/>
      <c r="RXB53" s="3"/>
      <c r="RXC53" s="3"/>
      <c r="RXD53" s="3"/>
      <c r="RXE53" s="3"/>
      <c r="RXF53" s="3"/>
      <c r="RXG53" s="3"/>
      <c r="RXH53" s="3"/>
      <c r="RXI53" s="3"/>
      <c r="RXJ53" s="3"/>
      <c r="RXK53" s="3"/>
      <c r="RXL53" s="3"/>
      <c r="RXM53" s="3"/>
      <c r="RXN53" s="3"/>
      <c r="RXO53" s="3"/>
      <c r="RXP53" s="3"/>
      <c r="RXQ53" s="3"/>
      <c r="RXR53" s="3"/>
      <c r="RXS53" s="3"/>
      <c r="RXT53" s="3"/>
      <c r="RXU53" s="3"/>
      <c r="RXV53" s="3"/>
      <c r="RXW53" s="3"/>
      <c r="RXX53" s="3"/>
      <c r="RXY53" s="3"/>
      <c r="RXZ53" s="3"/>
      <c r="RYA53" s="3"/>
      <c r="RYB53" s="3"/>
      <c r="RYC53" s="3"/>
      <c r="RYD53" s="3"/>
      <c r="RYE53" s="3"/>
      <c r="RYF53" s="3"/>
      <c r="RYG53" s="3"/>
      <c r="RYH53" s="3"/>
      <c r="RYI53" s="3"/>
      <c r="RYJ53" s="3"/>
      <c r="RYK53" s="3"/>
      <c r="RYL53" s="3"/>
      <c r="RYM53" s="3"/>
      <c r="RYN53" s="3"/>
      <c r="RYO53" s="3"/>
      <c r="RYP53" s="3"/>
      <c r="RYQ53" s="3"/>
      <c r="RYR53" s="3"/>
      <c r="RYS53" s="3"/>
      <c r="RYT53" s="3"/>
      <c r="RYU53" s="3"/>
      <c r="RYV53" s="3"/>
      <c r="RYW53" s="3"/>
      <c r="RYX53" s="3"/>
      <c r="RYY53" s="3"/>
      <c r="RYZ53" s="3"/>
      <c r="RZA53" s="3"/>
      <c r="RZB53" s="3"/>
      <c r="RZC53" s="3"/>
      <c r="RZD53" s="3"/>
      <c r="RZE53" s="3"/>
      <c r="RZF53" s="3"/>
      <c r="RZG53" s="3"/>
      <c r="RZH53" s="3"/>
      <c r="RZI53" s="3"/>
      <c r="RZJ53" s="3"/>
      <c r="RZK53" s="3"/>
      <c r="RZL53" s="3"/>
      <c r="RZM53" s="3"/>
      <c r="RZN53" s="3"/>
      <c r="RZO53" s="3"/>
      <c r="RZP53" s="3"/>
      <c r="RZQ53" s="3"/>
      <c r="RZR53" s="3"/>
      <c r="RZS53" s="3"/>
      <c r="RZT53" s="3"/>
      <c r="RZU53" s="3"/>
      <c r="RZV53" s="3"/>
      <c r="RZW53" s="3"/>
      <c r="RZX53" s="3"/>
      <c r="RZY53" s="3"/>
      <c r="RZZ53" s="3"/>
      <c r="SAA53" s="3"/>
      <c r="SAB53" s="3"/>
      <c r="SAC53" s="3"/>
      <c r="SAD53" s="3"/>
      <c r="SAE53" s="3"/>
      <c r="SAF53" s="3"/>
      <c r="SAG53" s="3"/>
      <c r="SAH53" s="3"/>
      <c r="SAI53" s="3"/>
      <c r="SAJ53" s="3"/>
      <c r="SAK53" s="3"/>
      <c r="SAL53" s="3"/>
      <c r="SAM53" s="3"/>
      <c r="SAN53" s="3"/>
      <c r="SAO53" s="3"/>
      <c r="SAP53" s="3"/>
      <c r="SAQ53" s="3"/>
      <c r="SAR53" s="3"/>
      <c r="SAS53" s="3"/>
      <c r="SAT53" s="3"/>
      <c r="SAU53" s="3"/>
      <c r="SAV53" s="3"/>
      <c r="SAW53" s="3"/>
      <c r="SAX53" s="3"/>
      <c r="SAY53" s="3"/>
      <c r="SAZ53" s="3"/>
      <c r="SBA53" s="3"/>
      <c r="SBB53" s="3"/>
      <c r="SBC53" s="3"/>
      <c r="SBD53" s="3"/>
      <c r="SBE53" s="3"/>
      <c r="SBF53" s="3"/>
      <c r="SBG53" s="3"/>
      <c r="SBH53" s="3"/>
      <c r="SBI53" s="3"/>
      <c r="SBJ53" s="3"/>
      <c r="SBK53" s="3"/>
      <c r="SBL53" s="3"/>
      <c r="SBM53" s="3"/>
      <c r="SBN53" s="3"/>
      <c r="SBO53" s="3"/>
      <c r="SBP53" s="3"/>
      <c r="SBQ53" s="3"/>
      <c r="SBR53" s="3"/>
      <c r="SBS53" s="3"/>
      <c r="SBT53" s="3"/>
      <c r="SBU53" s="3"/>
      <c r="SBV53" s="3"/>
      <c r="SBW53" s="3"/>
      <c r="SBX53" s="3"/>
      <c r="SBY53" s="3"/>
      <c r="SBZ53" s="3"/>
      <c r="SCA53" s="3"/>
      <c r="SCB53" s="3"/>
      <c r="SCC53" s="3"/>
      <c r="SCD53" s="3"/>
      <c r="SCE53" s="3"/>
      <c r="SCF53" s="3"/>
      <c r="SCG53" s="3"/>
      <c r="SCH53" s="3"/>
      <c r="SCI53" s="3"/>
      <c r="SCJ53" s="3"/>
      <c r="SCK53" s="3"/>
      <c r="SCL53" s="3"/>
      <c r="SCM53" s="3"/>
      <c r="SCN53" s="3"/>
      <c r="SCO53" s="3"/>
      <c r="SCP53" s="3"/>
      <c r="SCQ53" s="3"/>
      <c r="SCR53" s="3"/>
      <c r="SCS53" s="3"/>
      <c r="SCT53" s="3"/>
      <c r="SCU53" s="3"/>
      <c r="SCV53" s="3"/>
      <c r="SCW53" s="3"/>
      <c r="SCX53" s="3"/>
      <c r="SCY53" s="3"/>
      <c r="SCZ53" s="3"/>
      <c r="SDA53" s="3"/>
      <c r="SDB53" s="3"/>
      <c r="SDC53" s="3"/>
      <c r="SDD53" s="3"/>
      <c r="SDE53" s="3"/>
      <c r="SDF53" s="3"/>
      <c r="SDG53" s="3"/>
      <c r="SDH53" s="3"/>
      <c r="SDI53" s="3"/>
      <c r="SDJ53" s="3"/>
      <c r="SDK53" s="3"/>
      <c r="SDL53" s="3"/>
      <c r="SDM53" s="3"/>
      <c r="SDN53" s="3"/>
      <c r="SDO53" s="3"/>
      <c r="SDP53" s="3"/>
      <c r="SDQ53" s="3"/>
      <c r="SDR53" s="3"/>
      <c r="SDS53" s="3"/>
      <c r="SDT53" s="3"/>
      <c r="SDU53" s="3"/>
      <c r="SDV53" s="3"/>
      <c r="SDW53" s="3"/>
      <c r="SDX53" s="3"/>
      <c r="SDY53" s="3"/>
      <c r="SDZ53" s="3"/>
      <c r="SEA53" s="3"/>
      <c r="SEB53" s="3"/>
      <c r="SEC53" s="3"/>
      <c r="SED53" s="3"/>
      <c r="SEE53" s="3"/>
      <c r="SEF53" s="3"/>
      <c r="SEG53" s="3"/>
      <c r="SEH53" s="3"/>
      <c r="SEI53" s="3"/>
      <c r="SEJ53" s="3"/>
      <c r="SEK53" s="3"/>
      <c r="SEL53" s="3"/>
      <c r="SEM53" s="3"/>
      <c r="SEN53" s="3"/>
      <c r="SEO53" s="3"/>
      <c r="SEP53" s="3"/>
      <c r="SEQ53" s="3"/>
      <c r="SER53" s="3"/>
      <c r="SES53" s="3"/>
      <c r="SET53" s="3"/>
      <c r="SEU53" s="3"/>
      <c r="SEV53" s="3"/>
      <c r="SEW53" s="3"/>
      <c r="SEX53" s="3"/>
      <c r="SEY53" s="3"/>
      <c r="SEZ53" s="3"/>
      <c r="SFA53" s="3"/>
      <c r="SFB53" s="3"/>
      <c r="SFC53" s="3"/>
      <c r="SFD53" s="3"/>
      <c r="SFE53" s="3"/>
      <c r="SFF53" s="3"/>
      <c r="SFG53" s="3"/>
      <c r="SFH53" s="3"/>
      <c r="SFI53" s="3"/>
      <c r="SFJ53" s="3"/>
      <c r="SFK53" s="3"/>
      <c r="SFL53" s="3"/>
      <c r="SFM53" s="3"/>
      <c r="SFN53" s="3"/>
      <c r="SFO53" s="3"/>
      <c r="SFP53" s="3"/>
      <c r="SFQ53" s="3"/>
      <c r="SFR53" s="3"/>
      <c r="SFS53" s="3"/>
      <c r="SFT53" s="3"/>
      <c r="SFU53" s="3"/>
      <c r="SFV53" s="3"/>
      <c r="SFW53" s="3"/>
      <c r="SFX53" s="3"/>
      <c r="SFY53" s="3"/>
      <c r="SFZ53" s="3"/>
      <c r="SGA53" s="3"/>
      <c r="SGB53" s="3"/>
      <c r="SGC53" s="3"/>
      <c r="SGD53" s="3"/>
      <c r="SGE53" s="3"/>
      <c r="SGF53" s="3"/>
      <c r="SGG53" s="3"/>
      <c r="SGH53" s="3"/>
      <c r="SGI53" s="3"/>
      <c r="SGJ53" s="3"/>
      <c r="SGK53" s="3"/>
      <c r="SGL53" s="3"/>
      <c r="SGM53" s="3"/>
      <c r="SGN53" s="3"/>
      <c r="SGO53" s="3"/>
      <c r="SGP53" s="3"/>
      <c r="SGQ53" s="3"/>
      <c r="SGR53" s="3"/>
      <c r="SGS53" s="3"/>
      <c r="SGT53" s="3"/>
      <c r="SGU53" s="3"/>
      <c r="SGV53" s="3"/>
      <c r="SGW53" s="3"/>
      <c r="SGX53" s="3"/>
      <c r="SGY53" s="3"/>
      <c r="SGZ53" s="3"/>
      <c r="SHA53" s="3"/>
      <c r="SHB53" s="3"/>
      <c r="SHC53" s="3"/>
      <c r="SHD53" s="3"/>
      <c r="SHE53" s="3"/>
      <c r="SHF53" s="3"/>
      <c r="SHG53" s="3"/>
      <c r="SHH53" s="3"/>
      <c r="SHI53" s="3"/>
      <c r="SHJ53" s="3"/>
      <c r="SHK53" s="3"/>
      <c r="SHL53" s="3"/>
      <c r="SHM53" s="3"/>
      <c r="SHN53" s="3"/>
      <c r="SHO53" s="3"/>
      <c r="SHP53" s="3"/>
      <c r="SHQ53" s="3"/>
      <c r="SHR53" s="3"/>
      <c r="SHS53" s="3"/>
      <c r="SHT53" s="3"/>
      <c r="SHU53" s="3"/>
      <c r="SHV53" s="3"/>
      <c r="SHW53" s="3"/>
      <c r="SHX53" s="3"/>
      <c r="SHY53" s="3"/>
      <c r="SHZ53" s="3"/>
      <c r="SIA53" s="3"/>
      <c r="SIB53" s="3"/>
      <c r="SIC53" s="3"/>
      <c r="SID53" s="3"/>
      <c r="SIE53" s="3"/>
      <c r="SIF53" s="3"/>
      <c r="SIG53" s="3"/>
      <c r="SIH53" s="3"/>
      <c r="SII53" s="3"/>
      <c r="SIJ53" s="3"/>
      <c r="SIK53" s="3"/>
      <c r="SIL53" s="3"/>
      <c r="SIM53" s="3"/>
      <c r="SIN53" s="3"/>
      <c r="SIO53" s="3"/>
      <c r="SIP53" s="3"/>
      <c r="SIQ53" s="3"/>
      <c r="SIR53" s="3"/>
      <c r="SIS53" s="3"/>
      <c r="SIT53" s="3"/>
      <c r="SIU53" s="3"/>
      <c r="SIV53" s="3"/>
      <c r="SIW53" s="3"/>
      <c r="SIX53" s="3"/>
      <c r="SIY53" s="3"/>
      <c r="SIZ53" s="3"/>
      <c r="SJA53" s="3"/>
      <c r="SJB53" s="3"/>
      <c r="SJC53" s="3"/>
      <c r="SJD53" s="3"/>
      <c r="SJE53" s="3"/>
      <c r="SJF53" s="3"/>
      <c r="SJG53" s="3"/>
      <c r="SJH53" s="3"/>
      <c r="SJI53" s="3"/>
      <c r="SJJ53" s="3"/>
      <c r="SJK53" s="3"/>
      <c r="SJL53" s="3"/>
      <c r="SJM53" s="3"/>
      <c r="SJN53" s="3"/>
      <c r="SJO53" s="3"/>
      <c r="SJP53" s="3"/>
      <c r="SJQ53" s="3"/>
      <c r="SJR53" s="3"/>
      <c r="SJS53" s="3"/>
      <c r="SJT53" s="3"/>
      <c r="SJU53" s="3"/>
      <c r="SJV53" s="3"/>
      <c r="SJW53" s="3"/>
      <c r="SJX53" s="3"/>
      <c r="SJY53" s="3"/>
      <c r="SJZ53" s="3"/>
      <c r="SKA53" s="3"/>
      <c r="SKB53" s="3"/>
      <c r="SKC53" s="3"/>
      <c r="SKD53" s="3"/>
      <c r="SKE53" s="3"/>
      <c r="SKF53" s="3"/>
      <c r="SKG53" s="3"/>
      <c r="SKH53" s="3"/>
      <c r="SKI53" s="3"/>
      <c r="SKJ53" s="3"/>
      <c r="SKK53" s="3"/>
      <c r="SKL53" s="3"/>
      <c r="SKM53" s="3"/>
      <c r="SKN53" s="3"/>
      <c r="SKO53" s="3"/>
      <c r="SKP53" s="3"/>
      <c r="SKQ53" s="3"/>
      <c r="SKR53" s="3"/>
      <c r="SKS53" s="3"/>
      <c r="SKT53" s="3"/>
      <c r="SKU53" s="3"/>
      <c r="SKV53" s="3"/>
      <c r="SKW53" s="3"/>
      <c r="SKX53" s="3"/>
      <c r="SKY53" s="3"/>
      <c r="SKZ53" s="3"/>
      <c r="SLA53" s="3"/>
      <c r="SLB53" s="3"/>
      <c r="SLC53" s="3"/>
      <c r="SLD53" s="3"/>
      <c r="SLE53" s="3"/>
      <c r="SLF53" s="3"/>
      <c r="SLG53" s="3"/>
      <c r="SLH53" s="3"/>
      <c r="SLI53" s="3"/>
      <c r="SLJ53" s="3"/>
      <c r="SLK53" s="3"/>
      <c r="SLL53" s="3"/>
      <c r="SLM53" s="3"/>
      <c r="SLN53" s="3"/>
      <c r="SLO53" s="3"/>
      <c r="SLP53" s="3"/>
      <c r="SLQ53" s="3"/>
      <c r="SLR53" s="3"/>
      <c r="SLS53" s="3"/>
      <c r="SLT53" s="3"/>
      <c r="SLU53" s="3"/>
      <c r="SLV53" s="3"/>
      <c r="SLW53" s="3"/>
      <c r="SLX53" s="3"/>
      <c r="SLY53" s="3"/>
      <c r="SLZ53" s="3"/>
      <c r="SMA53" s="3"/>
      <c r="SMB53" s="3"/>
      <c r="SMC53" s="3"/>
      <c r="SMD53" s="3"/>
      <c r="SME53" s="3"/>
      <c r="SMF53" s="3"/>
      <c r="SMG53" s="3"/>
      <c r="SMH53" s="3"/>
      <c r="SMI53" s="3"/>
      <c r="SMJ53" s="3"/>
      <c r="SMK53" s="3"/>
      <c r="SML53" s="3"/>
      <c r="SMM53" s="3"/>
      <c r="SMN53" s="3"/>
      <c r="SMO53" s="3"/>
      <c r="SMP53" s="3"/>
      <c r="SMQ53" s="3"/>
      <c r="SMR53" s="3"/>
      <c r="SMS53" s="3"/>
      <c r="SMT53" s="3"/>
      <c r="SMU53" s="3"/>
      <c r="SMV53" s="3"/>
      <c r="SMW53" s="3"/>
      <c r="SMX53" s="3"/>
      <c r="SMY53" s="3"/>
      <c r="SMZ53" s="3"/>
      <c r="SNA53" s="3"/>
      <c r="SNB53" s="3"/>
      <c r="SNC53" s="3"/>
      <c r="SND53" s="3"/>
      <c r="SNE53" s="3"/>
      <c r="SNF53" s="3"/>
      <c r="SNG53" s="3"/>
      <c r="SNH53" s="3"/>
      <c r="SNI53" s="3"/>
      <c r="SNJ53" s="3"/>
      <c r="SNK53" s="3"/>
      <c r="SNL53" s="3"/>
      <c r="SNM53" s="3"/>
      <c r="SNN53" s="3"/>
      <c r="SNO53" s="3"/>
      <c r="SNP53" s="3"/>
      <c r="SNQ53" s="3"/>
      <c r="SNR53" s="3"/>
      <c r="SNS53" s="3"/>
      <c r="SNT53" s="3"/>
      <c r="SNU53" s="3"/>
      <c r="SNV53" s="3"/>
      <c r="SNW53" s="3"/>
      <c r="SNX53" s="3"/>
      <c r="SNY53" s="3"/>
      <c r="SNZ53" s="3"/>
      <c r="SOA53" s="3"/>
      <c r="SOB53" s="3"/>
      <c r="SOC53" s="3"/>
      <c r="SOD53" s="3"/>
      <c r="SOE53" s="3"/>
      <c r="SOF53" s="3"/>
      <c r="SOG53" s="3"/>
      <c r="SOH53" s="3"/>
      <c r="SOI53" s="3"/>
      <c r="SOJ53" s="3"/>
      <c r="SOK53" s="3"/>
      <c r="SOL53" s="3"/>
      <c r="SOM53" s="3"/>
      <c r="SON53" s="3"/>
      <c r="SOO53" s="3"/>
      <c r="SOP53" s="3"/>
      <c r="SOQ53" s="3"/>
      <c r="SOR53" s="3"/>
      <c r="SOS53" s="3"/>
      <c r="SOT53" s="3"/>
      <c r="SOU53" s="3"/>
      <c r="SOV53" s="3"/>
      <c r="SOW53" s="3"/>
      <c r="SOX53" s="3"/>
      <c r="SOY53" s="3"/>
      <c r="SOZ53" s="3"/>
      <c r="SPA53" s="3"/>
      <c r="SPB53" s="3"/>
      <c r="SPC53" s="3"/>
      <c r="SPD53" s="3"/>
      <c r="SPE53" s="3"/>
      <c r="SPF53" s="3"/>
      <c r="SPG53" s="3"/>
      <c r="SPH53" s="3"/>
      <c r="SPI53" s="3"/>
      <c r="SPJ53" s="3"/>
      <c r="SPK53" s="3"/>
      <c r="SPL53" s="3"/>
      <c r="SPM53" s="3"/>
      <c r="SPN53" s="3"/>
      <c r="SPO53" s="3"/>
      <c r="SPP53" s="3"/>
      <c r="SPQ53" s="3"/>
      <c r="SPR53" s="3"/>
      <c r="SPS53" s="3"/>
      <c r="SPT53" s="3"/>
      <c r="SPU53" s="3"/>
      <c r="SPV53" s="3"/>
      <c r="SPW53" s="3"/>
      <c r="SPX53" s="3"/>
      <c r="SPY53" s="3"/>
      <c r="SPZ53" s="3"/>
      <c r="SQA53" s="3"/>
      <c r="SQB53" s="3"/>
      <c r="SQC53" s="3"/>
      <c r="SQD53" s="3"/>
      <c r="SQE53" s="3"/>
      <c r="SQF53" s="3"/>
      <c r="SQG53" s="3"/>
      <c r="SQH53" s="3"/>
      <c r="SQI53" s="3"/>
      <c r="SQJ53" s="3"/>
      <c r="SQK53" s="3"/>
      <c r="SQL53" s="3"/>
      <c r="SQM53" s="3"/>
      <c r="SQN53" s="3"/>
      <c r="SQO53" s="3"/>
      <c r="SQP53" s="3"/>
      <c r="SQQ53" s="3"/>
      <c r="SQR53" s="3"/>
      <c r="SQS53" s="3"/>
      <c r="SQT53" s="3"/>
      <c r="SQU53" s="3"/>
      <c r="SQV53" s="3"/>
      <c r="SQW53" s="3"/>
      <c r="SQX53" s="3"/>
      <c r="SQY53" s="3"/>
      <c r="SQZ53" s="3"/>
      <c r="SRA53" s="3"/>
      <c r="SRB53" s="3"/>
      <c r="SRC53" s="3"/>
      <c r="SRD53" s="3"/>
      <c r="SRE53" s="3"/>
      <c r="SRF53" s="3"/>
      <c r="SRG53" s="3"/>
      <c r="SRH53" s="3"/>
      <c r="SRI53" s="3"/>
      <c r="SRJ53" s="3"/>
      <c r="SRK53" s="3"/>
      <c r="SRL53" s="3"/>
      <c r="SRM53" s="3"/>
      <c r="SRN53" s="3"/>
      <c r="SRO53" s="3"/>
      <c r="SRP53" s="3"/>
      <c r="SRQ53" s="3"/>
      <c r="SRR53" s="3"/>
      <c r="SRS53" s="3"/>
      <c r="SRT53" s="3"/>
      <c r="SRU53" s="3"/>
      <c r="SRV53" s="3"/>
      <c r="SRW53" s="3"/>
      <c r="SRX53" s="3"/>
      <c r="SRY53" s="3"/>
      <c r="SRZ53" s="3"/>
      <c r="SSA53" s="3"/>
      <c r="SSB53" s="3"/>
      <c r="SSC53" s="3"/>
      <c r="SSD53" s="3"/>
      <c r="SSE53" s="3"/>
      <c r="SSF53" s="3"/>
      <c r="SSG53" s="3"/>
      <c r="SSH53" s="3"/>
      <c r="SSI53" s="3"/>
      <c r="SSJ53" s="3"/>
      <c r="SSK53" s="3"/>
      <c r="SSL53" s="3"/>
      <c r="SSM53" s="3"/>
      <c r="SSN53" s="3"/>
      <c r="SSO53" s="3"/>
      <c r="SSP53" s="3"/>
      <c r="SSQ53" s="3"/>
      <c r="SSR53" s="3"/>
      <c r="SSS53" s="3"/>
      <c r="SST53" s="3"/>
      <c r="SSU53" s="3"/>
      <c r="SSV53" s="3"/>
      <c r="SSW53" s="3"/>
      <c r="SSX53" s="3"/>
      <c r="SSY53" s="3"/>
      <c r="SSZ53" s="3"/>
      <c r="STA53" s="3"/>
      <c r="STB53" s="3"/>
      <c r="STC53" s="3"/>
      <c r="STD53" s="3"/>
      <c r="STE53" s="3"/>
      <c r="STF53" s="3"/>
      <c r="STG53" s="3"/>
      <c r="STH53" s="3"/>
      <c r="STI53" s="3"/>
      <c r="STJ53" s="3"/>
      <c r="STK53" s="3"/>
      <c r="STL53" s="3"/>
      <c r="STM53" s="3"/>
      <c r="STN53" s="3"/>
      <c r="STO53" s="3"/>
      <c r="STP53" s="3"/>
      <c r="STQ53" s="3"/>
      <c r="STR53" s="3"/>
      <c r="STS53" s="3"/>
      <c r="STT53" s="3"/>
      <c r="STU53" s="3"/>
      <c r="STV53" s="3"/>
      <c r="STW53" s="3"/>
      <c r="STX53" s="3"/>
      <c r="STY53" s="3"/>
      <c r="STZ53" s="3"/>
      <c r="SUA53" s="3"/>
      <c r="SUB53" s="3"/>
      <c r="SUC53" s="3"/>
      <c r="SUD53" s="3"/>
      <c r="SUE53" s="3"/>
      <c r="SUF53" s="3"/>
      <c r="SUG53" s="3"/>
      <c r="SUH53" s="3"/>
      <c r="SUI53" s="3"/>
      <c r="SUJ53" s="3"/>
      <c r="SUK53" s="3"/>
      <c r="SUL53" s="3"/>
      <c r="SUM53" s="3"/>
      <c r="SUN53" s="3"/>
      <c r="SUO53" s="3"/>
      <c r="SUP53" s="3"/>
      <c r="SUQ53" s="3"/>
      <c r="SUR53" s="3"/>
      <c r="SUS53" s="3"/>
      <c r="SUT53" s="3"/>
      <c r="SUU53" s="3"/>
      <c r="SUV53" s="3"/>
      <c r="SUW53" s="3"/>
      <c r="SUX53" s="3"/>
      <c r="SUY53" s="3"/>
      <c r="SUZ53" s="3"/>
      <c r="SVA53" s="3"/>
      <c r="SVB53" s="3"/>
      <c r="SVC53" s="3"/>
      <c r="SVD53" s="3"/>
      <c r="SVE53" s="3"/>
      <c r="SVF53" s="3"/>
      <c r="SVG53" s="3"/>
      <c r="SVH53" s="3"/>
      <c r="SVI53" s="3"/>
      <c r="SVJ53" s="3"/>
      <c r="SVK53" s="3"/>
      <c r="SVL53" s="3"/>
      <c r="SVM53" s="3"/>
      <c r="SVN53" s="3"/>
      <c r="SVO53" s="3"/>
      <c r="SVP53" s="3"/>
      <c r="SVQ53" s="3"/>
      <c r="SVR53" s="3"/>
      <c r="SVS53" s="3"/>
      <c r="SVT53" s="3"/>
      <c r="SVU53" s="3"/>
      <c r="SVV53" s="3"/>
      <c r="SVW53" s="3"/>
      <c r="SVX53" s="3"/>
      <c r="SVY53" s="3"/>
      <c r="SVZ53" s="3"/>
      <c r="SWA53" s="3"/>
      <c r="SWB53" s="3"/>
      <c r="SWC53" s="3"/>
      <c r="SWD53" s="3"/>
      <c r="SWE53" s="3"/>
      <c r="SWF53" s="3"/>
      <c r="SWG53" s="3"/>
      <c r="SWH53" s="3"/>
      <c r="SWI53" s="3"/>
      <c r="SWJ53" s="3"/>
      <c r="SWK53" s="3"/>
      <c r="SWL53" s="3"/>
      <c r="SWM53" s="3"/>
      <c r="SWN53" s="3"/>
      <c r="SWO53" s="3"/>
      <c r="SWP53" s="3"/>
      <c r="SWQ53" s="3"/>
      <c r="SWR53" s="3"/>
      <c r="SWS53" s="3"/>
      <c r="SWT53" s="3"/>
      <c r="SWU53" s="3"/>
      <c r="SWV53" s="3"/>
      <c r="SWW53" s="3"/>
      <c r="SWX53" s="3"/>
      <c r="SWY53" s="3"/>
      <c r="SWZ53" s="3"/>
      <c r="SXA53" s="3"/>
      <c r="SXB53" s="3"/>
      <c r="SXC53" s="3"/>
      <c r="SXD53" s="3"/>
      <c r="SXE53" s="3"/>
      <c r="SXF53" s="3"/>
      <c r="SXG53" s="3"/>
      <c r="SXH53" s="3"/>
      <c r="SXI53" s="3"/>
      <c r="SXJ53" s="3"/>
      <c r="SXK53" s="3"/>
      <c r="SXL53" s="3"/>
      <c r="SXM53" s="3"/>
      <c r="SXN53" s="3"/>
      <c r="SXO53" s="3"/>
      <c r="SXP53" s="3"/>
      <c r="SXQ53" s="3"/>
      <c r="SXR53" s="3"/>
      <c r="SXS53" s="3"/>
      <c r="SXT53" s="3"/>
      <c r="SXU53" s="3"/>
      <c r="SXV53" s="3"/>
      <c r="SXW53" s="3"/>
      <c r="SXX53" s="3"/>
      <c r="SXY53" s="3"/>
      <c r="SXZ53" s="3"/>
      <c r="SYA53" s="3"/>
      <c r="SYB53" s="3"/>
      <c r="SYC53" s="3"/>
      <c r="SYD53" s="3"/>
      <c r="SYE53" s="3"/>
      <c r="SYF53" s="3"/>
      <c r="SYG53" s="3"/>
      <c r="SYH53" s="3"/>
      <c r="SYI53" s="3"/>
      <c r="SYJ53" s="3"/>
      <c r="SYK53" s="3"/>
      <c r="SYL53" s="3"/>
      <c r="SYM53" s="3"/>
      <c r="SYN53" s="3"/>
      <c r="SYO53" s="3"/>
      <c r="SYP53" s="3"/>
      <c r="SYQ53" s="3"/>
      <c r="SYR53" s="3"/>
      <c r="SYS53" s="3"/>
      <c r="SYT53" s="3"/>
      <c r="SYU53" s="3"/>
      <c r="SYV53" s="3"/>
      <c r="SYW53" s="3"/>
      <c r="SYX53" s="3"/>
      <c r="SYY53" s="3"/>
      <c r="SYZ53" s="3"/>
      <c r="SZA53" s="3"/>
      <c r="SZB53" s="3"/>
      <c r="SZC53" s="3"/>
      <c r="SZD53" s="3"/>
      <c r="SZE53" s="3"/>
      <c r="SZF53" s="3"/>
      <c r="SZG53" s="3"/>
      <c r="SZH53" s="3"/>
      <c r="SZI53" s="3"/>
      <c r="SZJ53" s="3"/>
      <c r="SZK53" s="3"/>
      <c r="SZL53" s="3"/>
      <c r="SZM53" s="3"/>
      <c r="SZN53" s="3"/>
      <c r="SZO53" s="3"/>
      <c r="SZP53" s="3"/>
      <c r="SZQ53" s="3"/>
      <c r="SZR53" s="3"/>
      <c r="SZS53" s="3"/>
      <c r="SZT53" s="3"/>
      <c r="SZU53" s="3"/>
      <c r="SZV53" s="3"/>
      <c r="SZW53" s="3"/>
      <c r="SZX53" s="3"/>
      <c r="SZY53" s="3"/>
      <c r="SZZ53" s="3"/>
      <c r="TAA53" s="3"/>
      <c r="TAB53" s="3"/>
      <c r="TAC53" s="3"/>
      <c r="TAD53" s="3"/>
      <c r="TAE53" s="3"/>
      <c r="TAF53" s="3"/>
      <c r="TAG53" s="3"/>
      <c r="TAH53" s="3"/>
      <c r="TAI53" s="3"/>
      <c r="TAJ53" s="3"/>
      <c r="TAK53" s="3"/>
      <c r="TAL53" s="3"/>
      <c r="TAM53" s="3"/>
      <c r="TAN53" s="3"/>
      <c r="TAO53" s="3"/>
      <c r="TAP53" s="3"/>
      <c r="TAQ53" s="3"/>
      <c r="TAR53" s="3"/>
      <c r="TAS53" s="3"/>
      <c r="TAT53" s="3"/>
      <c r="TAU53" s="3"/>
      <c r="TAV53" s="3"/>
      <c r="TAW53" s="3"/>
      <c r="TAX53" s="3"/>
      <c r="TAY53" s="3"/>
      <c r="TAZ53" s="3"/>
      <c r="TBA53" s="3"/>
      <c r="TBB53" s="3"/>
      <c r="TBC53" s="3"/>
      <c r="TBD53" s="3"/>
      <c r="TBE53" s="3"/>
      <c r="TBF53" s="3"/>
      <c r="TBG53" s="3"/>
      <c r="TBH53" s="3"/>
      <c r="TBI53" s="3"/>
      <c r="TBJ53" s="3"/>
      <c r="TBK53" s="3"/>
      <c r="TBL53" s="3"/>
      <c r="TBM53" s="3"/>
      <c r="TBN53" s="3"/>
      <c r="TBO53" s="3"/>
      <c r="TBP53" s="3"/>
      <c r="TBQ53" s="3"/>
      <c r="TBR53" s="3"/>
      <c r="TBS53" s="3"/>
      <c r="TBT53" s="3"/>
      <c r="TBU53" s="3"/>
      <c r="TBV53" s="3"/>
      <c r="TBW53" s="3"/>
      <c r="TBX53" s="3"/>
      <c r="TBY53" s="3"/>
      <c r="TBZ53" s="3"/>
      <c r="TCA53" s="3"/>
      <c r="TCB53" s="3"/>
      <c r="TCC53" s="3"/>
      <c r="TCD53" s="3"/>
      <c r="TCE53" s="3"/>
      <c r="TCF53" s="3"/>
      <c r="TCG53" s="3"/>
      <c r="TCH53" s="3"/>
      <c r="TCI53" s="3"/>
      <c r="TCJ53" s="3"/>
      <c r="TCK53" s="3"/>
      <c r="TCL53" s="3"/>
      <c r="TCM53" s="3"/>
      <c r="TCN53" s="3"/>
      <c r="TCO53" s="3"/>
      <c r="TCP53" s="3"/>
      <c r="TCQ53" s="3"/>
      <c r="TCR53" s="3"/>
      <c r="TCS53" s="3"/>
      <c r="TCT53" s="3"/>
      <c r="TCU53" s="3"/>
      <c r="TCV53" s="3"/>
      <c r="TCW53" s="3"/>
      <c r="TCX53" s="3"/>
      <c r="TCY53" s="3"/>
      <c r="TCZ53" s="3"/>
      <c r="TDA53" s="3"/>
      <c r="TDB53" s="3"/>
      <c r="TDC53" s="3"/>
      <c r="TDD53" s="3"/>
      <c r="TDE53" s="3"/>
      <c r="TDF53" s="3"/>
      <c r="TDG53" s="3"/>
      <c r="TDH53" s="3"/>
      <c r="TDI53" s="3"/>
      <c r="TDJ53" s="3"/>
      <c r="TDK53" s="3"/>
      <c r="TDL53" s="3"/>
      <c r="TDM53" s="3"/>
      <c r="TDN53" s="3"/>
      <c r="TDO53" s="3"/>
      <c r="TDP53" s="3"/>
      <c r="TDQ53" s="3"/>
      <c r="TDR53" s="3"/>
      <c r="TDS53" s="3"/>
      <c r="TDT53" s="3"/>
      <c r="TDU53" s="3"/>
      <c r="TDV53" s="3"/>
      <c r="TDW53" s="3"/>
      <c r="TDX53" s="3"/>
      <c r="TDY53" s="3"/>
      <c r="TDZ53" s="3"/>
      <c r="TEA53" s="3"/>
      <c r="TEB53" s="3"/>
      <c r="TEC53" s="3"/>
      <c r="TED53" s="3"/>
      <c r="TEE53" s="3"/>
      <c r="TEF53" s="3"/>
      <c r="TEG53" s="3"/>
      <c r="TEH53" s="3"/>
      <c r="TEI53" s="3"/>
      <c r="TEJ53" s="3"/>
      <c r="TEK53" s="3"/>
      <c r="TEL53" s="3"/>
      <c r="TEM53" s="3"/>
      <c r="TEN53" s="3"/>
      <c r="TEO53" s="3"/>
      <c r="TEP53" s="3"/>
      <c r="TEQ53" s="3"/>
      <c r="TER53" s="3"/>
      <c r="TES53" s="3"/>
      <c r="TET53" s="3"/>
      <c r="TEU53" s="3"/>
      <c r="TEV53" s="3"/>
      <c r="TEW53" s="3"/>
      <c r="TEX53" s="3"/>
      <c r="TEY53" s="3"/>
      <c r="TEZ53" s="3"/>
      <c r="TFA53" s="3"/>
      <c r="TFB53" s="3"/>
      <c r="TFC53" s="3"/>
      <c r="TFD53" s="3"/>
      <c r="TFE53" s="3"/>
      <c r="TFF53" s="3"/>
      <c r="TFG53" s="3"/>
      <c r="TFH53" s="3"/>
      <c r="TFI53" s="3"/>
      <c r="TFJ53" s="3"/>
      <c r="TFK53" s="3"/>
      <c r="TFL53" s="3"/>
      <c r="TFM53" s="3"/>
      <c r="TFN53" s="3"/>
      <c r="TFO53" s="3"/>
      <c r="TFP53" s="3"/>
      <c r="TFQ53" s="3"/>
      <c r="TFR53" s="3"/>
      <c r="TFS53" s="3"/>
      <c r="TFT53" s="3"/>
      <c r="TFU53" s="3"/>
      <c r="TFV53" s="3"/>
      <c r="TFW53" s="3"/>
      <c r="TFX53" s="3"/>
      <c r="TFY53" s="3"/>
      <c r="TFZ53" s="3"/>
      <c r="TGA53" s="3"/>
      <c r="TGB53" s="3"/>
      <c r="TGC53" s="3"/>
      <c r="TGD53" s="3"/>
      <c r="TGE53" s="3"/>
      <c r="TGF53" s="3"/>
      <c r="TGG53" s="3"/>
      <c r="TGH53" s="3"/>
      <c r="TGI53" s="3"/>
      <c r="TGJ53" s="3"/>
      <c r="TGK53" s="3"/>
      <c r="TGL53" s="3"/>
      <c r="TGM53" s="3"/>
      <c r="TGN53" s="3"/>
      <c r="TGO53" s="3"/>
      <c r="TGP53" s="3"/>
      <c r="TGQ53" s="3"/>
      <c r="TGR53" s="3"/>
      <c r="TGS53" s="3"/>
      <c r="TGT53" s="3"/>
      <c r="TGU53" s="3"/>
      <c r="TGV53" s="3"/>
      <c r="TGW53" s="3"/>
      <c r="TGX53" s="3"/>
      <c r="TGY53" s="3"/>
      <c r="TGZ53" s="3"/>
      <c r="THA53" s="3"/>
      <c r="THB53" s="3"/>
      <c r="THC53" s="3"/>
      <c r="THD53" s="3"/>
      <c r="THE53" s="3"/>
      <c r="THF53" s="3"/>
      <c r="THG53" s="3"/>
      <c r="THH53" s="3"/>
      <c r="THI53" s="3"/>
      <c r="THJ53" s="3"/>
      <c r="THK53" s="3"/>
      <c r="THL53" s="3"/>
      <c r="THM53" s="3"/>
      <c r="THN53" s="3"/>
      <c r="THO53" s="3"/>
      <c r="THP53" s="3"/>
      <c r="THQ53" s="3"/>
      <c r="THR53" s="3"/>
      <c r="THS53" s="3"/>
      <c r="THT53" s="3"/>
      <c r="THU53" s="3"/>
      <c r="THV53" s="3"/>
      <c r="THW53" s="3"/>
      <c r="THX53" s="3"/>
      <c r="THY53" s="3"/>
      <c r="THZ53" s="3"/>
      <c r="TIA53" s="3"/>
      <c r="TIB53" s="3"/>
      <c r="TIC53" s="3"/>
      <c r="TID53" s="3"/>
      <c r="TIE53" s="3"/>
      <c r="TIF53" s="3"/>
      <c r="TIG53" s="3"/>
      <c r="TIH53" s="3"/>
      <c r="TII53" s="3"/>
      <c r="TIJ53" s="3"/>
      <c r="TIK53" s="3"/>
      <c r="TIL53" s="3"/>
      <c r="TIM53" s="3"/>
      <c r="TIN53" s="3"/>
      <c r="TIO53" s="3"/>
      <c r="TIP53" s="3"/>
      <c r="TIQ53" s="3"/>
      <c r="TIR53" s="3"/>
      <c r="TIS53" s="3"/>
      <c r="TIT53" s="3"/>
      <c r="TIU53" s="3"/>
      <c r="TIV53" s="3"/>
      <c r="TIW53" s="3"/>
      <c r="TIX53" s="3"/>
      <c r="TIY53" s="3"/>
      <c r="TIZ53" s="3"/>
      <c r="TJA53" s="3"/>
      <c r="TJB53" s="3"/>
      <c r="TJC53" s="3"/>
      <c r="TJD53" s="3"/>
      <c r="TJE53" s="3"/>
      <c r="TJF53" s="3"/>
      <c r="TJG53" s="3"/>
      <c r="TJH53" s="3"/>
      <c r="TJI53" s="3"/>
      <c r="TJJ53" s="3"/>
      <c r="TJK53" s="3"/>
      <c r="TJL53" s="3"/>
      <c r="TJM53" s="3"/>
      <c r="TJN53" s="3"/>
      <c r="TJO53" s="3"/>
      <c r="TJP53" s="3"/>
      <c r="TJQ53" s="3"/>
      <c r="TJR53" s="3"/>
      <c r="TJS53" s="3"/>
      <c r="TJT53" s="3"/>
      <c r="TJU53" s="3"/>
      <c r="TJV53" s="3"/>
      <c r="TJW53" s="3"/>
      <c r="TJX53" s="3"/>
      <c r="TJY53" s="3"/>
      <c r="TJZ53" s="3"/>
      <c r="TKA53" s="3"/>
      <c r="TKB53" s="3"/>
      <c r="TKC53" s="3"/>
      <c r="TKD53" s="3"/>
      <c r="TKE53" s="3"/>
      <c r="TKF53" s="3"/>
      <c r="TKG53" s="3"/>
      <c r="TKH53" s="3"/>
      <c r="TKI53" s="3"/>
      <c r="TKJ53" s="3"/>
      <c r="TKK53" s="3"/>
      <c r="TKL53" s="3"/>
      <c r="TKM53" s="3"/>
      <c r="TKN53" s="3"/>
      <c r="TKO53" s="3"/>
      <c r="TKP53" s="3"/>
      <c r="TKQ53" s="3"/>
      <c r="TKR53" s="3"/>
      <c r="TKS53" s="3"/>
      <c r="TKT53" s="3"/>
      <c r="TKU53" s="3"/>
      <c r="TKV53" s="3"/>
      <c r="TKW53" s="3"/>
      <c r="TKX53" s="3"/>
      <c r="TKY53" s="3"/>
      <c r="TKZ53" s="3"/>
      <c r="TLA53" s="3"/>
      <c r="TLB53" s="3"/>
      <c r="TLC53" s="3"/>
      <c r="TLD53" s="3"/>
      <c r="TLE53" s="3"/>
      <c r="TLF53" s="3"/>
      <c r="TLG53" s="3"/>
      <c r="TLH53" s="3"/>
      <c r="TLI53" s="3"/>
      <c r="TLJ53" s="3"/>
      <c r="TLK53" s="3"/>
      <c r="TLL53" s="3"/>
      <c r="TLM53" s="3"/>
      <c r="TLN53" s="3"/>
      <c r="TLO53" s="3"/>
      <c r="TLP53" s="3"/>
      <c r="TLQ53" s="3"/>
      <c r="TLR53" s="3"/>
      <c r="TLS53" s="3"/>
      <c r="TLT53" s="3"/>
      <c r="TLU53" s="3"/>
      <c r="TLV53" s="3"/>
      <c r="TLW53" s="3"/>
      <c r="TLX53" s="3"/>
      <c r="TLY53" s="3"/>
      <c r="TLZ53" s="3"/>
      <c r="TMA53" s="3"/>
      <c r="TMB53" s="3"/>
      <c r="TMC53" s="3"/>
      <c r="TMD53" s="3"/>
      <c r="TME53" s="3"/>
      <c r="TMF53" s="3"/>
      <c r="TMG53" s="3"/>
      <c r="TMH53" s="3"/>
      <c r="TMI53" s="3"/>
      <c r="TMJ53" s="3"/>
      <c r="TMK53" s="3"/>
      <c r="TML53" s="3"/>
      <c r="TMM53" s="3"/>
      <c r="TMN53" s="3"/>
      <c r="TMO53" s="3"/>
      <c r="TMP53" s="3"/>
      <c r="TMQ53" s="3"/>
      <c r="TMR53" s="3"/>
      <c r="TMS53" s="3"/>
      <c r="TMT53" s="3"/>
      <c r="TMU53" s="3"/>
      <c r="TMV53" s="3"/>
      <c r="TMW53" s="3"/>
      <c r="TMX53" s="3"/>
      <c r="TMY53" s="3"/>
      <c r="TMZ53" s="3"/>
      <c r="TNA53" s="3"/>
      <c r="TNB53" s="3"/>
      <c r="TNC53" s="3"/>
      <c r="TND53" s="3"/>
      <c r="TNE53" s="3"/>
      <c r="TNF53" s="3"/>
      <c r="TNG53" s="3"/>
      <c r="TNH53" s="3"/>
      <c r="TNI53" s="3"/>
      <c r="TNJ53" s="3"/>
      <c r="TNK53" s="3"/>
      <c r="TNL53" s="3"/>
      <c r="TNM53" s="3"/>
      <c r="TNN53" s="3"/>
      <c r="TNO53" s="3"/>
      <c r="TNP53" s="3"/>
      <c r="TNQ53" s="3"/>
      <c r="TNR53" s="3"/>
      <c r="TNS53" s="3"/>
      <c r="TNT53" s="3"/>
      <c r="TNU53" s="3"/>
      <c r="TNV53" s="3"/>
      <c r="TNW53" s="3"/>
      <c r="TNX53" s="3"/>
      <c r="TNY53" s="3"/>
      <c r="TNZ53" s="3"/>
      <c r="TOA53" s="3"/>
      <c r="TOB53" s="3"/>
      <c r="TOC53" s="3"/>
      <c r="TOD53" s="3"/>
      <c r="TOE53" s="3"/>
      <c r="TOF53" s="3"/>
      <c r="TOG53" s="3"/>
      <c r="TOH53" s="3"/>
      <c r="TOI53" s="3"/>
      <c r="TOJ53" s="3"/>
      <c r="TOK53" s="3"/>
      <c r="TOL53" s="3"/>
      <c r="TOM53" s="3"/>
      <c r="TON53" s="3"/>
      <c r="TOO53" s="3"/>
      <c r="TOP53" s="3"/>
      <c r="TOQ53" s="3"/>
      <c r="TOR53" s="3"/>
      <c r="TOS53" s="3"/>
      <c r="TOT53" s="3"/>
      <c r="TOU53" s="3"/>
      <c r="TOV53" s="3"/>
      <c r="TOW53" s="3"/>
      <c r="TOX53" s="3"/>
      <c r="TOY53" s="3"/>
      <c r="TOZ53" s="3"/>
      <c r="TPA53" s="3"/>
      <c r="TPB53" s="3"/>
      <c r="TPC53" s="3"/>
      <c r="TPD53" s="3"/>
      <c r="TPE53" s="3"/>
      <c r="TPF53" s="3"/>
      <c r="TPG53" s="3"/>
      <c r="TPH53" s="3"/>
      <c r="TPI53" s="3"/>
      <c r="TPJ53" s="3"/>
      <c r="TPK53" s="3"/>
      <c r="TPL53" s="3"/>
      <c r="TPM53" s="3"/>
      <c r="TPN53" s="3"/>
      <c r="TPO53" s="3"/>
      <c r="TPP53" s="3"/>
      <c r="TPQ53" s="3"/>
      <c r="TPR53" s="3"/>
      <c r="TPS53" s="3"/>
      <c r="TPT53" s="3"/>
      <c r="TPU53" s="3"/>
      <c r="TPV53" s="3"/>
      <c r="TPW53" s="3"/>
      <c r="TPX53" s="3"/>
      <c r="TPY53" s="3"/>
      <c r="TPZ53" s="3"/>
      <c r="TQA53" s="3"/>
      <c r="TQB53" s="3"/>
      <c r="TQC53" s="3"/>
      <c r="TQD53" s="3"/>
      <c r="TQE53" s="3"/>
      <c r="TQF53" s="3"/>
      <c r="TQG53" s="3"/>
      <c r="TQH53" s="3"/>
      <c r="TQI53" s="3"/>
      <c r="TQJ53" s="3"/>
      <c r="TQK53" s="3"/>
      <c r="TQL53" s="3"/>
      <c r="TQM53" s="3"/>
      <c r="TQN53" s="3"/>
      <c r="TQO53" s="3"/>
      <c r="TQP53" s="3"/>
      <c r="TQQ53" s="3"/>
      <c r="TQR53" s="3"/>
      <c r="TQS53" s="3"/>
      <c r="TQT53" s="3"/>
      <c r="TQU53" s="3"/>
      <c r="TQV53" s="3"/>
      <c r="TQW53" s="3"/>
      <c r="TQX53" s="3"/>
      <c r="TQY53" s="3"/>
      <c r="TQZ53" s="3"/>
      <c r="TRA53" s="3"/>
      <c r="TRB53" s="3"/>
      <c r="TRC53" s="3"/>
      <c r="TRD53" s="3"/>
      <c r="TRE53" s="3"/>
      <c r="TRF53" s="3"/>
      <c r="TRG53" s="3"/>
      <c r="TRH53" s="3"/>
      <c r="TRI53" s="3"/>
      <c r="TRJ53" s="3"/>
      <c r="TRK53" s="3"/>
      <c r="TRL53" s="3"/>
      <c r="TRM53" s="3"/>
      <c r="TRN53" s="3"/>
      <c r="TRO53" s="3"/>
      <c r="TRP53" s="3"/>
      <c r="TRQ53" s="3"/>
      <c r="TRR53" s="3"/>
      <c r="TRS53" s="3"/>
      <c r="TRT53" s="3"/>
      <c r="TRU53" s="3"/>
      <c r="TRV53" s="3"/>
      <c r="TRW53" s="3"/>
      <c r="TRX53" s="3"/>
      <c r="TRY53" s="3"/>
      <c r="TRZ53" s="3"/>
      <c r="TSA53" s="3"/>
      <c r="TSB53" s="3"/>
      <c r="TSC53" s="3"/>
      <c r="TSD53" s="3"/>
      <c r="TSE53" s="3"/>
      <c r="TSF53" s="3"/>
      <c r="TSG53" s="3"/>
      <c r="TSH53" s="3"/>
      <c r="TSI53" s="3"/>
      <c r="TSJ53" s="3"/>
      <c r="TSK53" s="3"/>
      <c r="TSL53" s="3"/>
      <c r="TSM53" s="3"/>
      <c r="TSN53" s="3"/>
      <c r="TSO53" s="3"/>
      <c r="TSP53" s="3"/>
      <c r="TSQ53" s="3"/>
      <c r="TSR53" s="3"/>
      <c r="TSS53" s="3"/>
      <c r="TST53" s="3"/>
      <c r="TSU53" s="3"/>
      <c r="TSV53" s="3"/>
      <c r="TSW53" s="3"/>
      <c r="TSX53" s="3"/>
      <c r="TSY53" s="3"/>
      <c r="TSZ53" s="3"/>
      <c r="TTA53" s="3"/>
      <c r="TTB53" s="3"/>
      <c r="TTC53" s="3"/>
      <c r="TTD53" s="3"/>
      <c r="TTE53" s="3"/>
      <c r="TTF53" s="3"/>
      <c r="TTG53" s="3"/>
      <c r="TTH53" s="3"/>
      <c r="TTI53" s="3"/>
      <c r="TTJ53" s="3"/>
      <c r="TTK53" s="3"/>
      <c r="TTL53" s="3"/>
      <c r="TTM53" s="3"/>
      <c r="TTN53" s="3"/>
      <c r="TTO53" s="3"/>
      <c r="TTP53" s="3"/>
      <c r="TTQ53" s="3"/>
      <c r="TTR53" s="3"/>
      <c r="TTS53" s="3"/>
      <c r="TTT53" s="3"/>
      <c r="TTU53" s="3"/>
      <c r="TTV53" s="3"/>
      <c r="TTW53" s="3"/>
      <c r="TTX53" s="3"/>
      <c r="TTY53" s="3"/>
      <c r="TTZ53" s="3"/>
      <c r="TUA53" s="3"/>
      <c r="TUB53" s="3"/>
      <c r="TUC53" s="3"/>
      <c r="TUD53" s="3"/>
      <c r="TUE53" s="3"/>
      <c r="TUF53" s="3"/>
      <c r="TUG53" s="3"/>
      <c r="TUH53" s="3"/>
      <c r="TUI53" s="3"/>
      <c r="TUJ53" s="3"/>
      <c r="TUK53" s="3"/>
      <c r="TUL53" s="3"/>
      <c r="TUM53" s="3"/>
      <c r="TUN53" s="3"/>
      <c r="TUO53" s="3"/>
      <c r="TUP53" s="3"/>
      <c r="TUQ53" s="3"/>
      <c r="TUR53" s="3"/>
      <c r="TUS53" s="3"/>
      <c r="TUT53" s="3"/>
      <c r="TUU53" s="3"/>
      <c r="TUV53" s="3"/>
      <c r="TUW53" s="3"/>
      <c r="TUX53" s="3"/>
      <c r="TUY53" s="3"/>
      <c r="TUZ53" s="3"/>
      <c r="TVA53" s="3"/>
      <c r="TVB53" s="3"/>
      <c r="TVC53" s="3"/>
      <c r="TVD53" s="3"/>
      <c r="TVE53" s="3"/>
      <c r="TVF53" s="3"/>
      <c r="TVG53" s="3"/>
      <c r="TVH53" s="3"/>
      <c r="TVI53" s="3"/>
      <c r="TVJ53" s="3"/>
      <c r="TVK53" s="3"/>
      <c r="TVL53" s="3"/>
      <c r="TVM53" s="3"/>
      <c r="TVN53" s="3"/>
      <c r="TVO53" s="3"/>
      <c r="TVP53" s="3"/>
      <c r="TVQ53" s="3"/>
      <c r="TVR53" s="3"/>
      <c r="TVS53" s="3"/>
      <c r="TVT53" s="3"/>
      <c r="TVU53" s="3"/>
      <c r="TVV53" s="3"/>
      <c r="TVW53" s="3"/>
      <c r="TVX53" s="3"/>
      <c r="TVY53" s="3"/>
      <c r="TVZ53" s="3"/>
      <c r="TWA53" s="3"/>
      <c r="TWB53" s="3"/>
      <c r="TWC53" s="3"/>
      <c r="TWD53" s="3"/>
      <c r="TWE53" s="3"/>
      <c r="TWF53" s="3"/>
      <c r="TWG53" s="3"/>
      <c r="TWH53" s="3"/>
      <c r="TWI53" s="3"/>
      <c r="TWJ53" s="3"/>
      <c r="TWK53" s="3"/>
      <c r="TWL53" s="3"/>
      <c r="TWM53" s="3"/>
      <c r="TWN53" s="3"/>
      <c r="TWO53" s="3"/>
      <c r="TWP53" s="3"/>
      <c r="TWQ53" s="3"/>
      <c r="TWR53" s="3"/>
      <c r="TWS53" s="3"/>
      <c r="TWT53" s="3"/>
      <c r="TWU53" s="3"/>
      <c r="TWV53" s="3"/>
      <c r="TWW53" s="3"/>
      <c r="TWX53" s="3"/>
      <c r="TWY53" s="3"/>
      <c r="TWZ53" s="3"/>
      <c r="TXA53" s="3"/>
      <c r="TXB53" s="3"/>
      <c r="TXC53" s="3"/>
      <c r="TXD53" s="3"/>
      <c r="TXE53" s="3"/>
      <c r="TXF53" s="3"/>
      <c r="TXG53" s="3"/>
      <c r="TXH53" s="3"/>
      <c r="TXI53" s="3"/>
      <c r="TXJ53" s="3"/>
      <c r="TXK53" s="3"/>
      <c r="TXL53" s="3"/>
      <c r="TXM53" s="3"/>
      <c r="TXN53" s="3"/>
      <c r="TXO53" s="3"/>
      <c r="TXP53" s="3"/>
      <c r="TXQ53" s="3"/>
      <c r="TXR53" s="3"/>
      <c r="TXS53" s="3"/>
      <c r="TXT53" s="3"/>
      <c r="TXU53" s="3"/>
      <c r="TXV53" s="3"/>
      <c r="TXW53" s="3"/>
      <c r="TXX53" s="3"/>
      <c r="TXY53" s="3"/>
      <c r="TXZ53" s="3"/>
      <c r="TYA53" s="3"/>
      <c r="TYB53" s="3"/>
      <c r="TYC53" s="3"/>
      <c r="TYD53" s="3"/>
      <c r="TYE53" s="3"/>
      <c r="TYF53" s="3"/>
      <c r="TYG53" s="3"/>
      <c r="TYH53" s="3"/>
      <c r="TYI53" s="3"/>
      <c r="TYJ53" s="3"/>
      <c r="TYK53" s="3"/>
      <c r="TYL53" s="3"/>
      <c r="TYM53" s="3"/>
      <c r="TYN53" s="3"/>
      <c r="TYO53" s="3"/>
      <c r="TYP53" s="3"/>
      <c r="TYQ53" s="3"/>
      <c r="TYR53" s="3"/>
      <c r="TYS53" s="3"/>
      <c r="TYT53" s="3"/>
      <c r="TYU53" s="3"/>
      <c r="TYV53" s="3"/>
      <c r="TYW53" s="3"/>
      <c r="TYX53" s="3"/>
      <c r="TYY53" s="3"/>
      <c r="TYZ53" s="3"/>
      <c r="TZA53" s="3"/>
      <c r="TZB53" s="3"/>
      <c r="TZC53" s="3"/>
      <c r="TZD53" s="3"/>
      <c r="TZE53" s="3"/>
      <c r="TZF53" s="3"/>
      <c r="TZG53" s="3"/>
      <c r="TZH53" s="3"/>
      <c r="TZI53" s="3"/>
      <c r="TZJ53" s="3"/>
      <c r="TZK53" s="3"/>
      <c r="TZL53" s="3"/>
      <c r="TZM53" s="3"/>
      <c r="TZN53" s="3"/>
      <c r="TZO53" s="3"/>
      <c r="TZP53" s="3"/>
      <c r="TZQ53" s="3"/>
      <c r="TZR53" s="3"/>
      <c r="TZS53" s="3"/>
      <c r="TZT53" s="3"/>
      <c r="TZU53" s="3"/>
      <c r="TZV53" s="3"/>
      <c r="TZW53" s="3"/>
      <c r="TZX53" s="3"/>
      <c r="TZY53" s="3"/>
      <c r="TZZ53" s="3"/>
      <c r="UAA53" s="3"/>
      <c r="UAB53" s="3"/>
      <c r="UAC53" s="3"/>
      <c r="UAD53" s="3"/>
      <c r="UAE53" s="3"/>
      <c r="UAF53" s="3"/>
      <c r="UAG53" s="3"/>
      <c r="UAH53" s="3"/>
      <c r="UAI53" s="3"/>
      <c r="UAJ53" s="3"/>
      <c r="UAK53" s="3"/>
      <c r="UAL53" s="3"/>
      <c r="UAM53" s="3"/>
      <c r="UAN53" s="3"/>
      <c r="UAO53" s="3"/>
      <c r="UAP53" s="3"/>
      <c r="UAQ53" s="3"/>
      <c r="UAR53" s="3"/>
      <c r="UAS53" s="3"/>
      <c r="UAT53" s="3"/>
      <c r="UAU53" s="3"/>
      <c r="UAV53" s="3"/>
      <c r="UAW53" s="3"/>
      <c r="UAX53" s="3"/>
      <c r="UAY53" s="3"/>
      <c r="UAZ53" s="3"/>
      <c r="UBA53" s="3"/>
      <c r="UBB53" s="3"/>
      <c r="UBC53" s="3"/>
      <c r="UBD53" s="3"/>
      <c r="UBE53" s="3"/>
      <c r="UBF53" s="3"/>
      <c r="UBG53" s="3"/>
      <c r="UBH53" s="3"/>
      <c r="UBI53" s="3"/>
      <c r="UBJ53" s="3"/>
      <c r="UBK53" s="3"/>
      <c r="UBL53" s="3"/>
      <c r="UBM53" s="3"/>
      <c r="UBN53" s="3"/>
      <c r="UBO53" s="3"/>
      <c r="UBP53" s="3"/>
      <c r="UBQ53" s="3"/>
      <c r="UBR53" s="3"/>
      <c r="UBS53" s="3"/>
      <c r="UBT53" s="3"/>
      <c r="UBU53" s="3"/>
      <c r="UBV53" s="3"/>
      <c r="UBW53" s="3"/>
      <c r="UBX53" s="3"/>
      <c r="UBY53" s="3"/>
      <c r="UBZ53" s="3"/>
      <c r="UCA53" s="3"/>
      <c r="UCB53" s="3"/>
      <c r="UCC53" s="3"/>
      <c r="UCD53" s="3"/>
      <c r="UCE53" s="3"/>
      <c r="UCF53" s="3"/>
      <c r="UCG53" s="3"/>
      <c r="UCH53" s="3"/>
      <c r="UCI53" s="3"/>
      <c r="UCJ53" s="3"/>
      <c r="UCK53" s="3"/>
      <c r="UCL53" s="3"/>
      <c r="UCM53" s="3"/>
      <c r="UCN53" s="3"/>
      <c r="UCO53" s="3"/>
      <c r="UCP53" s="3"/>
      <c r="UCQ53" s="3"/>
      <c r="UCR53" s="3"/>
      <c r="UCS53" s="3"/>
      <c r="UCT53" s="3"/>
      <c r="UCU53" s="3"/>
      <c r="UCV53" s="3"/>
      <c r="UCW53" s="3"/>
      <c r="UCX53" s="3"/>
      <c r="UCY53" s="3"/>
      <c r="UCZ53" s="3"/>
      <c r="UDA53" s="3"/>
      <c r="UDB53" s="3"/>
      <c r="UDC53" s="3"/>
      <c r="UDD53" s="3"/>
      <c r="UDE53" s="3"/>
      <c r="UDF53" s="3"/>
      <c r="UDG53" s="3"/>
      <c r="UDH53" s="3"/>
      <c r="UDI53" s="3"/>
      <c r="UDJ53" s="3"/>
      <c r="UDK53" s="3"/>
      <c r="UDL53" s="3"/>
      <c r="UDM53" s="3"/>
      <c r="UDN53" s="3"/>
      <c r="UDO53" s="3"/>
      <c r="UDP53" s="3"/>
      <c r="UDQ53" s="3"/>
      <c r="UDR53" s="3"/>
      <c r="UDS53" s="3"/>
      <c r="UDT53" s="3"/>
      <c r="UDU53" s="3"/>
      <c r="UDV53" s="3"/>
      <c r="UDW53" s="3"/>
      <c r="UDX53" s="3"/>
      <c r="UDY53" s="3"/>
      <c r="UDZ53" s="3"/>
      <c r="UEA53" s="3"/>
      <c r="UEB53" s="3"/>
      <c r="UEC53" s="3"/>
      <c r="UED53" s="3"/>
      <c r="UEE53" s="3"/>
      <c r="UEF53" s="3"/>
      <c r="UEG53" s="3"/>
      <c r="UEH53" s="3"/>
      <c r="UEI53" s="3"/>
      <c r="UEJ53" s="3"/>
      <c r="UEK53" s="3"/>
      <c r="UEL53" s="3"/>
      <c r="UEM53" s="3"/>
      <c r="UEN53" s="3"/>
      <c r="UEO53" s="3"/>
      <c r="UEP53" s="3"/>
      <c r="UEQ53" s="3"/>
      <c r="UER53" s="3"/>
      <c r="UES53" s="3"/>
      <c r="UET53" s="3"/>
      <c r="UEU53" s="3"/>
      <c r="UEV53" s="3"/>
      <c r="UEW53" s="3"/>
      <c r="UEX53" s="3"/>
      <c r="UEY53" s="3"/>
      <c r="UEZ53" s="3"/>
      <c r="UFA53" s="3"/>
      <c r="UFB53" s="3"/>
      <c r="UFC53" s="3"/>
      <c r="UFD53" s="3"/>
      <c r="UFE53" s="3"/>
      <c r="UFF53" s="3"/>
      <c r="UFG53" s="3"/>
      <c r="UFH53" s="3"/>
      <c r="UFI53" s="3"/>
      <c r="UFJ53" s="3"/>
      <c r="UFK53" s="3"/>
      <c r="UFL53" s="3"/>
      <c r="UFM53" s="3"/>
      <c r="UFN53" s="3"/>
      <c r="UFO53" s="3"/>
      <c r="UFP53" s="3"/>
      <c r="UFQ53" s="3"/>
      <c r="UFR53" s="3"/>
      <c r="UFS53" s="3"/>
      <c r="UFT53" s="3"/>
      <c r="UFU53" s="3"/>
      <c r="UFV53" s="3"/>
      <c r="UFW53" s="3"/>
      <c r="UFX53" s="3"/>
      <c r="UFY53" s="3"/>
      <c r="UFZ53" s="3"/>
      <c r="UGA53" s="3"/>
      <c r="UGB53" s="3"/>
      <c r="UGC53" s="3"/>
      <c r="UGD53" s="3"/>
      <c r="UGE53" s="3"/>
      <c r="UGF53" s="3"/>
      <c r="UGG53" s="3"/>
      <c r="UGH53" s="3"/>
      <c r="UGI53" s="3"/>
      <c r="UGJ53" s="3"/>
      <c r="UGK53" s="3"/>
      <c r="UGL53" s="3"/>
      <c r="UGM53" s="3"/>
      <c r="UGN53" s="3"/>
      <c r="UGO53" s="3"/>
      <c r="UGP53" s="3"/>
      <c r="UGQ53" s="3"/>
      <c r="UGR53" s="3"/>
      <c r="UGS53" s="3"/>
      <c r="UGT53" s="3"/>
      <c r="UGU53" s="3"/>
      <c r="UGV53" s="3"/>
      <c r="UGW53" s="3"/>
      <c r="UGX53" s="3"/>
      <c r="UGY53" s="3"/>
      <c r="UGZ53" s="3"/>
      <c r="UHA53" s="3"/>
      <c r="UHB53" s="3"/>
      <c r="UHC53" s="3"/>
      <c r="UHD53" s="3"/>
      <c r="UHE53" s="3"/>
      <c r="UHF53" s="3"/>
      <c r="UHG53" s="3"/>
      <c r="UHH53" s="3"/>
      <c r="UHI53" s="3"/>
      <c r="UHJ53" s="3"/>
      <c r="UHK53" s="3"/>
      <c r="UHL53" s="3"/>
      <c r="UHM53" s="3"/>
      <c r="UHN53" s="3"/>
      <c r="UHO53" s="3"/>
      <c r="UHP53" s="3"/>
      <c r="UHQ53" s="3"/>
      <c r="UHR53" s="3"/>
      <c r="UHS53" s="3"/>
      <c r="UHT53" s="3"/>
      <c r="UHU53" s="3"/>
      <c r="UHV53" s="3"/>
      <c r="UHW53" s="3"/>
      <c r="UHX53" s="3"/>
      <c r="UHY53" s="3"/>
      <c r="UHZ53" s="3"/>
      <c r="UIA53" s="3"/>
      <c r="UIB53" s="3"/>
      <c r="UIC53" s="3"/>
      <c r="UID53" s="3"/>
      <c r="UIE53" s="3"/>
      <c r="UIF53" s="3"/>
      <c r="UIG53" s="3"/>
      <c r="UIH53" s="3"/>
      <c r="UII53" s="3"/>
      <c r="UIJ53" s="3"/>
      <c r="UIK53" s="3"/>
      <c r="UIL53" s="3"/>
      <c r="UIM53" s="3"/>
      <c r="UIN53" s="3"/>
      <c r="UIO53" s="3"/>
      <c r="UIP53" s="3"/>
      <c r="UIQ53" s="3"/>
      <c r="UIR53" s="3"/>
      <c r="UIS53" s="3"/>
      <c r="UIT53" s="3"/>
      <c r="UIU53" s="3"/>
      <c r="UIV53" s="3"/>
      <c r="UIW53" s="3"/>
      <c r="UIX53" s="3"/>
      <c r="UIY53" s="3"/>
      <c r="UIZ53" s="3"/>
      <c r="UJA53" s="3"/>
      <c r="UJB53" s="3"/>
      <c r="UJC53" s="3"/>
      <c r="UJD53" s="3"/>
      <c r="UJE53" s="3"/>
      <c r="UJF53" s="3"/>
      <c r="UJG53" s="3"/>
      <c r="UJH53" s="3"/>
      <c r="UJI53" s="3"/>
      <c r="UJJ53" s="3"/>
      <c r="UJK53" s="3"/>
      <c r="UJL53" s="3"/>
      <c r="UJM53" s="3"/>
      <c r="UJN53" s="3"/>
      <c r="UJO53" s="3"/>
      <c r="UJP53" s="3"/>
      <c r="UJQ53" s="3"/>
      <c r="UJR53" s="3"/>
      <c r="UJS53" s="3"/>
      <c r="UJT53" s="3"/>
      <c r="UJU53" s="3"/>
      <c r="UJV53" s="3"/>
      <c r="UJW53" s="3"/>
      <c r="UJX53" s="3"/>
      <c r="UJY53" s="3"/>
      <c r="UJZ53" s="3"/>
      <c r="UKA53" s="3"/>
      <c r="UKB53" s="3"/>
      <c r="UKC53" s="3"/>
      <c r="UKD53" s="3"/>
      <c r="UKE53" s="3"/>
      <c r="UKF53" s="3"/>
      <c r="UKG53" s="3"/>
      <c r="UKH53" s="3"/>
      <c r="UKI53" s="3"/>
      <c r="UKJ53" s="3"/>
      <c r="UKK53" s="3"/>
      <c r="UKL53" s="3"/>
      <c r="UKM53" s="3"/>
      <c r="UKN53" s="3"/>
      <c r="UKO53" s="3"/>
      <c r="UKP53" s="3"/>
      <c r="UKQ53" s="3"/>
      <c r="UKR53" s="3"/>
      <c r="UKS53" s="3"/>
      <c r="UKT53" s="3"/>
      <c r="UKU53" s="3"/>
      <c r="UKV53" s="3"/>
      <c r="UKW53" s="3"/>
      <c r="UKX53" s="3"/>
      <c r="UKY53" s="3"/>
      <c r="UKZ53" s="3"/>
      <c r="ULA53" s="3"/>
      <c r="ULB53" s="3"/>
      <c r="ULC53" s="3"/>
      <c r="ULD53" s="3"/>
      <c r="ULE53" s="3"/>
      <c r="ULF53" s="3"/>
      <c r="ULG53" s="3"/>
      <c r="ULH53" s="3"/>
      <c r="ULI53" s="3"/>
      <c r="ULJ53" s="3"/>
      <c r="ULK53" s="3"/>
      <c r="ULL53" s="3"/>
      <c r="ULM53" s="3"/>
      <c r="ULN53" s="3"/>
      <c r="ULO53" s="3"/>
      <c r="ULP53" s="3"/>
      <c r="ULQ53" s="3"/>
      <c r="ULR53" s="3"/>
      <c r="ULS53" s="3"/>
      <c r="ULT53" s="3"/>
      <c r="ULU53" s="3"/>
      <c r="ULV53" s="3"/>
      <c r="ULW53" s="3"/>
      <c r="ULX53" s="3"/>
      <c r="ULY53" s="3"/>
      <c r="ULZ53" s="3"/>
      <c r="UMA53" s="3"/>
      <c r="UMB53" s="3"/>
      <c r="UMC53" s="3"/>
      <c r="UMD53" s="3"/>
      <c r="UME53" s="3"/>
      <c r="UMF53" s="3"/>
      <c r="UMG53" s="3"/>
      <c r="UMH53" s="3"/>
      <c r="UMI53" s="3"/>
      <c r="UMJ53" s="3"/>
      <c r="UMK53" s="3"/>
      <c r="UML53" s="3"/>
      <c r="UMM53" s="3"/>
      <c r="UMN53" s="3"/>
      <c r="UMO53" s="3"/>
      <c r="UMP53" s="3"/>
      <c r="UMQ53" s="3"/>
      <c r="UMR53" s="3"/>
      <c r="UMS53" s="3"/>
      <c r="UMT53" s="3"/>
      <c r="UMU53" s="3"/>
      <c r="UMV53" s="3"/>
      <c r="UMW53" s="3"/>
      <c r="UMX53" s="3"/>
      <c r="UMY53" s="3"/>
      <c r="UMZ53" s="3"/>
      <c r="UNA53" s="3"/>
      <c r="UNB53" s="3"/>
      <c r="UNC53" s="3"/>
      <c r="UND53" s="3"/>
      <c r="UNE53" s="3"/>
      <c r="UNF53" s="3"/>
      <c r="UNG53" s="3"/>
      <c r="UNH53" s="3"/>
      <c r="UNI53" s="3"/>
      <c r="UNJ53" s="3"/>
      <c r="UNK53" s="3"/>
      <c r="UNL53" s="3"/>
      <c r="UNM53" s="3"/>
      <c r="UNN53" s="3"/>
      <c r="UNO53" s="3"/>
      <c r="UNP53" s="3"/>
      <c r="UNQ53" s="3"/>
      <c r="UNR53" s="3"/>
      <c r="UNS53" s="3"/>
      <c r="UNT53" s="3"/>
      <c r="UNU53" s="3"/>
      <c r="UNV53" s="3"/>
      <c r="UNW53" s="3"/>
      <c r="UNX53" s="3"/>
      <c r="UNY53" s="3"/>
      <c r="UNZ53" s="3"/>
      <c r="UOA53" s="3"/>
      <c r="UOB53" s="3"/>
      <c r="UOC53" s="3"/>
      <c r="UOD53" s="3"/>
      <c r="UOE53" s="3"/>
      <c r="UOF53" s="3"/>
      <c r="UOG53" s="3"/>
      <c r="UOH53" s="3"/>
      <c r="UOI53" s="3"/>
      <c r="UOJ53" s="3"/>
      <c r="UOK53" s="3"/>
      <c r="UOL53" s="3"/>
      <c r="UOM53" s="3"/>
      <c r="UON53" s="3"/>
      <c r="UOO53" s="3"/>
      <c r="UOP53" s="3"/>
      <c r="UOQ53" s="3"/>
      <c r="UOR53" s="3"/>
      <c r="UOS53" s="3"/>
      <c r="UOT53" s="3"/>
      <c r="UOU53" s="3"/>
      <c r="UOV53" s="3"/>
      <c r="UOW53" s="3"/>
      <c r="UOX53" s="3"/>
      <c r="UOY53" s="3"/>
      <c r="UOZ53" s="3"/>
      <c r="UPA53" s="3"/>
      <c r="UPB53" s="3"/>
      <c r="UPC53" s="3"/>
      <c r="UPD53" s="3"/>
      <c r="UPE53" s="3"/>
      <c r="UPF53" s="3"/>
      <c r="UPG53" s="3"/>
      <c r="UPH53" s="3"/>
      <c r="UPI53" s="3"/>
      <c r="UPJ53" s="3"/>
      <c r="UPK53" s="3"/>
      <c r="UPL53" s="3"/>
      <c r="UPM53" s="3"/>
      <c r="UPN53" s="3"/>
      <c r="UPO53" s="3"/>
      <c r="UPP53" s="3"/>
      <c r="UPQ53" s="3"/>
      <c r="UPR53" s="3"/>
      <c r="UPS53" s="3"/>
      <c r="UPT53" s="3"/>
      <c r="UPU53" s="3"/>
      <c r="UPV53" s="3"/>
      <c r="UPW53" s="3"/>
      <c r="UPX53" s="3"/>
      <c r="UPY53" s="3"/>
      <c r="UPZ53" s="3"/>
      <c r="UQA53" s="3"/>
      <c r="UQB53" s="3"/>
      <c r="UQC53" s="3"/>
      <c r="UQD53" s="3"/>
      <c r="UQE53" s="3"/>
      <c r="UQF53" s="3"/>
      <c r="UQG53" s="3"/>
      <c r="UQH53" s="3"/>
      <c r="UQI53" s="3"/>
      <c r="UQJ53" s="3"/>
      <c r="UQK53" s="3"/>
      <c r="UQL53" s="3"/>
      <c r="UQM53" s="3"/>
      <c r="UQN53" s="3"/>
      <c r="UQO53" s="3"/>
      <c r="UQP53" s="3"/>
      <c r="UQQ53" s="3"/>
      <c r="UQR53" s="3"/>
      <c r="UQS53" s="3"/>
      <c r="UQT53" s="3"/>
      <c r="UQU53" s="3"/>
      <c r="UQV53" s="3"/>
      <c r="UQW53" s="3"/>
      <c r="UQX53" s="3"/>
      <c r="UQY53" s="3"/>
      <c r="UQZ53" s="3"/>
      <c r="URA53" s="3"/>
      <c r="URB53" s="3"/>
      <c r="URC53" s="3"/>
      <c r="URD53" s="3"/>
      <c r="URE53" s="3"/>
      <c r="URF53" s="3"/>
      <c r="URG53" s="3"/>
      <c r="URH53" s="3"/>
      <c r="URI53" s="3"/>
      <c r="URJ53" s="3"/>
      <c r="URK53" s="3"/>
      <c r="URL53" s="3"/>
      <c r="URM53" s="3"/>
      <c r="URN53" s="3"/>
      <c r="URO53" s="3"/>
      <c r="URP53" s="3"/>
      <c r="URQ53" s="3"/>
      <c r="URR53" s="3"/>
      <c r="URS53" s="3"/>
      <c r="URT53" s="3"/>
      <c r="URU53" s="3"/>
      <c r="URV53" s="3"/>
      <c r="URW53" s="3"/>
      <c r="URX53" s="3"/>
      <c r="URY53" s="3"/>
      <c r="URZ53" s="3"/>
      <c r="USA53" s="3"/>
      <c r="USB53" s="3"/>
      <c r="USC53" s="3"/>
      <c r="USD53" s="3"/>
      <c r="USE53" s="3"/>
      <c r="USF53" s="3"/>
      <c r="USG53" s="3"/>
      <c r="USH53" s="3"/>
      <c r="USI53" s="3"/>
      <c r="USJ53" s="3"/>
      <c r="USK53" s="3"/>
      <c r="USL53" s="3"/>
      <c r="USM53" s="3"/>
      <c r="USN53" s="3"/>
      <c r="USO53" s="3"/>
      <c r="USP53" s="3"/>
      <c r="USQ53" s="3"/>
      <c r="USR53" s="3"/>
      <c r="USS53" s="3"/>
      <c r="UST53" s="3"/>
      <c r="USU53" s="3"/>
      <c r="USV53" s="3"/>
      <c r="USW53" s="3"/>
      <c r="USX53" s="3"/>
      <c r="USY53" s="3"/>
      <c r="USZ53" s="3"/>
      <c r="UTA53" s="3"/>
      <c r="UTB53" s="3"/>
      <c r="UTC53" s="3"/>
      <c r="UTD53" s="3"/>
      <c r="UTE53" s="3"/>
      <c r="UTF53" s="3"/>
      <c r="UTG53" s="3"/>
      <c r="UTH53" s="3"/>
      <c r="UTI53" s="3"/>
      <c r="UTJ53" s="3"/>
      <c r="UTK53" s="3"/>
      <c r="UTL53" s="3"/>
      <c r="UTM53" s="3"/>
      <c r="UTN53" s="3"/>
      <c r="UTO53" s="3"/>
      <c r="UTP53" s="3"/>
      <c r="UTQ53" s="3"/>
      <c r="UTR53" s="3"/>
      <c r="UTS53" s="3"/>
      <c r="UTT53" s="3"/>
      <c r="UTU53" s="3"/>
      <c r="UTV53" s="3"/>
      <c r="UTW53" s="3"/>
      <c r="UTX53" s="3"/>
      <c r="UTY53" s="3"/>
      <c r="UTZ53" s="3"/>
      <c r="UUA53" s="3"/>
      <c r="UUB53" s="3"/>
      <c r="UUC53" s="3"/>
      <c r="UUD53" s="3"/>
      <c r="UUE53" s="3"/>
      <c r="UUF53" s="3"/>
      <c r="UUG53" s="3"/>
      <c r="UUH53" s="3"/>
      <c r="UUI53" s="3"/>
      <c r="UUJ53" s="3"/>
      <c r="UUK53" s="3"/>
      <c r="UUL53" s="3"/>
      <c r="UUM53" s="3"/>
      <c r="UUN53" s="3"/>
      <c r="UUO53" s="3"/>
      <c r="UUP53" s="3"/>
      <c r="UUQ53" s="3"/>
      <c r="UUR53" s="3"/>
      <c r="UUS53" s="3"/>
      <c r="UUT53" s="3"/>
      <c r="UUU53" s="3"/>
      <c r="UUV53" s="3"/>
      <c r="UUW53" s="3"/>
      <c r="UUX53" s="3"/>
      <c r="UUY53" s="3"/>
      <c r="UUZ53" s="3"/>
      <c r="UVA53" s="3"/>
      <c r="UVB53" s="3"/>
      <c r="UVC53" s="3"/>
      <c r="UVD53" s="3"/>
      <c r="UVE53" s="3"/>
      <c r="UVF53" s="3"/>
      <c r="UVG53" s="3"/>
      <c r="UVH53" s="3"/>
      <c r="UVI53" s="3"/>
      <c r="UVJ53" s="3"/>
      <c r="UVK53" s="3"/>
      <c r="UVL53" s="3"/>
      <c r="UVM53" s="3"/>
      <c r="UVN53" s="3"/>
      <c r="UVO53" s="3"/>
      <c r="UVP53" s="3"/>
      <c r="UVQ53" s="3"/>
      <c r="UVR53" s="3"/>
      <c r="UVS53" s="3"/>
      <c r="UVT53" s="3"/>
      <c r="UVU53" s="3"/>
      <c r="UVV53" s="3"/>
      <c r="UVW53" s="3"/>
      <c r="UVX53" s="3"/>
      <c r="UVY53" s="3"/>
      <c r="UVZ53" s="3"/>
      <c r="UWA53" s="3"/>
      <c r="UWB53" s="3"/>
      <c r="UWC53" s="3"/>
      <c r="UWD53" s="3"/>
      <c r="UWE53" s="3"/>
      <c r="UWF53" s="3"/>
      <c r="UWG53" s="3"/>
      <c r="UWH53" s="3"/>
      <c r="UWI53" s="3"/>
      <c r="UWJ53" s="3"/>
      <c r="UWK53" s="3"/>
      <c r="UWL53" s="3"/>
      <c r="UWM53" s="3"/>
      <c r="UWN53" s="3"/>
      <c r="UWO53" s="3"/>
      <c r="UWP53" s="3"/>
      <c r="UWQ53" s="3"/>
      <c r="UWR53" s="3"/>
      <c r="UWS53" s="3"/>
      <c r="UWT53" s="3"/>
      <c r="UWU53" s="3"/>
      <c r="UWV53" s="3"/>
      <c r="UWW53" s="3"/>
      <c r="UWX53" s="3"/>
      <c r="UWY53" s="3"/>
      <c r="UWZ53" s="3"/>
      <c r="UXA53" s="3"/>
      <c r="UXB53" s="3"/>
      <c r="UXC53" s="3"/>
      <c r="UXD53" s="3"/>
      <c r="UXE53" s="3"/>
      <c r="UXF53" s="3"/>
      <c r="UXG53" s="3"/>
      <c r="UXH53" s="3"/>
      <c r="UXI53" s="3"/>
      <c r="UXJ53" s="3"/>
      <c r="UXK53" s="3"/>
      <c r="UXL53" s="3"/>
      <c r="UXM53" s="3"/>
      <c r="UXN53" s="3"/>
      <c r="UXO53" s="3"/>
      <c r="UXP53" s="3"/>
      <c r="UXQ53" s="3"/>
      <c r="UXR53" s="3"/>
      <c r="UXS53" s="3"/>
      <c r="UXT53" s="3"/>
      <c r="UXU53" s="3"/>
      <c r="UXV53" s="3"/>
      <c r="UXW53" s="3"/>
      <c r="UXX53" s="3"/>
      <c r="UXY53" s="3"/>
      <c r="UXZ53" s="3"/>
      <c r="UYA53" s="3"/>
      <c r="UYB53" s="3"/>
      <c r="UYC53" s="3"/>
      <c r="UYD53" s="3"/>
      <c r="UYE53" s="3"/>
      <c r="UYF53" s="3"/>
      <c r="UYG53" s="3"/>
      <c r="UYH53" s="3"/>
      <c r="UYI53" s="3"/>
      <c r="UYJ53" s="3"/>
      <c r="UYK53" s="3"/>
      <c r="UYL53" s="3"/>
      <c r="UYM53" s="3"/>
      <c r="UYN53" s="3"/>
      <c r="UYO53" s="3"/>
      <c r="UYP53" s="3"/>
      <c r="UYQ53" s="3"/>
      <c r="UYR53" s="3"/>
      <c r="UYS53" s="3"/>
      <c r="UYT53" s="3"/>
      <c r="UYU53" s="3"/>
      <c r="UYV53" s="3"/>
      <c r="UYW53" s="3"/>
      <c r="UYX53" s="3"/>
      <c r="UYY53" s="3"/>
      <c r="UYZ53" s="3"/>
      <c r="UZA53" s="3"/>
      <c r="UZB53" s="3"/>
      <c r="UZC53" s="3"/>
      <c r="UZD53" s="3"/>
      <c r="UZE53" s="3"/>
      <c r="UZF53" s="3"/>
      <c r="UZG53" s="3"/>
      <c r="UZH53" s="3"/>
      <c r="UZI53" s="3"/>
      <c r="UZJ53" s="3"/>
      <c r="UZK53" s="3"/>
      <c r="UZL53" s="3"/>
      <c r="UZM53" s="3"/>
      <c r="UZN53" s="3"/>
      <c r="UZO53" s="3"/>
      <c r="UZP53" s="3"/>
      <c r="UZQ53" s="3"/>
      <c r="UZR53" s="3"/>
      <c r="UZS53" s="3"/>
      <c r="UZT53" s="3"/>
      <c r="UZU53" s="3"/>
      <c r="UZV53" s="3"/>
      <c r="UZW53" s="3"/>
      <c r="UZX53" s="3"/>
      <c r="UZY53" s="3"/>
      <c r="UZZ53" s="3"/>
      <c r="VAA53" s="3"/>
      <c r="VAB53" s="3"/>
      <c r="VAC53" s="3"/>
      <c r="VAD53" s="3"/>
      <c r="VAE53" s="3"/>
      <c r="VAF53" s="3"/>
      <c r="VAG53" s="3"/>
      <c r="VAH53" s="3"/>
      <c r="VAI53" s="3"/>
      <c r="VAJ53" s="3"/>
      <c r="VAK53" s="3"/>
      <c r="VAL53" s="3"/>
      <c r="VAM53" s="3"/>
      <c r="VAN53" s="3"/>
      <c r="VAO53" s="3"/>
      <c r="VAP53" s="3"/>
      <c r="VAQ53" s="3"/>
      <c r="VAR53" s="3"/>
      <c r="VAS53" s="3"/>
      <c r="VAT53" s="3"/>
      <c r="VAU53" s="3"/>
      <c r="VAV53" s="3"/>
      <c r="VAW53" s="3"/>
      <c r="VAX53" s="3"/>
      <c r="VAY53" s="3"/>
      <c r="VAZ53" s="3"/>
      <c r="VBA53" s="3"/>
      <c r="VBB53" s="3"/>
      <c r="VBC53" s="3"/>
      <c r="VBD53" s="3"/>
      <c r="VBE53" s="3"/>
      <c r="VBF53" s="3"/>
      <c r="VBG53" s="3"/>
      <c r="VBH53" s="3"/>
      <c r="VBI53" s="3"/>
      <c r="VBJ53" s="3"/>
      <c r="VBK53" s="3"/>
      <c r="VBL53" s="3"/>
      <c r="VBM53" s="3"/>
      <c r="VBN53" s="3"/>
      <c r="VBO53" s="3"/>
      <c r="VBP53" s="3"/>
      <c r="VBQ53" s="3"/>
      <c r="VBR53" s="3"/>
      <c r="VBS53" s="3"/>
      <c r="VBT53" s="3"/>
      <c r="VBU53" s="3"/>
      <c r="VBV53" s="3"/>
      <c r="VBW53" s="3"/>
      <c r="VBX53" s="3"/>
      <c r="VBY53" s="3"/>
      <c r="VBZ53" s="3"/>
      <c r="VCA53" s="3"/>
      <c r="VCB53" s="3"/>
      <c r="VCC53" s="3"/>
      <c r="VCD53" s="3"/>
      <c r="VCE53" s="3"/>
      <c r="VCF53" s="3"/>
      <c r="VCG53" s="3"/>
      <c r="VCH53" s="3"/>
      <c r="VCI53" s="3"/>
      <c r="VCJ53" s="3"/>
      <c r="VCK53" s="3"/>
      <c r="VCL53" s="3"/>
      <c r="VCM53" s="3"/>
      <c r="VCN53" s="3"/>
      <c r="VCO53" s="3"/>
      <c r="VCP53" s="3"/>
      <c r="VCQ53" s="3"/>
      <c r="VCR53" s="3"/>
      <c r="VCS53" s="3"/>
      <c r="VCT53" s="3"/>
      <c r="VCU53" s="3"/>
      <c r="VCV53" s="3"/>
      <c r="VCW53" s="3"/>
      <c r="VCX53" s="3"/>
      <c r="VCY53" s="3"/>
      <c r="VCZ53" s="3"/>
      <c r="VDA53" s="3"/>
      <c r="VDB53" s="3"/>
      <c r="VDC53" s="3"/>
      <c r="VDD53" s="3"/>
      <c r="VDE53" s="3"/>
      <c r="VDF53" s="3"/>
      <c r="VDG53" s="3"/>
      <c r="VDH53" s="3"/>
      <c r="VDI53" s="3"/>
      <c r="VDJ53" s="3"/>
      <c r="VDK53" s="3"/>
      <c r="VDL53" s="3"/>
      <c r="VDM53" s="3"/>
      <c r="VDN53" s="3"/>
      <c r="VDO53" s="3"/>
      <c r="VDP53" s="3"/>
      <c r="VDQ53" s="3"/>
      <c r="VDR53" s="3"/>
      <c r="VDS53" s="3"/>
      <c r="VDT53" s="3"/>
      <c r="VDU53" s="3"/>
      <c r="VDV53" s="3"/>
      <c r="VDW53" s="3"/>
      <c r="VDX53" s="3"/>
      <c r="VDY53" s="3"/>
      <c r="VDZ53" s="3"/>
      <c r="VEA53" s="3"/>
      <c r="VEB53" s="3"/>
      <c r="VEC53" s="3"/>
      <c r="VED53" s="3"/>
      <c r="VEE53" s="3"/>
      <c r="VEF53" s="3"/>
      <c r="VEG53" s="3"/>
      <c r="VEH53" s="3"/>
      <c r="VEI53" s="3"/>
      <c r="VEJ53" s="3"/>
      <c r="VEK53" s="3"/>
      <c r="VEL53" s="3"/>
      <c r="VEM53" s="3"/>
      <c r="VEN53" s="3"/>
      <c r="VEO53" s="3"/>
      <c r="VEP53" s="3"/>
      <c r="VEQ53" s="3"/>
      <c r="VER53" s="3"/>
      <c r="VES53" s="3"/>
      <c r="VET53" s="3"/>
      <c r="VEU53" s="3"/>
      <c r="VEV53" s="3"/>
      <c r="VEW53" s="3"/>
      <c r="VEX53" s="3"/>
      <c r="VEY53" s="3"/>
      <c r="VEZ53" s="3"/>
      <c r="VFA53" s="3"/>
      <c r="VFB53" s="3"/>
      <c r="VFC53" s="3"/>
      <c r="VFD53" s="3"/>
      <c r="VFE53" s="3"/>
      <c r="VFF53" s="3"/>
      <c r="VFG53" s="3"/>
      <c r="VFH53" s="3"/>
      <c r="VFI53" s="3"/>
      <c r="VFJ53" s="3"/>
      <c r="VFK53" s="3"/>
      <c r="VFL53" s="3"/>
      <c r="VFM53" s="3"/>
      <c r="VFN53" s="3"/>
      <c r="VFO53" s="3"/>
      <c r="VFP53" s="3"/>
      <c r="VFQ53" s="3"/>
      <c r="VFR53" s="3"/>
      <c r="VFS53" s="3"/>
      <c r="VFT53" s="3"/>
      <c r="VFU53" s="3"/>
      <c r="VFV53" s="3"/>
      <c r="VFW53" s="3"/>
      <c r="VFX53" s="3"/>
      <c r="VFY53" s="3"/>
      <c r="VFZ53" s="3"/>
      <c r="VGA53" s="3"/>
      <c r="VGB53" s="3"/>
      <c r="VGC53" s="3"/>
      <c r="VGD53" s="3"/>
      <c r="VGE53" s="3"/>
      <c r="VGF53" s="3"/>
      <c r="VGG53" s="3"/>
      <c r="VGH53" s="3"/>
      <c r="VGI53" s="3"/>
      <c r="VGJ53" s="3"/>
      <c r="VGK53" s="3"/>
      <c r="VGL53" s="3"/>
      <c r="VGM53" s="3"/>
      <c r="VGN53" s="3"/>
      <c r="VGO53" s="3"/>
      <c r="VGP53" s="3"/>
      <c r="VGQ53" s="3"/>
      <c r="VGR53" s="3"/>
      <c r="VGS53" s="3"/>
      <c r="VGT53" s="3"/>
      <c r="VGU53" s="3"/>
      <c r="VGV53" s="3"/>
      <c r="VGW53" s="3"/>
      <c r="VGX53" s="3"/>
      <c r="VGY53" s="3"/>
      <c r="VGZ53" s="3"/>
      <c r="VHA53" s="3"/>
      <c r="VHB53" s="3"/>
      <c r="VHC53" s="3"/>
      <c r="VHD53" s="3"/>
      <c r="VHE53" s="3"/>
      <c r="VHF53" s="3"/>
      <c r="VHG53" s="3"/>
      <c r="VHH53" s="3"/>
      <c r="VHI53" s="3"/>
      <c r="VHJ53" s="3"/>
      <c r="VHK53" s="3"/>
      <c r="VHL53" s="3"/>
      <c r="VHM53" s="3"/>
      <c r="VHN53" s="3"/>
      <c r="VHO53" s="3"/>
      <c r="VHP53" s="3"/>
      <c r="VHQ53" s="3"/>
      <c r="VHR53" s="3"/>
      <c r="VHS53" s="3"/>
      <c r="VHT53" s="3"/>
      <c r="VHU53" s="3"/>
      <c r="VHV53" s="3"/>
      <c r="VHW53" s="3"/>
      <c r="VHX53" s="3"/>
      <c r="VHY53" s="3"/>
      <c r="VHZ53" s="3"/>
      <c r="VIA53" s="3"/>
      <c r="VIB53" s="3"/>
      <c r="VIC53" s="3"/>
      <c r="VID53" s="3"/>
      <c r="VIE53" s="3"/>
      <c r="VIF53" s="3"/>
      <c r="VIG53" s="3"/>
      <c r="VIH53" s="3"/>
      <c r="VII53" s="3"/>
      <c r="VIJ53" s="3"/>
      <c r="VIK53" s="3"/>
      <c r="VIL53" s="3"/>
      <c r="VIM53" s="3"/>
      <c r="VIN53" s="3"/>
      <c r="VIO53" s="3"/>
      <c r="VIP53" s="3"/>
      <c r="VIQ53" s="3"/>
      <c r="VIR53" s="3"/>
      <c r="VIS53" s="3"/>
      <c r="VIT53" s="3"/>
      <c r="VIU53" s="3"/>
      <c r="VIV53" s="3"/>
      <c r="VIW53" s="3"/>
      <c r="VIX53" s="3"/>
      <c r="VIY53" s="3"/>
      <c r="VIZ53" s="3"/>
      <c r="VJA53" s="3"/>
      <c r="VJB53" s="3"/>
      <c r="VJC53" s="3"/>
      <c r="VJD53" s="3"/>
      <c r="VJE53" s="3"/>
      <c r="VJF53" s="3"/>
      <c r="VJG53" s="3"/>
      <c r="VJH53" s="3"/>
      <c r="VJI53" s="3"/>
      <c r="VJJ53" s="3"/>
      <c r="VJK53" s="3"/>
      <c r="VJL53" s="3"/>
      <c r="VJM53" s="3"/>
      <c r="VJN53" s="3"/>
      <c r="VJO53" s="3"/>
      <c r="VJP53" s="3"/>
      <c r="VJQ53" s="3"/>
      <c r="VJR53" s="3"/>
      <c r="VJS53" s="3"/>
      <c r="VJT53" s="3"/>
      <c r="VJU53" s="3"/>
      <c r="VJV53" s="3"/>
      <c r="VJW53" s="3"/>
      <c r="VJX53" s="3"/>
      <c r="VJY53" s="3"/>
      <c r="VJZ53" s="3"/>
      <c r="VKA53" s="3"/>
      <c r="VKB53" s="3"/>
      <c r="VKC53" s="3"/>
      <c r="VKD53" s="3"/>
      <c r="VKE53" s="3"/>
      <c r="VKF53" s="3"/>
      <c r="VKG53" s="3"/>
      <c r="VKH53" s="3"/>
      <c r="VKI53" s="3"/>
      <c r="VKJ53" s="3"/>
      <c r="VKK53" s="3"/>
      <c r="VKL53" s="3"/>
      <c r="VKM53" s="3"/>
      <c r="VKN53" s="3"/>
      <c r="VKO53" s="3"/>
      <c r="VKP53" s="3"/>
      <c r="VKQ53" s="3"/>
      <c r="VKR53" s="3"/>
      <c r="VKS53" s="3"/>
      <c r="VKT53" s="3"/>
      <c r="VKU53" s="3"/>
      <c r="VKV53" s="3"/>
      <c r="VKW53" s="3"/>
      <c r="VKX53" s="3"/>
      <c r="VKY53" s="3"/>
      <c r="VKZ53" s="3"/>
      <c r="VLA53" s="3"/>
      <c r="VLB53" s="3"/>
      <c r="VLC53" s="3"/>
      <c r="VLD53" s="3"/>
      <c r="VLE53" s="3"/>
      <c r="VLF53" s="3"/>
      <c r="VLG53" s="3"/>
      <c r="VLH53" s="3"/>
      <c r="VLI53" s="3"/>
      <c r="VLJ53" s="3"/>
      <c r="VLK53" s="3"/>
      <c r="VLL53" s="3"/>
      <c r="VLM53" s="3"/>
      <c r="VLN53" s="3"/>
      <c r="VLO53" s="3"/>
      <c r="VLP53" s="3"/>
      <c r="VLQ53" s="3"/>
      <c r="VLR53" s="3"/>
      <c r="VLS53" s="3"/>
      <c r="VLT53" s="3"/>
      <c r="VLU53" s="3"/>
      <c r="VLV53" s="3"/>
      <c r="VLW53" s="3"/>
      <c r="VLX53" s="3"/>
      <c r="VLY53" s="3"/>
      <c r="VLZ53" s="3"/>
      <c r="VMA53" s="3"/>
      <c r="VMB53" s="3"/>
      <c r="VMC53" s="3"/>
      <c r="VMD53" s="3"/>
      <c r="VME53" s="3"/>
      <c r="VMF53" s="3"/>
      <c r="VMG53" s="3"/>
      <c r="VMH53" s="3"/>
      <c r="VMI53" s="3"/>
      <c r="VMJ53" s="3"/>
      <c r="VMK53" s="3"/>
      <c r="VML53" s="3"/>
      <c r="VMM53" s="3"/>
      <c r="VMN53" s="3"/>
      <c r="VMO53" s="3"/>
      <c r="VMP53" s="3"/>
      <c r="VMQ53" s="3"/>
      <c r="VMR53" s="3"/>
      <c r="VMS53" s="3"/>
      <c r="VMT53" s="3"/>
      <c r="VMU53" s="3"/>
      <c r="VMV53" s="3"/>
      <c r="VMW53" s="3"/>
      <c r="VMX53" s="3"/>
      <c r="VMY53" s="3"/>
      <c r="VMZ53" s="3"/>
      <c r="VNA53" s="3"/>
      <c r="VNB53" s="3"/>
      <c r="VNC53" s="3"/>
      <c r="VND53" s="3"/>
      <c r="VNE53" s="3"/>
      <c r="VNF53" s="3"/>
      <c r="VNG53" s="3"/>
      <c r="VNH53" s="3"/>
      <c r="VNI53" s="3"/>
      <c r="VNJ53" s="3"/>
      <c r="VNK53" s="3"/>
      <c r="VNL53" s="3"/>
      <c r="VNM53" s="3"/>
      <c r="VNN53" s="3"/>
      <c r="VNO53" s="3"/>
      <c r="VNP53" s="3"/>
      <c r="VNQ53" s="3"/>
      <c r="VNR53" s="3"/>
      <c r="VNS53" s="3"/>
      <c r="VNT53" s="3"/>
      <c r="VNU53" s="3"/>
      <c r="VNV53" s="3"/>
      <c r="VNW53" s="3"/>
      <c r="VNX53" s="3"/>
      <c r="VNY53" s="3"/>
      <c r="VNZ53" s="3"/>
      <c r="VOA53" s="3"/>
      <c r="VOB53" s="3"/>
      <c r="VOC53" s="3"/>
      <c r="VOD53" s="3"/>
      <c r="VOE53" s="3"/>
      <c r="VOF53" s="3"/>
      <c r="VOG53" s="3"/>
      <c r="VOH53" s="3"/>
      <c r="VOI53" s="3"/>
      <c r="VOJ53" s="3"/>
      <c r="VOK53" s="3"/>
      <c r="VOL53" s="3"/>
      <c r="VOM53" s="3"/>
      <c r="VON53" s="3"/>
      <c r="VOO53" s="3"/>
      <c r="VOP53" s="3"/>
      <c r="VOQ53" s="3"/>
      <c r="VOR53" s="3"/>
      <c r="VOS53" s="3"/>
      <c r="VOT53" s="3"/>
      <c r="VOU53" s="3"/>
      <c r="VOV53" s="3"/>
      <c r="VOW53" s="3"/>
      <c r="VOX53" s="3"/>
      <c r="VOY53" s="3"/>
      <c r="VOZ53" s="3"/>
      <c r="VPA53" s="3"/>
      <c r="VPB53" s="3"/>
      <c r="VPC53" s="3"/>
      <c r="VPD53" s="3"/>
      <c r="VPE53" s="3"/>
      <c r="VPF53" s="3"/>
      <c r="VPG53" s="3"/>
      <c r="VPH53" s="3"/>
      <c r="VPI53" s="3"/>
      <c r="VPJ53" s="3"/>
      <c r="VPK53" s="3"/>
      <c r="VPL53" s="3"/>
      <c r="VPM53" s="3"/>
      <c r="VPN53" s="3"/>
      <c r="VPO53" s="3"/>
      <c r="VPP53" s="3"/>
      <c r="VPQ53" s="3"/>
      <c r="VPR53" s="3"/>
      <c r="VPS53" s="3"/>
      <c r="VPT53" s="3"/>
      <c r="VPU53" s="3"/>
      <c r="VPV53" s="3"/>
      <c r="VPW53" s="3"/>
      <c r="VPX53" s="3"/>
      <c r="VPY53" s="3"/>
      <c r="VPZ53" s="3"/>
      <c r="VQA53" s="3"/>
      <c r="VQB53" s="3"/>
      <c r="VQC53" s="3"/>
      <c r="VQD53" s="3"/>
      <c r="VQE53" s="3"/>
      <c r="VQF53" s="3"/>
      <c r="VQG53" s="3"/>
      <c r="VQH53" s="3"/>
      <c r="VQI53" s="3"/>
      <c r="VQJ53" s="3"/>
      <c r="VQK53" s="3"/>
      <c r="VQL53" s="3"/>
      <c r="VQM53" s="3"/>
      <c r="VQN53" s="3"/>
      <c r="VQO53" s="3"/>
      <c r="VQP53" s="3"/>
      <c r="VQQ53" s="3"/>
      <c r="VQR53" s="3"/>
      <c r="VQS53" s="3"/>
      <c r="VQT53" s="3"/>
      <c r="VQU53" s="3"/>
      <c r="VQV53" s="3"/>
      <c r="VQW53" s="3"/>
      <c r="VQX53" s="3"/>
      <c r="VQY53" s="3"/>
      <c r="VQZ53" s="3"/>
      <c r="VRA53" s="3"/>
      <c r="VRB53" s="3"/>
      <c r="VRC53" s="3"/>
      <c r="VRD53" s="3"/>
      <c r="VRE53" s="3"/>
      <c r="VRF53" s="3"/>
      <c r="VRG53" s="3"/>
      <c r="VRH53" s="3"/>
      <c r="VRI53" s="3"/>
      <c r="VRJ53" s="3"/>
      <c r="VRK53" s="3"/>
      <c r="VRL53" s="3"/>
      <c r="VRM53" s="3"/>
      <c r="VRN53" s="3"/>
      <c r="VRO53" s="3"/>
      <c r="VRP53" s="3"/>
      <c r="VRQ53" s="3"/>
      <c r="VRR53" s="3"/>
      <c r="VRS53" s="3"/>
      <c r="VRT53" s="3"/>
      <c r="VRU53" s="3"/>
      <c r="VRV53" s="3"/>
      <c r="VRW53" s="3"/>
      <c r="VRX53" s="3"/>
      <c r="VRY53" s="3"/>
      <c r="VRZ53" s="3"/>
      <c r="VSA53" s="3"/>
      <c r="VSB53" s="3"/>
      <c r="VSC53" s="3"/>
      <c r="VSD53" s="3"/>
      <c r="VSE53" s="3"/>
      <c r="VSF53" s="3"/>
      <c r="VSG53" s="3"/>
      <c r="VSH53" s="3"/>
      <c r="VSI53" s="3"/>
      <c r="VSJ53" s="3"/>
      <c r="VSK53" s="3"/>
      <c r="VSL53" s="3"/>
      <c r="VSM53" s="3"/>
      <c r="VSN53" s="3"/>
      <c r="VSO53" s="3"/>
      <c r="VSP53" s="3"/>
      <c r="VSQ53" s="3"/>
      <c r="VSR53" s="3"/>
      <c r="VSS53" s="3"/>
      <c r="VST53" s="3"/>
      <c r="VSU53" s="3"/>
      <c r="VSV53" s="3"/>
      <c r="VSW53" s="3"/>
      <c r="VSX53" s="3"/>
      <c r="VSY53" s="3"/>
      <c r="VSZ53" s="3"/>
      <c r="VTA53" s="3"/>
      <c r="VTB53" s="3"/>
      <c r="VTC53" s="3"/>
      <c r="VTD53" s="3"/>
      <c r="VTE53" s="3"/>
      <c r="VTF53" s="3"/>
      <c r="VTG53" s="3"/>
      <c r="VTH53" s="3"/>
      <c r="VTI53" s="3"/>
      <c r="VTJ53" s="3"/>
      <c r="VTK53" s="3"/>
      <c r="VTL53" s="3"/>
      <c r="VTM53" s="3"/>
      <c r="VTN53" s="3"/>
      <c r="VTO53" s="3"/>
      <c r="VTP53" s="3"/>
      <c r="VTQ53" s="3"/>
      <c r="VTR53" s="3"/>
      <c r="VTS53" s="3"/>
      <c r="VTT53" s="3"/>
      <c r="VTU53" s="3"/>
      <c r="VTV53" s="3"/>
      <c r="VTW53" s="3"/>
      <c r="VTX53" s="3"/>
      <c r="VTY53" s="3"/>
      <c r="VTZ53" s="3"/>
      <c r="VUA53" s="3"/>
      <c r="VUB53" s="3"/>
      <c r="VUC53" s="3"/>
      <c r="VUD53" s="3"/>
      <c r="VUE53" s="3"/>
      <c r="VUF53" s="3"/>
      <c r="VUG53" s="3"/>
      <c r="VUH53" s="3"/>
      <c r="VUI53" s="3"/>
      <c r="VUJ53" s="3"/>
      <c r="VUK53" s="3"/>
      <c r="VUL53" s="3"/>
      <c r="VUM53" s="3"/>
      <c r="VUN53" s="3"/>
      <c r="VUO53" s="3"/>
      <c r="VUP53" s="3"/>
      <c r="VUQ53" s="3"/>
      <c r="VUR53" s="3"/>
      <c r="VUS53" s="3"/>
      <c r="VUT53" s="3"/>
      <c r="VUU53" s="3"/>
      <c r="VUV53" s="3"/>
      <c r="VUW53" s="3"/>
      <c r="VUX53" s="3"/>
      <c r="VUY53" s="3"/>
      <c r="VUZ53" s="3"/>
      <c r="VVA53" s="3"/>
      <c r="VVB53" s="3"/>
      <c r="VVC53" s="3"/>
      <c r="VVD53" s="3"/>
      <c r="VVE53" s="3"/>
      <c r="VVF53" s="3"/>
      <c r="VVG53" s="3"/>
      <c r="VVH53" s="3"/>
      <c r="VVI53" s="3"/>
      <c r="VVJ53" s="3"/>
      <c r="VVK53" s="3"/>
      <c r="VVL53" s="3"/>
      <c r="VVM53" s="3"/>
      <c r="VVN53" s="3"/>
      <c r="VVO53" s="3"/>
      <c r="VVP53" s="3"/>
      <c r="VVQ53" s="3"/>
      <c r="VVR53" s="3"/>
      <c r="VVS53" s="3"/>
      <c r="VVT53" s="3"/>
      <c r="VVU53" s="3"/>
      <c r="VVV53" s="3"/>
      <c r="VVW53" s="3"/>
      <c r="VVX53" s="3"/>
      <c r="VVY53" s="3"/>
      <c r="VVZ53" s="3"/>
      <c r="VWA53" s="3"/>
      <c r="VWB53" s="3"/>
      <c r="VWC53" s="3"/>
      <c r="VWD53" s="3"/>
      <c r="VWE53" s="3"/>
      <c r="VWF53" s="3"/>
      <c r="VWG53" s="3"/>
      <c r="VWH53" s="3"/>
      <c r="VWI53" s="3"/>
      <c r="VWJ53" s="3"/>
      <c r="VWK53" s="3"/>
      <c r="VWL53" s="3"/>
      <c r="VWM53" s="3"/>
      <c r="VWN53" s="3"/>
      <c r="VWO53" s="3"/>
      <c r="VWP53" s="3"/>
      <c r="VWQ53" s="3"/>
      <c r="VWR53" s="3"/>
      <c r="VWS53" s="3"/>
      <c r="VWT53" s="3"/>
      <c r="VWU53" s="3"/>
      <c r="VWV53" s="3"/>
      <c r="VWW53" s="3"/>
      <c r="VWX53" s="3"/>
      <c r="VWY53" s="3"/>
      <c r="VWZ53" s="3"/>
      <c r="VXA53" s="3"/>
      <c r="VXB53" s="3"/>
      <c r="VXC53" s="3"/>
      <c r="VXD53" s="3"/>
      <c r="VXE53" s="3"/>
      <c r="VXF53" s="3"/>
      <c r="VXG53" s="3"/>
      <c r="VXH53" s="3"/>
      <c r="VXI53" s="3"/>
      <c r="VXJ53" s="3"/>
      <c r="VXK53" s="3"/>
      <c r="VXL53" s="3"/>
      <c r="VXM53" s="3"/>
      <c r="VXN53" s="3"/>
      <c r="VXO53" s="3"/>
      <c r="VXP53" s="3"/>
      <c r="VXQ53" s="3"/>
      <c r="VXR53" s="3"/>
      <c r="VXS53" s="3"/>
      <c r="VXT53" s="3"/>
      <c r="VXU53" s="3"/>
      <c r="VXV53" s="3"/>
      <c r="VXW53" s="3"/>
      <c r="VXX53" s="3"/>
      <c r="VXY53" s="3"/>
      <c r="VXZ53" s="3"/>
      <c r="VYA53" s="3"/>
      <c r="VYB53" s="3"/>
      <c r="VYC53" s="3"/>
      <c r="VYD53" s="3"/>
      <c r="VYE53" s="3"/>
      <c r="VYF53" s="3"/>
      <c r="VYG53" s="3"/>
      <c r="VYH53" s="3"/>
      <c r="VYI53" s="3"/>
      <c r="VYJ53" s="3"/>
      <c r="VYK53" s="3"/>
      <c r="VYL53" s="3"/>
      <c r="VYM53" s="3"/>
      <c r="VYN53" s="3"/>
      <c r="VYO53" s="3"/>
      <c r="VYP53" s="3"/>
      <c r="VYQ53" s="3"/>
      <c r="VYR53" s="3"/>
      <c r="VYS53" s="3"/>
      <c r="VYT53" s="3"/>
      <c r="VYU53" s="3"/>
      <c r="VYV53" s="3"/>
      <c r="VYW53" s="3"/>
      <c r="VYX53" s="3"/>
      <c r="VYY53" s="3"/>
      <c r="VYZ53" s="3"/>
      <c r="VZA53" s="3"/>
      <c r="VZB53" s="3"/>
      <c r="VZC53" s="3"/>
      <c r="VZD53" s="3"/>
      <c r="VZE53" s="3"/>
      <c r="VZF53" s="3"/>
      <c r="VZG53" s="3"/>
      <c r="VZH53" s="3"/>
      <c r="VZI53" s="3"/>
      <c r="VZJ53" s="3"/>
      <c r="VZK53" s="3"/>
      <c r="VZL53" s="3"/>
      <c r="VZM53" s="3"/>
      <c r="VZN53" s="3"/>
      <c r="VZO53" s="3"/>
      <c r="VZP53" s="3"/>
      <c r="VZQ53" s="3"/>
      <c r="VZR53" s="3"/>
      <c r="VZS53" s="3"/>
      <c r="VZT53" s="3"/>
      <c r="VZU53" s="3"/>
      <c r="VZV53" s="3"/>
      <c r="VZW53" s="3"/>
      <c r="VZX53" s="3"/>
      <c r="VZY53" s="3"/>
      <c r="VZZ53" s="3"/>
      <c r="WAA53" s="3"/>
      <c r="WAB53" s="3"/>
      <c r="WAC53" s="3"/>
      <c r="WAD53" s="3"/>
      <c r="WAE53" s="3"/>
      <c r="WAF53" s="3"/>
      <c r="WAG53" s="3"/>
      <c r="WAH53" s="3"/>
      <c r="WAI53" s="3"/>
      <c r="WAJ53" s="3"/>
      <c r="WAK53" s="3"/>
      <c r="WAL53" s="3"/>
      <c r="WAM53" s="3"/>
      <c r="WAN53" s="3"/>
      <c r="WAO53" s="3"/>
      <c r="WAP53" s="3"/>
      <c r="WAQ53" s="3"/>
      <c r="WAR53" s="3"/>
      <c r="WAS53" s="3"/>
      <c r="WAT53" s="3"/>
      <c r="WAU53" s="3"/>
      <c r="WAV53" s="3"/>
      <c r="WAW53" s="3"/>
      <c r="WAX53" s="3"/>
      <c r="WAY53" s="3"/>
      <c r="WAZ53" s="3"/>
      <c r="WBA53" s="3"/>
      <c r="WBB53" s="3"/>
      <c r="WBC53" s="3"/>
      <c r="WBD53" s="3"/>
      <c r="WBE53" s="3"/>
      <c r="WBF53" s="3"/>
      <c r="WBG53" s="3"/>
      <c r="WBH53" s="3"/>
      <c r="WBI53" s="3"/>
      <c r="WBJ53" s="3"/>
      <c r="WBK53" s="3"/>
      <c r="WBL53" s="3"/>
      <c r="WBM53" s="3"/>
      <c r="WBN53" s="3"/>
      <c r="WBO53" s="3"/>
      <c r="WBP53" s="3"/>
      <c r="WBQ53" s="3"/>
      <c r="WBR53" s="3"/>
      <c r="WBS53" s="3"/>
      <c r="WBT53" s="3"/>
      <c r="WBU53" s="3"/>
      <c r="WBV53" s="3"/>
      <c r="WBW53" s="3"/>
      <c r="WBX53" s="3"/>
      <c r="WBY53" s="3"/>
      <c r="WBZ53" s="3"/>
      <c r="WCA53" s="3"/>
      <c r="WCB53" s="3"/>
      <c r="WCC53" s="3"/>
      <c r="WCD53" s="3"/>
      <c r="WCE53" s="3"/>
      <c r="WCF53" s="3"/>
      <c r="WCG53" s="3"/>
      <c r="WCH53" s="3"/>
      <c r="WCI53" s="3"/>
      <c r="WCJ53" s="3"/>
      <c r="WCK53" s="3"/>
      <c r="WCL53" s="3"/>
      <c r="WCM53" s="3"/>
      <c r="WCN53" s="3"/>
      <c r="WCO53" s="3"/>
      <c r="WCP53" s="3"/>
      <c r="WCQ53" s="3"/>
      <c r="WCR53" s="3"/>
      <c r="WCS53" s="3"/>
      <c r="WCT53" s="3"/>
      <c r="WCU53" s="3"/>
      <c r="WCV53" s="3"/>
      <c r="WCW53" s="3"/>
      <c r="WCX53" s="3"/>
      <c r="WCY53" s="3"/>
      <c r="WCZ53" s="3"/>
      <c r="WDA53" s="3"/>
      <c r="WDB53" s="3"/>
      <c r="WDC53" s="3"/>
      <c r="WDD53" s="3"/>
      <c r="WDE53" s="3"/>
      <c r="WDF53" s="3"/>
      <c r="WDG53" s="3"/>
      <c r="WDH53" s="3"/>
      <c r="WDI53" s="3"/>
      <c r="WDJ53" s="3"/>
      <c r="WDK53" s="3"/>
      <c r="WDL53" s="3"/>
      <c r="WDM53" s="3"/>
      <c r="WDN53" s="3"/>
      <c r="WDO53" s="3"/>
      <c r="WDP53" s="3"/>
      <c r="WDQ53" s="3"/>
      <c r="WDR53" s="3"/>
      <c r="WDS53" s="3"/>
      <c r="WDT53" s="3"/>
      <c r="WDU53" s="3"/>
      <c r="WDV53" s="3"/>
      <c r="WDW53" s="3"/>
      <c r="WDX53" s="3"/>
      <c r="WDY53" s="3"/>
      <c r="WDZ53" s="3"/>
      <c r="WEA53" s="3"/>
      <c r="WEB53" s="3"/>
      <c r="WEC53" s="3"/>
      <c r="WED53" s="3"/>
      <c r="WEE53" s="3"/>
      <c r="WEF53" s="3"/>
      <c r="WEG53" s="3"/>
      <c r="WEH53" s="3"/>
      <c r="WEI53" s="3"/>
      <c r="WEJ53" s="3"/>
      <c r="WEK53" s="3"/>
      <c r="WEL53" s="3"/>
      <c r="WEM53" s="3"/>
      <c r="WEN53" s="3"/>
      <c r="WEO53" s="3"/>
      <c r="WEP53" s="3"/>
      <c r="WEQ53" s="3"/>
      <c r="WER53" s="3"/>
      <c r="WES53" s="3"/>
      <c r="WET53" s="3"/>
      <c r="WEU53" s="3"/>
      <c r="WEV53" s="3"/>
      <c r="WEW53" s="3"/>
      <c r="WEX53" s="3"/>
      <c r="WEY53" s="3"/>
      <c r="WEZ53" s="3"/>
      <c r="WFA53" s="3"/>
      <c r="WFB53" s="3"/>
      <c r="WFC53" s="3"/>
      <c r="WFD53" s="3"/>
      <c r="WFE53" s="3"/>
      <c r="WFF53" s="3"/>
      <c r="WFG53" s="3"/>
      <c r="WFH53" s="3"/>
      <c r="WFI53" s="3"/>
      <c r="WFJ53" s="3"/>
      <c r="WFK53" s="3"/>
      <c r="WFL53" s="3"/>
      <c r="WFM53" s="3"/>
      <c r="WFN53" s="3"/>
      <c r="WFO53" s="3"/>
      <c r="WFP53" s="3"/>
      <c r="WFQ53" s="3"/>
      <c r="WFR53" s="3"/>
      <c r="WFS53" s="3"/>
      <c r="WFT53" s="3"/>
      <c r="WFU53" s="3"/>
      <c r="WFV53" s="3"/>
      <c r="WFW53" s="3"/>
      <c r="WFX53" s="3"/>
      <c r="WFY53" s="3"/>
      <c r="WFZ53" s="3"/>
      <c r="WGA53" s="3"/>
      <c r="WGB53" s="3"/>
      <c r="WGC53" s="3"/>
      <c r="WGD53" s="3"/>
      <c r="WGE53" s="3"/>
      <c r="WGF53" s="3"/>
      <c r="WGG53" s="3"/>
      <c r="WGH53" s="3"/>
      <c r="WGI53" s="3"/>
      <c r="WGJ53" s="3"/>
      <c r="WGK53" s="3"/>
      <c r="WGL53" s="3"/>
      <c r="WGM53" s="3"/>
      <c r="WGN53" s="3"/>
      <c r="WGO53" s="3"/>
      <c r="WGP53" s="3"/>
      <c r="WGQ53" s="3"/>
      <c r="WGR53" s="3"/>
      <c r="WGS53" s="3"/>
      <c r="WGT53" s="3"/>
      <c r="WGU53" s="3"/>
      <c r="WGV53" s="3"/>
      <c r="WGW53" s="3"/>
      <c r="WGX53" s="3"/>
      <c r="WGY53" s="3"/>
      <c r="WGZ53" s="3"/>
      <c r="WHA53" s="3"/>
      <c r="WHB53" s="3"/>
      <c r="WHC53" s="3"/>
      <c r="WHD53" s="3"/>
      <c r="WHE53" s="3"/>
      <c r="WHF53" s="3"/>
      <c r="WHG53" s="3"/>
      <c r="WHH53" s="3"/>
      <c r="WHI53" s="3"/>
      <c r="WHJ53" s="3"/>
      <c r="WHK53" s="3"/>
      <c r="WHL53" s="3"/>
      <c r="WHM53" s="3"/>
      <c r="WHN53" s="3"/>
      <c r="WHO53" s="3"/>
      <c r="WHP53" s="3"/>
      <c r="WHQ53" s="3"/>
      <c r="WHR53" s="3"/>
      <c r="WHS53" s="3"/>
      <c r="WHT53" s="3"/>
      <c r="WHU53" s="3"/>
      <c r="WHV53" s="3"/>
      <c r="WHW53" s="3"/>
      <c r="WHX53" s="3"/>
      <c r="WHY53" s="3"/>
      <c r="WHZ53" s="3"/>
      <c r="WIA53" s="3"/>
      <c r="WIB53" s="3"/>
      <c r="WIC53" s="3"/>
      <c r="WID53" s="3"/>
      <c r="WIE53" s="3"/>
      <c r="WIF53" s="3"/>
      <c r="WIG53" s="3"/>
      <c r="WIH53" s="3"/>
      <c r="WII53" s="3"/>
      <c r="WIJ53" s="3"/>
      <c r="WIK53" s="3"/>
      <c r="WIL53" s="3"/>
      <c r="WIM53" s="3"/>
      <c r="WIN53" s="3"/>
      <c r="WIO53" s="3"/>
      <c r="WIP53" s="3"/>
      <c r="WIQ53" s="3"/>
      <c r="WIR53" s="3"/>
      <c r="WIS53" s="3"/>
      <c r="WIT53" s="3"/>
      <c r="WIU53" s="3"/>
      <c r="WIV53" s="3"/>
      <c r="WIW53" s="3"/>
      <c r="WIX53" s="3"/>
      <c r="WIY53" s="3"/>
      <c r="WIZ53" s="3"/>
      <c r="WJA53" s="3"/>
      <c r="WJB53" s="3"/>
      <c r="WJC53" s="3"/>
      <c r="WJD53" s="3"/>
      <c r="WJE53" s="3"/>
      <c r="WJF53" s="3"/>
      <c r="WJG53" s="3"/>
      <c r="WJH53" s="3"/>
      <c r="WJI53" s="3"/>
      <c r="WJJ53" s="3"/>
      <c r="WJK53" s="3"/>
      <c r="WJL53" s="3"/>
      <c r="WJM53" s="3"/>
      <c r="WJN53" s="3"/>
      <c r="WJO53" s="3"/>
      <c r="WJP53" s="3"/>
      <c r="WJQ53" s="3"/>
      <c r="WJR53" s="3"/>
      <c r="WJS53" s="3"/>
      <c r="WJT53" s="3"/>
      <c r="WJU53" s="3"/>
      <c r="WJV53" s="3"/>
      <c r="WJW53" s="3"/>
      <c r="WJX53" s="3"/>
      <c r="WJY53" s="3"/>
      <c r="WJZ53" s="3"/>
      <c r="WKA53" s="3"/>
      <c r="WKB53" s="3"/>
      <c r="WKC53" s="3"/>
      <c r="WKD53" s="3"/>
      <c r="WKE53" s="3"/>
      <c r="WKF53" s="3"/>
      <c r="WKG53" s="3"/>
      <c r="WKH53" s="3"/>
      <c r="WKI53" s="3"/>
      <c r="WKJ53" s="3"/>
      <c r="WKK53" s="3"/>
      <c r="WKL53" s="3"/>
      <c r="WKM53" s="3"/>
      <c r="WKN53" s="3"/>
      <c r="WKO53" s="3"/>
      <c r="WKP53" s="3"/>
      <c r="WKQ53" s="3"/>
      <c r="WKR53" s="3"/>
      <c r="WKS53" s="3"/>
      <c r="WKT53" s="3"/>
      <c r="WKU53" s="3"/>
      <c r="WKV53" s="3"/>
      <c r="WKW53" s="3"/>
      <c r="WKX53" s="3"/>
      <c r="WKY53" s="3"/>
      <c r="WKZ53" s="3"/>
      <c r="WLA53" s="3"/>
      <c r="WLB53" s="3"/>
      <c r="WLC53" s="3"/>
      <c r="WLD53" s="3"/>
      <c r="WLE53" s="3"/>
      <c r="WLF53" s="3"/>
      <c r="WLG53" s="3"/>
      <c r="WLH53" s="3"/>
      <c r="WLI53" s="3"/>
      <c r="WLJ53" s="3"/>
      <c r="WLK53" s="3"/>
      <c r="WLL53" s="3"/>
      <c r="WLM53" s="3"/>
      <c r="WLN53" s="3"/>
      <c r="WLO53" s="3"/>
      <c r="WLP53" s="3"/>
      <c r="WLQ53" s="3"/>
      <c r="WLR53" s="3"/>
      <c r="WLS53" s="3"/>
      <c r="WLT53" s="3"/>
      <c r="WLU53" s="3"/>
      <c r="WLV53" s="3"/>
      <c r="WLW53" s="3"/>
      <c r="WLX53" s="3"/>
      <c r="WLY53" s="3"/>
      <c r="WLZ53" s="3"/>
      <c r="WMA53" s="3"/>
      <c r="WMB53" s="3"/>
      <c r="WMC53" s="3"/>
      <c r="WMD53" s="3"/>
      <c r="WME53" s="3"/>
      <c r="WMF53" s="3"/>
      <c r="WMG53" s="3"/>
      <c r="WMH53" s="3"/>
      <c r="WMI53" s="3"/>
      <c r="WMJ53" s="3"/>
      <c r="WMK53" s="3"/>
      <c r="WML53" s="3"/>
      <c r="WMM53" s="3"/>
      <c r="WMN53" s="3"/>
      <c r="WMO53" s="3"/>
      <c r="WMP53" s="3"/>
      <c r="WMQ53" s="3"/>
      <c r="WMR53" s="3"/>
      <c r="WMS53" s="3"/>
      <c r="WMT53" s="3"/>
      <c r="WMU53" s="3"/>
      <c r="WMV53" s="3"/>
      <c r="WMW53" s="3"/>
      <c r="WMX53" s="3"/>
      <c r="WMY53" s="3"/>
      <c r="WMZ53" s="3"/>
      <c r="WNA53" s="3"/>
      <c r="WNB53" s="3"/>
      <c r="WNC53" s="3"/>
      <c r="WND53" s="3"/>
      <c r="WNE53" s="3"/>
      <c r="WNF53" s="3"/>
      <c r="WNG53" s="3"/>
      <c r="WNH53" s="3"/>
      <c r="WNI53" s="3"/>
      <c r="WNJ53" s="3"/>
      <c r="WNK53" s="3"/>
      <c r="WNL53" s="3"/>
      <c r="WNM53" s="3"/>
      <c r="WNN53" s="3"/>
      <c r="WNO53" s="3"/>
      <c r="WNP53" s="3"/>
      <c r="WNQ53" s="3"/>
      <c r="WNR53" s="3"/>
      <c r="WNS53" s="3"/>
      <c r="WNT53" s="3"/>
      <c r="WNU53" s="3"/>
      <c r="WNV53" s="3"/>
      <c r="WNW53" s="3"/>
      <c r="WNX53" s="3"/>
      <c r="WNY53" s="3"/>
      <c r="WNZ53" s="3"/>
      <c r="WOA53" s="3"/>
      <c r="WOB53" s="3"/>
      <c r="WOC53" s="3"/>
      <c r="WOD53" s="3"/>
      <c r="WOE53" s="3"/>
      <c r="WOF53" s="3"/>
      <c r="WOG53" s="3"/>
      <c r="WOH53" s="3"/>
      <c r="WOI53" s="3"/>
      <c r="WOJ53" s="3"/>
      <c r="WOK53" s="3"/>
      <c r="WOL53" s="3"/>
      <c r="WOM53" s="3"/>
      <c r="WON53" s="3"/>
      <c r="WOO53" s="3"/>
      <c r="WOP53" s="3"/>
      <c r="WOQ53" s="3"/>
      <c r="WOR53" s="3"/>
      <c r="WOS53" s="3"/>
      <c r="WOT53" s="3"/>
      <c r="WOU53" s="3"/>
      <c r="WOV53" s="3"/>
      <c r="WOW53" s="3"/>
      <c r="WOX53" s="3"/>
      <c r="WOY53" s="3"/>
      <c r="WOZ53" s="3"/>
      <c r="WPA53" s="3"/>
      <c r="WPB53" s="3"/>
      <c r="WPC53" s="3"/>
      <c r="WPD53" s="3"/>
      <c r="WPE53" s="3"/>
      <c r="WPF53" s="3"/>
      <c r="WPG53" s="3"/>
      <c r="WPH53" s="3"/>
      <c r="WPI53" s="3"/>
      <c r="WPJ53" s="3"/>
      <c r="WPK53" s="3"/>
      <c r="WPL53" s="3"/>
      <c r="WPM53" s="3"/>
      <c r="WPN53" s="3"/>
      <c r="WPO53" s="3"/>
      <c r="WPP53" s="3"/>
      <c r="WPQ53" s="3"/>
      <c r="WPR53" s="3"/>
      <c r="WPS53" s="3"/>
      <c r="WPT53" s="3"/>
      <c r="WPU53" s="3"/>
      <c r="WPV53" s="3"/>
      <c r="WPW53" s="3"/>
      <c r="WPX53" s="3"/>
      <c r="WPY53" s="3"/>
      <c r="WPZ53" s="3"/>
      <c r="WQA53" s="3"/>
      <c r="WQB53" s="3"/>
      <c r="WQC53" s="3"/>
      <c r="WQD53" s="3"/>
      <c r="WQE53" s="3"/>
      <c r="WQF53" s="3"/>
      <c r="WQG53" s="3"/>
      <c r="WQH53" s="3"/>
      <c r="WQI53" s="3"/>
      <c r="WQJ53" s="3"/>
      <c r="WQK53" s="3"/>
      <c r="WQL53" s="3"/>
      <c r="WQM53" s="3"/>
      <c r="WQN53" s="3"/>
      <c r="WQO53" s="3"/>
      <c r="WQP53" s="3"/>
      <c r="WQQ53" s="3"/>
      <c r="WQR53" s="3"/>
      <c r="WQS53" s="3"/>
      <c r="WQT53" s="3"/>
      <c r="WQU53" s="3"/>
      <c r="WQV53" s="3"/>
      <c r="WQW53" s="3"/>
      <c r="WQX53" s="3"/>
      <c r="WQY53" s="3"/>
      <c r="WQZ53" s="3"/>
      <c r="WRA53" s="3"/>
      <c r="WRB53" s="3"/>
      <c r="WRC53" s="3"/>
      <c r="WRD53" s="3"/>
      <c r="WRE53" s="3"/>
      <c r="WRF53" s="3"/>
      <c r="WRG53" s="3"/>
      <c r="WRH53" s="3"/>
      <c r="WRI53" s="3"/>
      <c r="WRJ53" s="3"/>
      <c r="WRK53" s="3"/>
      <c r="WRL53" s="3"/>
      <c r="WRM53" s="3"/>
      <c r="WRN53" s="3"/>
      <c r="WRO53" s="3"/>
      <c r="WRP53" s="3"/>
      <c r="WRQ53" s="3"/>
      <c r="WRR53" s="3"/>
      <c r="WRS53" s="3"/>
      <c r="WRT53" s="3"/>
      <c r="WRU53" s="3"/>
      <c r="WRV53" s="3"/>
      <c r="WRW53" s="3"/>
      <c r="WRX53" s="3"/>
      <c r="WRY53" s="3"/>
      <c r="WRZ53" s="3"/>
      <c r="WSA53" s="3"/>
      <c r="WSB53" s="3"/>
      <c r="WSC53" s="3"/>
      <c r="WSD53" s="3"/>
      <c r="WSE53" s="3"/>
      <c r="WSF53" s="3"/>
      <c r="WSG53" s="3"/>
      <c r="WSH53" s="3"/>
      <c r="WSI53" s="3"/>
      <c r="WSJ53" s="3"/>
      <c r="WSK53" s="3"/>
      <c r="WSL53" s="3"/>
      <c r="WSM53" s="3"/>
      <c r="WSN53" s="3"/>
      <c r="WSO53" s="3"/>
      <c r="WSP53" s="3"/>
      <c r="WSQ53" s="3"/>
      <c r="WSR53" s="3"/>
      <c r="WSS53" s="3"/>
      <c r="WST53" s="3"/>
      <c r="WSU53" s="3"/>
      <c r="WSV53" s="3"/>
      <c r="WSW53" s="3"/>
      <c r="WSX53" s="3"/>
      <c r="WSY53" s="3"/>
      <c r="WSZ53" s="3"/>
      <c r="WTA53" s="3"/>
      <c r="WTB53" s="3"/>
      <c r="WTC53" s="3"/>
      <c r="WTD53" s="3"/>
      <c r="WTE53" s="3"/>
      <c r="WTF53" s="3"/>
      <c r="WTG53" s="3"/>
      <c r="WTH53" s="3"/>
      <c r="WTI53" s="3"/>
      <c r="WTJ53" s="3"/>
      <c r="WTK53" s="3"/>
      <c r="WTL53" s="3"/>
      <c r="WTM53" s="3"/>
      <c r="WTN53" s="3"/>
      <c r="WTO53" s="3"/>
      <c r="WTP53" s="3"/>
    </row>
    <row r="54" spans="1:16084" hidden="1" x14ac:dyDescent="0.25">
      <c r="A54" s="9" t="s">
        <v>239</v>
      </c>
      <c r="B54" s="9"/>
      <c r="C54" s="10" t="s">
        <v>240</v>
      </c>
      <c r="D54" s="11" t="s">
        <v>241</v>
      </c>
      <c r="E54" s="12">
        <v>51758</v>
      </c>
      <c r="F54" s="16" t="s">
        <v>55</v>
      </c>
      <c r="G54" s="9" t="s">
        <v>242</v>
      </c>
      <c r="H54" s="9"/>
      <c r="I54" s="10"/>
      <c r="J54" s="11"/>
    </row>
    <row r="55" spans="1:16084" hidden="1" x14ac:dyDescent="0.25">
      <c r="A55" s="2" t="s">
        <v>243</v>
      </c>
      <c r="B55" s="2" t="s">
        <v>244</v>
      </c>
      <c r="C55" s="5" t="s">
        <v>245</v>
      </c>
      <c r="D55" s="2" t="s">
        <v>246</v>
      </c>
      <c r="E55" s="1">
        <v>52724</v>
      </c>
      <c r="F55" s="15" t="s">
        <v>55</v>
      </c>
      <c r="G55" s="2" t="s">
        <v>247</v>
      </c>
      <c r="H55" s="2" t="s">
        <v>248</v>
      </c>
      <c r="I55" s="5" t="s">
        <v>249</v>
      </c>
    </row>
    <row r="56" spans="1:16084" hidden="1" x14ac:dyDescent="0.25">
      <c r="A56" s="9" t="s">
        <v>250</v>
      </c>
      <c r="B56" s="9" t="s">
        <v>251</v>
      </c>
      <c r="C56" s="10" t="s">
        <v>252</v>
      </c>
      <c r="D56" s="11" t="s">
        <v>253</v>
      </c>
      <c r="E56" s="12">
        <v>51328</v>
      </c>
      <c r="F56" s="16"/>
      <c r="G56" s="9"/>
      <c r="H56" s="9"/>
      <c r="I56" s="10"/>
      <c r="J56" s="11"/>
    </row>
    <row r="57" spans="1:16084" hidden="1" x14ac:dyDescent="0.25">
      <c r="A57" s="2" t="s">
        <v>254</v>
      </c>
      <c r="B57" s="2" t="s">
        <v>255</v>
      </c>
      <c r="D57" s="2" t="s">
        <v>256</v>
      </c>
      <c r="E57" s="1">
        <v>43821</v>
      </c>
      <c r="F57" s="15"/>
      <c r="I57" s="5"/>
    </row>
    <row r="58" spans="1:16084" x14ac:dyDescent="0.25">
      <c r="A58" s="9" t="s">
        <v>257</v>
      </c>
      <c r="B58" s="9" t="s">
        <v>251</v>
      </c>
      <c r="C58" s="10" t="s">
        <v>258</v>
      </c>
      <c r="D58" s="11" t="s">
        <v>259</v>
      </c>
      <c r="E58" s="12">
        <v>49817</v>
      </c>
      <c r="F58" s="16" t="s">
        <v>55</v>
      </c>
      <c r="G58" s="9" t="s">
        <v>260</v>
      </c>
      <c r="H58" s="2" t="s">
        <v>540</v>
      </c>
      <c r="I58" s="2" t="s">
        <v>544</v>
      </c>
      <c r="J58" s="2" t="s">
        <v>541</v>
      </c>
      <c r="K58" s="2" t="s">
        <v>573</v>
      </c>
    </row>
    <row r="59" spans="1:16084" hidden="1" x14ac:dyDescent="0.25">
      <c r="A59" s="2" t="s">
        <v>261</v>
      </c>
      <c r="B59" s="2" t="s">
        <v>255</v>
      </c>
      <c r="D59" s="2" t="s">
        <v>262</v>
      </c>
      <c r="E59" s="1">
        <v>46409</v>
      </c>
      <c r="F59" s="15"/>
      <c r="I59" s="5"/>
    </row>
    <row r="60" spans="1:16084" x14ac:dyDescent="0.25">
      <c r="A60" s="9" t="s">
        <v>263</v>
      </c>
      <c r="B60" s="9" t="s">
        <v>264</v>
      </c>
      <c r="C60" s="10" t="s">
        <v>265</v>
      </c>
      <c r="D60" s="11" t="s">
        <v>266</v>
      </c>
      <c r="E60" s="12">
        <v>45965</v>
      </c>
      <c r="F60" s="16" t="s">
        <v>38</v>
      </c>
      <c r="G60" s="9" t="s">
        <v>538</v>
      </c>
      <c r="H60" s="10" t="s">
        <v>267</v>
      </c>
      <c r="J60" s="11"/>
    </row>
    <row r="61" spans="1:16084" x14ac:dyDescent="0.25">
      <c r="A61" s="2" t="s">
        <v>268</v>
      </c>
      <c r="B61" s="2" t="s">
        <v>264</v>
      </c>
      <c r="E61" s="1">
        <v>45965</v>
      </c>
      <c r="F61" s="15" t="s">
        <v>25</v>
      </c>
      <c r="G61" s="2" t="s">
        <v>269</v>
      </c>
      <c r="H61" s="2" t="s">
        <v>270</v>
      </c>
      <c r="I61" s="5"/>
    </row>
    <row r="62" spans="1:16084" hidden="1" x14ac:dyDescent="0.25">
      <c r="A62" s="9" t="s">
        <v>271</v>
      </c>
      <c r="B62" s="9" t="s">
        <v>272</v>
      </c>
      <c r="C62" s="10" t="s">
        <v>273</v>
      </c>
      <c r="D62" s="11" t="s">
        <v>274</v>
      </c>
      <c r="E62" s="12">
        <v>45965</v>
      </c>
      <c r="F62" s="16"/>
      <c r="G62" s="9" t="s">
        <v>275</v>
      </c>
      <c r="H62" s="9" t="s">
        <v>276</v>
      </c>
      <c r="I62" s="10"/>
      <c r="J62" s="11"/>
    </row>
    <row r="63" spans="1:16084" x14ac:dyDescent="0.25">
      <c r="A63" s="2" t="s">
        <v>277</v>
      </c>
      <c r="B63" s="2" t="s">
        <v>278</v>
      </c>
      <c r="C63" s="5" t="s">
        <v>279</v>
      </c>
      <c r="D63" s="2" t="s">
        <v>280</v>
      </c>
      <c r="E63" s="1">
        <v>51319</v>
      </c>
      <c r="F63" s="15" t="s">
        <v>38</v>
      </c>
      <c r="G63" s="2" t="s">
        <v>281</v>
      </c>
      <c r="I63" s="5"/>
    </row>
    <row r="64" spans="1:16084" hidden="1" x14ac:dyDescent="0.25">
      <c r="A64" s="9" t="s">
        <v>282</v>
      </c>
      <c r="B64" s="9" t="s">
        <v>283</v>
      </c>
      <c r="C64" s="10" t="s">
        <v>284</v>
      </c>
      <c r="D64" s="11" t="s">
        <v>285</v>
      </c>
      <c r="E64" s="12">
        <v>45965</v>
      </c>
      <c r="F64" s="16"/>
      <c r="G64" s="9"/>
      <c r="H64" s="9"/>
      <c r="I64" s="10"/>
      <c r="J64" s="11"/>
      <c r="L64" s="2" t="s">
        <v>87</v>
      </c>
    </row>
    <row r="65" spans="1:10" hidden="1" x14ac:dyDescent="0.25">
      <c r="A65" s="2" t="s">
        <v>286</v>
      </c>
      <c r="B65" s="2" t="s">
        <v>287</v>
      </c>
      <c r="C65" s="5" t="s">
        <v>288</v>
      </c>
      <c r="D65" s="2" t="s">
        <v>289</v>
      </c>
      <c r="E65" s="1">
        <v>45965</v>
      </c>
      <c r="F65" s="15"/>
      <c r="I65" s="5"/>
    </row>
    <row r="66" spans="1:10" hidden="1" x14ac:dyDescent="0.25">
      <c r="A66" s="9" t="s">
        <v>290</v>
      </c>
      <c r="B66" s="9" t="s">
        <v>291</v>
      </c>
      <c r="C66" s="10" t="s">
        <v>292</v>
      </c>
      <c r="D66" s="11" t="s">
        <v>293</v>
      </c>
      <c r="E66" s="12">
        <v>45965</v>
      </c>
      <c r="F66" s="16" t="s">
        <v>38</v>
      </c>
      <c r="G66" s="9" t="s">
        <v>294</v>
      </c>
      <c r="H66" s="9" t="s">
        <v>295</v>
      </c>
      <c r="I66" s="10" t="s">
        <v>296</v>
      </c>
      <c r="J66" s="11"/>
    </row>
    <row r="67" spans="1:10" hidden="1" x14ac:dyDescent="0.25">
      <c r="A67" s="2" t="s">
        <v>297</v>
      </c>
      <c r="B67" s="2" t="s">
        <v>298</v>
      </c>
      <c r="C67" s="5" t="s">
        <v>299</v>
      </c>
      <c r="D67" s="2" t="s">
        <v>300</v>
      </c>
      <c r="E67" s="1">
        <v>45965</v>
      </c>
      <c r="F67" s="15"/>
      <c r="I67" s="5"/>
    </row>
    <row r="68" spans="1:10" hidden="1" x14ac:dyDescent="0.25">
      <c r="A68" s="9" t="s">
        <v>301</v>
      </c>
      <c r="B68" s="9" t="s">
        <v>302</v>
      </c>
      <c r="C68" s="10" t="s">
        <v>303</v>
      </c>
      <c r="D68" s="11" t="s">
        <v>304</v>
      </c>
      <c r="E68" s="12">
        <v>50965</v>
      </c>
      <c r="F68" s="16" t="s">
        <v>38</v>
      </c>
      <c r="G68" s="9" t="s">
        <v>305</v>
      </c>
      <c r="H68" s="9" t="s">
        <v>306</v>
      </c>
      <c r="I68" s="10"/>
      <c r="J68" s="11"/>
    </row>
    <row r="69" spans="1:10" hidden="1" x14ac:dyDescent="0.25">
      <c r="A69" s="2" t="s">
        <v>307</v>
      </c>
      <c r="B69" s="2" t="s">
        <v>308</v>
      </c>
      <c r="C69" s="5" t="s">
        <v>309</v>
      </c>
      <c r="D69" s="2" t="s">
        <v>310</v>
      </c>
      <c r="E69" s="1">
        <v>43809</v>
      </c>
      <c r="F69" s="15" t="s">
        <v>38</v>
      </c>
      <c r="G69" s="2" t="s">
        <v>311</v>
      </c>
      <c r="H69" s="2" t="s">
        <v>312</v>
      </c>
      <c r="I69" s="5" t="s">
        <v>313</v>
      </c>
    </row>
    <row r="70" spans="1:10" hidden="1" x14ac:dyDescent="0.25">
      <c r="A70" s="9" t="s">
        <v>314</v>
      </c>
      <c r="B70" s="9" t="s">
        <v>315</v>
      </c>
      <c r="C70" s="10" t="s">
        <v>316</v>
      </c>
      <c r="D70" s="11" t="s">
        <v>317</v>
      </c>
      <c r="E70" s="12" t="s">
        <v>318</v>
      </c>
      <c r="F70" s="16"/>
      <c r="G70" s="9"/>
      <c r="H70" s="9"/>
      <c r="I70" s="10"/>
      <c r="J70" s="11"/>
    </row>
    <row r="71" spans="1:10" hidden="1" x14ac:dyDescent="0.25">
      <c r="A71" s="2" t="s">
        <v>319</v>
      </c>
      <c r="B71" s="2" t="s">
        <v>320</v>
      </c>
      <c r="C71" s="5" t="s">
        <v>321</v>
      </c>
      <c r="D71" s="2" t="s">
        <v>322</v>
      </c>
      <c r="E71" s="1">
        <v>44294</v>
      </c>
      <c r="F71" s="15"/>
      <c r="I71" s="5"/>
    </row>
    <row r="72" spans="1:10" hidden="1" x14ac:dyDescent="0.25">
      <c r="A72" s="9" t="s">
        <v>323</v>
      </c>
      <c r="B72" s="9" t="s">
        <v>324</v>
      </c>
      <c r="C72" s="10" t="s">
        <v>325</v>
      </c>
      <c r="D72" s="11" t="s">
        <v>326</v>
      </c>
      <c r="E72" s="12">
        <v>51381</v>
      </c>
      <c r="F72" s="16"/>
      <c r="G72" s="9"/>
      <c r="H72" s="9"/>
      <c r="I72" s="10"/>
      <c r="J72" s="11"/>
    </row>
    <row r="73" spans="1:10" hidden="1" x14ac:dyDescent="0.25">
      <c r="A73" s="2" t="s">
        <v>327</v>
      </c>
      <c r="B73" s="2" t="s">
        <v>328</v>
      </c>
      <c r="C73" s="5" t="s">
        <v>329</v>
      </c>
      <c r="D73" s="2" t="s">
        <v>330</v>
      </c>
      <c r="E73" s="1" t="s">
        <v>331</v>
      </c>
      <c r="F73" s="15"/>
      <c r="I73" s="5"/>
    </row>
    <row r="74" spans="1:10" hidden="1" x14ac:dyDescent="0.25">
      <c r="A74" s="9" t="s">
        <v>332</v>
      </c>
      <c r="B74" s="9" t="s">
        <v>320</v>
      </c>
      <c r="C74" s="10" t="s">
        <v>321</v>
      </c>
      <c r="D74" s="11" t="s">
        <v>333</v>
      </c>
      <c r="E74" s="12">
        <v>45967</v>
      </c>
      <c r="F74" s="16"/>
      <c r="G74" s="9"/>
      <c r="H74" s="9"/>
      <c r="I74" s="10"/>
      <c r="J74" s="11"/>
    </row>
    <row r="75" spans="1:10" x14ac:dyDescent="0.25">
      <c r="A75" s="2" t="s">
        <v>334</v>
      </c>
      <c r="B75" s="2" t="s">
        <v>206</v>
      </c>
      <c r="C75" s="5" t="s">
        <v>207</v>
      </c>
      <c r="D75" s="2" t="s">
        <v>208</v>
      </c>
      <c r="E75" s="1">
        <v>43551</v>
      </c>
      <c r="F75" s="15" t="s">
        <v>50</v>
      </c>
      <c r="G75" s="2" t="s">
        <v>335</v>
      </c>
      <c r="I75" s="5"/>
    </row>
    <row r="76" spans="1:10" x14ac:dyDescent="0.25">
      <c r="A76" s="9" t="s">
        <v>336</v>
      </c>
      <c r="B76" s="9" t="s">
        <v>337</v>
      </c>
      <c r="C76" s="10" t="s">
        <v>338</v>
      </c>
      <c r="D76" s="11" t="s">
        <v>339</v>
      </c>
      <c r="E76" s="12">
        <v>42726</v>
      </c>
      <c r="F76" s="16" t="s">
        <v>38</v>
      </c>
      <c r="G76" s="9" t="s">
        <v>340</v>
      </c>
      <c r="H76" s="9" t="s">
        <v>341</v>
      </c>
      <c r="I76" s="10"/>
      <c r="J76" s="11"/>
    </row>
    <row r="77" spans="1:10" x14ac:dyDescent="0.25">
      <c r="A77" s="2" t="s">
        <v>342</v>
      </c>
      <c r="B77" s="2" t="s">
        <v>343</v>
      </c>
      <c r="C77" s="5" t="s">
        <v>344</v>
      </c>
      <c r="D77" s="2" t="s">
        <v>345</v>
      </c>
      <c r="E77" s="1" t="s">
        <v>346</v>
      </c>
      <c r="F77" s="15"/>
      <c r="I77" s="5"/>
    </row>
    <row r="78" spans="1:10" x14ac:dyDescent="0.25">
      <c r="A78" s="9" t="s">
        <v>347</v>
      </c>
      <c r="B78" s="9" t="s">
        <v>348</v>
      </c>
      <c r="C78" s="10" t="s">
        <v>349</v>
      </c>
      <c r="D78" s="11" t="s">
        <v>350</v>
      </c>
      <c r="E78" s="12">
        <v>50223</v>
      </c>
      <c r="F78" s="16" t="s">
        <v>50</v>
      </c>
      <c r="G78" s="9" t="s">
        <v>351</v>
      </c>
      <c r="H78" s="9" t="s">
        <v>564</v>
      </c>
      <c r="I78" s="10"/>
      <c r="J78" s="11"/>
    </row>
    <row r="79" spans="1:10" hidden="1" x14ac:dyDescent="0.25">
      <c r="A79" s="2" t="s">
        <v>352</v>
      </c>
      <c r="B79" s="2" t="s">
        <v>353</v>
      </c>
      <c r="C79" s="5" t="s">
        <v>354</v>
      </c>
      <c r="D79" s="2" t="s">
        <v>355</v>
      </c>
      <c r="E79" s="1">
        <v>55557</v>
      </c>
      <c r="F79" s="15" t="s">
        <v>13</v>
      </c>
      <c r="I79" s="5"/>
    </row>
    <row r="80" spans="1:10" hidden="1" x14ac:dyDescent="0.25">
      <c r="A80" s="9" t="s">
        <v>356</v>
      </c>
      <c r="B80" s="9" t="s">
        <v>357</v>
      </c>
      <c r="C80" s="10" t="s">
        <v>358</v>
      </c>
      <c r="D80" s="11" t="s">
        <v>359</v>
      </c>
      <c r="E80" s="12">
        <v>43720</v>
      </c>
      <c r="F80" s="16"/>
      <c r="G80" s="9"/>
      <c r="H80" s="9"/>
      <c r="I80" s="10"/>
      <c r="J80" s="11"/>
    </row>
    <row r="81" spans="1:10" x14ac:dyDescent="0.25">
      <c r="A81" s="2" t="s">
        <v>360</v>
      </c>
      <c r="B81" s="2" t="s">
        <v>361</v>
      </c>
      <c r="C81" s="5" t="s">
        <v>358</v>
      </c>
      <c r="D81" s="2" t="s">
        <v>359</v>
      </c>
      <c r="E81" s="1">
        <v>43713</v>
      </c>
      <c r="F81" s="15" t="s">
        <v>38</v>
      </c>
      <c r="G81" s="2" t="s">
        <v>362</v>
      </c>
      <c r="I81" s="5"/>
    </row>
    <row r="82" spans="1:10" hidden="1" x14ac:dyDescent="0.25">
      <c r="A82" s="9" t="s">
        <v>363</v>
      </c>
      <c r="B82" s="9"/>
      <c r="C82" s="10" t="s">
        <v>365</v>
      </c>
      <c r="D82" s="11" t="s">
        <v>366</v>
      </c>
      <c r="E82" s="12">
        <v>43555</v>
      </c>
      <c r="F82" s="16"/>
      <c r="G82" s="9"/>
      <c r="H82" s="9"/>
      <c r="I82" s="10"/>
      <c r="J82" s="11"/>
    </row>
    <row r="83" spans="1:10" hidden="1" x14ac:dyDescent="0.25">
      <c r="A83" s="2" t="s">
        <v>363</v>
      </c>
      <c r="C83" s="5" t="s">
        <v>367</v>
      </c>
      <c r="D83" s="2" t="s">
        <v>368</v>
      </c>
      <c r="E83" s="1">
        <v>43556</v>
      </c>
      <c r="F83" s="15"/>
      <c r="I83" s="5"/>
    </row>
    <row r="84" spans="1:10" hidden="1" x14ac:dyDescent="0.25">
      <c r="A84" s="9" t="s">
        <v>363</v>
      </c>
      <c r="B84" s="9"/>
      <c r="C84" s="10" t="s">
        <v>369</v>
      </c>
      <c r="D84" s="11" t="s">
        <v>370</v>
      </c>
      <c r="E84" s="12">
        <v>43557</v>
      </c>
      <c r="F84" s="16"/>
      <c r="G84" s="9"/>
      <c r="H84" s="9"/>
      <c r="I84" s="10"/>
      <c r="J84" s="11"/>
    </row>
    <row r="85" spans="1:10" hidden="1" x14ac:dyDescent="0.25">
      <c r="A85" s="2" t="s">
        <v>371</v>
      </c>
      <c r="C85" s="5" t="s">
        <v>372</v>
      </c>
      <c r="D85" s="2" t="s">
        <v>373</v>
      </c>
      <c r="E85" s="1">
        <v>52924</v>
      </c>
      <c r="F85" s="15" t="s">
        <v>38</v>
      </c>
      <c r="G85" s="2" t="s">
        <v>374</v>
      </c>
      <c r="I85" s="5"/>
    </row>
    <row r="86" spans="1:10" x14ac:dyDescent="0.25">
      <c r="A86" s="9" t="s">
        <v>375</v>
      </c>
      <c r="B86" s="9" t="s">
        <v>633</v>
      </c>
      <c r="C86" s="10"/>
      <c r="D86" s="11"/>
      <c r="E86" s="12">
        <v>50215</v>
      </c>
      <c r="F86" s="16" t="s">
        <v>50</v>
      </c>
      <c r="G86" s="9" t="s">
        <v>545</v>
      </c>
      <c r="H86" s="9" t="s">
        <v>376</v>
      </c>
      <c r="I86" s="10"/>
      <c r="J86" s="11"/>
    </row>
    <row r="87" spans="1:10" hidden="1" x14ac:dyDescent="0.25">
      <c r="A87" s="2" t="s">
        <v>377</v>
      </c>
      <c r="B87" s="2" t="s">
        <v>364</v>
      </c>
      <c r="C87" s="5" t="s">
        <v>358</v>
      </c>
      <c r="D87" s="2" t="s">
        <v>359</v>
      </c>
      <c r="E87" s="1">
        <v>43715</v>
      </c>
      <c r="F87" s="15"/>
      <c r="I87" s="5"/>
    </row>
    <row r="88" spans="1:10" hidden="1" x14ac:dyDescent="0.25">
      <c r="A88" s="9" t="s">
        <v>378</v>
      </c>
      <c r="B88" s="9" t="s">
        <v>364</v>
      </c>
      <c r="C88" s="10" t="s">
        <v>379</v>
      </c>
      <c r="D88" s="11" t="s">
        <v>380</v>
      </c>
      <c r="E88" s="12">
        <v>48602</v>
      </c>
      <c r="F88" s="16"/>
      <c r="G88" s="9"/>
      <c r="H88" s="9"/>
      <c r="I88" s="10"/>
      <c r="J88" s="11"/>
    </row>
    <row r="89" spans="1:10" hidden="1" x14ac:dyDescent="0.25">
      <c r="A89" s="2" t="s">
        <v>381</v>
      </c>
      <c r="B89" s="2" t="s">
        <v>364</v>
      </c>
      <c r="C89" s="5" t="s">
        <v>358</v>
      </c>
      <c r="D89" s="2" t="s">
        <v>359</v>
      </c>
      <c r="E89" s="1">
        <v>43714</v>
      </c>
      <c r="F89" s="15"/>
      <c r="I89" s="5"/>
    </row>
    <row r="90" spans="1:10" x14ac:dyDescent="0.25">
      <c r="A90" s="9" t="s">
        <v>382</v>
      </c>
      <c r="B90" s="9" t="s">
        <v>364</v>
      </c>
      <c r="C90" s="10" t="s">
        <v>358</v>
      </c>
      <c r="D90" s="11" t="s">
        <v>383</v>
      </c>
      <c r="E90" s="12">
        <v>43712</v>
      </c>
      <c r="F90" s="16" t="s">
        <v>143</v>
      </c>
      <c r="G90" s="9" t="s">
        <v>384</v>
      </c>
      <c r="H90" s="9"/>
      <c r="I90" s="10"/>
      <c r="J90" s="11"/>
    </row>
    <row r="91" spans="1:10" hidden="1" x14ac:dyDescent="0.25">
      <c r="A91" s="2" t="s">
        <v>382</v>
      </c>
      <c r="B91" s="2" t="s">
        <v>357</v>
      </c>
      <c r="C91" s="5" t="s">
        <v>358</v>
      </c>
      <c r="D91" s="2" t="s">
        <v>359</v>
      </c>
      <c r="E91" s="1">
        <v>43717</v>
      </c>
      <c r="F91" s="15"/>
      <c r="I91" s="5"/>
    </row>
    <row r="92" spans="1:10" hidden="1" x14ac:dyDescent="0.25">
      <c r="A92" s="9" t="s">
        <v>385</v>
      </c>
      <c r="B92" s="9" t="s">
        <v>364</v>
      </c>
      <c r="C92" s="10" t="s">
        <v>358</v>
      </c>
      <c r="D92" s="11" t="s">
        <v>383</v>
      </c>
      <c r="E92" s="12">
        <v>43711</v>
      </c>
      <c r="F92" s="16"/>
      <c r="G92" s="9"/>
      <c r="H92" s="9"/>
      <c r="I92" s="10"/>
      <c r="J92" s="11"/>
    </row>
    <row r="93" spans="1:10" hidden="1" x14ac:dyDescent="0.25">
      <c r="A93" s="2" t="s">
        <v>385</v>
      </c>
      <c r="B93" s="2" t="s">
        <v>357</v>
      </c>
      <c r="C93" s="5" t="s">
        <v>358</v>
      </c>
      <c r="D93" s="2" t="s">
        <v>359</v>
      </c>
      <c r="E93" s="1">
        <v>43718</v>
      </c>
      <c r="F93" s="15"/>
      <c r="I93" s="5"/>
    </row>
    <row r="94" spans="1:10" hidden="1" x14ac:dyDescent="0.25">
      <c r="A94" s="9" t="s">
        <v>386</v>
      </c>
      <c r="B94" s="9" t="s">
        <v>357</v>
      </c>
      <c r="C94" s="10" t="s">
        <v>358</v>
      </c>
      <c r="D94" s="11" t="s">
        <v>359</v>
      </c>
      <c r="E94" s="12">
        <v>43719</v>
      </c>
      <c r="F94" s="16"/>
      <c r="G94" s="9"/>
      <c r="H94" s="9"/>
      <c r="I94" s="10"/>
      <c r="J94" s="11"/>
    </row>
    <row r="95" spans="1:10" s="26" customFormat="1" hidden="1" x14ac:dyDescent="0.25">
      <c r="A95" s="26" t="s">
        <v>387</v>
      </c>
      <c r="B95" s="26" t="s">
        <v>539</v>
      </c>
      <c r="C95" s="27" t="s">
        <v>388</v>
      </c>
      <c r="D95" s="26" t="s">
        <v>389</v>
      </c>
      <c r="E95" s="26">
        <v>50782</v>
      </c>
      <c r="F95" s="28" t="s">
        <v>143</v>
      </c>
      <c r="G95" s="26" t="s">
        <v>390</v>
      </c>
      <c r="H95" s="26" t="s">
        <v>391</v>
      </c>
      <c r="I95" s="27"/>
    </row>
    <row r="96" spans="1:10" hidden="1" x14ac:dyDescent="0.25">
      <c r="A96" s="9" t="s">
        <v>392</v>
      </c>
      <c r="B96" s="9" t="s">
        <v>393</v>
      </c>
      <c r="C96" s="10" t="s">
        <v>394</v>
      </c>
      <c r="D96" s="11" t="s">
        <v>395</v>
      </c>
      <c r="E96" s="12">
        <v>43702</v>
      </c>
      <c r="F96" s="16"/>
      <c r="G96" s="9"/>
      <c r="H96" s="9"/>
      <c r="I96" s="10"/>
      <c r="J96" s="11"/>
    </row>
    <row r="97" spans="1:10" hidden="1" x14ac:dyDescent="0.25">
      <c r="A97" s="2" t="s">
        <v>396</v>
      </c>
      <c r="B97" s="2" t="s">
        <v>397</v>
      </c>
      <c r="C97" s="5" t="s">
        <v>398</v>
      </c>
      <c r="D97" s="2" t="s">
        <v>399</v>
      </c>
      <c r="E97" s="1">
        <v>44015</v>
      </c>
      <c r="F97" s="15"/>
      <c r="I97" s="5"/>
    </row>
    <row r="98" spans="1:10" x14ac:dyDescent="0.25">
      <c r="A98" s="9" t="s">
        <v>400</v>
      </c>
      <c r="B98" s="9" t="s">
        <v>401</v>
      </c>
      <c r="C98" s="10" t="s">
        <v>402</v>
      </c>
      <c r="D98" s="11" t="s">
        <v>359</v>
      </c>
      <c r="E98" s="12">
        <v>43565</v>
      </c>
      <c r="F98" s="16" t="s">
        <v>55</v>
      </c>
      <c r="G98" s="9" t="s">
        <v>403</v>
      </c>
      <c r="H98" s="9" t="s">
        <v>571</v>
      </c>
      <c r="I98" s="10"/>
      <c r="J98" s="11"/>
    </row>
    <row r="99" spans="1:10" x14ac:dyDescent="0.25">
      <c r="A99" s="2" t="s">
        <v>404</v>
      </c>
      <c r="B99" s="2" t="s">
        <v>397</v>
      </c>
      <c r="C99" s="5" t="s">
        <v>398</v>
      </c>
      <c r="D99" s="2" t="s">
        <v>405</v>
      </c>
      <c r="E99" s="1">
        <v>46207</v>
      </c>
      <c r="F99" s="15" t="s">
        <v>143</v>
      </c>
      <c r="G99" s="2" t="s">
        <v>406</v>
      </c>
      <c r="I99" s="5"/>
    </row>
    <row r="100" spans="1:10" x14ac:dyDescent="0.25">
      <c r="A100" s="9" t="s">
        <v>407</v>
      </c>
      <c r="B100" s="9" t="s">
        <v>408</v>
      </c>
      <c r="C100" s="10" t="s">
        <v>409</v>
      </c>
      <c r="D100" s="11" t="s">
        <v>410</v>
      </c>
      <c r="E100" s="12">
        <v>46782</v>
      </c>
      <c r="F100" s="16" t="s">
        <v>38</v>
      </c>
      <c r="G100" s="9" t="s">
        <v>411</v>
      </c>
      <c r="H100" s="9" t="s">
        <v>412</v>
      </c>
      <c r="I100" s="10"/>
      <c r="J100" s="11"/>
    </row>
    <row r="101" spans="1:10" x14ac:dyDescent="0.25">
      <c r="A101" s="2" t="s">
        <v>413</v>
      </c>
      <c r="B101" s="2" t="s">
        <v>414</v>
      </c>
      <c r="C101" s="5" t="s">
        <v>415</v>
      </c>
      <c r="D101" s="2" t="s">
        <v>416</v>
      </c>
      <c r="E101" s="1">
        <v>56896</v>
      </c>
      <c r="F101" s="15" t="s">
        <v>38</v>
      </c>
      <c r="G101" s="2" t="s">
        <v>417</v>
      </c>
      <c r="H101" s="2" t="s">
        <v>418</v>
      </c>
      <c r="I101" s="5"/>
    </row>
    <row r="102" spans="1:10" x14ac:dyDescent="0.25">
      <c r="A102" s="9" t="s">
        <v>419</v>
      </c>
      <c r="B102" s="9" t="s">
        <v>420</v>
      </c>
      <c r="C102" s="10" t="s">
        <v>421</v>
      </c>
      <c r="D102" s="11" t="s">
        <v>422</v>
      </c>
      <c r="E102" s="12">
        <v>48379</v>
      </c>
      <c r="F102" s="16" t="s">
        <v>38</v>
      </c>
      <c r="G102" s="9" t="s">
        <v>634</v>
      </c>
      <c r="H102" s="9" t="s">
        <v>635</v>
      </c>
      <c r="I102" s="10"/>
      <c r="J102" s="11"/>
    </row>
    <row r="103" spans="1:10" x14ac:dyDescent="0.25">
      <c r="A103" s="2" t="s">
        <v>423</v>
      </c>
      <c r="B103" s="2" t="s">
        <v>424</v>
      </c>
      <c r="C103" s="5" t="s">
        <v>425</v>
      </c>
      <c r="D103" s="2" t="s">
        <v>426</v>
      </c>
      <c r="E103" s="1">
        <v>47718</v>
      </c>
      <c r="F103" s="15" t="s">
        <v>50</v>
      </c>
      <c r="G103" s="2" t="s">
        <v>542</v>
      </c>
      <c r="H103" s="2" t="s">
        <v>427</v>
      </c>
      <c r="I103" s="5" t="s">
        <v>543</v>
      </c>
    </row>
    <row r="104" spans="1:10" x14ac:dyDescent="0.25">
      <c r="A104" s="9" t="s">
        <v>536</v>
      </c>
      <c r="B104" s="9" t="s">
        <v>537</v>
      </c>
      <c r="C104" s="10"/>
      <c r="D104" s="11"/>
      <c r="E104" s="12">
        <v>56774</v>
      </c>
      <c r="F104" s="16"/>
      <c r="G104" s="9" t="s">
        <v>546</v>
      </c>
      <c r="H104" s="9"/>
      <c r="I104" s="10"/>
      <c r="J104" s="11"/>
    </row>
    <row r="105" spans="1:10" x14ac:dyDescent="0.25">
      <c r="A105" s="2" t="s">
        <v>428</v>
      </c>
      <c r="B105" s="2" t="s">
        <v>429</v>
      </c>
      <c r="C105" s="5" t="s">
        <v>430</v>
      </c>
      <c r="D105" s="2" t="s">
        <v>431</v>
      </c>
      <c r="E105" s="1">
        <v>43888</v>
      </c>
      <c r="F105" s="15"/>
      <c r="I105" s="5"/>
    </row>
    <row r="106" spans="1:10" x14ac:dyDescent="0.25">
      <c r="A106" s="9" t="s">
        <v>432</v>
      </c>
      <c r="B106" s="9" t="s">
        <v>433</v>
      </c>
      <c r="C106" s="10" t="s">
        <v>434</v>
      </c>
      <c r="D106" s="11" t="s">
        <v>435</v>
      </c>
      <c r="E106" s="12" t="s">
        <v>436</v>
      </c>
      <c r="F106" s="16" t="s">
        <v>50</v>
      </c>
      <c r="G106" s="9" t="s">
        <v>437</v>
      </c>
      <c r="H106" s="9" t="s">
        <v>438</v>
      </c>
      <c r="I106" s="10"/>
      <c r="J106" s="11"/>
    </row>
    <row r="107" spans="1:10" x14ac:dyDescent="0.25">
      <c r="A107" s="2" t="s">
        <v>439</v>
      </c>
      <c r="B107" s="2" t="s">
        <v>440</v>
      </c>
      <c r="D107" s="2" t="s">
        <v>441</v>
      </c>
      <c r="E107" s="1">
        <v>46923</v>
      </c>
      <c r="F107" s="15" t="s">
        <v>38</v>
      </c>
      <c r="G107" s="2" t="s">
        <v>442</v>
      </c>
      <c r="H107" s="2" t="s">
        <v>570</v>
      </c>
      <c r="I107" s="5" t="s">
        <v>566</v>
      </c>
    </row>
    <row r="108" spans="1:10" x14ac:dyDescent="0.25">
      <c r="A108" s="9" t="s">
        <v>443</v>
      </c>
      <c r="B108" s="9" t="s">
        <v>444</v>
      </c>
      <c r="C108" s="10" t="s">
        <v>445</v>
      </c>
      <c r="D108" s="11" t="s">
        <v>446</v>
      </c>
      <c r="E108" s="12">
        <v>50488</v>
      </c>
      <c r="F108" s="16" t="s">
        <v>38</v>
      </c>
      <c r="G108" s="9" t="s">
        <v>569</v>
      </c>
      <c r="H108" s="9"/>
      <c r="I108" s="10"/>
      <c r="J108" s="11"/>
    </row>
    <row r="109" spans="1:10" s="13" customFormat="1" x14ac:dyDescent="0.25">
      <c r="A109" s="2" t="s">
        <v>447</v>
      </c>
      <c r="B109" s="2" t="s">
        <v>448</v>
      </c>
      <c r="C109" s="5" t="s">
        <v>449</v>
      </c>
      <c r="D109" s="2" t="s">
        <v>450</v>
      </c>
      <c r="E109" s="1">
        <v>55787</v>
      </c>
      <c r="F109" s="15" t="s">
        <v>38</v>
      </c>
      <c r="G109" s="2" t="s">
        <v>451</v>
      </c>
      <c r="H109" s="2" t="s">
        <v>452</v>
      </c>
      <c r="I109" s="5" t="s">
        <v>453</v>
      </c>
      <c r="J109" s="2" t="s">
        <v>454</v>
      </c>
    </row>
    <row r="110" spans="1:10" hidden="1" x14ac:dyDescent="0.25">
      <c r="A110" s="9" t="s">
        <v>455</v>
      </c>
      <c r="B110" s="9" t="s">
        <v>456</v>
      </c>
      <c r="C110" s="10" t="s">
        <v>457</v>
      </c>
      <c r="D110" s="11" t="s">
        <v>458</v>
      </c>
      <c r="E110" s="12">
        <v>43552</v>
      </c>
      <c r="F110" s="16"/>
      <c r="G110" s="9"/>
      <c r="H110" s="9"/>
      <c r="I110" s="10"/>
      <c r="J110" s="11"/>
    </row>
    <row r="111" spans="1:10" hidden="1" x14ac:dyDescent="0.25">
      <c r="A111" s="2" t="s">
        <v>459</v>
      </c>
      <c r="B111" s="2" t="s">
        <v>460</v>
      </c>
      <c r="C111" s="5" t="s">
        <v>461</v>
      </c>
      <c r="D111" s="2" t="s">
        <v>462</v>
      </c>
      <c r="E111" s="1">
        <v>43723</v>
      </c>
      <c r="F111" s="15"/>
      <c r="I111" s="5"/>
    </row>
    <row r="112" spans="1:10" x14ac:dyDescent="0.25">
      <c r="A112" s="9" t="s">
        <v>463</v>
      </c>
      <c r="B112" s="9" t="s">
        <v>464</v>
      </c>
      <c r="C112" s="10" t="s">
        <v>461</v>
      </c>
      <c r="D112" s="11" t="s">
        <v>462</v>
      </c>
      <c r="E112" s="12">
        <v>43724</v>
      </c>
      <c r="F112" s="16" t="s">
        <v>38</v>
      </c>
      <c r="G112" s="25" t="s">
        <v>548</v>
      </c>
      <c r="H112" s="25" t="s">
        <v>594</v>
      </c>
      <c r="I112" s="10" t="s">
        <v>547</v>
      </c>
      <c r="J112" s="11" t="s">
        <v>574</v>
      </c>
    </row>
    <row r="113" spans="1:16084" hidden="1" x14ac:dyDescent="0.25">
      <c r="A113" s="2" t="s">
        <v>465</v>
      </c>
      <c r="B113" s="2" t="s">
        <v>466</v>
      </c>
      <c r="C113" s="5" t="s">
        <v>461</v>
      </c>
      <c r="D113" s="2" t="s">
        <v>462</v>
      </c>
      <c r="E113" s="1">
        <v>43716</v>
      </c>
      <c r="F113" s="15"/>
      <c r="I113" s="5"/>
    </row>
    <row r="114" spans="1:16084" s="3" customFormat="1" hidden="1" x14ac:dyDescent="0.25">
      <c r="A114" s="9" t="s">
        <v>465</v>
      </c>
      <c r="B114" s="9" t="s">
        <v>466</v>
      </c>
      <c r="C114" s="10" t="s">
        <v>461</v>
      </c>
      <c r="D114" s="11" t="s">
        <v>462</v>
      </c>
      <c r="E114" s="12">
        <v>43722</v>
      </c>
      <c r="F114" s="16"/>
      <c r="G114" s="9"/>
      <c r="H114" s="9"/>
      <c r="I114" s="10"/>
      <c r="J114" s="1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</row>
    <row r="115" spans="1:16084" hidden="1" x14ac:dyDescent="0.25">
      <c r="A115" s="2" t="s">
        <v>467</v>
      </c>
      <c r="B115" s="2" t="s">
        <v>466</v>
      </c>
      <c r="C115" s="5" t="s">
        <v>461</v>
      </c>
      <c r="D115" s="2" t="s">
        <v>462</v>
      </c>
      <c r="E115" s="1">
        <v>43721</v>
      </c>
      <c r="F115" s="15"/>
      <c r="I115" s="5"/>
    </row>
    <row r="116" spans="1:16084" x14ac:dyDescent="0.25">
      <c r="A116" s="9" t="s">
        <v>468</v>
      </c>
      <c r="B116" s="9" t="s">
        <v>469</v>
      </c>
      <c r="C116" s="10" t="s">
        <v>461</v>
      </c>
      <c r="D116" s="11" t="s">
        <v>462</v>
      </c>
      <c r="E116" s="12">
        <v>43554</v>
      </c>
      <c r="F116" s="16" t="s">
        <v>38</v>
      </c>
      <c r="G116" s="9" t="s">
        <v>470</v>
      </c>
      <c r="H116" s="9" t="s">
        <v>471</v>
      </c>
      <c r="I116" s="10" t="s">
        <v>472</v>
      </c>
      <c r="J116" s="25" t="s">
        <v>596</v>
      </c>
    </row>
    <row r="117" spans="1:16084" hidden="1" x14ac:dyDescent="0.25">
      <c r="A117" s="2" t="s">
        <v>473</v>
      </c>
      <c r="B117" s="2" t="s">
        <v>474</v>
      </c>
      <c r="C117" s="5" t="s">
        <v>461</v>
      </c>
      <c r="D117" s="2" t="s">
        <v>462</v>
      </c>
      <c r="E117" s="1">
        <v>45044</v>
      </c>
      <c r="F117" s="15" t="s">
        <v>38</v>
      </c>
      <c r="G117" s="2" t="s">
        <v>475</v>
      </c>
      <c r="I117" s="5"/>
    </row>
    <row r="118" spans="1:16084" x14ac:dyDescent="0.25">
      <c r="A118" s="9" t="s">
        <v>476</v>
      </c>
      <c r="B118" s="9" t="s">
        <v>477</v>
      </c>
      <c r="C118" s="10" t="s">
        <v>478</v>
      </c>
      <c r="D118" s="11" t="s">
        <v>479</v>
      </c>
      <c r="E118" s="12">
        <v>43916</v>
      </c>
      <c r="F118" s="16"/>
      <c r="G118" s="9" t="s">
        <v>480</v>
      </c>
      <c r="H118" s="9"/>
      <c r="I118" s="10"/>
      <c r="J118" s="11"/>
    </row>
    <row r="119" spans="1:16084" hidden="1" x14ac:dyDescent="0.25">
      <c r="A119" s="2" t="s">
        <v>481</v>
      </c>
      <c r="B119" s="2" t="s">
        <v>482</v>
      </c>
      <c r="C119" s="5" t="s">
        <v>483</v>
      </c>
      <c r="D119" s="2" t="s">
        <v>484</v>
      </c>
      <c r="E119" s="1">
        <v>44737</v>
      </c>
      <c r="F119" s="15" t="s">
        <v>485</v>
      </c>
      <c r="G119" s="25" t="s">
        <v>486</v>
      </c>
      <c r="H119" s="2" t="s">
        <v>487</v>
      </c>
      <c r="I119" s="5" t="s">
        <v>488</v>
      </c>
      <c r="J119" s="2" t="s">
        <v>489</v>
      </c>
    </row>
    <row r="120" spans="1:16084" hidden="1" x14ac:dyDescent="0.25">
      <c r="A120" s="9" t="s">
        <v>490</v>
      </c>
      <c r="B120" s="9" t="s">
        <v>491</v>
      </c>
      <c r="C120" s="10" t="s">
        <v>492</v>
      </c>
      <c r="D120" s="11" t="s">
        <v>493</v>
      </c>
      <c r="E120" s="12">
        <v>51987</v>
      </c>
      <c r="F120" s="16" t="s">
        <v>38</v>
      </c>
      <c r="G120" s="9" t="s">
        <v>494</v>
      </c>
      <c r="H120" s="9"/>
      <c r="I120" s="10"/>
      <c r="J120" s="11"/>
    </row>
    <row r="121" spans="1:16084" x14ac:dyDescent="0.25">
      <c r="A121" s="2" t="s">
        <v>495</v>
      </c>
      <c r="B121" s="2" t="s">
        <v>482</v>
      </c>
      <c r="C121" s="5" t="s">
        <v>483</v>
      </c>
      <c r="D121" s="2" t="s">
        <v>496</v>
      </c>
      <c r="E121" s="1">
        <v>43928</v>
      </c>
      <c r="F121" s="15"/>
      <c r="G121" s="25" t="s">
        <v>567</v>
      </c>
      <c r="I121" s="5"/>
    </row>
    <row r="122" spans="1:16084" hidden="1" x14ac:dyDescent="0.25">
      <c r="A122" s="2" t="s">
        <v>584</v>
      </c>
      <c r="B122" s="2" t="s">
        <v>585</v>
      </c>
      <c r="C122" s="5" t="s">
        <v>588</v>
      </c>
      <c r="D122" s="2" t="s">
        <v>587</v>
      </c>
      <c r="E122" s="1">
        <v>59997</v>
      </c>
      <c r="G122" s="2" t="s">
        <v>586</v>
      </c>
      <c r="H122" s="2" t="s">
        <v>590</v>
      </c>
      <c r="I122" s="2" t="s">
        <v>502</v>
      </c>
      <c r="J122" s="2" t="s">
        <v>591</v>
      </c>
    </row>
    <row r="123" spans="1:16084" hidden="1" x14ac:dyDescent="0.25">
      <c r="A123" s="9" t="s">
        <v>497</v>
      </c>
      <c r="B123" s="9" t="s">
        <v>498</v>
      </c>
      <c r="C123" s="10" t="s">
        <v>499</v>
      </c>
      <c r="D123" s="11" t="s">
        <v>500</v>
      </c>
      <c r="E123" s="12">
        <v>43856</v>
      </c>
      <c r="F123" s="16" t="s">
        <v>25</v>
      </c>
      <c r="G123" s="9" t="s">
        <v>501</v>
      </c>
      <c r="H123" s="9" t="s">
        <v>502</v>
      </c>
      <c r="I123" s="10" t="s">
        <v>503</v>
      </c>
      <c r="J123" s="11"/>
    </row>
    <row r="124" spans="1:16084" hidden="1" x14ac:dyDescent="0.25">
      <c r="A124" s="2" t="s">
        <v>504</v>
      </c>
      <c r="B124" s="2" t="s">
        <v>505</v>
      </c>
      <c r="C124" s="5" t="s">
        <v>506</v>
      </c>
      <c r="D124" s="2" t="s">
        <v>507</v>
      </c>
      <c r="E124" s="1">
        <v>44114</v>
      </c>
      <c r="F124" s="15" t="s">
        <v>38</v>
      </c>
      <c r="G124" s="2" t="s">
        <v>508</v>
      </c>
      <c r="H124" s="2" t="s">
        <v>509</v>
      </c>
      <c r="I124" s="5"/>
    </row>
    <row r="125" spans="1:16084" hidden="1" x14ac:dyDescent="0.25">
      <c r="A125" s="9" t="s">
        <v>510</v>
      </c>
      <c r="B125" s="9" t="s">
        <v>474</v>
      </c>
      <c r="C125" s="10" t="s">
        <v>511</v>
      </c>
      <c r="D125" s="11" t="s">
        <v>462</v>
      </c>
      <c r="E125" s="12">
        <v>45036</v>
      </c>
      <c r="F125" s="16"/>
      <c r="G125" s="9"/>
      <c r="H125" s="9"/>
      <c r="I125" s="10"/>
      <c r="J125" s="1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3"/>
      <c r="ANB125" s="3"/>
      <c r="ANC125" s="3"/>
      <c r="AND125" s="3"/>
      <c r="ANE125" s="3"/>
      <c r="ANF125" s="3"/>
      <c r="ANG125" s="3"/>
      <c r="ANH125" s="3"/>
      <c r="ANI125" s="3"/>
      <c r="ANJ125" s="3"/>
      <c r="ANK125" s="3"/>
      <c r="ANL125" s="3"/>
      <c r="ANM125" s="3"/>
      <c r="ANN125" s="3"/>
      <c r="ANO125" s="3"/>
      <c r="ANP125" s="3"/>
      <c r="ANQ125" s="3"/>
      <c r="ANR125" s="3"/>
      <c r="ANS125" s="3"/>
      <c r="ANT125" s="3"/>
      <c r="ANU125" s="3"/>
      <c r="ANV125" s="3"/>
      <c r="ANW125" s="3"/>
      <c r="ANX125" s="3"/>
      <c r="ANY125" s="3"/>
      <c r="ANZ125" s="3"/>
      <c r="AOA125" s="3"/>
      <c r="AOB125" s="3"/>
      <c r="AOC125" s="3"/>
      <c r="AOD125" s="3"/>
      <c r="AOE125" s="3"/>
      <c r="AOF125" s="3"/>
      <c r="AOG125" s="3"/>
      <c r="AOH125" s="3"/>
      <c r="AOI125" s="3"/>
      <c r="AOJ125" s="3"/>
      <c r="AOK125" s="3"/>
      <c r="AOL125" s="3"/>
      <c r="AOM125" s="3"/>
      <c r="AON125" s="3"/>
      <c r="AOO125" s="3"/>
      <c r="AOP125" s="3"/>
      <c r="AOQ125" s="3"/>
      <c r="AOR125" s="3"/>
      <c r="AOS125" s="3"/>
      <c r="AOT125" s="3"/>
      <c r="AOU125" s="3"/>
      <c r="AOV125" s="3"/>
      <c r="AOW125" s="3"/>
      <c r="AOX125" s="3"/>
      <c r="AOY125" s="3"/>
      <c r="AOZ125" s="3"/>
      <c r="APA125" s="3"/>
      <c r="APB125" s="3"/>
      <c r="APC125" s="3"/>
      <c r="APD125" s="3"/>
      <c r="APE125" s="3"/>
      <c r="APF125" s="3"/>
      <c r="APG125" s="3"/>
      <c r="APH125" s="3"/>
      <c r="API125" s="3"/>
      <c r="APJ125" s="3"/>
      <c r="APK125" s="3"/>
      <c r="APL125" s="3"/>
      <c r="APM125" s="3"/>
      <c r="APN125" s="3"/>
      <c r="APO125" s="3"/>
      <c r="APP125" s="3"/>
      <c r="APQ125" s="3"/>
      <c r="APR125" s="3"/>
      <c r="APS125" s="3"/>
      <c r="APT125" s="3"/>
      <c r="APU125" s="3"/>
      <c r="APV125" s="3"/>
      <c r="APW125" s="3"/>
      <c r="APX125" s="3"/>
      <c r="APY125" s="3"/>
      <c r="APZ125" s="3"/>
      <c r="AQA125" s="3"/>
      <c r="AQB125" s="3"/>
      <c r="AQC125" s="3"/>
      <c r="AQD125" s="3"/>
      <c r="AQE125" s="3"/>
      <c r="AQF125" s="3"/>
      <c r="AQG125" s="3"/>
      <c r="AQH125" s="3"/>
      <c r="AQI125" s="3"/>
      <c r="AQJ125" s="3"/>
      <c r="AQK125" s="3"/>
      <c r="AQL125" s="3"/>
      <c r="AQM125" s="3"/>
      <c r="AQN125" s="3"/>
      <c r="AQO125" s="3"/>
      <c r="AQP125" s="3"/>
      <c r="AQQ125" s="3"/>
      <c r="AQR125" s="3"/>
      <c r="AQS125" s="3"/>
      <c r="AQT125" s="3"/>
      <c r="AQU125" s="3"/>
      <c r="AQV125" s="3"/>
      <c r="AQW125" s="3"/>
      <c r="AQX125" s="3"/>
      <c r="AQY125" s="3"/>
      <c r="AQZ125" s="3"/>
      <c r="ARA125" s="3"/>
      <c r="ARB125" s="3"/>
      <c r="ARC125" s="3"/>
      <c r="ARD125" s="3"/>
      <c r="ARE125" s="3"/>
      <c r="ARF125" s="3"/>
      <c r="ARG125" s="3"/>
      <c r="ARH125" s="3"/>
      <c r="ARI125" s="3"/>
      <c r="ARJ125" s="3"/>
      <c r="ARK125" s="3"/>
      <c r="ARL125" s="3"/>
      <c r="ARM125" s="3"/>
      <c r="ARN125" s="3"/>
      <c r="ARO125" s="3"/>
      <c r="ARP125" s="3"/>
      <c r="ARQ125" s="3"/>
      <c r="ARR125" s="3"/>
      <c r="ARS125" s="3"/>
      <c r="ART125" s="3"/>
      <c r="ARU125" s="3"/>
      <c r="ARV125" s="3"/>
      <c r="ARW125" s="3"/>
      <c r="ARX125" s="3"/>
      <c r="ARY125" s="3"/>
      <c r="ARZ125" s="3"/>
      <c r="ASA125" s="3"/>
      <c r="ASB125" s="3"/>
      <c r="ASC125" s="3"/>
      <c r="ASD125" s="3"/>
      <c r="ASE125" s="3"/>
      <c r="ASF125" s="3"/>
      <c r="ASG125" s="3"/>
      <c r="ASH125" s="3"/>
      <c r="ASI125" s="3"/>
      <c r="ASJ125" s="3"/>
      <c r="ASK125" s="3"/>
      <c r="ASL125" s="3"/>
      <c r="ASM125" s="3"/>
      <c r="ASN125" s="3"/>
      <c r="ASO125" s="3"/>
      <c r="ASP125" s="3"/>
      <c r="ASQ125" s="3"/>
      <c r="ASR125" s="3"/>
      <c r="ASS125" s="3"/>
      <c r="AST125" s="3"/>
      <c r="ASU125" s="3"/>
      <c r="ASV125" s="3"/>
      <c r="ASW125" s="3"/>
      <c r="ASX125" s="3"/>
      <c r="ASY125" s="3"/>
      <c r="ASZ125" s="3"/>
      <c r="ATA125" s="3"/>
      <c r="ATB125" s="3"/>
      <c r="ATC125" s="3"/>
      <c r="ATD125" s="3"/>
      <c r="ATE125" s="3"/>
      <c r="ATF125" s="3"/>
      <c r="ATG125" s="3"/>
      <c r="ATH125" s="3"/>
      <c r="ATI125" s="3"/>
      <c r="ATJ125" s="3"/>
      <c r="ATK125" s="3"/>
      <c r="ATL125" s="3"/>
      <c r="ATM125" s="3"/>
      <c r="ATN125" s="3"/>
      <c r="ATO125" s="3"/>
      <c r="ATP125" s="3"/>
      <c r="ATQ125" s="3"/>
      <c r="ATR125" s="3"/>
      <c r="ATS125" s="3"/>
      <c r="ATT125" s="3"/>
      <c r="ATU125" s="3"/>
      <c r="ATV125" s="3"/>
      <c r="ATW125" s="3"/>
      <c r="ATX125" s="3"/>
      <c r="ATY125" s="3"/>
      <c r="ATZ125" s="3"/>
      <c r="AUA125" s="3"/>
      <c r="AUB125" s="3"/>
      <c r="AUC125" s="3"/>
      <c r="AUD125" s="3"/>
      <c r="AUE125" s="3"/>
      <c r="AUF125" s="3"/>
      <c r="AUG125" s="3"/>
      <c r="AUH125" s="3"/>
      <c r="AUI125" s="3"/>
      <c r="AUJ125" s="3"/>
      <c r="AUK125" s="3"/>
      <c r="AUL125" s="3"/>
      <c r="AUM125" s="3"/>
      <c r="AUN125" s="3"/>
      <c r="AUO125" s="3"/>
      <c r="AUP125" s="3"/>
      <c r="AUQ125" s="3"/>
      <c r="AUR125" s="3"/>
      <c r="AUS125" s="3"/>
      <c r="AUT125" s="3"/>
      <c r="AUU125" s="3"/>
      <c r="AUV125" s="3"/>
      <c r="AUW125" s="3"/>
      <c r="AUX125" s="3"/>
      <c r="AUY125" s="3"/>
      <c r="AUZ125" s="3"/>
      <c r="AVA125" s="3"/>
      <c r="AVB125" s="3"/>
      <c r="AVC125" s="3"/>
      <c r="AVD125" s="3"/>
      <c r="AVE125" s="3"/>
      <c r="AVF125" s="3"/>
      <c r="AVG125" s="3"/>
      <c r="AVH125" s="3"/>
      <c r="AVI125" s="3"/>
      <c r="AVJ125" s="3"/>
      <c r="AVK125" s="3"/>
      <c r="AVL125" s="3"/>
      <c r="AVM125" s="3"/>
      <c r="AVN125" s="3"/>
      <c r="AVO125" s="3"/>
      <c r="AVP125" s="3"/>
      <c r="AVQ125" s="3"/>
      <c r="AVR125" s="3"/>
      <c r="AVS125" s="3"/>
      <c r="AVT125" s="3"/>
      <c r="AVU125" s="3"/>
      <c r="AVV125" s="3"/>
      <c r="AVW125" s="3"/>
      <c r="AVX125" s="3"/>
      <c r="AVY125" s="3"/>
      <c r="AVZ125" s="3"/>
      <c r="AWA125" s="3"/>
      <c r="AWB125" s="3"/>
      <c r="AWC125" s="3"/>
      <c r="AWD125" s="3"/>
      <c r="AWE125" s="3"/>
      <c r="AWF125" s="3"/>
      <c r="AWG125" s="3"/>
      <c r="AWH125" s="3"/>
      <c r="AWI125" s="3"/>
      <c r="AWJ125" s="3"/>
      <c r="AWK125" s="3"/>
      <c r="AWL125" s="3"/>
      <c r="AWM125" s="3"/>
      <c r="AWN125" s="3"/>
      <c r="AWO125" s="3"/>
      <c r="AWP125" s="3"/>
      <c r="AWQ125" s="3"/>
      <c r="AWR125" s="3"/>
      <c r="AWS125" s="3"/>
      <c r="AWT125" s="3"/>
      <c r="AWU125" s="3"/>
      <c r="AWV125" s="3"/>
      <c r="AWW125" s="3"/>
      <c r="AWX125" s="3"/>
      <c r="AWY125" s="3"/>
      <c r="AWZ125" s="3"/>
      <c r="AXA125" s="3"/>
      <c r="AXB125" s="3"/>
      <c r="AXC125" s="3"/>
      <c r="AXD125" s="3"/>
      <c r="AXE125" s="3"/>
      <c r="AXF125" s="3"/>
      <c r="AXG125" s="3"/>
      <c r="AXH125" s="3"/>
      <c r="AXI125" s="3"/>
      <c r="AXJ125" s="3"/>
      <c r="AXK125" s="3"/>
      <c r="AXL125" s="3"/>
      <c r="AXM125" s="3"/>
      <c r="AXN125" s="3"/>
      <c r="AXO125" s="3"/>
      <c r="AXP125" s="3"/>
      <c r="AXQ125" s="3"/>
      <c r="AXR125" s="3"/>
      <c r="AXS125" s="3"/>
      <c r="AXT125" s="3"/>
      <c r="AXU125" s="3"/>
      <c r="AXV125" s="3"/>
      <c r="AXW125" s="3"/>
      <c r="AXX125" s="3"/>
      <c r="AXY125" s="3"/>
      <c r="AXZ125" s="3"/>
      <c r="AYA125" s="3"/>
      <c r="AYB125" s="3"/>
      <c r="AYC125" s="3"/>
      <c r="AYD125" s="3"/>
      <c r="AYE125" s="3"/>
      <c r="AYF125" s="3"/>
      <c r="AYG125" s="3"/>
      <c r="AYH125" s="3"/>
      <c r="AYI125" s="3"/>
      <c r="AYJ125" s="3"/>
      <c r="AYK125" s="3"/>
      <c r="AYL125" s="3"/>
      <c r="AYM125" s="3"/>
      <c r="AYN125" s="3"/>
      <c r="AYO125" s="3"/>
      <c r="AYP125" s="3"/>
      <c r="AYQ125" s="3"/>
      <c r="AYR125" s="3"/>
      <c r="AYS125" s="3"/>
      <c r="AYT125" s="3"/>
      <c r="AYU125" s="3"/>
      <c r="AYV125" s="3"/>
      <c r="AYW125" s="3"/>
      <c r="AYX125" s="3"/>
      <c r="AYY125" s="3"/>
      <c r="AYZ125" s="3"/>
      <c r="AZA125" s="3"/>
      <c r="AZB125" s="3"/>
      <c r="AZC125" s="3"/>
      <c r="AZD125" s="3"/>
      <c r="AZE125" s="3"/>
      <c r="AZF125" s="3"/>
      <c r="AZG125" s="3"/>
      <c r="AZH125" s="3"/>
      <c r="AZI125" s="3"/>
      <c r="AZJ125" s="3"/>
      <c r="AZK125" s="3"/>
      <c r="AZL125" s="3"/>
      <c r="AZM125" s="3"/>
      <c r="AZN125" s="3"/>
      <c r="AZO125" s="3"/>
      <c r="AZP125" s="3"/>
      <c r="AZQ125" s="3"/>
      <c r="AZR125" s="3"/>
      <c r="AZS125" s="3"/>
      <c r="AZT125" s="3"/>
      <c r="AZU125" s="3"/>
      <c r="AZV125" s="3"/>
      <c r="AZW125" s="3"/>
      <c r="AZX125" s="3"/>
      <c r="AZY125" s="3"/>
      <c r="AZZ125" s="3"/>
      <c r="BAA125" s="3"/>
      <c r="BAB125" s="3"/>
      <c r="BAC125" s="3"/>
      <c r="BAD125" s="3"/>
      <c r="BAE125" s="3"/>
      <c r="BAF125" s="3"/>
      <c r="BAG125" s="3"/>
      <c r="BAH125" s="3"/>
      <c r="BAI125" s="3"/>
      <c r="BAJ125" s="3"/>
      <c r="BAK125" s="3"/>
      <c r="BAL125" s="3"/>
      <c r="BAM125" s="3"/>
      <c r="BAN125" s="3"/>
      <c r="BAO125" s="3"/>
      <c r="BAP125" s="3"/>
      <c r="BAQ125" s="3"/>
      <c r="BAR125" s="3"/>
      <c r="BAS125" s="3"/>
      <c r="BAT125" s="3"/>
      <c r="BAU125" s="3"/>
      <c r="BAV125" s="3"/>
      <c r="BAW125" s="3"/>
      <c r="BAX125" s="3"/>
      <c r="BAY125" s="3"/>
      <c r="BAZ125" s="3"/>
      <c r="BBA125" s="3"/>
      <c r="BBB125" s="3"/>
      <c r="BBC125" s="3"/>
      <c r="BBD125" s="3"/>
      <c r="BBE125" s="3"/>
      <c r="BBF125" s="3"/>
      <c r="BBG125" s="3"/>
      <c r="BBH125" s="3"/>
      <c r="BBI125" s="3"/>
      <c r="BBJ125" s="3"/>
      <c r="BBK125" s="3"/>
      <c r="BBL125" s="3"/>
      <c r="BBM125" s="3"/>
      <c r="BBN125" s="3"/>
      <c r="BBO125" s="3"/>
      <c r="BBP125" s="3"/>
      <c r="BBQ125" s="3"/>
      <c r="BBR125" s="3"/>
      <c r="BBS125" s="3"/>
      <c r="BBT125" s="3"/>
      <c r="BBU125" s="3"/>
      <c r="BBV125" s="3"/>
      <c r="BBW125" s="3"/>
      <c r="BBX125" s="3"/>
      <c r="BBY125" s="3"/>
      <c r="BBZ125" s="3"/>
      <c r="BCA125" s="3"/>
      <c r="BCB125" s="3"/>
      <c r="BCC125" s="3"/>
      <c r="BCD125" s="3"/>
      <c r="BCE125" s="3"/>
      <c r="BCF125" s="3"/>
      <c r="BCG125" s="3"/>
      <c r="BCH125" s="3"/>
      <c r="BCI125" s="3"/>
      <c r="BCJ125" s="3"/>
      <c r="BCK125" s="3"/>
      <c r="BCL125" s="3"/>
      <c r="BCM125" s="3"/>
      <c r="BCN125" s="3"/>
      <c r="BCO125" s="3"/>
      <c r="BCP125" s="3"/>
      <c r="BCQ125" s="3"/>
      <c r="BCR125" s="3"/>
      <c r="BCS125" s="3"/>
      <c r="BCT125" s="3"/>
      <c r="BCU125" s="3"/>
      <c r="BCV125" s="3"/>
      <c r="BCW125" s="3"/>
      <c r="BCX125" s="3"/>
      <c r="BCY125" s="3"/>
      <c r="BCZ125" s="3"/>
      <c r="BDA125" s="3"/>
      <c r="BDB125" s="3"/>
      <c r="BDC125" s="3"/>
      <c r="BDD125" s="3"/>
      <c r="BDE125" s="3"/>
      <c r="BDF125" s="3"/>
      <c r="BDG125" s="3"/>
      <c r="BDH125" s="3"/>
      <c r="BDI125" s="3"/>
      <c r="BDJ125" s="3"/>
      <c r="BDK125" s="3"/>
      <c r="BDL125" s="3"/>
      <c r="BDM125" s="3"/>
      <c r="BDN125" s="3"/>
      <c r="BDO125" s="3"/>
      <c r="BDP125" s="3"/>
      <c r="BDQ125" s="3"/>
      <c r="BDR125" s="3"/>
      <c r="BDS125" s="3"/>
      <c r="BDT125" s="3"/>
      <c r="BDU125" s="3"/>
      <c r="BDV125" s="3"/>
      <c r="BDW125" s="3"/>
      <c r="BDX125" s="3"/>
      <c r="BDY125" s="3"/>
      <c r="BDZ125" s="3"/>
      <c r="BEA125" s="3"/>
      <c r="BEB125" s="3"/>
      <c r="BEC125" s="3"/>
      <c r="BED125" s="3"/>
      <c r="BEE125" s="3"/>
      <c r="BEF125" s="3"/>
      <c r="BEG125" s="3"/>
      <c r="BEH125" s="3"/>
      <c r="BEI125" s="3"/>
      <c r="BEJ125" s="3"/>
      <c r="BEK125" s="3"/>
      <c r="BEL125" s="3"/>
      <c r="BEM125" s="3"/>
      <c r="BEN125" s="3"/>
      <c r="BEO125" s="3"/>
      <c r="BEP125" s="3"/>
      <c r="BEQ125" s="3"/>
      <c r="BER125" s="3"/>
      <c r="BES125" s="3"/>
      <c r="BET125" s="3"/>
      <c r="BEU125" s="3"/>
      <c r="BEV125" s="3"/>
      <c r="BEW125" s="3"/>
      <c r="BEX125" s="3"/>
      <c r="BEY125" s="3"/>
      <c r="BEZ125" s="3"/>
      <c r="BFA125" s="3"/>
      <c r="BFB125" s="3"/>
      <c r="BFC125" s="3"/>
      <c r="BFD125" s="3"/>
      <c r="BFE125" s="3"/>
      <c r="BFF125" s="3"/>
      <c r="BFG125" s="3"/>
      <c r="BFH125" s="3"/>
      <c r="BFI125" s="3"/>
      <c r="BFJ125" s="3"/>
      <c r="BFK125" s="3"/>
      <c r="BFL125" s="3"/>
      <c r="BFM125" s="3"/>
      <c r="BFN125" s="3"/>
      <c r="BFO125" s="3"/>
      <c r="BFP125" s="3"/>
      <c r="BFQ125" s="3"/>
      <c r="BFR125" s="3"/>
      <c r="BFS125" s="3"/>
      <c r="BFT125" s="3"/>
      <c r="BFU125" s="3"/>
      <c r="BFV125" s="3"/>
      <c r="BFW125" s="3"/>
      <c r="BFX125" s="3"/>
      <c r="BFY125" s="3"/>
      <c r="BFZ125" s="3"/>
      <c r="BGA125" s="3"/>
      <c r="BGB125" s="3"/>
      <c r="BGC125" s="3"/>
      <c r="BGD125" s="3"/>
      <c r="BGE125" s="3"/>
      <c r="BGF125" s="3"/>
      <c r="BGG125" s="3"/>
      <c r="BGH125" s="3"/>
      <c r="BGI125" s="3"/>
      <c r="BGJ125" s="3"/>
      <c r="BGK125" s="3"/>
      <c r="BGL125" s="3"/>
      <c r="BGM125" s="3"/>
      <c r="BGN125" s="3"/>
      <c r="BGO125" s="3"/>
      <c r="BGP125" s="3"/>
      <c r="BGQ125" s="3"/>
      <c r="BGR125" s="3"/>
      <c r="BGS125" s="3"/>
      <c r="BGT125" s="3"/>
      <c r="BGU125" s="3"/>
      <c r="BGV125" s="3"/>
      <c r="BGW125" s="3"/>
      <c r="BGX125" s="3"/>
      <c r="BGY125" s="3"/>
      <c r="BGZ125" s="3"/>
      <c r="BHA125" s="3"/>
      <c r="BHB125" s="3"/>
      <c r="BHC125" s="3"/>
      <c r="BHD125" s="3"/>
      <c r="BHE125" s="3"/>
      <c r="BHF125" s="3"/>
      <c r="BHG125" s="3"/>
      <c r="BHH125" s="3"/>
      <c r="BHI125" s="3"/>
      <c r="BHJ125" s="3"/>
      <c r="BHK125" s="3"/>
      <c r="BHL125" s="3"/>
      <c r="BHM125" s="3"/>
      <c r="BHN125" s="3"/>
      <c r="BHO125" s="3"/>
      <c r="BHP125" s="3"/>
      <c r="BHQ125" s="3"/>
      <c r="BHR125" s="3"/>
      <c r="BHS125" s="3"/>
      <c r="BHT125" s="3"/>
      <c r="BHU125" s="3"/>
      <c r="BHV125" s="3"/>
      <c r="BHW125" s="3"/>
      <c r="BHX125" s="3"/>
      <c r="BHY125" s="3"/>
      <c r="BHZ125" s="3"/>
      <c r="BIA125" s="3"/>
      <c r="BIB125" s="3"/>
      <c r="BIC125" s="3"/>
      <c r="BID125" s="3"/>
      <c r="BIE125" s="3"/>
      <c r="BIF125" s="3"/>
      <c r="BIG125" s="3"/>
      <c r="BIH125" s="3"/>
      <c r="BII125" s="3"/>
      <c r="BIJ125" s="3"/>
      <c r="BIK125" s="3"/>
      <c r="BIL125" s="3"/>
      <c r="BIM125" s="3"/>
      <c r="BIN125" s="3"/>
      <c r="BIO125" s="3"/>
      <c r="BIP125" s="3"/>
      <c r="BIQ125" s="3"/>
      <c r="BIR125" s="3"/>
      <c r="BIS125" s="3"/>
      <c r="BIT125" s="3"/>
      <c r="BIU125" s="3"/>
      <c r="BIV125" s="3"/>
      <c r="BIW125" s="3"/>
      <c r="BIX125" s="3"/>
      <c r="BIY125" s="3"/>
      <c r="BIZ125" s="3"/>
      <c r="BJA125" s="3"/>
      <c r="BJB125" s="3"/>
      <c r="BJC125" s="3"/>
      <c r="BJD125" s="3"/>
      <c r="BJE125" s="3"/>
      <c r="BJF125" s="3"/>
      <c r="BJG125" s="3"/>
      <c r="BJH125" s="3"/>
      <c r="BJI125" s="3"/>
      <c r="BJJ125" s="3"/>
      <c r="BJK125" s="3"/>
      <c r="BJL125" s="3"/>
      <c r="BJM125" s="3"/>
      <c r="BJN125" s="3"/>
      <c r="BJO125" s="3"/>
      <c r="BJP125" s="3"/>
      <c r="BJQ125" s="3"/>
      <c r="BJR125" s="3"/>
      <c r="BJS125" s="3"/>
      <c r="BJT125" s="3"/>
      <c r="BJU125" s="3"/>
      <c r="BJV125" s="3"/>
      <c r="BJW125" s="3"/>
      <c r="BJX125" s="3"/>
      <c r="BJY125" s="3"/>
      <c r="BJZ125" s="3"/>
      <c r="BKA125" s="3"/>
      <c r="BKB125" s="3"/>
      <c r="BKC125" s="3"/>
      <c r="BKD125" s="3"/>
      <c r="BKE125" s="3"/>
      <c r="BKF125" s="3"/>
      <c r="BKG125" s="3"/>
      <c r="BKH125" s="3"/>
      <c r="BKI125" s="3"/>
      <c r="BKJ125" s="3"/>
      <c r="BKK125" s="3"/>
      <c r="BKL125" s="3"/>
      <c r="BKM125" s="3"/>
      <c r="BKN125" s="3"/>
      <c r="BKO125" s="3"/>
      <c r="BKP125" s="3"/>
      <c r="BKQ125" s="3"/>
      <c r="BKR125" s="3"/>
      <c r="BKS125" s="3"/>
      <c r="BKT125" s="3"/>
      <c r="BKU125" s="3"/>
      <c r="BKV125" s="3"/>
      <c r="BKW125" s="3"/>
      <c r="BKX125" s="3"/>
      <c r="BKY125" s="3"/>
      <c r="BKZ125" s="3"/>
      <c r="BLA125" s="3"/>
      <c r="BLB125" s="3"/>
      <c r="BLC125" s="3"/>
      <c r="BLD125" s="3"/>
      <c r="BLE125" s="3"/>
      <c r="BLF125" s="3"/>
      <c r="BLG125" s="3"/>
      <c r="BLH125" s="3"/>
      <c r="BLI125" s="3"/>
      <c r="BLJ125" s="3"/>
      <c r="BLK125" s="3"/>
      <c r="BLL125" s="3"/>
      <c r="BLM125" s="3"/>
      <c r="BLN125" s="3"/>
      <c r="BLO125" s="3"/>
      <c r="BLP125" s="3"/>
      <c r="BLQ125" s="3"/>
      <c r="BLR125" s="3"/>
      <c r="BLS125" s="3"/>
      <c r="BLT125" s="3"/>
      <c r="BLU125" s="3"/>
      <c r="BLV125" s="3"/>
      <c r="BLW125" s="3"/>
      <c r="BLX125" s="3"/>
      <c r="BLY125" s="3"/>
      <c r="BLZ125" s="3"/>
      <c r="BMA125" s="3"/>
      <c r="BMB125" s="3"/>
      <c r="BMC125" s="3"/>
      <c r="BMD125" s="3"/>
      <c r="BME125" s="3"/>
      <c r="BMF125" s="3"/>
      <c r="BMG125" s="3"/>
      <c r="BMH125" s="3"/>
      <c r="BMI125" s="3"/>
      <c r="BMJ125" s="3"/>
      <c r="BMK125" s="3"/>
      <c r="BML125" s="3"/>
      <c r="BMM125" s="3"/>
      <c r="BMN125" s="3"/>
      <c r="BMO125" s="3"/>
      <c r="BMP125" s="3"/>
      <c r="BMQ125" s="3"/>
      <c r="BMR125" s="3"/>
      <c r="BMS125" s="3"/>
      <c r="BMT125" s="3"/>
      <c r="BMU125" s="3"/>
      <c r="BMV125" s="3"/>
      <c r="BMW125" s="3"/>
      <c r="BMX125" s="3"/>
      <c r="BMY125" s="3"/>
      <c r="BMZ125" s="3"/>
      <c r="BNA125" s="3"/>
      <c r="BNB125" s="3"/>
      <c r="BNC125" s="3"/>
      <c r="BND125" s="3"/>
      <c r="BNE125" s="3"/>
      <c r="BNF125" s="3"/>
      <c r="BNG125" s="3"/>
      <c r="BNH125" s="3"/>
      <c r="BNI125" s="3"/>
      <c r="BNJ125" s="3"/>
      <c r="BNK125" s="3"/>
      <c r="BNL125" s="3"/>
      <c r="BNM125" s="3"/>
      <c r="BNN125" s="3"/>
      <c r="BNO125" s="3"/>
      <c r="BNP125" s="3"/>
      <c r="BNQ125" s="3"/>
      <c r="BNR125" s="3"/>
      <c r="BNS125" s="3"/>
      <c r="BNT125" s="3"/>
      <c r="BNU125" s="3"/>
      <c r="BNV125" s="3"/>
      <c r="BNW125" s="3"/>
      <c r="BNX125" s="3"/>
      <c r="BNY125" s="3"/>
      <c r="BNZ125" s="3"/>
      <c r="BOA125" s="3"/>
      <c r="BOB125" s="3"/>
      <c r="BOC125" s="3"/>
      <c r="BOD125" s="3"/>
      <c r="BOE125" s="3"/>
      <c r="BOF125" s="3"/>
      <c r="BOG125" s="3"/>
      <c r="BOH125" s="3"/>
      <c r="BOI125" s="3"/>
      <c r="BOJ125" s="3"/>
      <c r="BOK125" s="3"/>
      <c r="BOL125" s="3"/>
      <c r="BOM125" s="3"/>
      <c r="BON125" s="3"/>
      <c r="BOO125" s="3"/>
      <c r="BOP125" s="3"/>
      <c r="BOQ125" s="3"/>
      <c r="BOR125" s="3"/>
      <c r="BOS125" s="3"/>
      <c r="BOT125" s="3"/>
      <c r="BOU125" s="3"/>
      <c r="BOV125" s="3"/>
      <c r="BOW125" s="3"/>
      <c r="BOX125" s="3"/>
      <c r="BOY125" s="3"/>
      <c r="BOZ125" s="3"/>
      <c r="BPA125" s="3"/>
      <c r="BPB125" s="3"/>
      <c r="BPC125" s="3"/>
      <c r="BPD125" s="3"/>
      <c r="BPE125" s="3"/>
      <c r="BPF125" s="3"/>
      <c r="BPG125" s="3"/>
      <c r="BPH125" s="3"/>
      <c r="BPI125" s="3"/>
      <c r="BPJ125" s="3"/>
      <c r="BPK125" s="3"/>
      <c r="BPL125" s="3"/>
      <c r="BPM125" s="3"/>
      <c r="BPN125" s="3"/>
      <c r="BPO125" s="3"/>
      <c r="BPP125" s="3"/>
      <c r="BPQ125" s="3"/>
      <c r="BPR125" s="3"/>
      <c r="BPS125" s="3"/>
      <c r="BPT125" s="3"/>
      <c r="BPU125" s="3"/>
      <c r="BPV125" s="3"/>
      <c r="BPW125" s="3"/>
      <c r="BPX125" s="3"/>
      <c r="BPY125" s="3"/>
      <c r="BPZ125" s="3"/>
      <c r="BQA125" s="3"/>
      <c r="BQB125" s="3"/>
      <c r="BQC125" s="3"/>
      <c r="BQD125" s="3"/>
      <c r="BQE125" s="3"/>
      <c r="BQF125" s="3"/>
      <c r="BQG125" s="3"/>
      <c r="BQH125" s="3"/>
      <c r="BQI125" s="3"/>
      <c r="BQJ125" s="3"/>
      <c r="BQK125" s="3"/>
      <c r="BQL125" s="3"/>
      <c r="BQM125" s="3"/>
      <c r="BQN125" s="3"/>
      <c r="BQO125" s="3"/>
      <c r="BQP125" s="3"/>
      <c r="BQQ125" s="3"/>
      <c r="BQR125" s="3"/>
      <c r="BQS125" s="3"/>
      <c r="BQT125" s="3"/>
      <c r="BQU125" s="3"/>
      <c r="BQV125" s="3"/>
      <c r="BQW125" s="3"/>
      <c r="BQX125" s="3"/>
      <c r="BQY125" s="3"/>
      <c r="BQZ125" s="3"/>
      <c r="BRA125" s="3"/>
      <c r="BRB125" s="3"/>
      <c r="BRC125" s="3"/>
      <c r="BRD125" s="3"/>
      <c r="BRE125" s="3"/>
      <c r="BRF125" s="3"/>
      <c r="BRG125" s="3"/>
      <c r="BRH125" s="3"/>
      <c r="BRI125" s="3"/>
      <c r="BRJ125" s="3"/>
      <c r="BRK125" s="3"/>
      <c r="BRL125" s="3"/>
      <c r="BRM125" s="3"/>
      <c r="BRN125" s="3"/>
      <c r="BRO125" s="3"/>
      <c r="BRP125" s="3"/>
      <c r="BRQ125" s="3"/>
      <c r="BRR125" s="3"/>
      <c r="BRS125" s="3"/>
      <c r="BRT125" s="3"/>
      <c r="BRU125" s="3"/>
      <c r="BRV125" s="3"/>
      <c r="BRW125" s="3"/>
      <c r="BRX125" s="3"/>
      <c r="BRY125" s="3"/>
      <c r="BRZ125" s="3"/>
      <c r="BSA125" s="3"/>
      <c r="BSB125" s="3"/>
      <c r="BSC125" s="3"/>
      <c r="BSD125" s="3"/>
      <c r="BSE125" s="3"/>
      <c r="BSF125" s="3"/>
      <c r="BSG125" s="3"/>
      <c r="BSH125" s="3"/>
      <c r="BSI125" s="3"/>
      <c r="BSJ125" s="3"/>
      <c r="BSK125" s="3"/>
      <c r="BSL125" s="3"/>
      <c r="BSM125" s="3"/>
      <c r="BSN125" s="3"/>
      <c r="BSO125" s="3"/>
      <c r="BSP125" s="3"/>
      <c r="BSQ125" s="3"/>
      <c r="BSR125" s="3"/>
      <c r="BSS125" s="3"/>
      <c r="BST125" s="3"/>
      <c r="BSU125" s="3"/>
      <c r="BSV125" s="3"/>
      <c r="BSW125" s="3"/>
      <c r="BSX125" s="3"/>
      <c r="BSY125" s="3"/>
      <c r="BSZ125" s="3"/>
      <c r="BTA125" s="3"/>
      <c r="BTB125" s="3"/>
      <c r="BTC125" s="3"/>
      <c r="BTD125" s="3"/>
      <c r="BTE125" s="3"/>
      <c r="BTF125" s="3"/>
      <c r="BTG125" s="3"/>
      <c r="BTH125" s="3"/>
      <c r="BTI125" s="3"/>
      <c r="BTJ125" s="3"/>
      <c r="BTK125" s="3"/>
      <c r="BTL125" s="3"/>
      <c r="BTM125" s="3"/>
      <c r="BTN125" s="3"/>
      <c r="BTO125" s="3"/>
      <c r="BTP125" s="3"/>
      <c r="BTQ125" s="3"/>
      <c r="BTR125" s="3"/>
      <c r="BTS125" s="3"/>
      <c r="BTT125" s="3"/>
      <c r="BTU125" s="3"/>
      <c r="BTV125" s="3"/>
      <c r="BTW125" s="3"/>
      <c r="BTX125" s="3"/>
      <c r="BTY125" s="3"/>
      <c r="BTZ125" s="3"/>
      <c r="BUA125" s="3"/>
      <c r="BUB125" s="3"/>
      <c r="BUC125" s="3"/>
      <c r="BUD125" s="3"/>
      <c r="BUE125" s="3"/>
      <c r="BUF125" s="3"/>
      <c r="BUG125" s="3"/>
      <c r="BUH125" s="3"/>
      <c r="BUI125" s="3"/>
      <c r="BUJ125" s="3"/>
      <c r="BUK125" s="3"/>
      <c r="BUL125" s="3"/>
      <c r="BUM125" s="3"/>
      <c r="BUN125" s="3"/>
      <c r="BUO125" s="3"/>
      <c r="BUP125" s="3"/>
      <c r="BUQ125" s="3"/>
      <c r="BUR125" s="3"/>
      <c r="BUS125" s="3"/>
      <c r="BUT125" s="3"/>
      <c r="BUU125" s="3"/>
      <c r="BUV125" s="3"/>
      <c r="BUW125" s="3"/>
      <c r="BUX125" s="3"/>
      <c r="BUY125" s="3"/>
      <c r="BUZ125" s="3"/>
      <c r="BVA125" s="3"/>
      <c r="BVB125" s="3"/>
      <c r="BVC125" s="3"/>
      <c r="BVD125" s="3"/>
      <c r="BVE125" s="3"/>
      <c r="BVF125" s="3"/>
      <c r="BVG125" s="3"/>
      <c r="BVH125" s="3"/>
      <c r="BVI125" s="3"/>
      <c r="BVJ125" s="3"/>
      <c r="BVK125" s="3"/>
      <c r="BVL125" s="3"/>
      <c r="BVM125" s="3"/>
      <c r="BVN125" s="3"/>
      <c r="BVO125" s="3"/>
      <c r="BVP125" s="3"/>
      <c r="BVQ125" s="3"/>
      <c r="BVR125" s="3"/>
      <c r="BVS125" s="3"/>
      <c r="BVT125" s="3"/>
      <c r="BVU125" s="3"/>
      <c r="BVV125" s="3"/>
      <c r="BVW125" s="3"/>
      <c r="BVX125" s="3"/>
      <c r="BVY125" s="3"/>
      <c r="BVZ125" s="3"/>
      <c r="BWA125" s="3"/>
      <c r="BWB125" s="3"/>
      <c r="BWC125" s="3"/>
      <c r="BWD125" s="3"/>
      <c r="BWE125" s="3"/>
      <c r="BWF125" s="3"/>
      <c r="BWG125" s="3"/>
      <c r="BWH125" s="3"/>
      <c r="BWI125" s="3"/>
      <c r="BWJ125" s="3"/>
      <c r="BWK125" s="3"/>
      <c r="BWL125" s="3"/>
      <c r="BWM125" s="3"/>
      <c r="BWN125" s="3"/>
      <c r="BWO125" s="3"/>
      <c r="BWP125" s="3"/>
      <c r="BWQ125" s="3"/>
      <c r="BWR125" s="3"/>
      <c r="BWS125" s="3"/>
      <c r="BWT125" s="3"/>
      <c r="BWU125" s="3"/>
      <c r="BWV125" s="3"/>
      <c r="BWW125" s="3"/>
      <c r="BWX125" s="3"/>
      <c r="BWY125" s="3"/>
      <c r="BWZ125" s="3"/>
      <c r="BXA125" s="3"/>
      <c r="BXB125" s="3"/>
      <c r="BXC125" s="3"/>
      <c r="BXD125" s="3"/>
      <c r="BXE125" s="3"/>
      <c r="BXF125" s="3"/>
      <c r="BXG125" s="3"/>
      <c r="BXH125" s="3"/>
      <c r="BXI125" s="3"/>
      <c r="BXJ125" s="3"/>
      <c r="BXK125" s="3"/>
      <c r="BXL125" s="3"/>
      <c r="BXM125" s="3"/>
      <c r="BXN125" s="3"/>
      <c r="BXO125" s="3"/>
      <c r="BXP125" s="3"/>
      <c r="BXQ125" s="3"/>
      <c r="BXR125" s="3"/>
      <c r="BXS125" s="3"/>
      <c r="BXT125" s="3"/>
      <c r="BXU125" s="3"/>
      <c r="BXV125" s="3"/>
      <c r="BXW125" s="3"/>
      <c r="BXX125" s="3"/>
      <c r="BXY125" s="3"/>
      <c r="BXZ125" s="3"/>
      <c r="BYA125" s="3"/>
      <c r="BYB125" s="3"/>
      <c r="BYC125" s="3"/>
      <c r="BYD125" s="3"/>
      <c r="BYE125" s="3"/>
      <c r="BYF125" s="3"/>
      <c r="BYG125" s="3"/>
      <c r="BYH125" s="3"/>
      <c r="BYI125" s="3"/>
      <c r="BYJ125" s="3"/>
      <c r="BYK125" s="3"/>
      <c r="BYL125" s="3"/>
      <c r="BYM125" s="3"/>
      <c r="BYN125" s="3"/>
      <c r="BYO125" s="3"/>
      <c r="BYP125" s="3"/>
      <c r="BYQ125" s="3"/>
      <c r="BYR125" s="3"/>
      <c r="BYS125" s="3"/>
      <c r="BYT125" s="3"/>
      <c r="BYU125" s="3"/>
      <c r="BYV125" s="3"/>
      <c r="BYW125" s="3"/>
      <c r="BYX125" s="3"/>
      <c r="BYY125" s="3"/>
      <c r="BYZ125" s="3"/>
      <c r="BZA125" s="3"/>
      <c r="BZB125" s="3"/>
      <c r="BZC125" s="3"/>
      <c r="BZD125" s="3"/>
      <c r="BZE125" s="3"/>
      <c r="BZF125" s="3"/>
      <c r="BZG125" s="3"/>
      <c r="BZH125" s="3"/>
      <c r="BZI125" s="3"/>
      <c r="BZJ125" s="3"/>
      <c r="BZK125" s="3"/>
      <c r="BZL125" s="3"/>
      <c r="BZM125" s="3"/>
      <c r="BZN125" s="3"/>
      <c r="BZO125" s="3"/>
      <c r="BZP125" s="3"/>
      <c r="BZQ125" s="3"/>
      <c r="BZR125" s="3"/>
      <c r="BZS125" s="3"/>
      <c r="BZT125" s="3"/>
      <c r="BZU125" s="3"/>
      <c r="BZV125" s="3"/>
      <c r="BZW125" s="3"/>
      <c r="BZX125" s="3"/>
      <c r="BZY125" s="3"/>
      <c r="BZZ125" s="3"/>
      <c r="CAA125" s="3"/>
      <c r="CAB125" s="3"/>
      <c r="CAC125" s="3"/>
      <c r="CAD125" s="3"/>
      <c r="CAE125" s="3"/>
      <c r="CAF125" s="3"/>
      <c r="CAG125" s="3"/>
      <c r="CAH125" s="3"/>
      <c r="CAI125" s="3"/>
      <c r="CAJ125" s="3"/>
      <c r="CAK125" s="3"/>
      <c r="CAL125" s="3"/>
      <c r="CAM125" s="3"/>
      <c r="CAN125" s="3"/>
      <c r="CAO125" s="3"/>
      <c r="CAP125" s="3"/>
      <c r="CAQ125" s="3"/>
      <c r="CAR125" s="3"/>
      <c r="CAS125" s="3"/>
      <c r="CAT125" s="3"/>
      <c r="CAU125" s="3"/>
      <c r="CAV125" s="3"/>
      <c r="CAW125" s="3"/>
      <c r="CAX125" s="3"/>
      <c r="CAY125" s="3"/>
      <c r="CAZ125" s="3"/>
      <c r="CBA125" s="3"/>
      <c r="CBB125" s="3"/>
      <c r="CBC125" s="3"/>
      <c r="CBD125" s="3"/>
      <c r="CBE125" s="3"/>
      <c r="CBF125" s="3"/>
      <c r="CBG125" s="3"/>
      <c r="CBH125" s="3"/>
      <c r="CBI125" s="3"/>
      <c r="CBJ125" s="3"/>
      <c r="CBK125" s="3"/>
      <c r="CBL125" s="3"/>
      <c r="CBM125" s="3"/>
      <c r="CBN125" s="3"/>
      <c r="CBO125" s="3"/>
      <c r="CBP125" s="3"/>
      <c r="CBQ125" s="3"/>
      <c r="CBR125" s="3"/>
      <c r="CBS125" s="3"/>
      <c r="CBT125" s="3"/>
      <c r="CBU125" s="3"/>
      <c r="CBV125" s="3"/>
      <c r="CBW125" s="3"/>
      <c r="CBX125" s="3"/>
      <c r="CBY125" s="3"/>
      <c r="CBZ125" s="3"/>
      <c r="CCA125" s="3"/>
      <c r="CCB125" s="3"/>
      <c r="CCC125" s="3"/>
      <c r="CCD125" s="3"/>
      <c r="CCE125" s="3"/>
      <c r="CCF125" s="3"/>
      <c r="CCG125" s="3"/>
      <c r="CCH125" s="3"/>
      <c r="CCI125" s="3"/>
      <c r="CCJ125" s="3"/>
      <c r="CCK125" s="3"/>
      <c r="CCL125" s="3"/>
      <c r="CCM125" s="3"/>
      <c r="CCN125" s="3"/>
      <c r="CCO125" s="3"/>
      <c r="CCP125" s="3"/>
      <c r="CCQ125" s="3"/>
      <c r="CCR125" s="3"/>
      <c r="CCS125" s="3"/>
      <c r="CCT125" s="3"/>
      <c r="CCU125" s="3"/>
      <c r="CCV125" s="3"/>
      <c r="CCW125" s="3"/>
      <c r="CCX125" s="3"/>
      <c r="CCY125" s="3"/>
      <c r="CCZ125" s="3"/>
      <c r="CDA125" s="3"/>
      <c r="CDB125" s="3"/>
      <c r="CDC125" s="3"/>
      <c r="CDD125" s="3"/>
      <c r="CDE125" s="3"/>
      <c r="CDF125" s="3"/>
      <c r="CDG125" s="3"/>
      <c r="CDH125" s="3"/>
      <c r="CDI125" s="3"/>
      <c r="CDJ125" s="3"/>
      <c r="CDK125" s="3"/>
      <c r="CDL125" s="3"/>
      <c r="CDM125" s="3"/>
      <c r="CDN125" s="3"/>
      <c r="CDO125" s="3"/>
      <c r="CDP125" s="3"/>
      <c r="CDQ125" s="3"/>
      <c r="CDR125" s="3"/>
      <c r="CDS125" s="3"/>
      <c r="CDT125" s="3"/>
      <c r="CDU125" s="3"/>
      <c r="CDV125" s="3"/>
      <c r="CDW125" s="3"/>
      <c r="CDX125" s="3"/>
      <c r="CDY125" s="3"/>
      <c r="CDZ125" s="3"/>
      <c r="CEA125" s="3"/>
      <c r="CEB125" s="3"/>
      <c r="CEC125" s="3"/>
      <c r="CED125" s="3"/>
      <c r="CEE125" s="3"/>
      <c r="CEF125" s="3"/>
      <c r="CEG125" s="3"/>
      <c r="CEH125" s="3"/>
      <c r="CEI125" s="3"/>
      <c r="CEJ125" s="3"/>
      <c r="CEK125" s="3"/>
      <c r="CEL125" s="3"/>
      <c r="CEM125" s="3"/>
      <c r="CEN125" s="3"/>
      <c r="CEO125" s="3"/>
      <c r="CEP125" s="3"/>
      <c r="CEQ125" s="3"/>
      <c r="CER125" s="3"/>
      <c r="CES125" s="3"/>
      <c r="CET125" s="3"/>
      <c r="CEU125" s="3"/>
      <c r="CEV125" s="3"/>
      <c r="CEW125" s="3"/>
      <c r="CEX125" s="3"/>
      <c r="CEY125" s="3"/>
      <c r="CEZ125" s="3"/>
      <c r="CFA125" s="3"/>
      <c r="CFB125" s="3"/>
      <c r="CFC125" s="3"/>
      <c r="CFD125" s="3"/>
      <c r="CFE125" s="3"/>
      <c r="CFF125" s="3"/>
      <c r="CFG125" s="3"/>
      <c r="CFH125" s="3"/>
      <c r="CFI125" s="3"/>
      <c r="CFJ125" s="3"/>
      <c r="CFK125" s="3"/>
      <c r="CFL125" s="3"/>
      <c r="CFM125" s="3"/>
      <c r="CFN125" s="3"/>
      <c r="CFO125" s="3"/>
      <c r="CFP125" s="3"/>
      <c r="CFQ125" s="3"/>
      <c r="CFR125" s="3"/>
      <c r="CFS125" s="3"/>
      <c r="CFT125" s="3"/>
      <c r="CFU125" s="3"/>
      <c r="CFV125" s="3"/>
      <c r="CFW125" s="3"/>
      <c r="CFX125" s="3"/>
      <c r="CFY125" s="3"/>
      <c r="CFZ125" s="3"/>
      <c r="CGA125" s="3"/>
      <c r="CGB125" s="3"/>
      <c r="CGC125" s="3"/>
      <c r="CGD125" s="3"/>
      <c r="CGE125" s="3"/>
      <c r="CGF125" s="3"/>
      <c r="CGG125" s="3"/>
      <c r="CGH125" s="3"/>
      <c r="CGI125" s="3"/>
      <c r="CGJ125" s="3"/>
      <c r="CGK125" s="3"/>
      <c r="CGL125" s="3"/>
      <c r="CGM125" s="3"/>
      <c r="CGN125" s="3"/>
      <c r="CGO125" s="3"/>
      <c r="CGP125" s="3"/>
      <c r="CGQ125" s="3"/>
      <c r="CGR125" s="3"/>
      <c r="CGS125" s="3"/>
      <c r="CGT125" s="3"/>
      <c r="CGU125" s="3"/>
      <c r="CGV125" s="3"/>
      <c r="CGW125" s="3"/>
      <c r="CGX125" s="3"/>
      <c r="CGY125" s="3"/>
      <c r="CGZ125" s="3"/>
      <c r="CHA125" s="3"/>
      <c r="CHB125" s="3"/>
      <c r="CHC125" s="3"/>
      <c r="CHD125" s="3"/>
      <c r="CHE125" s="3"/>
      <c r="CHF125" s="3"/>
      <c r="CHG125" s="3"/>
      <c r="CHH125" s="3"/>
      <c r="CHI125" s="3"/>
      <c r="CHJ125" s="3"/>
      <c r="CHK125" s="3"/>
      <c r="CHL125" s="3"/>
      <c r="CHM125" s="3"/>
      <c r="CHN125" s="3"/>
      <c r="CHO125" s="3"/>
      <c r="CHP125" s="3"/>
      <c r="CHQ125" s="3"/>
      <c r="CHR125" s="3"/>
      <c r="CHS125" s="3"/>
      <c r="CHT125" s="3"/>
      <c r="CHU125" s="3"/>
      <c r="CHV125" s="3"/>
      <c r="CHW125" s="3"/>
      <c r="CHX125" s="3"/>
      <c r="CHY125" s="3"/>
      <c r="CHZ125" s="3"/>
      <c r="CIA125" s="3"/>
      <c r="CIB125" s="3"/>
      <c r="CIC125" s="3"/>
      <c r="CID125" s="3"/>
      <c r="CIE125" s="3"/>
      <c r="CIF125" s="3"/>
      <c r="CIG125" s="3"/>
      <c r="CIH125" s="3"/>
      <c r="CII125" s="3"/>
      <c r="CIJ125" s="3"/>
      <c r="CIK125" s="3"/>
      <c r="CIL125" s="3"/>
      <c r="CIM125" s="3"/>
      <c r="CIN125" s="3"/>
      <c r="CIO125" s="3"/>
      <c r="CIP125" s="3"/>
      <c r="CIQ125" s="3"/>
      <c r="CIR125" s="3"/>
      <c r="CIS125" s="3"/>
      <c r="CIT125" s="3"/>
      <c r="CIU125" s="3"/>
      <c r="CIV125" s="3"/>
      <c r="CIW125" s="3"/>
      <c r="CIX125" s="3"/>
      <c r="CIY125" s="3"/>
      <c r="CIZ125" s="3"/>
      <c r="CJA125" s="3"/>
      <c r="CJB125" s="3"/>
      <c r="CJC125" s="3"/>
      <c r="CJD125" s="3"/>
      <c r="CJE125" s="3"/>
      <c r="CJF125" s="3"/>
      <c r="CJG125" s="3"/>
      <c r="CJH125" s="3"/>
      <c r="CJI125" s="3"/>
      <c r="CJJ125" s="3"/>
      <c r="CJK125" s="3"/>
      <c r="CJL125" s="3"/>
      <c r="CJM125" s="3"/>
      <c r="CJN125" s="3"/>
      <c r="CJO125" s="3"/>
      <c r="CJP125" s="3"/>
      <c r="CJQ125" s="3"/>
      <c r="CJR125" s="3"/>
      <c r="CJS125" s="3"/>
      <c r="CJT125" s="3"/>
      <c r="CJU125" s="3"/>
      <c r="CJV125" s="3"/>
      <c r="CJW125" s="3"/>
      <c r="CJX125" s="3"/>
      <c r="CJY125" s="3"/>
      <c r="CJZ125" s="3"/>
      <c r="CKA125" s="3"/>
      <c r="CKB125" s="3"/>
      <c r="CKC125" s="3"/>
      <c r="CKD125" s="3"/>
      <c r="CKE125" s="3"/>
      <c r="CKF125" s="3"/>
      <c r="CKG125" s="3"/>
      <c r="CKH125" s="3"/>
      <c r="CKI125" s="3"/>
      <c r="CKJ125" s="3"/>
      <c r="CKK125" s="3"/>
      <c r="CKL125" s="3"/>
      <c r="CKM125" s="3"/>
      <c r="CKN125" s="3"/>
      <c r="CKO125" s="3"/>
      <c r="CKP125" s="3"/>
      <c r="CKQ125" s="3"/>
      <c r="CKR125" s="3"/>
      <c r="CKS125" s="3"/>
      <c r="CKT125" s="3"/>
      <c r="CKU125" s="3"/>
      <c r="CKV125" s="3"/>
      <c r="CKW125" s="3"/>
      <c r="CKX125" s="3"/>
      <c r="CKY125" s="3"/>
      <c r="CKZ125" s="3"/>
      <c r="CLA125" s="3"/>
      <c r="CLB125" s="3"/>
      <c r="CLC125" s="3"/>
      <c r="CLD125" s="3"/>
      <c r="CLE125" s="3"/>
      <c r="CLF125" s="3"/>
      <c r="CLG125" s="3"/>
      <c r="CLH125" s="3"/>
      <c r="CLI125" s="3"/>
      <c r="CLJ125" s="3"/>
      <c r="CLK125" s="3"/>
      <c r="CLL125" s="3"/>
      <c r="CLM125" s="3"/>
      <c r="CLN125" s="3"/>
      <c r="CLO125" s="3"/>
      <c r="CLP125" s="3"/>
      <c r="CLQ125" s="3"/>
      <c r="CLR125" s="3"/>
      <c r="CLS125" s="3"/>
      <c r="CLT125" s="3"/>
      <c r="CLU125" s="3"/>
      <c r="CLV125" s="3"/>
      <c r="CLW125" s="3"/>
      <c r="CLX125" s="3"/>
      <c r="CLY125" s="3"/>
      <c r="CLZ125" s="3"/>
      <c r="CMA125" s="3"/>
      <c r="CMB125" s="3"/>
      <c r="CMC125" s="3"/>
      <c r="CMD125" s="3"/>
      <c r="CME125" s="3"/>
      <c r="CMF125" s="3"/>
      <c r="CMG125" s="3"/>
      <c r="CMH125" s="3"/>
      <c r="CMI125" s="3"/>
      <c r="CMJ125" s="3"/>
      <c r="CMK125" s="3"/>
      <c r="CML125" s="3"/>
      <c r="CMM125" s="3"/>
      <c r="CMN125" s="3"/>
      <c r="CMO125" s="3"/>
      <c r="CMP125" s="3"/>
      <c r="CMQ125" s="3"/>
      <c r="CMR125" s="3"/>
      <c r="CMS125" s="3"/>
      <c r="CMT125" s="3"/>
      <c r="CMU125" s="3"/>
      <c r="CMV125" s="3"/>
      <c r="CMW125" s="3"/>
      <c r="CMX125" s="3"/>
      <c r="CMY125" s="3"/>
      <c r="CMZ125" s="3"/>
      <c r="CNA125" s="3"/>
      <c r="CNB125" s="3"/>
      <c r="CNC125" s="3"/>
      <c r="CND125" s="3"/>
      <c r="CNE125" s="3"/>
      <c r="CNF125" s="3"/>
      <c r="CNG125" s="3"/>
      <c r="CNH125" s="3"/>
      <c r="CNI125" s="3"/>
      <c r="CNJ125" s="3"/>
      <c r="CNK125" s="3"/>
      <c r="CNL125" s="3"/>
      <c r="CNM125" s="3"/>
      <c r="CNN125" s="3"/>
      <c r="CNO125" s="3"/>
      <c r="CNP125" s="3"/>
      <c r="CNQ125" s="3"/>
      <c r="CNR125" s="3"/>
      <c r="CNS125" s="3"/>
      <c r="CNT125" s="3"/>
      <c r="CNU125" s="3"/>
      <c r="CNV125" s="3"/>
      <c r="CNW125" s="3"/>
      <c r="CNX125" s="3"/>
      <c r="CNY125" s="3"/>
      <c r="CNZ125" s="3"/>
      <c r="COA125" s="3"/>
      <c r="COB125" s="3"/>
      <c r="COC125" s="3"/>
      <c r="COD125" s="3"/>
      <c r="COE125" s="3"/>
      <c r="COF125" s="3"/>
      <c r="COG125" s="3"/>
      <c r="COH125" s="3"/>
      <c r="COI125" s="3"/>
      <c r="COJ125" s="3"/>
      <c r="COK125" s="3"/>
      <c r="COL125" s="3"/>
      <c r="COM125" s="3"/>
      <c r="CON125" s="3"/>
      <c r="COO125" s="3"/>
      <c r="COP125" s="3"/>
      <c r="COQ125" s="3"/>
      <c r="COR125" s="3"/>
      <c r="COS125" s="3"/>
      <c r="COT125" s="3"/>
      <c r="COU125" s="3"/>
      <c r="COV125" s="3"/>
      <c r="COW125" s="3"/>
      <c r="COX125" s="3"/>
      <c r="COY125" s="3"/>
      <c r="COZ125" s="3"/>
      <c r="CPA125" s="3"/>
      <c r="CPB125" s="3"/>
      <c r="CPC125" s="3"/>
      <c r="CPD125" s="3"/>
      <c r="CPE125" s="3"/>
      <c r="CPF125" s="3"/>
      <c r="CPG125" s="3"/>
      <c r="CPH125" s="3"/>
      <c r="CPI125" s="3"/>
      <c r="CPJ125" s="3"/>
      <c r="CPK125" s="3"/>
      <c r="CPL125" s="3"/>
      <c r="CPM125" s="3"/>
      <c r="CPN125" s="3"/>
      <c r="CPO125" s="3"/>
      <c r="CPP125" s="3"/>
      <c r="CPQ125" s="3"/>
      <c r="CPR125" s="3"/>
      <c r="CPS125" s="3"/>
      <c r="CPT125" s="3"/>
      <c r="CPU125" s="3"/>
      <c r="CPV125" s="3"/>
      <c r="CPW125" s="3"/>
      <c r="CPX125" s="3"/>
      <c r="CPY125" s="3"/>
      <c r="CPZ125" s="3"/>
      <c r="CQA125" s="3"/>
      <c r="CQB125" s="3"/>
      <c r="CQC125" s="3"/>
      <c r="CQD125" s="3"/>
      <c r="CQE125" s="3"/>
      <c r="CQF125" s="3"/>
      <c r="CQG125" s="3"/>
      <c r="CQH125" s="3"/>
      <c r="CQI125" s="3"/>
      <c r="CQJ125" s="3"/>
      <c r="CQK125" s="3"/>
      <c r="CQL125" s="3"/>
      <c r="CQM125" s="3"/>
      <c r="CQN125" s="3"/>
      <c r="CQO125" s="3"/>
      <c r="CQP125" s="3"/>
      <c r="CQQ125" s="3"/>
      <c r="CQR125" s="3"/>
      <c r="CQS125" s="3"/>
      <c r="CQT125" s="3"/>
      <c r="CQU125" s="3"/>
      <c r="CQV125" s="3"/>
      <c r="CQW125" s="3"/>
      <c r="CQX125" s="3"/>
      <c r="CQY125" s="3"/>
      <c r="CQZ125" s="3"/>
      <c r="CRA125" s="3"/>
      <c r="CRB125" s="3"/>
      <c r="CRC125" s="3"/>
      <c r="CRD125" s="3"/>
      <c r="CRE125" s="3"/>
      <c r="CRF125" s="3"/>
      <c r="CRG125" s="3"/>
      <c r="CRH125" s="3"/>
      <c r="CRI125" s="3"/>
      <c r="CRJ125" s="3"/>
      <c r="CRK125" s="3"/>
      <c r="CRL125" s="3"/>
      <c r="CRM125" s="3"/>
      <c r="CRN125" s="3"/>
      <c r="CRO125" s="3"/>
      <c r="CRP125" s="3"/>
      <c r="CRQ125" s="3"/>
      <c r="CRR125" s="3"/>
      <c r="CRS125" s="3"/>
      <c r="CRT125" s="3"/>
      <c r="CRU125" s="3"/>
      <c r="CRV125" s="3"/>
      <c r="CRW125" s="3"/>
      <c r="CRX125" s="3"/>
      <c r="CRY125" s="3"/>
      <c r="CRZ125" s="3"/>
      <c r="CSA125" s="3"/>
      <c r="CSB125" s="3"/>
      <c r="CSC125" s="3"/>
      <c r="CSD125" s="3"/>
      <c r="CSE125" s="3"/>
      <c r="CSF125" s="3"/>
      <c r="CSG125" s="3"/>
      <c r="CSH125" s="3"/>
      <c r="CSI125" s="3"/>
      <c r="CSJ125" s="3"/>
      <c r="CSK125" s="3"/>
      <c r="CSL125" s="3"/>
      <c r="CSM125" s="3"/>
      <c r="CSN125" s="3"/>
      <c r="CSO125" s="3"/>
      <c r="CSP125" s="3"/>
      <c r="CSQ125" s="3"/>
      <c r="CSR125" s="3"/>
      <c r="CSS125" s="3"/>
      <c r="CST125" s="3"/>
      <c r="CSU125" s="3"/>
      <c r="CSV125" s="3"/>
      <c r="CSW125" s="3"/>
      <c r="CSX125" s="3"/>
      <c r="CSY125" s="3"/>
      <c r="CSZ125" s="3"/>
      <c r="CTA125" s="3"/>
      <c r="CTB125" s="3"/>
      <c r="CTC125" s="3"/>
      <c r="CTD125" s="3"/>
      <c r="CTE125" s="3"/>
      <c r="CTF125" s="3"/>
      <c r="CTG125" s="3"/>
      <c r="CTH125" s="3"/>
      <c r="CTI125" s="3"/>
      <c r="CTJ125" s="3"/>
      <c r="CTK125" s="3"/>
      <c r="CTL125" s="3"/>
      <c r="CTM125" s="3"/>
      <c r="CTN125" s="3"/>
      <c r="CTO125" s="3"/>
      <c r="CTP125" s="3"/>
      <c r="CTQ125" s="3"/>
      <c r="CTR125" s="3"/>
      <c r="CTS125" s="3"/>
      <c r="CTT125" s="3"/>
      <c r="CTU125" s="3"/>
      <c r="CTV125" s="3"/>
      <c r="CTW125" s="3"/>
      <c r="CTX125" s="3"/>
      <c r="CTY125" s="3"/>
      <c r="CTZ125" s="3"/>
      <c r="CUA125" s="3"/>
      <c r="CUB125" s="3"/>
      <c r="CUC125" s="3"/>
      <c r="CUD125" s="3"/>
      <c r="CUE125" s="3"/>
      <c r="CUF125" s="3"/>
      <c r="CUG125" s="3"/>
      <c r="CUH125" s="3"/>
      <c r="CUI125" s="3"/>
      <c r="CUJ125" s="3"/>
      <c r="CUK125" s="3"/>
      <c r="CUL125" s="3"/>
      <c r="CUM125" s="3"/>
      <c r="CUN125" s="3"/>
      <c r="CUO125" s="3"/>
      <c r="CUP125" s="3"/>
      <c r="CUQ125" s="3"/>
      <c r="CUR125" s="3"/>
      <c r="CUS125" s="3"/>
      <c r="CUT125" s="3"/>
      <c r="CUU125" s="3"/>
      <c r="CUV125" s="3"/>
      <c r="CUW125" s="3"/>
      <c r="CUX125" s="3"/>
      <c r="CUY125" s="3"/>
      <c r="CUZ125" s="3"/>
      <c r="CVA125" s="3"/>
      <c r="CVB125" s="3"/>
      <c r="CVC125" s="3"/>
      <c r="CVD125" s="3"/>
      <c r="CVE125" s="3"/>
      <c r="CVF125" s="3"/>
      <c r="CVG125" s="3"/>
      <c r="CVH125" s="3"/>
      <c r="CVI125" s="3"/>
      <c r="CVJ125" s="3"/>
      <c r="CVK125" s="3"/>
      <c r="CVL125" s="3"/>
      <c r="CVM125" s="3"/>
      <c r="CVN125" s="3"/>
      <c r="CVO125" s="3"/>
      <c r="CVP125" s="3"/>
      <c r="CVQ125" s="3"/>
      <c r="CVR125" s="3"/>
      <c r="CVS125" s="3"/>
      <c r="CVT125" s="3"/>
      <c r="CVU125" s="3"/>
      <c r="CVV125" s="3"/>
      <c r="CVW125" s="3"/>
      <c r="CVX125" s="3"/>
      <c r="CVY125" s="3"/>
      <c r="CVZ125" s="3"/>
      <c r="CWA125" s="3"/>
      <c r="CWB125" s="3"/>
      <c r="CWC125" s="3"/>
      <c r="CWD125" s="3"/>
      <c r="CWE125" s="3"/>
      <c r="CWF125" s="3"/>
      <c r="CWG125" s="3"/>
      <c r="CWH125" s="3"/>
      <c r="CWI125" s="3"/>
      <c r="CWJ125" s="3"/>
      <c r="CWK125" s="3"/>
      <c r="CWL125" s="3"/>
      <c r="CWM125" s="3"/>
      <c r="CWN125" s="3"/>
      <c r="CWO125" s="3"/>
      <c r="CWP125" s="3"/>
      <c r="CWQ125" s="3"/>
      <c r="CWR125" s="3"/>
      <c r="CWS125" s="3"/>
      <c r="CWT125" s="3"/>
      <c r="CWU125" s="3"/>
      <c r="CWV125" s="3"/>
      <c r="CWW125" s="3"/>
      <c r="CWX125" s="3"/>
      <c r="CWY125" s="3"/>
      <c r="CWZ125" s="3"/>
      <c r="CXA125" s="3"/>
      <c r="CXB125" s="3"/>
      <c r="CXC125" s="3"/>
      <c r="CXD125" s="3"/>
      <c r="CXE125" s="3"/>
      <c r="CXF125" s="3"/>
      <c r="CXG125" s="3"/>
      <c r="CXH125" s="3"/>
      <c r="CXI125" s="3"/>
      <c r="CXJ125" s="3"/>
      <c r="CXK125" s="3"/>
      <c r="CXL125" s="3"/>
      <c r="CXM125" s="3"/>
      <c r="CXN125" s="3"/>
      <c r="CXO125" s="3"/>
      <c r="CXP125" s="3"/>
      <c r="CXQ125" s="3"/>
      <c r="CXR125" s="3"/>
      <c r="CXS125" s="3"/>
      <c r="CXT125" s="3"/>
      <c r="CXU125" s="3"/>
      <c r="CXV125" s="3"/>
      <c r="CXW125" s="3"/>
      <c r="CXX125" s="3"/>
      <c r="CXY125" s="3"/>
      <c r="CXZ125" s="3"/>
      <c r="CYA125" s="3"/>
      <c r="CYB125" s="3"/>
      <c r="CYC125" s="3"/>
      <c r="CYD125" s="3"/>
      <c r="CYE125" s="3"/>
      <c r="CYF125" s="3"/>
      <c r="CYG125" s="3"/>
      <c r="CYH125" s="3"/>
      <c r="CYI125" s="3"/>
      <c r="CYJ125" s="3"/>
      <c r="CYK125" s="3"/>
      <c r="CYL125" s="3"/>
      <c r="CYM125" s="3"/>
      <c r="CYN125" s="3"/>
      <c r="CYO125" s="3"/>
      <c r="CYP125" s="3"/>
      <c r="CYQ125" s="3"/>
      <c r="CYR125" s="3"/>
      <c r="CYS125" s="3"/>
      <c r="CYT125" s="3"/>
      <c r="CYU125" s="3"/>
      <c r="CYV125" s="3"/>
      <c r="CYW125" s="3"/>
      <c r="CYX125" s="3"/>
      <c r="CYY125" s="3"/>
      <c r="CYZ125" s="3"/>
      <c r="CZA125" s="3"/>
      <c r="CZB125" s="3"/>
      <c r="CZC125" s="3"/>
      <c r="CZD125" s="3"/>
      <c r="CZE125" s="3"/>
      <c r="CZF125" s="3"/>
      <c r="CZG125" s="3"/>
      <c r="CZH125" s="3"/>
      <c r="CZI125" s="3"/>
      <c r="CZJ125" s="3"/>
      <c r="CZK125" s="3"/>
      <c r="CZL125" s="3"/>
      <c r="CZM125" s="3"/>
      <c r="CZN125" s="3"/>
      <c r="CZO125" s="3"/>
      <c r="CZP125" s="3"/>
      <c r="CZQ125" s="3"/>
      <c r="CZR125" s="3"/>
      <c r="CZS125" s="3"/>
      <c r="CZT125" s="3"/>
      <c r="CZU125" s="3"/>
      <c r="CZV125" s="3"/>
      <c r="CZW125" s="3"/>
      <c r="CZX125" s="3"/>
      <c r="CZY125" s="3"/>
      <c r="CZZ125" s="3"/>
      <c r="DAA125" s="3"/>
      <c r="DAB125" s="3"/>
      <c r="DAC125" s="3"/>
      <c r="DAD125" s="3"/>
      <c r="DAE125" s="3"/>
      <c r="DAF125" s="3"/>
      <c r="DAG125" s="3"/>
      <c r="DAH125" s="3"/>
      <c r="DAI125" s="3"/>
      <c r="DAJ125" s="3"/>
      <c r="DAK125" s="3"/>
      <c r="DAL125" s="3"/>
      <c r="DAM125" s="3"/>
      <c r="DAN125" s="3"/>
      <c r="DAO125" s="3"/>
      <c r="DAP125" s="3"/>
      <c r="DAQ125" s="3"/>
      <c r="DAR125" s="3"/>
      <c r="DAS125" s="3"/>
      <c r="DAT125" s="3"/>
      <c r="DAU125" s="3"/>
      <c r="DAV125" s="3"/>
      <c r="DAW125" s="3"/>
      <c r="DAX125" s="3"/>
      <c r="DAY125" s="3"/>
      <c r="DAZ125" s="3"/>
      <c r="DBA125" s="3"/>
      <c r="DBB125" s="3"/>
      <c r="DBC125" s="3"/>
      <c r="DBD125" s="3"/>
      <c r="DBE125" s="3"/>
      <c r="DBF125" s="3"/>
      <c r="DBG125" s="3"/>
      <c r="DBH125" s="3"/>
      <c r="DBI125" s="3"/>
      <c r="DBJ125" s="3"/>
      <c r="DBK125" s="3"/>
      <c r="DBL125" s="3"/>
      <c r="DBM125" s="3"/>
      <c r="DBN125" s="3"/>
      <c r="DBO125" s="3"/>
      <c r="DBP125" s="3"/>
      <c r="DBQ125" s="3"/>
      <c r="DBR125" s="3"/>
      <c r="DBS125" s="3"/>
      <c r="DBT125" s="3"/>
      <c r="DBU125" s="3"/>
      <c r="DBV125" s="3"/>
      <c r="DBW125" s="3"/>
      <c r="DBX125" s="3"/>
      <c r="DBY125" s="3"/>
      <c r="DBZ125" s="3"/>
      <c r="DCA125" s="3"/>
      <c r="DCB125" s="3"/>
      <c r="DCC125" s="3"/>
      <c r="DCD125" s="3"/>
      <c r="DCE125" s="3"/>
      <c r="DCF125" s="3"/>
      <c r="DCG125" s="3"/>
      <c r="DCH125" s="3"/>
      <c r="DCI125" s="3"/>
      <c r="DCJ125" s="3"/>
      <c r="DCK125" s="3"/>
      <c r="DCL125" s="3"/>
      <c r="DCM125" s="3"/>
      <c r="DCN125" s="3"/>
      <c r="DCO125" s="3"/>
      <c r="DCP125" s="3"/>
      <c r="DCQ125" s="3"/>
      <c r="DCR125" s="3"/>
      <c r="DCS125" s="3"/>
      <c r="DCT125" s="3"/>
      <c r="DCU125" s="3"/>
      <c r="DCV125" s="3"/>
      <c r="DCW125" s="3"/>
      <c r="DCX125" s="3"/>
      <c r="DCY125" s="3"/>
      <c r="DCZ125" s="3"/>
      <c r="DDA125" s="3"/>
      <c r="DDB125" s="3"/>
      <c r="DDC125" s="3"/>
      <c r="DDD125" s="3"/>
      <c r="DDE125" s="3"/>
      <c r="DDF125" s="3"/>
      <c r="DDG125" s="3"/>
      <c r="DDH125" s="3"/>
      <c r="DDI125" s="3"/>
      <c r="DDJ125" s="3"/>
      <c r="DDK125" s="3"/>
      <c r="DDL125" s="3"/>
      <c r="DDM125" s="3"/>
      <c r="DDN125" s="3"/>
      <c r="DDO125" s="3"/>
      <c r="DDP125" s="3"/>
      <c r="DDQ125" s="3"/>
      <c r="DDR125" s="3"/>
      <c r="DDS125" s="3"/>
      <c r="DDT125" s="3"/>
      <c r="DDU125" s="3"/>
      <c r="DDV125" s="3"/>
      <c r="DDW125" s="3"/>
      <c r="DDX125" s="3"/>
      <c r="DDY125" s="3"/>
      <c r="DDZ125" s="3"/>
      <c r="DEA125" s="3"/>
      <c r="DEB125" s="3"/>
      <c r="DEC125" s="3"/>
      <c r="DED125" s="3"/>
      <c r="DEE125" s="3"/>
      <c r="DEF125" s="3"/>
      <c r="DEG125" s="3"/>
      <c r="DEH125" s="3"/>
      <c r="DEI125" s="3"/>
      <c r="DEJ125" s="3"/>
      <c r="DEK125" s="3"/>
      <c r="DEL125" s="3"/>
      <c r="DEM125" s="3"/>
      <c r="DEN125" s="3"/>
      <c r="DEO125" s="3"/>
      <c r="DEP125" s="3"/>
      <c r="DEQ125" s="3"/>
      <c r="DER125" s="3"/>
      <c r="DES125" s="3"/>
      <c r="DET125" s="3"/>
      <c r="DEU125" s="3"/>
      <c r="DEV125" s="3"/>
      <c r="DEW125" s="3"/>
      <c r="DEX125" s="3"/>
      <c r="DEY125" s="3"/>
      <c r="DEZ125" s="3"/>
      <c r="DFA125" s="3"/>
      <c r="DFB125" s="3"/>
      <c r="DFC125" s="3"/>
      <c r="DFD125" s="3"/>
      <c r="DFE125" s="3"/>
      <c r="DFF125" s="3"/>
      <c r="DFG125" s="3"/>
      <c r="DFH125" s="3"/>
      <c r="DFI125" s="3"/>
      <c r="DFJ125" s="3"/>
      <c r="DFK125" s="3"/>
      <c r="DFL125" s="3"/>
      <c r="DFM125" s="3"/>
      <c r="DFN125" s="3"/>
      <c r="DFO125" s="3"/>
      <c r="DFP125" s="3"/>
      <c r="DFQ125" s="3"/>
      <c r="DFR125" s="3"/>
      <c r="DFS125" s="3"/>
      <c r="DFT125" s="3"/>
      <c r="DFU125" s="3"/>
      <c r="DFV125" s="3"/>
      <c r="DFW125" s="3"/>
      <c r="DFX125" s="3"/>
      <c r="DFY125" s="3"/>
      <c r="DFZ125" s="3"/>
      <c r="DGA125" s="3"/>
      <c r="DGB125" s="3"/>
      <c r="DGC125" s="3"/>
      <c r="DGD125" s="3"/>
      <c r="DGE125" s="3"/>
      <c r="DGF125" s="3"/>
      <c r="DGG125" s="3"/>
      <c r="DGH125" s="3"/>
      <c r="DGI125" s="3"/>
      <c r="DGJ125" s="3"/>
      <c r="DGK125" s="3"/>
      <c r="DGL125" s="3"/>
      <c r="DGM125" s="3"/>
      <c r="DGN125" s="3"/>
      <c r="DGO125" s="3"/>
      <c r="DGP125" s="3"/>
      <c r="DGQ125" s="3"/>
      <c r="DGR125" s="3"/>
      <c r="DGS125" s="3"/>
      <c r="DGT125" s="3"/>
      <c r="DGU125" s="3"/>
      <c r="DGV125" s="3"/>
      <c r="DGW125" s="3"/>
      <c r="DGX125" s="3"/>
      <c r="DGY125" s="3"/>
      <c r="DGZ125" s="3"/>
      <c r="DHA125" s="3"/>
      <c r="DHB125" s="3"/>
      <c r="DHC125" s="3"/>
      <c r="DHD125" s="3"/>
      <c r="DHE125" s="3"/>
      <c r="DHF125" s="3"/>
      <c r="DHG125" s="3"/>
      <c r="DHH125" s="3"/>
      <c r="DHI125" s="3"/>
      <c r="DHJ125" s="3"/>
      <c r="DHK125" s="3"/>
      <c r="DHL125" s="3"/>
      <c r="DHM125" s="3"/>
      <c r="DHN125" s="3"/>
      <c r="DHO125" s="3"/>
      <c r="DHP125" s="3"/>
      <c r="DHQ125" s="3"/>
      <c r="DHR125" s="3"/>
      <c r="DHS125" s="3"/>
      <c r="DHT125" s="3"/>
      <c r="DHU125" s="3"/>
      <c r="DHV125" s="3"/>
      <c r="DHW125" s="3"/>
      <c r="DHX125" s="3"/>
      <c r="DHY125" s="3"/>
      <c r="DHZ125" s="3"/>
      <c r="DIA125" s="3"/>
      <c r="DIB125" s="3"/>
      <c r="DIC125" s="3"/>
      <c r="DID125" s="3"/>
      <c r="DIE125" s="3"/>
      <c r="DIF125" s="3"/>
      <c r="DIG125" s="3"/>
      <c r="DIH125" s="3"/>
      <c r="DII125" s="3"/>
      <c r="DIJ125" s="3"/>
      <c r="DIK125" s="3"/>
      <c r="DIL125" s="3"/>
      <c r="DIM125" s="3"/>
      <c r="DIN125" s="3"/>
      <c r="DIO125" s="3"/>
      <c r="DIP125" s="3"/>
      <c r="DIQ125" s="3"/>
      <c r="DIR125" s="3"/>
      <c r="DIS125" s="3"/>
      <c r="DIT125" s="3"/>
      <c r="DIU125" s="3"/>
      <c r="DIV125" s="3"/>
      <c r="DIW125" s="3"/>
      <c r="DIX125" s="3"/>
      <c r="DIY125" s="3"/>
      <c r="DIZ125" s="3"/>
      <c r="DJA125" s="3"/>
      <c r="DJB125" s="3"/>
      <c r="DJC125" s="3"/>
      <c r="DJD125" s="3"/>
      <c r="DJE125" s="3"/>
      <c r="DJF125" s="3"/>
      <c r="DJG125" s="3"/>
      <c r="DJH125" s="3"/>
      <c r="DJI125" s="3"/>
      <c r="DJJ125" s="3"/>
      <c r="DJK125" s="3"/>
      <c r="DJL125" s="3"/>
      <c r="DJM125" s="3"/>
      <c r="DJN125" s="3"/>
      <c r="DJO125" s="3"/>
      <c r="DJP125" s="3"/>
      <c r="DJQ125" s="3"/>
      <c r="DJR125" s="3"/>
      <c r="DJS125" s="3"/>
      <c r="DJT125" s="3"/>
      <c r="DJU125" s="3"/>
      <c r="DJV125" s="3"/>
      <c r="DJW125" s="3"/>
      <c r="DJX125" s="3"/>
      <c r="DJY125" s="3"/>
      <c r="DJZ125" s="3"/>
      <c r="DKA125" s="3"/>
      <c r="DKB125" s="3"/>
      <c r="DKC125" s="3"/>
      <c r="DKD125" s="3"/>
      <c r="DKE125" s="3"/>
      <c r="DKF125" s="3"/>
      <c r="DKG125" s="3"/>
      <c r="DKH125" s="3"/>
      <c r="DKI125" s="3"/>
      <c r="DKJ125" s="3"/>
      <c r="DKK125" s="3"/>
      <c r="DKL125" s="3"/>
      <c r="DKM125" s="3"/>
      <c r="DKN125" s="3"/>
      <c r="DKO125" s="3"/>
      <c r="DKP125" s="3"/>
      <c r="DKQ125" s="3"/>
      <c r="DKR125" s="3"/>
      <c r="DKS125" s="3"/>
      <c r="DKT125" s="3"/>
      <c r="DKU125" s="3"/>
      <c r="DKV125" s="3"/>
      <c r="DKW125" s="3"/>
      <c r="DKX125" s="3"/>
      <c r="DKY125" s="3"/>
      <c r="DKZ125" s="3"/>
      <c r="DLA125" s="3"/>
      <c r="DLB125" s="3"/>
      <c r="DLC125" s="3"/>
      <c r="DLD125" s="3"/>
      <c r="DLE125" s="3"/>
      <c r="DLF125" s="3"/>
      <c r="DLG125" s="3"/>
      <c r="DLH125" s="3"/>
      <c r="DLI125" s="3"/>
      <c r="DLJ125" s="3"/>
      <c r="DLK125" s="3"/>
      <c r="DLL125" s="3"/>
      <c r="DLM125" s="3"/>
      <c r="DLN125" s="3"/>
      <c r="DLO125" s="3"/>
      <c r="DLP125" s="3"/>
      <c r="DLQ125" s="3"/>
      <c r="DLR125" s="3"/>
      <c r="DLS125" s="3"/>
      <c r="DLT125" s="3"/>
      <c r="DLU125" s="3"/>
      <c r="DLV125" s="3"/>
      <c r="DLW125" s="3"/>
      <c r="DLX125" s="3"/>
      <c r="DLY125" s="3"/>
      <c r="DLZ125" s="3"/>
      <c r="DMA125" s="3"/>
      <c r="DMB125" s="3"/>
      <c r="DMC125" s="3"/>
      <c r="DMD125" s="3"/>
      <c r="DME125" s="3"/>
      <c r="DMF125" s="3"/>
      <c r="DMG125" s="3"/>
      <c r="DMH125" s="3"/>
      <c r="DMI125" s="3"/>
      <c r="DMJ125" s="3"/>
      <c r="DMK125" s="3"/>
      <c r="DML125" s="3"/>
      <c r="DMM125" s="3"/>
      <c r="DMN125" s="3"/>
      <c r="DMO125" s="3"/>
      <c r="DMP125" s="3"/>
      <c r="DMQ125" s="3"/>
      <c r="DMR125" s="3"/>
      <c r="DMS125" s="3"/>
      <c r="DMT125" s="3"/>
      <c r="DMU125" s="3"/>
      <c r="DMV125" s="3"/>
      <c r="DMW125" s="3"/>
      <c r="DMX125" s="3"/>
      <c r="DMY125" s="3"/>
      <c r="DMZ125" s="3"/>
      <c r="DNA125" s="3"/>
      <c r="DNB125" s="3"/>
      <c r="DNC125" s="3"/>
      <c r="DND125" s="3"/>
      <c r="DNE125" s="3"/>
      <c r="DNF125" s="3"/>
      <c r="DNG125" s="3"/>
      <c r="DNH125" s="3"/>
      <c r="DNI125" s="3"/>
      <c r="DNJ125" s="3"/>
      <c r="DNK125" s="3"/>
      <c r="DNL125" s="3"/>
      <c r="DNM125" s="3"/>
      <c r="DNN125" s="3"/>
      <c r="DNO125" s="3"/>
      <c r="DNP125" s="3"/>
      <c r="DNQ125" s="3"/>
      <c r="DNR125" s="3"/>
      <c r="DNS125" s="3"/>
      <c r="DNT125" s="3"/>
      <c r="DNU125" s="3"/>
      <c r="DNV125" s="3"/>
      <c r="DNW125" s="3"/>
      <c r="DNX125" s="3"/>
      <c r="DNY125" s="3"/>
      <c r="DNZ125" s="3"/>
      <c r="DOA125" s="3"/>
      <c r="DOB125" s="3"/>
      <c r="DOC125" s="3"/>
      <c r="DOD125" s="3"/>
      <c r="DOE125" s="3"/>
      <c r="DOF125" s="3"/>
      <c r="DOG125" s="3"/>
      <c r="DOH125" s="3"/>
      <c r="DOI125" s="3"/>
      <c r="DOJ125" s="3"/>
      <c r="DOK125" s="3"/>
      <c r="DOL125" s="3"/>
      <c r="DOM125" s="3"/>
      <c r="DON125" s="3"/>
      <c r="DOO125" s="3"/>
      <c r="DOP125" s="3"/>
      <c r="DOQ125" s="3"/>
      <c r="DOR125" s="3"/>
      <c r="DOS125" s="3"/>
      <c r="DOT125" s="3"/>
      <c r="DOU125" s="3"/>
      <c r="DOV125" s="3"/>
      <c r="DOW125" s="3"/>
      <c r="DOX125" s="3"/>
      <c r="DOY125" s="3"/>
      <c r="DOZ125" s="3"/>
      <c r="DPA125" s="3"/>
      <c r="DPB125" s="3"/>
      <c r="DPC125" s="3"/>
      <c r="DPD125" s="3"/>
      <c r="DPE125" s="3"/>
      <c r="DPF125" s="3"/>
      <c r="DPG125" s="3"/>
      <c r="DPH125" s="3"/>
      <c r="DPI125" s="3"/>
      <c r="DPJ125" s="3"/>
      <c r="DPK125" s="3"/>
      <c r="DPL125" s="3"/>
      <c r="DPM125" s="3"/>
      <c r="DPN125" s="3"/>
      <c r="DPO125" s="3"/>
      <c r="DPP125" s="3"/>
      <c r="DPQ125" s="3"/>
      <c r="DPR125" s="3"/>
      <c r="DPS125" s="3"/>
      <c r="DPT125" s="3"/>
      <c r="DPU125" s="3"/>
      <c r="DPV125" s="3"/>
      <c r="DPW125" s="3"/>
      <c r="DPX125" s="3"/>
      <c r="DPY125" s="3"/>
      <c r="DPZ125" s="3"/>
      <c r="DQA125" s="3"/>
      <c r="DQB125" s="3"/>
      <c r="DQC125" s="3"/>
      <c r="DQD125" s="3"/>
      <c r="DQE125" s="3"/>
      <c r="DQF125" s="3"/>
      <c r="DQG125" s="3"/>
      <c r="DQH125" s="3"/>
      <c r="DQI125" s="3"/>
      <c r="DQJ125" s="3"/>
      <c r="DQK125" s="3"/>
      <c r="DQL125" s="3"/>
      <c r="DQM125" s="3"/>
      <c r="DQN125" s="3"/>
      <c r="DQO125" s="3"/>
      <c r="DQP125" s="3"/>
      <c r="DQQ125" s="3"/>
      <c r="DQR125" s="3"/>
      <c r="DQS125" s="3"/>
      <c r="DQT125" s="3"/>
      <c r="DQU125" s="3"/>
      <c r="DQV125" s="3"/>
      <c r="DQW125" s="3"/>
      <c r="DQX125" s="3"/>
      <c r="DQY125" s="3"/>
      <c r="DQZ125" s="3"/>
      <c r="DRA125" s="3"/>
      <c r="DRB125" s="3"/>
      <c r="DRC125" s="3"/>
      <c r="DRD125" s="3"/>
      <c r="DRE125" s="3"/>
      <c r="DRF125" s="3"/>
      <c r="DRG125" s="3"/>
      <c r="DRH125" s="3"/>
      <c r="DRI125" s="3"/>
      <c r="DRJ125" s="3"/>
      <c r="DRK125" s="3"/>
      <c r="DRL125" s="3"/>
      <c r="DRM125" s="3"/>
      <c r="DRN125" s="3"/>
      <c r="DRO125" s="3"/>
      <c r="DRP125" s="3"/>
      <c r="DRQ125" s="3"/>
      <c r="DRR125" s="3"/>
      <c r="DRS125" s="3"/>
      <c r="DRT125" s="3"/>
      <c r="DRU125" s="3"/>
      <c r="DRV125" s="3"/>
      <c r="DRW125" s="3"/>
      <c r="DRX125" s="3"/>
      <c r="DRY125" s="3"/>
      <c r="DRZ125" s="3"/>
      <c r="DSA125" s="3"/>
      <c r="DSB125" s="3"/>
      <c r="DSC125" s="3"/>
      <c r="DSD125" s="3"/>
      <c r="DSE125" s="3"/>
      <c r="DSF125" s="3"/>
      <c r="DSG125" s="3"/>
      <c r="DSH125" s="3"/>
      <c r="DSI125" s="3"/>
      <c r="DSJ125" s="3"/>
      <c r="DSK125" s="3"/>
      <c r="DSL125" s="3"/>
      <c r="DSM125" s="3"/>
      <c r="DSN125" s="3"/>
      <c r="DSO125" s="3"/>
      <c r="DSP125" s="3"/>
      <c r="DSQ125" s="3"/>
      <c r="DSR125" s="3"/>
      <c r="DSS125" s="3"/>
      <c r="DST125" s="3"/>
      <c r="DSU125" s="3"/>
      <c r="DSV125" s="3"/>
      <c r="DSW125" s="3"/>
      <c r="DSX125" s="3"/>
      <c r="DSY125" s="3"/>
      <c r="DSZ125" s="3"/>
      <c r="DTA125" s="3"/>
      <c r="DTB125" s="3"/>
      <c r="DTC125" s="3"/>
      <c r="DTD125" s="3"/>
      <c r="DTE125" s="3"/>
      <c r="DTF125" s="3"/>
      <c r="DTG125" s="3"/>
      <c r="DTH125" s="3"/>
      <c r="DTI125" s="3"/>
      <c r="DTJ125" s="3"/>
      <c r="DTK125" s="3"/>
      <c r="DTL125" s="3"/>
      <c r="DTM125" s="3"/>
      <c r="DTN125" s="3"/>
      <c r="DTO125" s="3"/>
      <c r="DTP125" s="3"/>
      <c r="DTQ125" s="3"/>
      <c r="DTR125" s="3"/>
      <c r="DTS125" s="3"/>
      <c r="DTT125" s="3"/>
      <c r="DTU125" s="3"/>
      <c r="DTV125" s="3"/>
      <c r="DTW125" s="3"/>
      <c r="DTX125" s="3"/>
      <c r="DTY125" s="3"/>
      <c r="DTZ125" s="3"/>
      <c r="DUA125" s="3"/>
      <c r="DUB125" s="3"/>
      <c r="DUC125" s="3"/>
      <c r="DUD125" s="3"/>
      <c r="DUE125" s="3"/>
      <c r="DUF125" s="3"/>
      <c r="DUG125" s="3"/>
      <c r="DUH125" s="3"/>
      <c r="DUI125" s="3"/>
      <c r="DUJ125" s="3"/>
      <c r="DUK125" s="3"/>
      <c r="DUL125" s="3"/>
      <c r="DUM125" s="3"/>
      <c r="DUN125" s="3"/>
      <c r="DUO125" s="3"/>
      <c r="DUP125" s="3"/>
      <c r="DUQ125" s="3"/>
      <c r="DUR125" s="3"/>
      <c r="DUS125" s="3"/>
      <c r="DUT125" s="3"/>
      <c r="DUU125" s="3"/>
      <c r="DUV125" s="3"/>
      <c r="DUW125" s="3"/>
      <c r="DUX125" s="3"/>
      <c r="DUY125" s="3"/>
      <c r="DUZ125" s="3"/>
      <c r="DVA125" s="3"/>
      <c r="DVB125" s="3"/>
      <c r="DVC125" s="3"/>
      <c r="DVD125" s="3"/>
      <c r="DVE125" s="3"/>
      <c r="DVF125" s="3"/>
      <c r="DVG125" s="3"/>
      <c r="DVH125" s="3"/>
      <c r="DVI125" s="3"/>
      <c r="DVJ125" s="3"/>
      <c r="DVK125" s="3"/>
      <c r="DVL125" s="3"/>
      <c r="DVM125" s="3"/>
      <c r="DVN125" s="3"/>
      <c r="DVO125" s="3"/>
      <c r="DVP125" s="3"/>
      <c r="DVQ125" s="3"/>
      <c r="DVR125" s="3"/>
      <c r="DVS125" s="3"/>
      <c r="DVT125" s="3"/>
      <c r="DVU125" s="3"/>
      <c r="DVV125" s="3"/>
      <c r="DVW125" s="3"/>
      <c r="DVX125" s="3"/>
      <c r="DVY125" s="3"/>
      <c r="DVZ125" s="3"/>
      <c r="DWA125" s="3"/>
      <c r="DWB125" s="3"/>
      <c r="DWC125" s="3"/>
      <c r="DWD125" s="3"/>
      <c r="DWE125" s="3"/>
      <c r="DWF125" s="3"/>
      <c r="DWG125" s="3"/>
      <c r="DWH125" s="3"/>
      <c r="DWI125" s="3"/>
      <c r="DWJ125" s="3"/>
      <c r="DWK125" s="3"/>
      <c r="DWL125" s="3"/>
      <c r="DWM125" s="3"/>
      <c r="DWN125" s="3"/>
      <c r="DWO125" s="3"/>
      <c r="DWP125" s="3"/>
      <c r="DWQ125" s="3"/>
      <c r="DWR125" s="3"/>
      <c r="DWS125" s="3"/>
      <c r="DWT125" s="3"/>
      <c r="DWU125" s="3"/>
      <c r="DWV125" s="3"/>
      <c r="DWW125" s="3"/>
      <c r="DWX125" s="3"/>
      <c r="DWY125" s="3"/>
      <c r="DWZ125" s="3"/>
      <c r="DXA125" s="3"/>
      <c r="DXB125" s="3"/>
      <c r="DXC125" s="3"/>
      <c r="DXD125" s="3"/>
      <c r="DXE125" s="3"/>
      <c r="DXF125" s="3"/>
      <c r="DXG125" s="3"/>
      <c r="DXH125" s="3"/>
      <c r="DXI125" s="3"/>
      <c r="DXJ125" s="3"/>
      <c r="DXK125" s="3"/>
      <c r="DXL125" s="3"/>
      <c r="DXM125" s="3"/>
      <c r="DXN125" s="3"/>
      <c r="DXO125" s="3"/>
      <c r="DXP125" s="3"/>
      <c r="DXQ125" s="3"/>
      <c r="DXR125" s="3"/>
      <c r="DXS125" s="3"/>
      <c r="DXT125" s="3"/>
      <c r="DXU125" s="3"/>
      <c r="DXV125" s="3"/>
      <c r="DXW125" s="3"/>
      <c r="DXX125" s="3"/>
      <c r="DXY125" s="3"/>
      <c r="DXZ125" s="3"/>
      <c r="DYA125" s="3"/>
      <c r="DYB125" s="3"/>
      <c r="DYC125" s="3"/>
      <c r="DYD125" s="3"/>
      <c r="DYE125" s="3"/>
      <c r="DYF125" s="3"/>
      <c r="DYG125" s="3"/>
      <c r="DYH125" s="3"/>
      <c r="DYI125" s="3"/>
      <c r="DYJ125" s="3"/>
      <c r="DYK125" s="3"/>
      <c r="DYL125" s="3"/>
      <c r="DYM125" s="3"/>
      <c r="DYN125" s="3"/>
      <c r="DYO125" s="3"/>
      <c r="DYP125" s="3"/>
      <c r="DYQ125" s="3"/>
      <c r="DYR125" s="3"/>
      <c r="DYS125" s="3"/>
      <c r="DYT125" s="3"/>
      <c r="DYU125" s="3"/>
      <c r="DYV125" s="3"/>
      <c r="DYW125" s="3"/>
      <c r="DYX125" s="3"/>
      <c r="DYY125" s="3"/>
      <c r="DYZ125" s="3"/>
      <c r="DZA125" s="3"/>
      <c r="DZB125" s="3"/>
      <c r="DZC125" s="3"/>
      <c r="DZD125" s="3"/>
      <c r="DZE125" s="3"/>
      <c r="DZF125" s="3"/>
      <c r="DZG125" s="3"/>
      <c r="DZH125" s="3"/>
      <c r="DZI125" s="3"/>
      <c r="DZJ125" s="3"/>
      <c r="DZK125" s="3"/>
      <c r="DZL125" s="3"/>
      <c r="DZM125" s="3"/>
      <c r="DZN125" s="3"/>
      <c r="DZO125" s="3"/>
      <c r="DZP125" s="3"/>
      <c r="DZQ125" s="3"/>
      <c r="DZR125" s="3"/>
      <c r="DZS125" s="3"/>
      <c r="DZT125" s="3"/>
      <c r="DZU125" s="3"/>
      <c r="DZV125" s="3"/>
      <c r="DZW125" s="3"/>
      <c r="DZX125" s="3"/>
      <c r="DZY125" s="3"/>
      <c r="DZZ125" s="3"/>
      <c r="EAA125" s="3"/>
      <c r="EAB125" s="3"/>
      <c r="EAC125" s="3"/>
      <c r="EAD125" s="3"/>
      <c r="EAE125" s="3"/>
      <c r="EAF125" s="3"/>
      <c r="EAG125" s="3"/>
      <c r="EAH125" s="3"/>
      <c r="EAI125" s="3"/>
      <c r="EAJ125" s="3"/>
      <c r="EAK125" s="3"/>
      <c r="EAL125" s="3"/>
      <c r="EAM125" s="3"/>
      <c r="EAN125" s="3"/>
      <c r="EAO125" s="3"/>
      <c r="EAP125" s="3"/>
      <c r="EAQ125" s="3"/>
      <c r="EAR125" s="3"/>
      <c r="EAS125" s="3"/>
      <c r="EAT125" s="3"/>
      <c r="EAU125" s="3"/>
      <c r="EAV125" s="3"/>
      <c r="EAW125" s="3"/>
      <c r="EAX125" s="3"/>
      <c r="EAY125" s="3"/>
      <c r="EAZ125" s="3"/>
      <c r="EBA125" s="3"/>
      <c r="EBB125" s="3"/>
      <c r="EBC125" s="3"/>
      <c r="EBD125" s="3"/>
      <c r="EBE125" s="3"/>
      <c r="EBF125" s="3"/>
      <c r="EBG125" s="3"/>
      <c r="EBH125" s="3"/>
      <c r="EBI125" s="3"/>
      <c r="EBJ125" s="3"/>
      <c r="EBK125" s="3"/>
      <c r="EBL125" s="3"/>
      <c r="EBM125" s="3"/>
      <c r="EBN125" s="3"/>
      <c r="EBO125" s="3"/>
      <c r="EBP125" s="3"/>
      <c r="EBQ125" s="3"/>
      <c r="EBR125" s="3"/>
      <c r="EBS125" s="3"/>
      <c r="EBT125" s="3"/>
      <c r="EBU125" s="3"/>
      <c r="EBV125" s="3"/>
      <c r="EBW125" s="3"/>
      <c r="EBX125" s="3"/>
      <c r="EBY125" s="3"/>
      <c r="EBZ125" s="3"/>
      <c r="ECA125" s="3"/>
      <c r="ECB125" s="3"/>
      <c r="ECC125" s="3"/>
      <c r="ECD125" s="3"/>
      <c r="ECE125" s="3"/>
      <c r="ECF125" s="3"/>
      <c r="ECG125" s="3"/>
      <c r="ECH125" s="3"/>
      <c r="ECI125" s="3"/>
      <c r="ECJ125" s="3"/>
      <c r="ECK125" s="3"/>
      <c r="ECL125" s="3"/>
      <c r="ECM125" s="3"/>
      <c r="ECN125" s="3"/>
      <c r="ECO125" s="3"/>
      <c r="ECP125" s="3"/>
      <c r="ECQ125" s="3"/>
      <c r="ECR125" s="3"/>
      <c r="ECS125" s="3"/>
      <c r="ECT125" s="3"/>
      <c r="ECU125" s="3"/>
      <c r="ECV125" s="3"/>
      <c r="ECW125" s="3"/>
      <c r="ECX125" s="3"/>
      <c r="ECY125" s="3"/>
      <c r="ECZ125" s="3"/>
      <c r="EDA125" s="3"/>
      <c r="EDB125" s="3"/>
      <c r="EDC125" s="3"/>
      <c r="EDD125" s="3"/>
      <c r="EDE125" s="3"/>
      <c r="EDF125" s="3"/>
      <c r="EDG125" s="3"/>
      <c r="EDH125" s="3"/>
      <c r="EDI125" s="3"/>
      <c r="EDJ125" s="3"/>
      <c r="EDK125" s="3"/>
      <c r="EDL125" s="3"/>
      <c r="EDM125" s="3"/>
      <c r="EDN125" s="3"/>
      <c r="EDO125" s="3"/>
      <c r="EDP125" s="3"/>
      <c r="EDQ125" s="3"/>
      <c r="EDR125" s="3"/>
      <c r="EDS125" s="3"/>
      <c r="EDT125" s="3"/>
      <c r="EDU125" s="3"/>
      <c r="EDV125" s="3"/>
      <c r="EDW125" s="3"/>
      <c r="EDX125" s="3"/>
      <c r="EDY125" s="3"/>
      <c r="EDZ125" s="3"/>
      <c r="EEA125" s="3"/>
      <c r="EEB125" s="3"/>
      <c r="EEC125" s="3"/>
      <c r="EED125" s="3"/>
      <c r="EEE125" s="3"/>
      <c r="EEF125" s="3"/>
      <c r="EEG125" s="3"/>
      <c r="EEH125" s="3"/>
      <c r="EEI125" s="3"/>
      <c r="EEJ125" s="3"/>
      <c r="EEK125" s="3"/>
      <c r="EEL125" s="3"/>
      <c r="EEM125" s="3"/>
      <c r="EEN125" s="3"/>
      <c r="EEO125" s="3"/>
      <c r="EEP125" s="3"/>
      <c r="EEQ125" s="3"/>
      <c r="EER125" s="3"/>
      <c r="EES125" s="3"/>
      <c r="EET125" s="3"/>
      <c r="EEU125" s="3"/>
      <c r="EEV125" s="3"/>
      <c r="EEW125" s="3"/>
      <c r="EEX125" s="3"/>
      <c r="EEY125" s="3"/>
      <c r="EEZ125" s="3"/>
      <c r="EFA125" s="3"/>
      <c r="EFB125" s="3"/>
      <c r="EFC125" s="3"/>
      <c r="EFD125" s="3"/>
      <c r="EFE125" s="3"/>
      <c r="EFF125" s="3"/>
      <c r="EFG125" s="3"/>
      <c r="EFH125" s="3"/>
      <c r="EFI125" s="3"/>
      <c r="EFJ125" s="3"/>
      <c r="EFK125" s="3"/>
      <c r="EFL125" s="3"/>
      <c r="EFM125" s="3"/>
      <c r="EFN125" s="3"/>
      <c r="EFO125" s="3"/>
      <c r="EFP125" s="3"/>
      <c r="EFQ125" s="3"/>
      <c r="EFR125" s="3"/>
      <c r="EFS125" s="3"/>
      <c r="EFT125" s="3"/>
      <c r="EFU125" s="3"/>
      <c r="EFV125" s="3"/>
      <c r="EFW125" s="3"/>
      <c r="EFX125" s="3"/>
      <c r="EFY125" s="3"/>
      <c r="EFZ125" s="3"/>
      <c r="EGA125" s="3"/>
      <c r="EGB125" s="3"/>
      <c r="EGC125" s="3"/>
      <c r="EGD125" s="3"/>
      <c r="EGE125" s="3"/>
      <c r="EGF125" s="3"/>
      <c r="EGG125" s="3"/>
      <c r="EGH125" s="3"/>
      <c r="EGI125" s="3"/>
      <c r="EGJ125" s="3"/>
      <c r="EGK125" s="3"/>
      <c r="EGL125" s="3"/>
      <c r="EGM125" s="3"/>
      <c r="EGN125" s="3"/>
      <c r="EGO125" s="3"/>
      <c r="EGP125" s="3"/>
      <c r="EGQ125" s="3"/>
      <c r="EGR125" s="3"/>
      <c r="EGS125" s="3"/>
      <c r="EGT125" s="3"/>
      <c r="EGU125" s="3"/>
      <c r="EGV125" s="3"/>
      <c r="EGW125" s="3"/>
      <c r="EGX125" s="3"/>
      <c r="EGY125" s="3"/>
      <c r="EGZ125" s="3"/>
      <c r="EHA125" s="3"/>
      <c r="EHB125" s="3"/>
      <c r="EHC125" s="3"/>
      <c r="EHD125" s="3"/>
      <c r="EHE125" s="3"/>
      <c r="EHF125" s="3"/>
      <c r="EHG125" s="3"/>
      <c r="EHH125" s="3"/>
      <c r="EHI125" s="3"/>
      <c r="EHJ125" s="3"/>
      <c r="EHK125" s="3"/>
      <c r="EHL125" s="3"/>
      <c r="EHM125" s="3"/>
      <c r="EHN125" s="3"/>
      <c r="EHO125" s="3"/>
      <c r="EHP125" s="3"/>
      <c r="EHQ125" s="3"/>
      <c r="EHR125" s="3"/>
      <c r="EHS125" s="3"/>
      <c r="EHT125" s="3"/>
      <c r="EHU125" s="3"/>
      <c r="EHV125" s="3"/>
      <c r="EHW125" s="3"/>
      <c r="EHX125" s="3"/>
      <c r="EHY125" s="3"/>
      <c r="EHZ125" s="3"/>
      <c r="EIA125" s="3"/>
      <c r="EIB125" s="3"/>
      <c r="EIC125" s="3"/>
      <c r="EID125" s="3"/>
      <c r="EIE125" s="3"/>
      <c r="EIF125" s="3"/>
      <c r="EIG125" s="3"/>
      <c r="EIH125" s="3"/>
      <c r="EII125" s="3"/>
      <c r="EIJ125" s="3"/>
      <c r="EIK125" s="3"/>
      <c r="EIL125" s="3"/>
      <c r="EIM125" s="3"/>
      <c r="EIN125" s="3"/>
      <c r="EIO125" s="3"/>
      <c r="EIP125" s="3"/>
      <c r="EIQ125" s="3"/>
      <c r="EIR125" s="3"/>
      <c r="EIS125" s="3"/>
      <c r="EIT125" s="3"/>
      <c r="EIU125" s="3"/>
      <c r="EIV125" s="3"/>
      <c r="EIW125" s="3"/>
      <c r="EIX125" s="3"/>
      <c r="EIY125" s="3"/>
      <c r="EIZ125" s="3"/>
      <c r="EJA125" s="3"/>
      <c r="EJB125" s="3"/>
      <c r="EJC125" s="3"/>
      <c r="EJD125" s="3"/>
      <c r="EJE125" s="3"/>
      <c r="EJF125" s="3"/>
      <c r="EJG125" s="3"/>
      <c r="EJH125" s="3"/>
      <c r="EJI125" s="3"/>
      <c r="EJJ125" s="3"/>
      <c r="EJK125" s="3"/>
      <c r="EJL125" s="3"/>
      <c r="EJM125" s="3"/>
      <c r="EJN125" s="3"/>
      <c r="EJO125" s="3"/>
      <c r="EJP125" s="3"/>
      <c r="EJQ125" s="3"/>
      <c r="EJR125" s="3"/>
      <c r="EJS125" s="3"/>
      <c r="EJT125" s="3"/>
      <c r="EJU125" s="3"/>
      <c r="EJV125" s="3"/>
      <c r="EJW125" s="3"/>
      <c r="EJX125" s="3"/>
      <c r="EJY125" s="3"/>
      <c r="EJZ125" s="3"/>
      <c r="EKA125" s="3"/>
      <c r="EKB125" s="3"/>
      <c r="EKC125" s="3"/>
      <c r="EKD125" s="3"/>
      <c r="EKE125" s="3"/>
      <c r="EKF125" s="3"/>
      <c r="EKG125" s="3"/>
      <c r="EKH125" s="3"/>
      <c r="EKI125" s="3"/>
      <c r="EKJ125" s="3"/>
      <c r="EKK125" s="3"/>
      <c r="EKL125" s="3"/>
      <c r="EKM125" s="3"/>
      <c r="EKN125" s="3"/>
      <c r="EKO125" s="3"/>
      <c r="EKP125" s="3"/>
      <c r="EKQ125" s="3"/>
      <c r="EKR125" s="3"/>
      <c r="EKS125" s="3"/>
      <c r="EKT125" s="3"/>
      <c r="EKU125" s="3"/>
      <c r="EKV125" s="3"/>
      <c r="EKW125" s="3"/>
      <c r="EKX125" s="3"/>
      <c r="EKY125" s="3"/>
      <c r="EKZ125" s="3"/>
      <c r="ELA125" s="3"/>
      <c r="ELB125" s="3"/>
      <c r="ELC125" s="3"/>
      <c r="ELD125" s="3"/>
      <c r="ELE125" s="3"/>
      <c r="ELF125" s="3"/>
      <c r="ELG125" s="3"/>
      <c r="ELH125" s="3"/>
      <c r="ELI125" s="3"/>
      <c r="ELJ125" s="3"/>
      <c r="ELK125" s="3"/>
      <c r="ELL125" s="3"/>
      <c r="ELM125" s="3"/>
      <c r="ELN125" s="3"/>
      <c r="ELO125" s="3"/>
      <c r="ELP125" s="3"/>
      <c r="ELQ125" s="3"/>
      <c r="ELR125" s="3"/>
      <c r="ELS125" s="3"/>
      <c r="ELT125" s="3"/>
      <c r="ELU125" s="3"/>
      <c r="ELV125" s="3"/>
      <c r="ELW125" s="3"/>
      <c r="ELX125" s="3"/>
      <c r="ELY125" s="3"/>
      <c r="ELZ125" s="3"/>
      <c r="EMA125" s="3"/>
      <c r="EMB125" s="3"/>
      <c r="EMC125" s="3"/>
      <c r="EMD125" s="3"/>
      <c r="EME125" s="3"/>
      <c r="EMF125" s="3"/>
      <c r="EMG125" s="3"/>
      <c r="EMH125" s="3"/>
      <c r="EMI125" s="3"/>
      <c r="EMJ125" s="3"/>
      <c r="EMK125" s="3"/>
      <c r="EML125" s="3"/>
      <c r="EMM125" s="3"/>
      <c r="EMN125" s="3"/>
      <c r="EMO125" s="3"/>
      <c r="EMP125" s="3"/>
      <c r="EMQ125" s="3"/>
      <c r="EMR125" s="3"/>
      <c r="EMS125" s="3"/>
      <c r="EMT125" s="3"/>
      <c r="EMU125" s="3"/>
      <c r="EMV125" s="3"/>
      <c r="EMW125" s="3"/>
      <c r="EMX125" s="3"/>
      <c r="EMY125" s="3"/>
      <c r="EMZ125" s="3"/>
      <c r="ENA125" s="3"/>
      <c r="ENB125" s="3"/>
      <c r="ENC125" s="3"/>
      <c r="END125" s="3"/>
      <c r="ENE125" s="3"/>
      <c r="ENF125" s="3"/>
      <c r="ENG125" s="3"/>
      <c r="ENH125" s="3"/>
      <c r="ENI125" s="3"/>
      <c r="ENJ125" s="3"/>
      <c r="ENK125" s="3"/>
      <c r="ENL125" s="3"/>
      <c r="ENM125" s="3"/>
      <c r="ENN125" s="3"/>
      <c r="ENO125" s="3"/>
      <c r="ENP125" s="3"/>
      <c r="ENQ125" s="3"/>
      <c r="ENR125" s="3"/>
      <c r="ENS125" s="3"/>
      <c r="ENT125" s="3"/>
      <c r="ENU125" s="3"/>
      <c r="ENV125" s="3"/>
      <c r="ENW125" s="3"/>
      <c r="ENX125" s="3"/>
      <c r="ENY125" s="3"/>
      <c r="ENZ125" s="3"/>
      <c r="EOA125" s="3"/>
      <c r="EOB125" s="3"/>
      <c r="EOC125" s="3"/>
      <c r="EOD125" s="3"/>
      <c r="EOE125" s="3"/>
      <c r="EOF125" s="3"/>
      <c r="EOG125" s="3"/>
      <c r="EOH125" s="3"/>
      <c r="EOI125" s="3"/>
      <c r="EOJ125" s="3"/>
      <c r="EOK125" s="3"/>
      <c r="EOL125" s="3"/>
      <c r="EOM125" s="3"/>
      <c r="EON125" s="3"/>
      <c r="EOO125" s="3"/>
      <c r="EOP125" s="3"/>
      <c r="EOQ125" s="3"/>
      <c r="EOR125" s="3"/>
      <c r="EOS125" s="3"/>
      <c r="EOT125" s="3"/>
      <c r="EOU125" s="3"/>
      <c r="EOV125" s="3"/>
      <c r="EOW125" s="3"/>
      <c r="EOX125" s="3"/>
      <c r="EOY125" s="3"/>
      <c r="EOZ125" s="3"/>
      <c r="EPA125" s="3"/>
      <c r="EPB125" s="3"/>
      <c r="EPC125" s="3"/>
      <c r="EPD125" s="3"/>
      <c r="EPE125" s="3"/>
      <c r="EPF125" s="3"/>
      <c r="EPG125" s="3"/>
      <c r="EPH125" s="3"/>
      <c r="EPI125" s="3"/>
      <c r="EPJ125" s="3"/>
      <c r="EPK125" s="3"/>
      <c r="EPL125" s="3"/>
      <c r="EPM125" s="3"/>
      <c r="EPN125" s="3"/>
      <c r="EPO125" s="3"/>
      <c r="EPP125" s="3"/>
      <c r="EPQ125" s="3"/>
      <c r="EPR125" s="3"/>
      <c r="EPS125" s="3"/>
      <c r="EPT125" s="3"/>
      <c r="EPU125" s="3"/>
      <c r="EPV125" s="3"/>
      <c r="EPW125" s="3"/>
      <c r="EPX125" s="3"/>
      <c r="EPY125" s="3"/>
      <c r="EPZ125" s="3"/>
      <c r="EQA125" s="3"/>
      <c r="EQB125" s="3"/>
      <c r="EQC125" s="3"/>
      <c r="EQD125" s="3"/>
      <c r="EQE125" s="3"/>
      <c r="EQF125" s="3"/>
      <c r="EQG125" s="3"/>
      <c r="EQH125" s="3"/>
      <c r="EQI125" s="3"/>
      <c r="EQJ125" s="3"/>
      <c r="EQK125" s="3"/>
      <c r="EQL125" s="3"/>
      <c r="EQM125" s="3"/>
      <c r="EQN125" s="3"/>
      <c r="EQO125" s="3"/>
      <c r="EQP125" s="3"/>
      <c r="EQQ125" s="3"/>
      <c r="EQR125" s="3"/>
      <c r="EQS125" s="3"/>
      <c r="EQT125" s="3"/>
      <c r="EQU125" s="3"/>
      <c r="EQV125" s="3"/>
      <c r="EQW125" s="3"/>
      <c r="EQX125" s="3"/>
      <c r="EQY125" s="3"/>
      <c r="EQZ125" s="3"/>
      <c r="ERA125" s="3"/>
      <c r="ERB125" s="3"/>
      <c r="ERC125" s="3"/>
      <c r="ERD125" s="3"/>
      <c r="ERE125" s="3"/>
      <c r="ERF125" s="3"/>
      <c r="ERG125" s="3"/>
      <c r="ERH125" s="3"/>
      <c r="ERI125" s="3"/>
      <c r="ERJ125" s="3"/>
      <c r="ERK125" s="3"/>
      <c r="ERL125" s="3"/>
      <c r="ERM125" s="3"/>
      <c r="ERN125" s="3"/>
      <c r="ERO125" s="3"/>
      <c r="ERP125" s="3"/>
      <c r="ERQ125" s="3"/>
      <c r="ERR125" s="3"/>
      <c r="ERS125" s="3"/>
      <c r="ERT125" s="3"/>
      <c r="ERU125" s="3"/>
      <c r="ERV125" s="3"/>
      <c r="ERW125" s="3"/>
      <c r="ERX125" s="3"/>
      <c r="ERY125" s="3"/>
      <c r="ERZ125" s="3"/>
      <c r="ESA125" s="3"/>
      <c r="ESB125" s="3"/>
      <c r="ESC125" s="3"/>
      <c r="ESD125" s="3"/>
      <c r="ESE125" s="3"/>
      <c r="ESF125" s="3"/>
      <c r="ESG125" s="3"/>
      <c r="ESH125" s="3"/>
      <c r="ESI125" s="3"/>
      <c r="ESJ125" s="3"/>
      <c r="ESK125" s="3"/>
      <c r="ESL125" s="3"/>
      <c r="ESM125" s="3"/>
      <c r="ESN125" s="3"/>
      <c r="ESO125" s="3"/>
      <c r="ESP125" s="3"/>
      <c r="ESQ125" s="3"/>
      <c r="ESR125" s="3"/>
      <c r="ESS125" s="3"/>
      <c r="EST125" s="3"/>
      <c r="ESU125" s="3"/>
      <c r="ESV125" s="3"/>
      <c r="ESW125" s="3"/>
      <c r="ESX125" s="3"/>
      <c r="ESY125" s="3"/>
      <c r="ESZ125" s="3"/>
      <c r="ETA125" s="3"/>
      <c r="ETB125" s="3"/>
      <c r="ETC125" s="3"/>
      <c r="ETD125" s="3"/>
      <c r="ETE125" s="3"/>
      <c r="ETF125" s="3"/>
      <c r="ETG125" s="3"/>
      <c r="ETH125" s="3"/>
      <c r="ETI125" s="3"/>
      <c r="ETJ125" s="3"/>
      <c r="ETK125" s="3"/>
      <c r="ETL125" s="3"/>
      <c r="ETM125" s="3"/>
      <c r="ETN125" s="3"/>
      <c r="ETO125" s="3"/>
      <c r="ETP125" s="3"/>
      <c r="ETQ125" s="3"/>
      <c r="ETR125" s="3"/>
      <c r="ETS125" s="3"/>
      <c r="ETT125" s="3"/>
      <c r="ETU125" s="3"/>
      <c r="ETV125" s="3"/>
      <c r="ETW125" s="3"/>
      <c r="ETX125" s="3"/>
      <c r="ETY125" s="3"/>
      <c r="ETZ125" s="3"/>
      <c r="EUA125" s="3"/>
      <c r="EUB125" s="3"/>
      <c r="EUC125" s="3"/>
      <c r="EUD125" s="3"/>
      <c r="EUE125" s="3"/>
      <c r="EUF125" s="3"/>
      <c r="EUG125" s="3"/>
      <c r="EUH125" s="3"/>
      <c r="EUI125" s="3"/>
      <c r="EUJ125" s="3"/>
      <c r="EUK125" s="3"/>
      <c r="EUL125" s="3"/>
      <c r="EUM125" s="3"/>
      <c r="EUN125" s="3"/>
      <c r="EUO125" s="3"/>
      <c r="EUP125" s="3"/>
      <c r="EUQ125" s="3"/>
      <c r="EUR125" s="3"/>
      <c r="EUS125" s="3"/>
      <c r="EUT125" s="3"/>
      <c r="EUU125" s="3"/>
      <c r="EUV125" s="3"/>
      <c r="EUW125" s="3"/>
      <c r="EUX125" s="3"/>
      <c r="EUY125" s="3"/>
      <c r="EUZ125" s="3"/>
      <c r="EVA125" s="3"/>
      <c r="EVB125" s="3"/>
      <c r="EVC125" s="3"/>
      <c r="EVD125" s="3"/>
      <c r="EVE125" s="3"/>
      <c r="EVF125" s="3"/>
      <c r="EVG125" s="3"/>
      <c r="EVH125" s="3"/>
      <c r="EVI125" s="3"/>
      <c r="EVJ125" s="3"/>
      <c r="EVK125" s="3"/>
      <c r="EVL125" s="3"/>
      <c r="EVM125" s="3"/>
      <c r="EVN125" s="3"/>
      <c r="EVO125" s="3"/>
      <c r="EVP125" s="3"/>
      <c r="EVQ125" s="3"/>
      <c r="EVR125" s="3"/>
      <c r="EVS125" s="3"/>
      <c r="EVT125" s="3"/>
      <c r="EVU125" s="3"/>
      <c r="EVV125" s="3"/>
      <c r="EVW125" s="3"/>
      <c r="EVX125" s="3"/>
      <c r="EVY125" s="3"/>
      <c r="EVZ125" s="3"/>
      <c r="EWA125" s="3"/>
      <c r="EWB125" s="3"/>
      <c r="EWC125" s="3"/>
      <c r="EWD125" s="3"/>
      <c r="EWE125" s="3"/>
      <c r="EWF125" s="3"/>
      <c r="EWG125" s="3"/>
      <c r="EWH125" s="3"/>
      <c r="EWI125" s="3"/>
      <c r="EWJ125" s="3"/>
      <c r="EWK125" s="3"/>
      <c r="EWL125" s="3"/>
      <c r="EWM125" s="3"/>
      <c r="EWN125" s="3"/>
      <c r="EWO125" s="3"/>
      <c r="EWP125" s="3"/>
      <c r="EWQ125" s="3"/>
      <c r="EWR125" s="3"/>
      <c r="EWS125" s="3"/>
      <c r="EWT125" s="3"/>
      <c r="EWU125" s="3"/>
      <c r="EWV125" s="3"/>
      <c r="EWW125" s="3"/>
      <c r="EWX125" s="3"/>
      <c r="EWY125" s="3"/>
      <c r="EWZ125" s="3"/>
      <c r="EXA125" s="3"/>
      <c r="EXB125" s="3"/>
      <c r="EXC125" s="3"/>
      <c r="EXD125" s="3"/>
      <c r="EXE125" s="3"/>
      <c r="EXF125" s="3"/>
      <c r="EXG125" s="3"/>
      <c r="EXH125" s="3"/>
      <c r="EXI125" s="3"/>
      <c r="EXJ125" s="3"/>
      <c r="EXK125" s="3"/>
      <c r="EXL125" s="3"/>
      <c r="EXM125" s="3"/>
      <c r="EXN125" s="3"/>
      <c r="EXO125" s="3"/>
      <c r="EXP125" s="3"/>
      <c r="EXQ125" s="3"/>
      <c r="EXR125" s="3"/>
      <c r="EXS125" s="3"/>
      <c r="EXT125" s="3"/>
      <c r="EXU125" s="3"/>
      <c r="EXV125" s="3"/>
      <c r="EXW125" s="3"/>
      <c r="EXX125" s="3"/>
      <c r="EXY125" s="3"/>
      <c r="EXZ125" s="3"/>
      <c r="EYA125" s="3"/>
      <c r="EYB125" s="3"/>
      <c r="EYC125" s="3"/>
      <c r="EYD125" s="3"/>
      <c r="EYE125" s="3"/>
      <c r="EYF125" s="3"/>
      <c r="EYG125" s="3"/>
      <c r="EYH125" s="3"/>
      <c r="EYI125" s="3"/>
      <c r="EYJ125" s="3"/>
      <c r="EYK125" s="3"/>
      <c r="EYL125" s="3"/>
      <c r="EYM125" s="3"/>
      <c r="EYN125" s="3"/>
      <c r="EYO125" s="3"/>
      <c r="EYP125" s="3"/>
      <c r="EYQ125" s="3"/>
      <c r="EYR125" s="3"/>
      <c r="EYS125" s="3"/>
      <c r="EYT125" s="3"/>
      <c r="EYU125" s="3"/>
      <c r="EYV125" s="3"/>
      <c r="EYW125" s="3"/>
      <c r="EYX125" s="3"/>
      <c r="EYY125" s="3"/>
      <c r="EYZ125" s="3"/>
      <c r="EZA125" s="3"/>
      <c r="EZB125" s="3"/>
      <c r="EZC125" s="3"/>
      <c r="EZD125" s="3"/>
      <c r="EZE125" s="3"/>
      <c r="EZF125" s="3"/>
      <c r="EZG125" s="3"/>
      <c r="EZH125" s="3"/>
      <c r="EZI125" s="3"/>
      <c r="EZJ125" s="3"/>
      <c r="EZK125" s="3"/>
      <c r="EZL125" s="3"/>
      <c r="EZM125" s="3"/>
      <c r="EZN125" s="3"/>
      <c r="EZO125" s="3"/>
      <c r="EZP125" s="3"/>
      <c r="EZQ125" s="3"/>
      <c r="EZR125" s="3"/>
      <c r="EZS125" s="3"/>
      <c r="EZT125" s="3"/>
      <c r="EZU125" s="3"/>
      <c r="EZV125" s="3"/>
      <c r="EZW125" s="3"/>
      <c r="EZX125" s="3"/>
      <c r="EZY125" s="3"/>
      <c r="EZZ125" s="3"/>
      <c r="FAA125" s="3"/>
      <c r="FAB125" s="3"/>
      <c r="FAC125" s="3"/>
      <c r="FAD125" s="3"/>
      <c r="FAE125" s="3"/>
      <c r="FAF125" s="3"/>
      <c r="FAG125" s="3"/>
      <c r="FAH125" s="3"/>
      <c r="FAI125" s="3"/>
      <c r="FAJ125" s="3"/>
      <c r="FAK125" s="3"/>
      <c r="FAL125" s="3"/>
      <c r="FAM125" s="3"/>
      <c r="FAN125" s="3"/>
      <c r="FAO125" s="3"/>
      <c r="FAP125" s="3"/>
      <c r="FAQ125" s="3"/>
      <c r="FAR125" s="3"/>
      <c r="FAS125" s="3"/>
      <c r="FAT125" s="3"/>
      <c r="FAU125" s="3"/>
      <c r="FAV125" s="3"/>
      <c r="FAW125" s="3"/>
      <c r="FAX125" s="3"/>
      <c r="FAY125" s="3"/>
      <c r="FAZ125" s="3"/>
      <c r="FBA125" s="3"/>
      <c r="FBB125" s="3"/>
      <c r="FBC125" s="3"/>
      <c r="FBD125" s="3"/>
      <c r="FBE125" s="3"/>
      <c r="FBF125" s="3"/>
      <c r="FBG125" s="3"/>
      <c r="FBH125" s="3"/>
      <c r="FBI125" s="3"/>
      <c r="FBJ125" s="3"/>
      <c r="FBK125" s="3"/>
      <c r="FBL125" s="3"/>
      <c r="FBM125" s="3"/>
      <c r="FBN125" s="3"/>
      <c r="FBO125" s="3"/>
      <c r="FBP125" s="3"/>
      <c r="FBQ125" s="3"/>
      <c r="FBR125" s="3"/>
      <c r="FBS125" s="3"/>
      <c r="FBT125" s="3"/>
      <c r="FBU125" s="3"/>
      <c r="FBV125" s="3"/>
      <c r="FBW125" s="3"/>
      <c r="FBX125" s="3"/>
      <c r="FBY125" s="3"/>
      <c r="FBZ125" s="3"/>
      <c r="FCA125" s="3"/>
      <c r="FCB125" s="3"/>
      <c r="FCC125" s="3"/>
      <c r="FCD125" s="3"/>
      <c r="FCE125" s="3"/>
      <c r="FCF125" s="3"/>
      <c r="FCG125" s="3"/>
      <c r="FCH125" s="3"/>
      <c r="FCI125" s="3"/>
      <c r="FCJ125" s="3"/>
      <c r="FCK125" s="3"/>
      <c r="FCL125" s="3"/>
      <c r="FCM125" s="3"/>
      <c r="FCN125" s="3"/>
      <c r="FCO125" s="3"/>
      <c r="FCP125" s="3"/>
      <c r="FCQ125" s="3"/>
      <c r="FCR125" s="3"/>
      <c r="FCS125" s="3"/>
      <c r="FCT125" s="3"/>
      <c r="FCU125" s="3"/>
      <c r="FCV125" s="3"/>
      <c r="FCW125" s="3"/>
      <c r="FCX125" s="3"/>
      <c r="FCY125" s="3"/>
      <c r="FCZ125" s="3"/>
      <c r="FDA125" s="3"/>
      <c r="FDB125" s="3"/>
      <c r="FDC125" s="3"/>
      <c r="FDD125" s="3"/>
      <c r="FDE125" s="3"/>
      <c r="FDF125" s="3"/>
      <c r="FDG125" s="3"/>
      <c r="FDH125" s="3"/>
      <c r="FDI125" s="3"/>
      <c r="FDJ125" s="3"/>
      <c r="FDK125" s="3"/>
      <c r="FDL125" s="3"/>
      <c r="FDM125" s="3"/>
      <c r="FDN125" s="3"/>
      <c r="FDO125" s="3"/>
      <c r="FDP125" s="3"/>
      <c r="FDQ125" s="3"/>
      <c r="FDR125" s="3"/>
      <c r="FDS125" s="3"/>
      <c r="FDT125" s="3"/>
      <c r="FDU125" s="3"/>
      <c r="FDV125" s="3"/>
      <c r="FDW125" s="3"/>
      <c r="FDX125" s="3"/>
      <c r="FDY125" s="3"/>
      <c r="FDZ125" s="3"/>
      <c r="FEA125" s="3"/>
      <c r="FEB125" s="3"/>
      <c r="FEC125" s="3"/>
      <c r="FED125" s="3"/>
      <c r="FEE125" s="3"/>
      <c r="FEF125" s="3"/>
      <c r="FEG125" s="3"/>
      <c r="FEH125" s="3"/>
      <c r="FEI125" s="3"/>
      <c r="FEJ125" s="3"/>
      <c r="FEK125" s="3"/>
      <c r="FEL125" s="3"/>
      <c r="FEM125" s="3"/>
      <c r="FEN125" s="3"/>
      <c r="FEO125" s="3"/>
      <c r="FEP125" s="3"/>
      <c r="FEQ125" s="3"/>
      <c r="FER125" s="3"/>
      <c r="FES125" s="3"/>
      <c r="FET125" s="3"/>
      <c r="FEU125" s="3"/>
      <c r="FEV125" s="3"/>
      <c r="FEW125" s="3"/>
      <c r="FEX125" s="3"/>
      <c r="FEY125" s="3"/>
      <c r="FEZ125" s="3"/>
      <c r="FFA125" s="3"/>
      <c r="FFB125" s="3"/>
      <c r="FFC125" s="3"/>
      <c r="FFD125" s="3"/>
      <c r="FFE125" s="3"/>
      <c r="FFF125" s="3"/>
      <c r="FFG125" s="3"/>
      <c r="FFH125" s="3"/>
      <c r="FFI125" s="3"/>
      <c r="FFJ125" s="3"/>
      <c r="FFK125" s="3"/>
      <c r="FFL125" s="3"/>
      <c r="FFM125" s="3"/>
      <c r="FFN125" s="3"/>
      <c r="FFO125" s="3"/>
      <c r="FFP125" s="3"/>
      <c r="FFQ125" s="3"/>
      <c r="FFR125" s="3"/>
      <c r="FFS125" s="3"/>
      <c r="FFT125" s="3"/>
      <c r="FFU125" s="3"/>
      <c r="FFV125" s="3"/>
      <c r="FFW125" s="3"/>
      <c r="FFX125" s="3"/>
      <c r="FFY125" s="3"/>
      <c r="FFZ125" s="3"/>
      <c r="FGA125" s="3"/>
      <c r="FGB125" s="3"/>
      <c r="FGC125" s="3"/>
      <c r="FGD125" s="3"/>
      <c r="FGE125" s="3"/>
      <c r="FGF125" s="3"/>
      <c r="FGG125" s="3"/>
      <c r="FGH125" s="3"/>
      <c r="FGI125" s="3"/>
      <c r="FGJ125" s="3"/>
      <c r="FGK125" s="3"/>
      <c r="FGL125" s="3"/>
      <c r="FGM125" s="3"/>
      <c r="FGN125" s="3"/>
      <c r="FGO125" s="3"/>
      <c r="FGP125" s="3"/>
      <c r="FGQ125" s="3"/>
      <c r="FGR125" s="3"/>
      <c r="FGS125" s="3"/>
      <c r="FGT125" s="3"/>
      <c r="FGU125" s="3"/>
      <c r="FGV125" s="3"/>
      <c r="FGW125" s="3"/>
      <c r="FGX125" s="3"/>
      <c r="FGY125" s="3"/>
      <c r="FGZ125" s="3"/>
      <c r="FHA125" s="3"/>
      <c r="FHB125" s="3"/>
      <c r="FHC125" s="3"/>
      <c r="FHD125" s="3"/>
      <c r="FHE125" s="3"/>
      <c r="FHF125" s="3"/>
      <c r="FHG125" s="3"/>
      <c r="FHH125" s="3"/>
      <c r="FHI125" s="3"/>
      <c r="FHJ125" s="3"/>
      <c r="FHK125" s="3"/>
      <c r="FHL125" s="3"/>
      <c r="FHM125" s="3"/>
      <c r="FHN125" s="3"/>
      <c r="FHO125" s="3"/>
      <c r="FHP125" s="3"/>
      <c r="FHQ125" s="3"/>
      <c r="FHR125" s="3"/>
      <c r="FHS125" s="3"/>
      <c r="FHT125" s="3"/>
      <c r="FHU125" s="3"/>
      <c r="FHV125" s="3"/>
      <c r="FHW125" s="3"/>
      <c r="FHX125" s="3"/>
      <c r="FHY125" s="3"/>
      <c r="FHZ125" s="3"/>
      <c r="FIA125" s="3"/>
      <c r="FIB125" s="3"/>
      <c r="FIC125" s="3"/>
      <c r="FID125" s="3"/>
      <c r="FIE125" s="3"/>
      <c r="FIF125" s="3"/>
      <c r="FIG125" s="3"/>
      <c r="FIH125" s="3"/>
      <c r="FII125" s="3"/>
      <c r="FIJ125" s="3"/>
      <c r="FIK125" s="3"/>
      <c r="FIL125" s="3"/>
      <c r="FIM125" s="3"/>
      <c r="FIN125" s="3"/>
      <c r="FIO125" s="3"/>
      <c r="FIP125" s="3"/>
      <c r="FIQ125" s="3"/>
      <c r="FIR125" s="3"/>
      <c r="FIS125" s="3"/>
      <c r="FIT125" s="3"/>
      <c r="FIU125" s="3"/>
      <c r="FIV125" s="3"/>
      <c r="FIW125" s="3"/>
      <c r="FIX125" s="3"/>
      <c r="FIY125" s="3"/>
      <c r="FIZ125" s="3"/>
      <c r="FJA125" s="3"/>
      <c r="FJB125" s="3"/>
      <c r="FJC125" s="3"/>
      <c r="FJD125" s="3"/>
      <c r="FJE125" s="3"/>
      <c r="FJF125" s="3"/>
      <c r="FJG125" s="3"/>
      <c r="FJH125" s="3"/>
      <c r="FJI125" s="3"/>
      <c r="FJJ125" s="3"/>
      <c r="FJK125" s="3"/>
      <c r="FJL125" s="3"/>
      <c r="FJM125" s="3"/>
      <c r="FJN125" s="3"/>
      <c r="FJO125" s="3"/>
      <c r="FJP125" s="3"/>
      <c r="FJQ125" s="3"/>
      <c r="FJR125" s="3"/>
      <c r="FJS125" s="3"/>
      <c r="FJT125" s="3"/>
      <c r="FJU125" s="3"/>
      <c r="FJV125" s="3"/>
      <c r="FJW125" s="3"/>
      <c r="FJX125" s="3"/>
      <c r="FJY125" s="3"/>
      <c r="FJZ125" s="3"/>
      <c r="FKA125" s="3"/>
      <c r="FKB125" s="3"/>
      <c r="FKC125" s="3"/>
      <c r="FKD125" s="3"/>
      <c r="FKE125" s="3"/>
      <c r="FKF125" s="3"/>
      <c r="FKG125" s="3"/>
      <c r="FKH125" s="3"/>
      <c r="FKI125" s="3"/>
      <c r="FKJ125" s="3"/>
      <c r="FKK125" s="3"/>
      <c r="FKL125" s="3"/>
      <c r="FKM125" s="3"/>
      <c r="FKN125" s="3"/>
      <c r="FKO125" s="3"/>
      <c r="FKP125" s="3"/>
      <c r="FKQ125" s="3"/>
      <c r="FKR125" s="3"/>
      <c r="FKS125" s="3"/>
      <c r="FKT125" s="3"/>
      <c r="FKU125" s="3"/>
      <c r="FKV125" s="3"/>
      <c r="FKW125" s="3"/>
      <c r="FKX125" s="3"/>
      <c r="FKY125" s="3"/>
      <c r="FKZ125" s="3"/>
      <c r="FLA125" s="3"/>
      <c r="FLB125" s="3"/>
      <c r="FLC125" s="3"/>
      <c r="FLD125" s="3"/>
      <c r="FLE125" s="3"/>
      <c r="FLF125" s="3"/>
      <c r="FLG125" s="3"/>
      <c r="FLH125" s="3"/>
      <c r="FLI125" s="3"/>
      <c r="FLJ125" s="3"/>
      <c r="FLK125" s="3"/>
      <c r="FLL125" s="3"/>
      <c r="FLM125" s="3"/>
      <c r="FLN125" s="3"/>
      <c r="FLO125" s="3"/>
      <c r="FLP125" s="3"/>
      <c r="FLQ125" s="3"/>
      <c r="FLR125" s="3"/>
      <c r="FLS125" s="3"/>
      <c r="FLT125" s="3"/>
      <c r="FLU125" s="3"/>
      <c r="FLV125" s="3"/>
      <c r="FLW125" s="3"/>
      <c r="FLX125" s="3"/>
      <c r="FLY125" s="3"/>
      <c r="FLZ125" s="3"/>
      <c r="FMA125" s="3"/>
      <c r="FMB125" s="3"/>
      <c r="FMC125" s="3"/>
      <c r="FMD125" s="3"/>
      <c r="FME125" s="3"/>
      <c r="FMF125" s="3"/>
      <c r="FMG125" s="3"/>
      <c r="FMH125" s="3"/>
      <c r="FMI125" s="3"/>
      <c r="FMJ125" s="3"/>
      <c r="FMK125" s="3"/>
      <c r="FML125" s="3"/>
      <c r="FMM125" s="3"/>
      <c r="FMN125" s="3"/>
      <c r="FMO125" s="3"/>
      <c r="FMP125" s="3"/>
      <c r="FMQ125" s="3"/>
      <c r="FMR125" s="3"/>
      <c r="FMS125" s="3"/>
      <c r="FMT125" s="3"/>
      <c r="FMU125" s="3"/>
      <c r="FMV125" s="3"/>
      <c r="FMW125" s="3"/>
      <c r="FMX125" s="3"/>
      <c r="FMY125" s="3"/>
      <c r="FMZ125" s="3"/>
      <c r="FNA125" s="3"/>
      <c r="FNB125" s="3"/>
      <c r="FNC125" s="3"/>
      <c r="FND125" s="3"/>
      <c r="FNE125" s="3"/>
      <c r="FNF125" s="3"/>
      <c r="FNG125" s="3"/>
      <c r="FNH125" s="3"/>
      <c r="FNI125" s="3"/>
      <c r="FNJ125" s="3"/>
      <c r="FNK125" s="3"/>
      <c r="FNL125" s="3"/>
      <c r="FNM125" s="3"/>
      <c r="FNN125" s="3"/>
      <c r="FNO125" s="3"/>
      <c r="FNP125" s="3"/>
      <c r="FNQ125" s="3"/>
      <c r="FNR125" s="3"/>
      <c r="FNS125" s="3"/>
      <c r="FNT125" s="3"/>
      <c r="FNU125" s="3"/>
      <c r="FNV125" s="3"/>
      <c r="FNW125" s="3"/>
      <c r="FNX125" s="3"/>
      <c r="FNY125" s="3"/>
      <c r="FNZ125" s="3"/>
      <c r="FOA125" s="3"/>
      <c r="FOB125" s="3"/>
      <c r="FOC125" s="3"/>
      <c r="FOD125" s="3"/>
      <c r="FOE125" s="3"/>
      <c r="FOF125" s="3"/>
      <c r="FOG125" s="3"/>
      <c r="FOH125" s="3"/>
      <c r="FOI125" s="3"/>
      <c r="FOJ125" s="3"/>
      <c r="FOK125" s="3"/>
      <c r="FOL125" s="3"/>
      <c r="FOM125" s="3"/>
      <c r="FON125" s="3"/>
      <c r="FOO125" s="3"/>
      <c r="FOP125" s="3"/>
      <c r="FOQ125" s="3"/>
      <c r="FOR125" s="3"/>
      <c r="FOS125" s="3"/>
      <c r="FOT125" s="3"/>
      <c r="FOU125" s="3"/>
      <c r="FOV125" s="3"/>
      <c r="FOW125" s="3"/>
      <c r="FOX125" s="3"/>
      <c r="FOY125" s="3"/>
      <c r="FOZ125" s="3"/>
      <c r="FPA125" s="3"/>
      <c r="FPB125" s="3"/>
      <c r="FPC125" s="3"/>
      <c r="FPD125" s="3"/>
      <c r="FPE125" s="3"/>
      <c r="FPF125" s="3"/>
      <c r="FPG125" s="3"/>
      <c r="FPH125" s="3"/>
      <c r="FPI125" s="3"/>
      <c r="FPJ125" s="3"/>
      <c r="FPK125" s="3"/>
      <c r="FPL125" s="3"/>
      <c r="FPM125" s="3"/>
      <c r="FPN125" s="3"/>
      <c r="FPO125" s="3"/>
      <c r="FPP125" s="3"/>
      <c r="FPQ125" s="3"/>
      <c r="FPR125" s="3"/>
      <c r="FPS125" s="3"/>
      <c r="FPT125" s="3"/>
      <c r="FPU125" s="3"/>
      <c r="FPV125" s="3"/>
      <c r="FPW125" s="3"/>
      <c r="FPX125" s="3"/>
      <c r="FPY125" s="3"/>
      <c r="FPZ125" s="3"/>
      <c r="FQA125" s="3"/>
      <c r="FQB125" s="3"/>
      <c r="FQC125" s="3"/>
      <c r="FQD125" s="3"/>
      <c r="FQE125" s="3"/>
      <c r="FQF125" s="3"/>
      <c r="FQG125" s="3"/>
      <c r="FQH125" s="3"/>
      <c r="FQI125" s="3"/>
      <c r="FQJ125" s="3"/>
      <c r="FQK125" s="3"/>
      <c r="FQL125" s="3"/>
      <c r="FQM125" s="3"/>
      <c r="FQN125" s="3"/>
      <c r="FQO125" s="3"/>
      <c r="FQP125" s="3"/>
      <c r="FQQ125" s="3"/>
      <c r="FQR125" s="3"/>
      <c r="FQS125" s="3"/>
      <c r="FQT125" s="3"/>
      <c r="FQU125" s="3"/>
      <c r="FQV125" s="3"/>
      <c r="FQW125" s="3"/>
      <c r="FQX125" s="3"/>
      <c r="FQY125" s="3"/>
      <c r="FQZ125" s="3"/>
      <c r="FRA125" s="3"/>
      <c r="FRB125" s="3"/>
      <c r="FRC125" s="3"/>
      <c r="FRD125" s="3"/>
      <c r="FRE125" s="3"/>
      <c r="FRF125" s="3"/>
      <c r="FRG125" s="3"/>
      <c r="FRH125" s="3"/>
      <c r="FRI125" s="3"/>
      <c r="FRJ125" s="3"/>
      <c r="FRK125" s="3"/>
      <c r="FRL125" s="3"/>
      <c r="FRM125" s="3"/>
      <c r="FRN125" s="3"/>
      <c r="FRO125" s="3"/>
      <c r="FRP125" s="3"/>
      <c r="FRQ125" s="3"/>
      <c r="FRR125" s="3"/>
      <c r="FRS125" s="3"/>
      <c r="FRT125" s="3"/>
      <c r="FRU125" s="3"/>
      <c r="FRV125" s="3"/>
      <c r="FRW125" s="3"/>
      <c r="FRX125" s="3"/>
      <c r="FRY125" s="3"/>
      <c r="FRZ125" s="3"/>
      <c r="FSA125" s="3"/>
      <c r="FSB125" s="3"/>
      <c r="FSC125" s="3"/>
      <c r="FSD125" s="3"/>
      <c r="FSE125" s="3"/>
      <c r="FSF125" s="3"/>
      <c r="FSG125" s="3"/>
      <c r="FSH125" s="3"/>
      <c r="FSI125" s="3"/>
      <c r="FSJ125" s="3"/>
      <c r="FSK125" s="3"/>
      <c r="FSL125" s="3"/>
      <c r="FSM125" s="3"/>
      <c r="FSN125" s="3"/>
      <c r="FSO125" s="3"/>
      <c r="FSP125" s="3"/>
      <c r="FSQ125" s="3"/>
      <c r="FSR125" s="3"/>
      <c r="FSS125" s="3"/>
      <c r="FST125" s="3"/>
      <c r="FSU125" s="3"/>
      <c r="FSV125" s="3"/>
      <c r="FSW125" s="3"/>
      <c r="FSX125" s="3"/>
      <c r="FSY125" s="3"/>
      <c r="FSZ125" s="3"/>
      <c r="FTA125" s="3"/>
      <c r="FTB125" s="3"/>
      <c r="FTC125" s="3"/>
      <c r="FTD125" s="3"/>
      <c r="FTE125" s="3"/>
      <c r="FTF125" s="3"/>
      <c r="FTG125" s="3"/>
      <c r="FTH125" s="3"/>
      <c r="FTI125" s="3"/>
      <c r="FTJ125" s="3"/>
      <c r="FTK125" s="3"/>
      <c r="FTL125" s="3"/>
      <c r="FTM125" s="3"/>
      <c r="FTN125" s="3"/>
      <c r="FTO125" s="3"/>
      <c r="FTP125" s="3"/>
      <c r="FTQ125" s="3"/>
      <c r="FTR125" s="3"/>
      <c r="FTS125" s="3"/>
      <c r="FTT125" s="3"/>
      <c r="FTU125" s="3"/>
      <c r="FTV125" s="3"/>
      <c r="FTW125" s="3"/>
      <c r="FTX125" s="3"/>
      <c r="FTY125" s="3"/>
      <c r="FTZ125" s="3"/>
      <c r="FUA125" s="3"/>
      <c r="FUB125" s="3"/>
      <c r="FUC125" s="3"/>
      <c r="FUD125" s="3"/>
      <c r="FUE125" s="3"/>
      <c r="FUF125" s="3"/>
      <c r="FUG125" s="3"/>
      <c r="FUH125" s="3"/>
      <c r="FUI125" s="3"/>
      <c r="FUJ125" s="3"/>
      <c r="FUK125" s="3"/>
      <c r="FUL125" s="3"/>
      <c r="FUM125" s="3"/>
      <c r="FUN125" s="3"/>
      <c r="FUO125" s="3"/>
      <c r="FUP125" s="3"/>
      <c r="FUQ125" s="3"/>
      <c r="FUR125" s="3"/>
      <c r="FUS125" s="3"/>
      <c r="FUT125" s="3"/>
      <c r="FUU125" s="3"/>
      <c r="FUV125" s="3"/>
      <c r="FUW125" s="3"/>
      <c r="FUX125" s="3"/>
      <c r="FUY125" s="3"/>
      <c r="FUZ125" s="3"/>
      <c r="FVA125" s="3"/>
      <c r="FVB125" s="3"/>
      <c r="FVC125" s="3"/>
      <c r="FVD125" s="3"/>
      <c r="FVE125" s="3"/>
      <c r="FVF125" s="3"/>
      <c r="FVG125" s="3"/>
      <c r="FVH125" s="3"/>
      <c r="FVI125" s="3"/>
      <c r="FVJ125" s="3"/>
      <c r="FVK125" s="3"/>
      <c r="FVL125" s="3"/>
      <c r="FVM125" s="3"/>
      <c r="FVN125" s="3"/>
      <c r="FVO125" s="3"/>
      <c r="FVP125" s="3"/>
      <c r="FVQ125" s="3"/>
      <c r="FVR125" s="3"/>
      <c r="FVS125" s="3"/>
      <c r="FVT125" s="3"/>
      <c r="FVU125" s="3"/>
      <c r="FVV125" s="3"/>
      <c r="FVW125" s="3"/>
      <c r="FVX125" s="3"/>
      <c r="FVY125" s="3"/>
      <c r="FVZ125" s="3"/>
      <c r="FWA125" s="3"/>
      <c r="FWB125" s="3"/>
      <c r="FWC125" s="3"/>
      <c r="FWD125" s="3"/>
      <c r="FWE125" s="3"/>
      <c r="FWF125" s="3"/>
      <c r="FWG125" s="3"/>
      <c r="FWH125" s="3"/>
      <c r="FWI125" s="3"/>
      <c r="FWJ125" s="3"/>
      <c r="FWK125" s="3"/>
      <c r="FWL125" s="3"/>
      <c r="FWM125" s="3"/>
      <c r="FWN125" s="3"/>
      <c r="FWO125" s="3"/>
      <c r="FWP125" s="3"/>
      <c r="FWQ125" s="3"/>
      <c r="FWR125" s="3"/>
      <c r="FWS125" s="3"/>
      <c r="FWT125" s="3"/>
      <c r="FWU125" s="3"/>
      <c r="FWV125" s="3"/>
      <c r="FWW125" s="3"/>
      <c r="FWX125" s="3"/>
      <c r="FWY125" s="3"/>
      <c r="FWZ125" s="3"/>
      <c r="FXA125" s="3"/>
      <c r="FXB125" s="3"/>
      <c r="FXC125" s="3"/>
      <c r="FXD125" s="3"/>
      <c r="FXE125" s="3"/>
      <c r="FXF125" s="3"/>
      <c r="FXG125" s="3"/>
      <c r="FXH125" s="3"/>
      <c r="FXI125" s="3"/>
      <c r="FXJ125" s="3"/>
      <c r="FXK125" s="3"/>
      <c r="FXL125" s="3"/>
      <c r="FXM125" s="3"/>
      <c r="FXN125" s="3"/>
      <c r="FXO125" s="3"/>
      <c r="FXP125" s="3"/>
      <c r="FXQ125" s="3"/>
      <c r="FXR125" s="3"/>
      <c r="FXS125" s="3"/>
      <c r="FXT125" s="3"/>
      <c r="FXU125" s="3"/>
      <c r="FXV125" s="3"/>
      <c r="FXW125" s="3"/>
      <c r="FXX125" s="3"/>
      <c r="FXY125" s="3"/>
      <c r="FXZ125" s="3"/>
      <c r="FYA125" s="3"/>
      <c r="FYB125" s="3"/>
      <c r="FYC125" s="3"/>
      <c r="FYD125" s="3"/>
      <c r="FYE125" s="3"/>
      <c r="FYF125" s="3"/>
      <c r="FYG125" s="3"/>
      <c r="FYH125" s="3"/>
      <c r="FYI125" s="3"/>
      <c r="FYJ125" s="3"/>
      <c r="FYK125" s="3"/>
      <c r="FYL125" s="3"/>
      <c r="FYM125" s="3"/>
      <c r="FYN125" s="3"/>
      <c r="FYO125" s="3"/>
      <c r="FYP125" s="3"/>
      <c r="FYQ125" s="3"/>
      <c r="FYR125" s="3"/>
      <c r="FYS125" s="3"/>
      <c r="FYT125" s="3"/>
      <c r="FYU125" s="3"/>
      <c r="FYV125" s="3"/>
      <c r="FYW125" s="3"/>
      <c r="FYX125" s="3"/>
      <c r="FYY125" s="3"/>
      <c r="FYZ125" s="3"/>
      <c r="FZA125" s="3"/>
      <c r="FZB125" s="3"/>
      <c r="FZC125" s="3"/>
      <c r="FZD125" s="3"/>
      <c r="FZE125" s="3"/>
      <c r="FZF125" s="3"/>
      <c r="FZG125" s="3"/>
      <c r="FZH125" s="3"/>
      <c r="FZI125" s="3"/>
      <c r="FZJ125" s="3"/>
      <c r="FZK125" s="3"/>
      <c r="FZL125" s="3"/>
      <c r="FZM125" s="3"/>
      <c r="FZN125" s="3"/>
      <c r="FZO125" s="3"/>
      <c r="FZP125" s="3"/>
      <c r="FZQ125" s="3"/>
      <c r="FZR125" s="3"/>
      <c r="FZS125" s="3"/>
      <c r="FZT125" s="3"/>
      <c r="FZU125" s="3"/>
      <c r="FZV125" s="3"/>
      <c r="FZW125" s="3"/>
      <c r="FZX125" s="3"/>
      <c r="FZY125" s="3"/>
      <c r="FZZ125" s="3"/>
      <c r="GAA125" s="3"/>
      <c r="GAB125" s="3"/>
      <c r="GAC125" s="3"/>
      <c r="GAD125" s="3"/>
      <c r="GAE125" s="3"/>
      <c r="GAF125" s="3"/>
      <c r="GAG125" s="3"/>
      <c r="GAH125" s="3"/>
      <c r="GAI125" s="3"/>
      <c r="GAJ125" s="3"/>
      <c r="GAK125" s="3"/>
      <c r="GAL125" s="3"/>
      <c r="GAM125" s="3"/>
      <c r="GAN125" s="3"/>
      <c r="GAO125" s="3"/>
      <c r="GAP125" s="3"/>
      <c r="GAQ125" s="3"/>
      <c r="GAR125" s="3"/>
      <c r="GAS125" s="3"/>
      <c r="GAT125" s="3"/>
      <c r="GAU125" s="3"/>
      <c r="GAV125" s="3"/>
      <c r="GAW125" s="3"/>
      <c r="GAX125" s="3"/>
      <c r="GAY125" s="3"/>
      <c r="GAZ125" s="3"/>
      <c r="GBA125" s="3"/>
      <c r="GBB125" s="3"/>
      <c r="GBC125" s="3"/>
      <c r="GBD125" s="3"/>
      <c r="GBE125" s="3"/>
      <c r="GBF125" s="3"/>
      <c r="GBG125" s="3"/>
      <c r="GBH125" s="3"/>
      <c r="GBI125" s="3"/>
      <c r="GBJ125" s="3"/>
      <c r="GBK125" s="3"/>
      <c r="GBL125" s="3"/>
      <c r="GBM125" s="3"/>
      <c r="GBN125" s="3"/>
      <c r="GBO125" s="3"/>
      <c r="GBP125" s="3"/>
      <c r="GBQ125" s="3"/>
      <c r="GBR125" s="3"/>
      <c r="GBS125" s="3"/>
      <c r="GBT125" s="3"/>
      <c r="GBU125" s="3"/>
      <c r="GBV125" s="3"/>
      <c r="GBW125" s="3"/>
      <c r="GBX125" s="3"/>
      <c r="GBY125" s="3"/>
      <c r="GBZ125" s="3"/>
      <c r="GCA125" s="3"/>
      <c r="GCB125" s="3"/>
      <c r="GCC125" s="3"/>
      <c r="GCD125" s="3"/>
      <c r="GCE125" s="3"/>
      <c r="GCF125" s="3"/>
      <c r="GCG125" s="3"/>
      <c r="GCH125" s="3"/>
      <c r="GCI125" s="3"/>
      <c r="GCJ125" s="3"/>
      <c r="GCK125" s="3"/>
      <c r="GCL125" s="3"/>
      <c r="GCM125" s="3"/>
      <c r="GCN125" s="3"/>
      <c r="GCO125" s="3"/>
      <c r="GCP125" s="3"/>
      <c r="GCQ125" s="3"/>
      <c r="GCR125" s="3"/>
      <c r="GCS125" s="3"/>
      <c r="GCT125" s="3"/>
      <c r="GCU125" s="3"/>
      <c r="GCV125" s="3"/>
      <c r="GCW125" s="3"/>
      <c r="GCX125" s="3"/>
      <c r="GCY125" s="3"/>
      <c r="GCZ125" s="3"/>
      <c r="GDA125" s="3"/>
      <c r="GDB125" s="3"/>
      <c r="GDC125" s="3"/>
      <c r="GDD125" s="3"/>
      <c r="GDE125" s="3"/>
      <c r="GDF125" s="3"/>
      <c r="GDG125" s="3"/>
      <c r="GDH125" s="3"/>
      <c r="GDI125" s="3"/>
      <c r="GDJ125" s="3"/>
      <c r="GDK125" s="3"/>
      <c r="GDL125" s="3"/>
      <c r="GDM125" s="3"/>
      <c r="GDN125" s="3"/>
      <c r="GDO125" s="3"/>
      <c r="GDP125" s="3"/>
      <c r="GDQ125" s="3"/>
      <c r="GDR125" s="3"/>
      <c r="GDS125" s="3"/>
      <c r="GDT125" s="3"/>
      <c r="GDU125" s="3"/>
      <c r="GDV125" s="3"/>
      <c r="GDW125" s="3"/>
      <c r="GDX125" s="3"/>
      <c r="GDY125" s="3"/>
      <c r="GDZ125" s="3"/>
      <c r="GEA125" s="3"/>
      <c r="GEB125" s="3"/>
      <c r="GEC125" s="3"/>
      <c r="GED125" s="3"/>
      <c r="GEE125" s="3"/>
      <c r="GEF125" s="3"/>
      <c r="GEG125" s="3"/>
      <c r="GEH125" s="3"/>
      <c r="GEI125" s="3"/>
      <c r="GEJ125" s="3"/>
      <c r="GEK125" s="3"/>
      <c r="GEL125" s="3"/>
      <c r="GEM125" s="3"/>
      <c r="GEN125" s="3"/>
      <c r="GEO125" s="3"/>
      <c r="GEP125" s="3"/>
      <c r="GEQ125" s="3"/>
      <c r="GER125" s="3"/>
      <c r="GES125" s="3"/>
      <c r="GET125" s="3"/>
      <c r="GEU125" s="3"/>
      <c r="GEV125" s="3"/>
      <c r="GEW125" s="3"/>
      <c r="GEX125" s="3"/>
      <c r="GEY125" s="3"/>
      <c r="GEZ125" s="3"/>
      <c r="GFA125" s="3"/>
      <c r="GFB125" s="3"/>
      <c r="GFC125" s="3"/>
      <c r="GFD125" s="3"/>
      <c r="GFE125" s="3"/>
      <c r="GFF125" s="3"/>
      <c r="GFG125" s="3"/>
      <c r="GFH125" s="3"/>
      <c r="GFI125" s="3"/>
      <c r="GFJ125" s="3"/>
      <c r="GFK125" s="3"/>
      <c r="GFL125" s="3"/>
      <c r="GFM125" s="3"/>
      <c r="GFN125" s="3"/>
      <c r="GFO125" s="3"/>
      <c r="GFP125" s="3"/>
      <c r="GFQ125" s="3"/>
      <c r="GFR125" s="3"/>
      <c r="GFS125" s="3"/>
      <c r="GFT125" s="3"/>
      <c r="GFU125" s="3"/>
      <c r="GFV125" s="3"/>
      <c r="GFW125" s="3"/>
      <c r="GFX125" s="3"/>
      <c r="GFY125" s="3"/>
      <c r="GFZ125" s="3"/>
      <c r="GGA125" s="3"/>
      <c r="GGB125" s="3"/>
      <c r="GGC125" s="3"/>
      <c r="GGD125" s="3"/>
      <c r="GGE125" s="3"/>
      <c r="GGF125" s="3"/>
      <c r="GGG125" s="3"/>
      <c r="GGH125" s="3"/>
      <c r="GGI125" s="3"/>
      <c r="GGJ125" s="3"/>
      <c r="GGK125" s="3"/>
      <c r="GGL125" s="3"/>
      <c r="GGM125" s="3"/>
      <c r="GGN125" s="3"/>
      <c r="GGO125" s="3"/>
      <c r="GGP125" s="3"/>
      <c r="GGQ125" s="3"/>
      <c r="GGR125" s="3"/>
      <c r="GGS125" s="3"/>
      <c r="GGT125" s="3"/>
      <c r="GGU125" s="3"/>
      <c r="GGV125" s="3"/>
      <c r="GGW125" s="3"/>
      <c r="GGX125" s="3"/>
      <c r="GGY125" s="3"/>
      <c r="GGZ125" s="3"/>
      <c r="GHA125" s="3"/>
      <c r="GHB125" s="3"/>
      <c r="GHC125" s="3"/>
      <c r="GHD125" s="3"/>
      <c r="GHE125" s="3"/>
      <c r="GHF125" s="3"/>
      <c r="GHG125" s="3"/>
      <c r="GHH125" s="3"/>
      <c r="GHI125" s="3"/>
      <c r="GHJ125" s="3"/>
      <c r="GHK125" s="3"/>
      <c r="GHL125" s="3"/>
      <c r="GHM125" s="3"/>
      <c r="GHN125" s="3"/>
      <c r="GHO125" s="3"/>
      <c r="GHP125" s="3"/>
      <c r="GHQ125" s="3"/>
      <c r="GHR125" s="3"/>
      <c r="GHS125" s="3"/>
      <c r="GHT125" s="3"/>
      <c r="GHU125" s="3"/>
      <c r="GHV125" s="3"/>
      <c r="GHW125" s="3"/>
      <c r="GHX125" s="3"/>
      <c r="GHY125" s="3"/>
      <c r="GHZ125" s="3"/>
      <c r="GIA125" s="3"/>
      <c r="GIB125" s="3"/>
      <c r="GIC125" s="3"/>
      <c r="GID125" s="3"/>
      <c r="GIE125" s="3"/>
      <c r="GIF125" s="3"/>
      <c r="GIG125" s="3"/>
      <c r="GIH125" s="3"/>
      <c r="GII125" s="3"/>
      <c r="GIJ125" s="3"/>
      <c r="GIK125" s="3"/>
      <c r="GIL125" s="3"/>
      <c r="GIM125" s="3"/>
      <c r="GIN125" s="3"/>
      <c r="GIO125" s="3"/>
      <c r="GIP125" s="3"/>
      <c r="GIQ125" s="3"/>
      <c r="GIR125" s="3"/>
      <c r="GIS125" s="3"/>
      <c r="GIT125" s="3"/>
      <c r="GIU125" s="3"/>
      <c r="GIV125" s="3"/>
      <c r="GIW125" s="3"/>
      <c r="GIX125" s="3"/>
      <c r="GIY125" s="3"/>
      <c r="GIZ125" s="3"/>
      <c r="GJA125" s="3"/>
      <c r="GJB125" s="3"/>
      <c r="GJC125" s="3"/>
      <c r="GJD125" s="3"/>
      <c r="GJE125" s="3"/>
      <c r="GJF125" s="3"/>
      <c r="GJG125" s="3"/>
      <c r="GJH125" s="3"/>
      <c r="GJI125" s="3"/>
      <c r="GJJ125" s="3"/>
      <c r="GJK125" s="3"/>
      <c r="GJL125" s="3"/>
      <c r="GJM125" s="3"/>
      <c r="GJN125" s="3"/>
      <c r="GJO125" s="3"/>
      <c r="GJP125" s="3"/>
      <c r="GJQ125" s="3"/>
      <c r="GJR125" s="3"/>
      <c r="GJS125" s="3"/>
      <c r="GJT125" s="3"/>
      <c r="GJU125" s="3"/>
      <c r="GJV125" s="3"/>
      <c r="GJW125" s="3"/>
      <c r="GJX125" s="3"/>
      <c r="GJY125" s="3"/>
      <c r="GJZ125" s="3"/>
      <c r="GKA125" s="3"/>
      <c r="GKB125" s="3"/>
      <c r="GKC125" s="3"/>
      <c r="GKD125" s="3"/>
      <c r="GKE125" s="3"/>
      <c r="GKF125" s="3"/>
      <c r="GKG125" s="3"/>
      <c r="GKH125" s="3"/>
      <c r="GKI125" s="3"/>
      <c r="GKJ125" s="3"/>
      <c r="GKK125" s="3"/>
      <c r="GKL125" s="3"/>
      <c r="GKM125" s="3"/>
      <c r="GKN125" s="3"/>
      <c r="GKO125" s="3"/>
      <c r="GKP125" s="3"/>
      <c r="GKQ125" s="3"/>
      <c r="GKR125" s="3"/>
      <c r="GKS125" s="3"/>
      <c r="GKT125" s="3"/>
      <c r="GKU125" s="3"/>
      <c r="GKV125" s="3"/>
      <c r="GKW125" s="3"/>
      <c r="GKX125" s="3"/>
      <c r="GKY125" s="3"/>
      <c r="GKZ125" s="3"/>
      <c r="GLA125" s="3"/>
      <c r="GLB125" s="3"/>
      <c r="GLC125" s="3"/>
      <c r="GLD125" s="3"/>
      <c r="GLE125" s="3"/>
      <c r="GLF125" s="3"/>
      <c r="GLG125" s="3"/>
      <c r="GLH125" s="3"/>
      <c r="GLI125" s="3"/>
      <c r="GLJ125" s="3"/>
      <c r="GLK125" s="3"/>
      <c r="GLL125" s="3"/>
      <c r="GLM125" s="3"/>
      <c r="GLN125" s="3"/>
      <c r="GLO125" s="3"/>
      <c r="GLP125" s="3"/>
      <c r="GLQ125" s="3"/>
      <c r="GLR125" s="3"/>
      <c r="GLS125" s="3"/>
      <c r="GLT125" s="3"/>
      <c r="GLU125" s="3"/>
      <c r="GLV125" s="3"/>
      <c r="GLW125" s="3"/>
      <c r="GLX125" s="3"/>
      <c r="GLY125" s="3"/>
      <c r="GLZ125" s="3"/>
      <c r="GMA125" s="3"/>
      <c r="GMB125" s="3"/>
      <c r="GMC125" s="3"/>
      <c r="GMD125" s="3"/>
      <c r="GME125" s="3"/>
      <c r="GMF125" s="3"/>
      <c r="GMG125" s="3"/>
      <c r="GMH125" s="3"/>
      <c r="GMI125" s="3"/>
      <c r="GMJ125" s="3"/>
      <c r="GMK125" s="3"/>
      <c r="GML125" s="3"/>
      <c r="GMM125" s="3"/>
      <c r="GMN125" s="3"/>
      <c r="GMO125" s="3"/>
      <c r="GMP125" s="3"/>
      <c r="GMQ125" s="3"/>
      <c r="GMR125" s="3"/>
      <c r="GMS125" s="3"/>
      <c r="GMT125" s="3"/>
      <c r="GMU125" s="3"/>
      <c r="GMV125" s="3"/>
      <c r="GMW125" s="3"/>
      <c r="GMX125" s="3"/>
      <c r="GMY125" s="3"/>
      <c r="GMZ125" s="3"/>
      <c r="GNA125" s="3"/>
      <c r="GNB125" s="3"/>
      <c r="GNC125" s="3"/>
      <c r="GND125" s="3"/>
      <c r="GNE125" s="3"/>
      <c r="GNF125" s="3"/>
      <c r="GNG125" s="3"/>
      <c r="GNH125" s="3"/>
      <c r="GNI125" s="3"/>
      <c r="GNJ125" s="3"/>
      <c r="GNK125" s="3"/>
      <c r="GNL125" s="3"/>
      <c r="GNM125" s="3"/>
      <c r="GNN125" s="3"/>
      <c r="GNO125" s="3"/>
      <c r="GNP125" s="3"/>
      <c r="GNQ125" s="3"/>
      <c r="GNR125" s="3"/>
      <c r="GNS125" s="3"/>
      <c r="GNT125" s="3"/>
      <c r="GNU125" s="3"/>
      <c r="GNV125" s="3"/>
      <c r="GNW125" s="3"/>
      <c r="GNX125" s="3"/>
      <c r="GNY125" s="3"/>
      <c r="GNZ125" s="3"/>
      <c r="GOA125" s="3"/>
      <c r="GOB125" s="3"/>
      <c r="GOC125" s="3"/>
      <c r="GOD125" s="3"/>
      <c r="GOE125" s="3"/>
      <c r="GOF125" s="3"/>
      <c r="GOG125" s="3"/>
      <c r="GOH125" s="3"/>
      <c r="GOI125" s="3"/>
      <c r="GOJ125" s="3"/>
      <c r="GOK125" s="3"/>
      <c r="GOL125" s="3"/>
      <c r="GOM125" s="3"/>
      <c r="GON125" s="3"/>
      <c r="GOO125" s="3"/>
      <c r="GOP125" s="3"/>
      <c r="GOQ125" s="3"/>
      <c r="GOR125" s="3"/>
      <c r="GOS125" s="3"/>
      <c r="GOT125" s="3"/>
      <c r="GOU125" s="3"/>
      <c r="GOV125" s="3"/>
      <c r="GOW125" s="3"/>
      <c r="GOX125" s="3"/>
      <c r="GOY125" s="3"/>
      <c r="GOZ125" s="3"/>
      <c r="GPA125" s="3"/>
      <c r="GPB125" s="3"/>
      <c r="GPC125" s="3"/>
      <c r="GPD125" s="3"/>
      <c r="GPE125" s="3"/>
      <c r="GPF125" s="3"/>
      <c r="GPG125" s="3"/>
      <c r="GPH125" s="3"/>
      <c r="GPI125" s="3"/>
      <c r="GPJ125" s="3"/>
      <c r="GPK125" s="3"/>
      <c r="GPL125" s="3"/>
      <c r="GPM125" s="3"/>
      <c r="GPN125" s="3"/>
      <c r="GPO125" s="3"/>
      <c r="GPP125" s="3"/>
      <c r="GPQ125" s="3"/>
      <c r="GPR125" s="3"/>
      <c r="GPS125" s="3"/>
      <c r="GPT125" s="3"/>
      <c r="GPU125" s="3"/>
      <c r="GPV125" s="3"/>
      <c r="GPW125" s="3"/>
      <c r="GPX125" s="3"/>
      <c r="GPY125" s="3"/>
      <c r="GPZ125" s="3"/>
      <c r="GQA125" s="3"/>
      <c r="GQB125" s="3"/>
      <c r="GQC125" s="3"/>
      <c r="GQD125" s="3"/>
      <c r="GQE125" s="3"/>
      <c r="GQF125" s="3"/>
      <c r="GQG125" s="3"/>
      <c r="GQH125" s="3"/>
      <c r="GQI125" s="3"/>
      <c r="GQJ125" s="3"/>
      <c r="GQK125" s="3"/>
      <c r="GQL125" s="3"/>
      <c r="GQM125" s="3"/>
      <c r="GQN125" s="3"/>
      <c r="GQO125" s="3"/>
      <c r="GQP125" s="3"/>
      <c r="GQQ125" s="3"/>
      <c r="GQR125" s="3"/>
      <c r="GQS125" s="3"/>
      <c r="GQT125" s="3"/>
      <c r="GQU125" s="3"/>
      <c r="GQV125" s="3"/>
      <c r="GQW125" s="3"/>
      <c r="GQX125" s="3"/>
      <c r="GQY125" s="3"/>
      <c r="GQZ125" s="3"/>
      <c r="GRA125" s="3"/>
      <c r="GRB125" s="3"/>
      <c r="GRC125" s="3"/>
      <c r="GRD125" s="3"/>
      <c r="GRE125" s="3"/>
      <c r="GRF125" s="3"/>
      <c r="GRG125" s="3"/>
      <c r="GRH125" s="3"/>
      <c r="GRI125" s="3"/>
      <c r="GRJ125" s="3"/>
      <c r="GRK125" s="3"/>
      <c r="GRL125" s="3"/>
      <c r="GRM125" s="3"/>
      <c r="GRN125" s="3"/>
      <c r="GRO125" s="3"/>
      <c r="GRP125" s="3"/>
      <c r="GRQ125" s="3"/>
      <c r="GRR125" s="3"/>
      <c r="GRS125" s="3"/>
      <c r="GRT125" s="3"/>
      <c r="GRU125" s="3"/>
      <c r="GRV125" s="3"/>
      <c r="GRW125" s="3"/>
      <c r="GRX125" s="3"/>
      <c r="GRY125" s="3"/>
      <c r="GRZ125" s="3"/>
      <c r="GSA125" s="3"/>
      <c r="GSB125" s="3"/>
      <c r="GSC125" s="3"/>
      <c r="GSD125" s="3"/>
      <c r="GSE125" s="3"/>
      <c r="GSF125" s="3"/>
      <c r="GSG125" s="3"/>
      <c r="GSH125" s="3"/>
      <c r="GSI125" s="3"/>
      <c r="GSJ125" s="3"/>
      <c r="GSK125" s="3"/>
      <c r="GSL125" s="3"/>
      <c r="GSM125" s="3"/>
      <c r="GSN125" s="3"/>
      <c r="GSO125" s="3"/>
      <c r="GSP125" s="3"/>
      <c r="GSQ125" s="3"/>
      <c r="GSR125" s="3"/>
      <c r="GSS125" s="3"/>
      <c r="GST125" s="3"/>
      <c r="GSU125" s="3"/>
      <c r="GSV125" s="3"/>
      <c r="GSW125" s="3"/>
      <c r="GSX125" s="3"/>
      <c r="GSY125" s="3"/>
      <c r="GSZ125" s="3"/>
      <c r="GTA125" s="3"/>
      <c r="GTB125" s="3"/>
      <c r="GTC125" s="3"/>
      <c r="GTD125" s="3"/>
      <c r="GTE125" s="3"/>
      <c r="GTF125" s="3"/>
      <c r="GTG125" s="3"/>
      <c r="GTH125" s="3"/>
      <c r="GTI125" s="3"/>
      <c r="GTJ125" s="3"/>
      <c r="GTK125" s="3"/>
      <c r="GTL125" s="3"/>
      <c r="GTM125" s="3"/>
      <c r="GTN125" s="3"/>
      <c r="GTO125" s="3"/>
      <c r="GTP125" s="3"/>
      <c r="GTQ125" s="3"/>
      <c r="GTR125" s="3"/>
      <c r="GTS125" s="3"/>
      <c r="GTT125" s="3"/>
      <c r="GTU125" s="3"/>
      <c r="GTV125" s="3"/>
      <c r="GTW125" s="3"/>
      <c r="GTX125" s="3"/>
      <c r="GTY125" s="3"/>
      <c r="GTZ125" s="3"/>
      <c r="GUA125" s="3"/>
      <c r="GUB125" s="3"/>
      <c r="GUC125" s="3"/>
      <c r="GUD125" s="3"/>
      <c r="GUE125" s="3"/>
      <c r="GUF125" s="3"/>
      <c r="GUG125" s="3"/>
      <c r="GUH125" s="3"/>
      <c r="GUI125" s="3"/>
      <c r="GUJ125" s="3"/>
      <c r="GUK125" s="3"/>
      <c r="GUL125" s="3"/>
      <c r="GUM125" s="3"/>
      <c r="GUN125" s="3"/>
      <c r="GUO125" s="3"/>
      <c r="GUP125" s="3"/>
      <c r="GUQ125" s="3"/>
      <c r="GUR125" s="3"/>
      <c r="GUS125" s="3"/>
      <c r="GUT125" s="3"/>
      <c r="GUU125" s="3"/>
      <c r="GUV125" s="3"/>
      <c r="GUW125" s="3"/>
      <c r="GUX125" s="3"/>
      <c r="GUY125" s="3"/>
      <c r="GUZ125" s="3"/>
      <c r="GVA125" s="3"/>
      <c r="GVB125" s="3"/>
      <c r="GVC125" s="3"/>
      <c r="GVD125" s="3"/>
      <c r="GVE125" s="3"/>
      <c r="GVF125" s="3"/>
      <c r="GVG125" s="3"/>
      <c r="GVH125" s="3"/>
      <c r="GVI125" s="3"/>
      <c r="GVJ125" s="3"/>
      <c r="GVK125" s="3"/>
      <c r="GVL125" s="3"/>
      <c r="GVM125" s="3"/>
      <c r="GVN125" s="3"/>
      <c r="GVO125" s="3"/>
      <c r="GVP125" s="3"/>
      <c r="GVQ125" s="3"/>
      <c r="GVR125" s="3"/>
      <c r="GVS125" s="3"/>
      <c r="GVT125" s="3"/>
      <c r="GVU125" s="3"/>
      <c r="GVV125" s="3"/>
      <c r="GVW125" s="3"/>
      <c r="GVX125" s="3"/>
      <c r="GVY125" s="3"/>
      <c r="GVZ125" s="3"/>
      <c r="GWA125" s="3"/>
      <c r="GWB125" s="3"/>
      <c r="GWC125" s="3"/>
      <c r="GWD125" s="3"/>
      <c r="GWE125" s="3"/>
      <c r="GWF125" s="3"/>
      <c r="GWG125" s="3"/>
      <c r="GWH125" s="3"/>
      <c r="GWI125" s="3"/>
      <c r="GWJ125" s="3"/>
      <c r="GWK125" s="3"/>
      <c r="GWL125" s="3"/>
      <c r="GWM125" s="3"/>
      <c r="GWN125" s="3"/>
      <c r="GWO125" s="3"/>
      <c r="GWP125" s="3"/>
      <c r="GWQ125" s="3"/>
      <c r="GWR125" s="3"/>
      <c r="GWS125" s="3"/>
      <c r="GWT125" s="3"/>
      <c r="GWU125" s="3"/>
      <c r="GWV125" s="3"/>
      <c r="GWW125" s="3"/>
      <c r="GWX125" s="3"/>
      <c r="GWY125" s="3"/>
      <c r="GWZ125" s="3"/>
      <c r="GXA125" s="3"/>
      <c r="GXB125" s="3"/>
      <c r="GXC125" s="3"/>
      <c r="GXD125" s="3"/>
      <c r="GXE125" s="3"/>
      <c r="GXF125" s="3"/>
      <c r="GXG125" s="3"/>
      <c r="GXH125" s="3"/>
      <c r="GXI125" s="3"/>
      <c r="GXJ125" s="3"/>
      <c r="GXK125" s="3"/>
      <c r="GXL125" s="3"/>
      <c r="GXM125" s="3"/>
      <c r="GXN125" s="3"/>
      <c r="GXO125" s="3"/>
      <c r="GXP125" s="3"/>
      <c r="GXQ125" s="3"/>
      <c r="GXR125" s="3"/>
      <c r="GXS125" s="3"/>
      <c r="GXT125" s="3"/>
      <c r="GXU125" s="3"/>
      <c r="GXV125" s="3"/>
      <c r="GXW125" s="3"/>
      <c r="GXX125" s="3"/>
      <c r="GXY125" s="3"/>
      <c r="GXZ125" s="3"/>
      <c r="GYA125" s="3"/>
      <c r="GYB125" s="3"/>
      <c r="GYC125" s="3"/>
      <c r="GYD125" s="3"/>
      <c r="GYE125" s="3"/>
      <c r="GYF125" s="3"/>
      <c r="GYG125" s="3"/>
      <c r="GYH125" s="3"/>
      <c r="GYI125" s="3"/>
      <c r="GYJ125" s="3"/>
      <c r="GYK125" s="3"/>
      <c r="GYL125" s="3"/>
      <c r="GYM125" s="3"/>
      <c r="GYN125" s="3"/>
      <c r="GYO125" s="3"/>
      <c r="GYP125" s="3"/>
      <c r="GYQ125" s="3"/>
      <c r="GYR125" s="3"/>
      <c r="GYS125" s="3"/>
      <c r="GYT125" s="3"/>
      <c r="GYU125" s="3"/>
      <c r="GYV125" s="3"/>
      <c r="GYW125" s="3"/>
      <c r="GYX125" s="3"/>
      <c r="GYY125" s="3"/>
      <c r="GYZ125" s="3"/>
      <c r="GZA125" s="3"/>
      <c r="GZB125" s="3"/>
      <c r="GZC125" s="3"/>
      <c r="GZD125" s="3"/>
      <c r="GZE125" s="3"/>
      <c r="GZF125" s="3"/>
      <c r="GZG125" s="3"/>
      <c r="GZH125" s="3"/>
      <c r="GZI125" s="3"/>
      <c r="GZJ125" s="3"/>
      <c r="GZK125" s="3"/>
      <c r="GZL125" s="3"/>
      <c r="GZM125" s="3"/>
      <c r="GZN125" s="3"/>
      <c r="GZO125" s="3"/>
      <c r="GZP125" s="3"/>
      <c r="GZQ125" s="3"/>
      <c r="GZR125" s="3"/>
      <c r="GZS125" s="3"/>
      <c r="GZT125" s="3"/>
      <c r="GZU125" s="3"/>
      <c r="GZV125" s="3"/>
      <c r="GZW125" s="3"/>
      <c r="GZX125" s="3"/>
      <c r="GZY125" s="3"/>
      <c r="GZZ125" s="3"/>
      <c r="HAA125" s="3"/>
      <c r="HAB125" s="3"/>
      <c r="HAC125" s="3"/>
      <c r="HAD125" s="3"/>
      <c r="HAE125" s="3"/>
      <c r="HAF125" s="3"/>
      <c r="HAG125" s="3"/>
      <c r="HAH125" s="3"/>
      <c r="HAI125" s="3"/>
      <c r="HAJ125" s="3"/>
      <c r="HAK125" s="3"/>
      <c r="HAL125" s="3"/>
      <c r="HAM125" s="3"/>
      <c r="HAN125" s="3"/>
      <c r="HAO125" s="3"/>
      <c r="HAP125" s="3"/>
      <c r="HAQ125" s="3"/>
      <c r="HAR125" s="3"/>
      <c r="HAS125" s="3"/>
      <c r="HAT125" s="3"/>
      <c r="HAU125" s="3"/>
      <c r="HAV125" s="3"/>
      <c r="HAW125" s="3"/>
      <c r="HAX125" s="3"/>
      <c r="HAY125" s="3"/>
      <c r="HAZ125" s="3"/>
      <c r="HBA125" s="3"/>
      <c r="HBB125" s="3"/>
      <c r="HBC125" s="3"/>
      <c r="HBD125" s="3"/>
      <c r="HBE125" s="3"/>
      <c r="HBF125" s="3"/>
      <c r="HBG125" s="3"/>
      <c r="HBH125" s="3"/>
      <c r="HBI125" s="3"/>
      <c r="HBJ125" s="3"/>
      <c r="HBK125" s="3"/>
      <c r="HBL125" s="3"/>
      <c r="HBM125" s="3"/>
      <c r="HBN125" s="3"/>
      <c r="HBO125" s="3"/>
      <c r="HBP125" s="3"/>
      <c r="HBQ125" s="3"/>
      <c r="HBR125" s="3"/>
      <c r="HBS125" s="3"/>
      <c r="HBT125" s="3"/>
      <c r="HBU125" s="3"/>
      <c r="HBV125" s="3"/>
      <c r="HBW125" s="3"/>
      <c r="HBX125" s="3"/>
      <c r="HBY125" s="3"/>
      <c r="HBZ125" s="3"/>
      <c r="HCA125" s="3"/>
      <c r="HCB125" s="3"/>
      <c r="HCC125" s="3"/>
      <c r="HCD125" s="3"/>
      <c r="HCE125" s="3"/>
      <c r="HCF125" s="3"/>
      <c r="HCG125" s="3"/>
      <c r="HCH125" s="3"/>
      <c r="HCI125" s="3"/>
      <c r="HCJ125" s="3"/>
      <c r="HCK125" s="3"/>
      <c r="HCL125" s="3"/>
      <c r="HCM125" s="3"/>
      <c r="HCN125" s="3"/>
      <c r="HCO125" s="3"/>
      <c r="HCP125" s="3"/>
      <c r="HCQ125" s="3"/>
      <c r="HCR125" s="3"/>
      <c r="HCS125" s="3"/>
      <c r="HCT125" s="3"/>
      <c r="HCU125" s="3"/>
      <c r="HCV125" s="3"/>
      <c r="HCW125" s="3"/>
      <c r="HCX125" s="3"/>
      <c r="HCY125" s="3"/>
      <c r="HCZ125" s="3"/>
      <c r="HDA125" s="3"/>
      <c r="HDB125" s="3"/>
      <c r="HDC125" s="3"/>
      <c r="HDD125" s="3"/>
      <c r="HDE125" s="3"/>
      <c r="HDF125" s="3"/>
      <c r="HDG125" s="3"/>
      <c r="HDH125" s="3"/>
      <c r="HDI125" s="3"/>
      <c r="HDJ125" s="3"/>
      <c r="HDK125" s="3"/>
      <c r="HDL125" s="3"/>
      <c r="HDM125" s="3"/>
      <c r="HDN125" s="3"/>
      <c r="HDO125" s="3"/>
      <c r="HDP125" s="3"/>
      <c r="HDQ125" s="3"/>
      <c r="HDR125" s="3"/>
      <c r="HDS125" s="3"/>
      <c r="HDT125" s="3"/>
      <c r="HDU125" s="3"/>
      <c r="HDV125" s="3"/>
      <c r="HDW125" s="3"/>
      <c r="HDX125" s="3"/>
      <c r="HDY125" s="3"/>
      <c r="HDZ125" s="3"/>
      <c r="HEA125" s="3"/>
      <c r="HEB125" s="3"/>
      <c r="HEC125" s="3"/>
      <c r="HED125" s="3"/>
      <c r="HEE125" s="3"/>
      <c r="HEF125" s="3"/>
      <c r="HEG125" s="3"/>
      <c r="HEH125" s="3"/>
      <c r="HEI125" s="3"/>
      <c r="HEJ125" s="3"/>
      <c r="HEK125" s="3"/>
      <c r="HEL125" s="3"/>
      <c r="HEM125" s="3"/>
      <c r="HEN125" s="3"/>
      <c r="HEO125" s="3"/>
      <c r="HEP125" s="3"/>
      <c r="HEQ125" s="3"/>
      <c r="HER125" s="3"/>
      <c r="HES125" s="3"/>
      <c r="HET125" s="3"/>
      <c r="HEU125" s="3"/>
      <c r="HEV125" s="3"/>
      <c r="HEW125" s="3"/>
      <c r="HEX125" s="3"/>
      <c r="HEY125" s="3"/>
      <c r="HEZ125" s="3"/>
      <c r="HFA125" s="3"/>
      <c r="HFB125" s="3"/>
      <c r="HFC125" s="3"/>
      <c r="HFD125" s="3"/>
      <c r="HFE125" s="3"/>
      <c r="HFF125" s="3"/>
      <c r="HFG125" s="3"/>
      <c r="HFH125" s="3"/>
      <c r="HFI125" s="3"/>
      <c r="HFJ125" s="3"/>
      <c r="HFK125" s="3"/>
      <c r="HFL125" s="3"/>
      <c r="HFM125" s="3"/>
      <c r="HFN125" s="3"/>
      <c r="HFO125" s="3"/>
      <c r="HFP125" s="3"/>
      <c r="HFQ125" s="3"/>
      <c r="HFR125" s="3"/>
      <c r="HFS125" s="3"/>
      <c r="HFT125" s="3"/>
      <c r="HFU125" s="3"/>
      <c r="HFV125" s="3"/>
      <c r="HFW125" s="3"/>
      <c r="HFX125" s="3"/>
      <c r="HFY125" s="3"/>
      <c r="HFZ125" s="3"/>
      <c r="HGA125" s="3"/>
      <c r="HGB125" s="3"/>
      <c r="HGC125" s="3"/>
      <c r="HGD125" s="3"/>
      <c r="HGE125" s="3"/>
      <c r="HGF125" s="3"/>
      <c r="HGG125" s="3"/>
      <c r="HGH125" s="3"/>
      <c r="HGI125" s="3"/>
      <c r="HGJ125" s="3"/>
      <c r="HGK125" s="3"/>
      <c r="HGL125" s="3"/>
      <c r="HGM125" s="3"/>
      <c r="HGN125" s="3"/>
      <c r="HGO125" s="3"/>
      <c r="HGP125" s="3"/>
      <c r="HGQ125" s="3"/>
      <c r="HGR125" s="3"/>
      <c r="HGS125" s="3"/>
      <c r="HGT125" s="3"/>
      <c r="HGU125" s="3"/>
      <c r="HGV125" s="3"/>
      <c r="HGW125" s="3"/>
      <c r="HGX125" s="3"/>
      <c r="HGY125" s="3"/>
      <c r="HGZ125" s="3"/>
      <c r="HHA125" s="3"/>
      <c r="HHB125" s="3"/>
      <c r="HHC125" s="3"/>
      <c r="HHD125" s="3"/>
      <c r="HHE125" s="3"/>
      <c r="HHF125" s="3"/>
      <c r="HHG125" s="3"/>
      <c r="HHH125" s="3"/>
      <c r="HHI125" s="3"/>
      <c r="HHJ125" s="3"/>
      <c r="HHK125" s="3"/>
      <c r="HHL125" s="3"/>
      <c r="HHM125" s="3"/>
      <c r="HHN125" s="3"/>
      <c r="HHO125" s="3"/>
      <c r="HHP125" s="3"/>
      <c r="HHQ125" s="3"/>
      <c r="HHR125" s="3"/>
      <c r="HHS125" s="3"/>
      <c r="HHT125" s="3"/>
      <c r="HHU125" s="3"/>
      <c r="HHV125" s="3"/>
      <c r="HHW125" s="3"/>
      <c r="HHX125" s="3"/>
      <c r="HHY125" s="3"/>
      <c r="HHZ125" s="3"/>
      <c r="HIA125" s="3"/>
      <c r="HIB125" s="3"/>
      <c r="HIC125" s="3"/>
      <c r="HID125" s="3"/>
      <c r="HIE125" s="3"/>
      <c r="HIF125" s="3"/>
      <c r="HIG125" s="3"/>
      <c r="HIH125" s="3"/>
      <c r="HII125" s="3"/>
      <c r="HIJ125" s="3"/>
      <c r="HIK125" s="3"/>
      <c r="HIL125" s="3"/>
      <c r="HIM125" s="3"/>
      <c r="HIN125" s="3"/>
      <c r="HIO125" s="3"/>
      <c r="HIP125" s="3"/>
      <c r="HIQ125" s="3"/>
      <c r="HIR125" s="3"/>
      <c r="HIS125" s="3"/>
      <c r="HIT125" s="3"/>
      <c r="HIU125" s="3"/>
      <c r="HIV125" s="3"/>
      <c r="HIW125" s="3"/>
      <c r="HIX125" s="3"/>
      <c r="HIY125" s="3"/>
      <c r="HIZ125" s="3"/>
      <c r="HJA125" s="3"/>
      <c r="HJB125" s="3"/>
      <c r="HJC125" s="3"/>
      <c r="HJD125" s="3"/>
      <c r="HJE125" s="3"/>
      <c r="HJF125" s="3"/>
      <c r="HJG125" s="3"/>
      <c r="HJH125" s="3"/>
      <c r="HJI125" s="3"/>
      <c r="HJJ125" s="3"/>
      <c r="HJK125" s="3"/>
      <c r="HJL125" s="3"/>
      <c r="HJM125" s="3"/>
      <c r="HJN125" s="3"/>
      <c r="HJO125" s="3"/>
      <c r="HJP125" s="3"/>
      <c r="HJQ125" s="3"/>
      <c r="HJR125" s="3"/>
      <c r="HJS125" s="3"/>
      <c r="HJT125" s="3"/>
      <c r="HJU125" s="3"/>
      <c r="HJV125" s="3"/>
      <c r="HJW125" s="3"/>
      <c r="HJX125" s="3"/>
      <c r="HJY125" s="3"/>
      <c r="HJZ125" s="3"/>
      <c r="HKA125" s="3"/>
      <c r="HKB125" s="3"/>
      <c r="HKC125" s="3"/>
      <c r="HKD125" s="3"/>
      <c r="HKE125" s="3"/>
      <c r="HKF125" s="3"/>
      <c r="HKG125" s="3"/>
      <c r="HKH125" s="3"/>
      <c r="HKI125" s="3"/>
      <c r="HKJ125" s="3"/>
      <c r="HKK125" s="3"/>
      <c r="HKL125" s="3"/>
      <c r="HKM125" s="3"/>
      <c r="HKN125" s="3"/>
      <c r="HKO125" s="3"/>
      <c r="HKP125" s="3"/>
      <c r="HKQ125" s="3"/>
      <c r="HKR125" s="3"/>
      <c r="HKS125" s="3"/>
      <c r="HKT125" s="3"/>
      <c r="HKU125" s="3"/>
      <c r="HKV125" s="3"/>
      <c r="HKW125" s="3"/>
      <c r="HKX125" s="3"/>
      <c r="HKY125" s="3"/>
      <c r="HKZ125" s="3"/>
      <c r="HLA125" s="3"/>
      <c r="HLB125" s="3"/>
      <c r="HLC125" s="3"/>
      <c r="HLD125" s="3"/>
      <c r="HLE125" s="3"/>
      <c r="HLF125" s="3"/>
      <c r="HLG125" s="3"/>
      <c r="HLH125" s="3"/>
      <c r="HLI125" s="3"/>
      <c r="HLJ125" s="3"/>
      <c r="HLK125" s="3"/>
      <c r="HLL125" s="3"/>
      <c r="HLM125" s="3"/>
      <c r="HLN125" s="3"/>
      <c r="HLO125" s="3"/>
      <c r="HLP125" s="3"/>
      <c r="HLQ125" s="3"/>
      <c r="HLR125" s="3"/>
      <c r="HLS125" s="3"/>
      <c r="HLT125" s="3"/>
      <c r="HLU125" s="3"/>
      <c r="HLV125" s="3"/>
      <c r="HLW125" s="3"/>
      <c r="HLX125" s="3"/>
      <c r="HLY125" s="3"/>
      <c r="HLZ125" s="3"/>
      <c r="HMA125" s="3"/>
      <c r="HMB125" s="3"/>
      <c r="HMC125" s="3"/>
      <c r="HMD125" s="3"/>
      <c r="HME125" s="3"/>
      <c r="HMF125" s="3"/>
      <c r="HMG125" s="3"/>
      <c r="HMH125" s="3"/>
      <c r="HMI125" s="3"/>
      <c r="HMJ125" s="3"/>
      <c r="HMK125" s="3"/>
      <c r="HML125" s="3"/>
      <c r="HMM125" s="3"/>
      <c r="HMN125" s="3"/>
      <c r="HMO125" s="3"/>
      <c r="HMP125" s="3"/>
      <c r="HMQ125" s="3"/>
      <c r="HMR125" s="3"/>
      <c r="HMS125" s="3"/>
      <c r="HMT125" s="3"/>
      <c r="HMU125" s="3"/>
      <c r="HMV125" s="3"/>
      <c r="HMW125" s="3"/>
      <c r="HMX125" s="3"/>
      <c r="HMY125" s="3"/>
      <c r="HMZ125" s="3"/>
      <c r="HNA125" s="3"/>
      <c r="HNB125" s="3"/>
      <c r="HNC125" s="3"/>
      <c r="HND125" s="3"/>
      <c r="HNE125" s="3"/>
      <c r="HNF125" s="3"/>
      <c r="HNG125" s="3"/>
      <c r="HNH125" s="3"/>
      <c r="HNI125" s="3"/>
      <c r="HNJ125" s="3"/>
      <c r="HNK125" s="3"/>
      <c r="HNL125" s="3"/>
      <c r="HNM125" s="3"/>
      <c r="HNN125" s="3"/>
      <c r="HNO125" s="3"/>
      <c r="HNP125" s="3"/>
      <c r="HNQ125" s="3"/>
      <c r="HNR125" s="3"/>
      <c r="HNS125" s="3"/>
      <c r="HNT125" s="3"/>
      <c r="HNU125" s="3"/>
      <c r="HNV125" s="3"/>
      <c r="HNW125" s="3"/>
      <c r="HNX125" s="3"/>
      <c r="HNY125" s="3"/>
      <c r="HNZ125" s="3"/>
      <c r="HOA125" s="3"/>
      <c r="HOB125" s="3"/>
      <c r="HOC125" s="3"/>
      <c r="HOD125" s="3"/>
      <c r="HOE125" s="3"/>
      <c r="HOF125" s="3"/>
      <c r="HOG125" s="3"/>
      <c r="HOH125" s="3"/>
      <c r="HOI125" s="3"/>
      <c r="HOJ125" s="3"/>
      <c r="HOK125" s="3"/>
      <c r="HOL125" s="3"/>
      <c r="HOM125" s="3"/>
      <c r="HON125" s="3"/>
      <c r="HOO125" s="3"/>
      <c r="HOP125" s="3"/>
      <c r="HOQ125" s="3"/>
      <c r="HOR125" s="3"/>
      <c r="HOS125" s="3"/>
      <c r="HOT125" s="3"/>
      <c r="HOU125" s="3"/>
      <c r="HOV125" s="3"/>
      <c r="HOW125" s="3"/>
      <c r="HOX125" s="3"/>
      <c r="HOY125" s="3"/>
      <c r="HOZ125" s="3"/>
      <c r="HPA125" s="3"/>
      <c r="HPB125" s="3"/>
      <c r="HPC125" s="3"/>
      <c r="HPD125" s="3"/>
      <c r="HPE125" s="3"/>
      <c r="HPF125" s="3"/>
      <c r="HPG125" s="3"/>
      <c r="HPH125" s="3"/>
      <c r="HPI125" s="3"/>
      <c r="HPJ125" s="3"/>
      <c r="HPK125" s="3"/>
      <c r="HPL125" s="3"/>
      <c r="HPM125" s="3"/>
      <c r="HPN125" s="3"/>
      <c r="HPO125" s="3"/>
      <c r="HPP125" s="3"/>
      <c r="HPQ125" s="3"/>
      <c r="HPR125" s="3"/>
      <c r="HPS125" s="3"/>
      <c r="HPT125" s="3"/>
      <c r="HPU125" s="3"/>
      <c r="HPV125" s="3"/>
      <c r="HPW125" s="3"/>
      <c r="HPX125" s="3"/>
      <c r="HPY125" s="3"/>
      <c r="HPZ125" s="3"/>
      <c r="HQA125" s="3"/>
      <c r="HQB125" s="3"/>
      <c r="HQC125" s="3"/>
      <c r="HQD125" s="3"/>
      <c r="HQE125" s="3"/>
      <c r="HQF125" s="3"/>
      <c r="HQG125" s="3"/>
      <c r="HQH125" s="3"/>
      <c r="HQI125" s="3"/>
      <c r="HQJ125" s="3"/>
      <c r="HQK125" s="3"/>
      <c r="HQL125" s="3"/>
      <c r="HQM125" s="3"/>
      <c r="HQN125" s="3"/>
      <c r="HQO125" s="3"/>
      <c r="HQP125" s="3"/>
      <c r="HQQ125" s="3"/>
      <c r="HQR125" s="3"/>
      <c r="HQS125" s="3"/>
      <c r="HQT125" s="3"/>
      <c r="HQU125" s="3"/>
      <c r="HQV125" s="3"/>
      <c r="HQW125" s="3"/>
      <c r="HQX125" s="3"/>
      <c r="HQY125" s="3"/>
      <c r="HQZ125" s="3"/>
      <c r="HRA125" s="3"/>
      <c r="HRB125" s="3"/>
      <c r="HRC125" s="3"/>
      <c r="HRD125" s="3"/>
      <c r="HRE125" s="3"/>
      <c r="HRF125" s="3"/>
      <c r="HRG125" s="3"/>
      <c r="HRH125" s="3"/>
      <c r="HRI125" s="3"/>
      <c r="HRJ125" s="3"/>
      <c r="HRK125" s="3"/>
      <c r="HRL125" s="3"/>
      <c r="HRM125" s="3"/>
      <c r="HRN125" s="3"/>
      <c r="HRO125" s="3"/>
      <c r="HRP125" s="3"/>
      <c r="HRQ125" s="3"/>
      <c r="HRR125" s="3"/>
      <c r="HRS125" s="3"/>
      <c r="HRT125" s="3"/>
      <c r="HRU125" s="3"/>
      <c r="HRV125" s="3"/>
      <c r="HRW125" s="3"/>
      <c r="HRX125" s="3"/>
      <c r="HRY125" s="3"/>
      <c r="HRZ125" s="3"/>
      <c r="HSA125" s="3"/>
      <c r="HSB125" s="3"/>
      <c r="HSC125" s="3"/>
      <c r="HSD125" s="3"/>
      <c r="HSE125" s="3"/>
      <c r="HSF125" s="3"/>
      <c r="HSG125" s="3"/>
      <c r="HSH125" s="3"/>
      <c r="HSI125" s="3"/>
      <c r="HSJ125" s="3"/>
      <c r="HSK125" s="3"/>
      <c r="HSL125" s="3"/>
      <c r="HSM125" s="3"/>
      <c r="HSN125" s="3"/>
      <c r="HSO125" s="3"/>
      <c r="HSP125" s="3"/>
      <c r="HSQ125" s="3"/>
      <c r="HSR125" s="3"/>
      <c r="HSS125" s="3"/>
      <c r="HST125" s="3"/>
      <c r="HSU125" s="3"/>
      <c r="HSV125" s="3"/>
      <c r="HSW125" s="3"/>
      <c r="HSX125" s="3"/>
      <c r="HSY125" s="3"/>
      <c r="HSZ125" s="3"/>
      <c r="HTA125" s="3"/>
      <c r="HTB125" s="3"/>
      <c r="HTC125" s="3"/>
      <c r="HTD125" s="3"/>
      <c r="HTE125" s="3"/>
      <c r="HTF125" s="3"/>
      <c r="HTG125" s="3"/>
      <c r="HTH125" s="3"/>
      <c r="HTI125" s="3"/>
      <c r="HTJ125" s="3"/>
      <c r="HTK125" s="3"/>
      <c r="HTL125" s="3"/>
      <c r="HTM125" s="3"/>
      <c r="HTN125" s="3"/>
      <c r="HTO125" s="3"/>
      <c r="HTP125" s="3"/>
      <c r="HTQ125" s="3"/>
      <c r="HTR125" s="3"/>
      <c r="HTS125" s="3"/>
      <c r="HTT125" s="3"/>
      <c r="HTU125" s="3"/>
      <c r="HTV125" s="3"/>
      <c r="HTW125" s="3"/>
      <c r="HTX125" s="3"/>
      <c r="HTY125" s="3"/>
      <c r="HTZ125" s="3"/>
      <c r="HUA125" s="3"/>
      <c r="HUB125" s="3"/>
      <c r="HUC125" s="3"/>
      <c r="HUD125" s="3"/>
      <c r="HUE125" s="3"/>
      <c r="HUF125" s="3"/>
      <c r="HUG125" s="3"/>
      <c r="HUH125" s="3"/>
      <c r="HUI125" s="3"/>
      <c r="HUJ125" s="3"/>
      <c r="HUK125" s="3"/>
      <c r="HUL125" s="3"/>
      <c r="HUM125" s="3"/>
      <c r="HUN125" s="3"/>
      <c r="HUO125" s="3"/>
      <c r="HUP125" s="3"/>
      <c r="HUQ125" s="3"/>
      <c r="HUR125" s="3"/>
      <c r="HUS125" s="3"/>
      <c r="HUT125" s="3"/>
      <c r="HUU125" s="3"/>
      <c r="HUV125" s="3"/>
      <c r="HUW125" s="3"/>
      <c r="HUX125" s="3"/>
      <c r="HUY125" s="3"/>
      <c r="HUZ125" s="3"/>
      <c r="HVA125" s="3"/>
      <c r="HVB125" s="3"/>
      <c r="HVC125" s="3"/>
      <c r="HVD125" s="3"/>
      <c r="HVE125" s="3"/>
      <c r="HVF125" s="3"/>
      <c r="HVG125" s="3"/>
      <c r="HVH125" s="3"/>
      <c r="HVI125" s="3"/>
      <c r="HVJ125" s="3"/>
      <c r="HVK125" s="3"/>
      <c r="HVL125" s="3"/>
      <c r="HVM125" s="3"/>
      <c r="HVN125" s="3"/>
      <c r="HVO125" s="3"/>
      <c r="HVP125" s="3"/>
      <c r="HVQ125" s="3"/>
      <c r="HVR125" s="3"/>
      <c r="HVS125" s="3"/>
      <c r="HVT125" s="3"/>
      <c r="HVU125" s="3"/>
      <c r="HVV125" s="3"/>
      <c r="HVW125" s="3"/>
      <c r="HVX125" s="3"/>
      <c r="HVY125" s="3"/>
      <c r="HVZ125" s="3"/>
      <c r="HWA125" s="3"/>
      <c r="HWB125" s="3"/>
      <c r="HWC125" s="3"/>
      <c r="HWD125" s="3"/>
      <c r="HWE125" s="3"/>
      <c r="HWF125" s="3"/>
      <c r="HWG125" s="3"/>
      <c r="HWH125" s="3"/>
      <c r="HWI125" s="3"/>
      <c r="HWJ125" s="3"/>
      <c r="HWK125" s="3"/>
      <c r="HWL125" s="3"/>
      <c r="HWM125" s="3"/>
      <c r="HWN125" s="3"/>
      <c r="HWO125" s="3"/>
      <c r="HWP125" s="3"/>
      <c r="HWQ125" s="3"/>
      <c r="HWR125" s="3"/>
      <c r="HWS125" s="3"/>
      <c r="HWT125" s="3"/>
      <c r="HWU125" s="3"/>
      <c r="HWV125" s="3"/>
      <c r="HWW125" s="3"/>
      <c r="HWX125" s="3"/>
      <c r="HWY125" s="3"/>
      <c r="HWZ125" s="3"/>
      <c r="HXA125" s="3"/>
      <c r="HXB125" s="3"/>
      <c r="HXC125" s="3"/>
      <c r="HXD125" s="3"/>
      <c r="HXE125" s="3"/>
      <c r="HXF125" s="3"/>
      <c r="HXG125" s="3"/>
      <c r="HXH125" s="3"/>
      <c r="HXI125" s="3"/>
      <c r="HXJ125" s="3"/>
      <c r="HXK125" s="3"/>
      <c r="HXL125" s="3"/>
      <c r="HXM125" s="3"/>
      <c r="HXN125" s="3"/>
      <c r="HXO125" s="3"/>
      <c r="HXP125" s="3"/>
      <c r="HXQ125" s="3"/>
      <c r="HXR125" s="3"/>
      <c r="HXS125" s="3"/>
      <c r="HXT125" s="3"/>
      <c r="HXU125" s="3"/>
      <c r="HXV125" s="3"/>
      <c r="HXW125" s="3"/>
      <c r="HXX125" s="3"/>
      <c r="HXY125" s="3"/>
      <c r="HXZ125" s="3"/>
      <c r="HYA125" s="3"/>
      <c r="HYB125" s="3"/>
      <c r="HYC125" s="3"/>
      <c r="HYD125" s="3"/>
      <c r="HYE125" s="3"/>
      <c r="HYF125" s="3"/>
      <c r="HYG125" s="3"/>
      <c r="HYH125" s="3"/>
      <c r="HYI125" s="3"/>
      <c r="HYJ125" s="3"/>
      <c r="HYK125" s="3"/>
      <c r="HYL125" s="3"/>
      <c r="HYM125" s="3"/>
      <c r="HYN125" s="3"/>
      <c r="HYO125" s="3"/>
      <c r="HYP125" s="3"/>
      <c r="HYQ125" s="3"/>
      <c r="HYR125" s="3"/>
      <c r="HYS125" s="3"/>
      <c r="HYT125" s="3"/>
      <c r="HYU125" s="3"/>
      <c r="HYV125" s="3"/>
      <c r="HYW125" s="3"/>
      <c r="HYX125" s="3"/>
      <c r="HYY125" s="3"/>
      <c r="HYZ125" s="3"/>
      <c r="HZA125" s="3"/>
      <c r="HZB125" s="3"/>
      <c r="HZC125" s="3"/>
      <c r="HZD125" s="3"/>
      <c r="HZE125" s="3"/>
      <c r="HZF125" s="3"/>
      <c r="HZG125" s="3"/>
      <c r="HZH125" s="3"/>
      <c r="HZI125" s="3"/>
      <c r="HZJ125" s="3"/>
      <c r="HZK125" s="3"/>
      <c r="HZL125" s="3"/>
      <c r="HZM125" s="3"/>
      <c r="HZN125" s="3"/>
      <c r="HZO125" s="3"/>
      <c r="HZP125" s="3"/>
      <c r="HZQ125" s="3"/>
      <c r="HZR125" s="3"/>
      <c r="HZS125" s="3"/>
      <c r="HZT125" s="3"/>
      <c r="HZU125" s="3"/>
      <c r="HZV125" s="3"/>
      <c r="HZW125" s="3"/>
      <c r="HZX125" s="3"/>
      <c r="HZY125" s="3"/>
      <c r="HZZ125" s="3"/>
      <c r="IAA125" s="3"/>
      <c r="IAB125" s="3"/>
      <c r="IAC125" s="3"/>
      <c r="IAD125" s="3"/>
      <c r="IAE125" s="3"/>
      <c r="IAF125" s="3"/>
      <c r="IAG125" s="3"/>
      <c r="IAH125" s="3"/>
      <c r="IAI125" s="3"/>
      <c r="IAJ125" s="3"/>
      <c r="IAK125" s="3"/>
      <c r="IAL125" s="3"/>
      <c r="IAM125" s="3"/>
      <c r="IAN125" s="3"/>
      <c r="IAO125" s="3"/>
      <c r="IAP125" s="3"/>
      <c r="IAQ125" s="3"/>
      <c r="IAR125" s="3"/>
      <c r="IAS125" s="3"/>
      <c r="IAT125" s="3"/>
      <c r="IAU125" s="3"/>
      <c r="IAV125" s="3"/>
      <c r="IAW125" s="3"/>
      <c r="IAX125" s="3"/>
      <c r="IAY125" s="3"/>
      <c r="IAZ125" s="3"/>
      <c r="IBA125" s="3"/>
      <c r="IBB125" s="3"/>
      <c r="IBC125" s="3"/>
      <c r="IBD125" s="3"/>
      <c r="IBE125" s="3"/>
      <c r="IBF125" s="3"/>
      <c r="IBG125" s="3"/>
      <c r="IBH125" s="3"/>
      <c r="IBI125" s="3"/>
      <c r="IBJ125" s="3"/>
      <c r="IBK125" s="3"/>
      <c r="IBL125" s="3"/>
      <c r="IBM125" s="3"/>
      <c r="IBN125" s="3"/>
      <c r="IBO125" s="3"/>
      <c r="IBP125" s="3"/>
      <c r="IBQ125" s="3"/>
      <c r="IBR125" s="3"/>
      <c r="IBS125" s="3"/>
      <c r="IBT125" s="3"/>
      <c r="IBU125" s="3"/>
      <c r="IBV125" s="3"/>
      <c r="IBW125" s="3"/>
      <c r="IBX125" s="3"/>
      <c r="IBY125" s="3"/>
      <c r="IBZ125" s="3"/>
      <c r="ICA125" s="3"/>
      <c r="ICB125" s="3"/>
      <c r="ICC125" s="3"/>
      <c r="ICD125" s="3"/>
      <c r="ICE125" s="3"/>
      <c r="ICF125" s="3"/>
      <c r="ICG125" s="3"/>
      <c r="ICH125" s="3"/>
      <c r="ICI125" s="3"/>
      <c r="ICJ125" s="3"/>
      <c r="ICK125" s="3"/>
      <c r="ICL125" s="3"/>
      <c r="ICM125" s="3"/>
      <c r="ICN125" s="3"/>
      <c r="ICO125" s="3"/>
      <c r="ICP125" s="3"/>
      <c r="ICQ125" s="3"/>
      <c r="ICR125" s="3"/>
      <c r="ICS125" s="3"/>
      <c r="ICT125" s="3"/>
      <c r="ICU125" s="3"/>
      <c r="ICV125" s="3"/>
      <c r="ICW125" s="3"/>
      <c r="ICX125" s="3"/>
      <c r="ICY125" s="3"/>
      <c r="ICZ125" s="3"/>
      <c r="IDA125" s="3"/>
      <c r="IDB125" s="3"/>
      <c r="IDC125" s="3"/>
      <c r="IDD125" s="3"/>
      <c r="IDE125" s="3"/>
      <c r="IDF125" s="3"/>
      <c r="IDG125" s="3"/>
      <c r="IDH125" s="3"/>
      <c r="IDI125" s="3"/>
      <c r="IDJ125" s="3"/>
      <c r="IDK125" s="3"/>
      <c r="IDL125" s="3"/>
      <c r="IDM125" s="3"/>
      <c r="IDN125" s="3"/>
      <c r="IDO125" s="3"/>
      <c r="IDP125" s="3"/>
      <c r="IDQ125" s="3"/>
      <c r="IDR125" s="3"/>
      <c r="IDS125" s="3"/>
      <c r="IDT125" s="3"/>
      <c r="IDU125" s="3"/>
      <c r="IDV125" s="3"/>
      <c r="IDW125" s="3"/>
      <c r="IDX125" s="3"/>
      <c r="IDY125" s="3"/>
      <c r="IDZ125" s="3"/>
      <c r="IEA125" s="3"/>
      <c r="IEB125" s="3"/>
      <c r="IEC125" s="3"/>
      <c r="IED125" s="3"/>
      <c r="IEE125" s="3"/>
      <c r="IEF125" s="3"/>
      <c r="IEG125" s="3"/>
      <c r="IEH125" s="3"/>
      <c r="IEI125" s="3"/>
      <c r="IEJ125" s="3"/>
      <c r="IEK125" s="3"/>
      <c r="IEL125" s="3"/>
      <c r="IEM125" s="3"/>
      <c r="IEN125" s="3"/>
      <c r="IEO125" s="3"/>
      <c r="IEP125" s="3"/>
      <c r="IEQ125" s="3"/>
      <c r="IER125" s="3"/>
      <c r="IES125" s="3"/>
      <c r="IET125" s="3"/>
      <c r="IEU125" s="3"/>
      <c r="IEV125" s="3"/>
      <c r="IEW125" s="3"/>
      <c r="IEX125" s="3"/>
      <c r="IEY125" s="3"/>
      <c r="IEZ125" s="3"/>
      <c r="IFA125" s="3"/>
      <c r="IFB125" s="3"/>
      <c r="IFC125" s="3"/>
      <c r="IFD125" s="3"/>
      <c r="IFE125" s="3"/>
      <c r="IFF125" s="3"/>
      <c r="IFG125" s="3"/>
      <c r="IFH125" s="3"/>
      <c r="IFI125" s="3"/>
      <c r="IFJ125" s="3"/>
      <c r="IFK125" s="3"/>
      <c r="IFL125" s="3"/>
      <c r="IFM125" s="3"/>
      <c r="IFN125" s="3"/>
      <c r="IFO125" s="3"/>
      <c r="IFP125" s="3"/>
      <c r="IFQ125" s="3"/>
      <c r="IFR125" s="3"/>
      <c r="IFS125" s="3"/>
      <c r="IFT125" s="3"/>
      <c r="IFU125" s="3"/>
      <c r="IFV125" s="3"/>
      <c r="IFW125" s="3"/>
      <c r="IFX125" s="3"/>
      <c r="IFY125" s="3"/>
      <c r="IFZ125" s="3"/>
      <c r="IGA125" s="3"/>
      <c r="IGB125" s="3"/>
      <c r="IGC125" s="3"/>
      <c r="IGD125" s="3"/>
      <c r="IGE125" s="3"/>
      <c r="IGF125" s="3"/>
      <c r="IGG125" s="3"/>
      <c r="IGH125" s="3"/>
      <c r="IGI125" s="3"/>
      <c r="IGJ125" s="3"/>
      <c r="IGK125" s="3"/>
      <c r="IGL125" s="3"/>
      <c r="IGM125" s="3"/>
      <c r="IGN125" s="3"/>
      <c r="IGO125" s="3"/>
      <c r="IGP125" s="3"/>
      <c r="IGQ125" s="3"/>
      <c r="IGR125" s="3"/>
      <c r="IGS125" s="3"/>
      <c r="IGT125" s="3"/>
      <c r="IGU125" s="3"/>
      <c r="IGV125" s="3"/>
      <c r="IGW125" s="3"/>
      <c r="IGX125" s="3"/>
      <c r="IGY125" s="3"/>
      <c r="IGZ125" s="3"/>
      <c r="IHA125" s="3"/>
      <c r="IHB125" s="3"/>
      <c r="IHC125" s="3"/>
      <c r="IHD125" s="3"/>
      <c r="IHE125" s="3"/>
      <c r="IHF125" s="3"/>
      <c r="IHG125" s="3"/>
      <c r="IHH125" s="3"/>
      <c r="IHI125" s="3"/>
      <c r="IHJ125" s="3"/>
      <c r="IHK125" s="3"/>
      <c r="IHL125" s="3"/>
      <c r="IHM125" s="3"/>
      <c r="IHN125" s="3"/>
      <c r="IHO125" s="3"/>
      <c r="IHP125" s="3"/>
      <c r="IHQ125" s="3"/>
      <c r="IHR125" s="3"/>
      <c r="IHS125" s="3"/>
      <c r="IHT125" s="3"/>
      <c r="IHU125" s="3"/>
      <c r="IHV125" s="3"/>
      <c r="IHW125" s="3"/>
      <c r="IHX125" s="3"/>
      <c r="IHY125" s="3"/>
      <c r="IHZ125" s="3"/>
      <c r="IIA125" s="3"/>
      <c r="IIB125" s="3"/>
      <c r="IIC125" s="3"/>
      <c r="IID125" s="3"/>
      <c r="IIE125" s="3"/>
      <c r="IIF125" s="3"/>
      <c r="IIG125" s="3"/>
      <c r="IIH125" s="3"/>
      <c r="III125" s="3"/>
      <c r="IIJ125" s="3"/>
      <c r="IIK125" s="3"/>
      <c r="IIL125" s="3"/>
      <c r="IIM125" s="3"/>
      <c r="IIN125" s="3"/>
      <c r="IIO125" s="3"/>
      <c r="IIP125" s="3"/>
      <c r="IIQ125" s="3"/>
      <c r="IIR125" s="3"/>
      <c r="IIS125" s="3"/>
      <c r="IIT125" s="3"/>
      <c r="IIU125" s="3"/>
      <c r="IIV125" s="3"/>
      <c r="IIW125" s="3"/>
      <c r="IIX125" s="3"/>
      <c r="IIY125" s="3"/>
      <c r="IIZ125" s="3"/>
      <c r="IJA125" s="3"/>
      <c r="IJB125" s="3"/>
      <c r="IJC125" s="3"/>
      <c r="IJD125" s="3"/>
      <c r="IJE125" s="3"/>
      <c r="IJF125" s="3"/>
      <c r="IJG125" s="3"/>
      <c r="IJH125" s="3"/>
      <c r="IJI125" s="3"/>
      <c r="IJJ125" s="3"/>
      <c r="IJK125" s="3"/>
      <c r="IJL125" s="3"/>
      <c r="IJM125" s="3"/>
      <c r="IJN125" s="3"/>
      <c r="IJO125" s="3"/>
      <c r="IJP125" s="3"/>
      <c r="IJQ125" s="3"/>
      <c r="IJR125" s="3"/>
      <c r="IJS125" s="3"/>
      <c r="IJT125" s="3"/>
      <c r="IJU125" s="3"/>
      <c r="IJV125" s="3"/>
      <c r="IJW125" s="3"/>
      <c r="IJX125" s="3"/>
      <c r="IJY125" s="3"/>
      <c r="IJZ125" s="3"/>
      <c r="IKA125" s="3"/>
      <c r="IKB125" s="3"/>
      <c r="IKC125" s="3"/>
      <c r="IKD125" s="3"/>
      <c r="IKE125" s="3"/>
      <c r="IKF125" s="3"/>
      <c r="IKG125" s="3"/>
      <c r="IKH125" s="3"/>
      <c r="IKI125" s="3"/>
      <c r="IKJ125" s="3"/>
      <c r="IKK125" s="3"/>
      <c r="IKL125" s="3"/>
      <c r="IKM125" s="3"/>
      <c r="IKN125" s="3"/>
      <c r="IKO125" s="3"/>
      <c r="IKP125" s="3"/>
      <c r="IKQ125" s="3"/>
      <c r="IKR125" s="3"/>
      <c r="IKS125" s="3"/>
      <c r="IKT125" s="3"/>
      <c r="IKU125" s="3"/>
      <c r="IKV125" s="3"/>
      <c r="IKW125" s="3"/>
      <c r="IKX125" s="3"/>
      <c r="IKY125" s="3"/>
      <c r="IKZ125" s="3"/>
      <c r="ILA125" s="3"/>
      <c r="ILB125" s="3"/>
      <c r="ILC125" s="3"/>
      <c r="ILD125" s="3"/>
      <c r="ILE125" s="3"/>
      <c r="ILF125" s="3"/>
      <c r="ILG125" s="3"/>
      <c r="ILH125" s="3"/>
      <c r="ILI125" s="3"/>
      <c r="ILJ125" s="3"/>
      <c r="ILK125" s="3"/>
      <c r="ILL125" s="3"/>
      <c r="ILM125" s="3"/>
      <c r="ILN125" s="3"/>
      <c r="ILO125" s="3"/>
      <c r="ILP125" s="3"/>
      <c r="ILQ125" s="3"/>
      <c r="ILR125" s="3"/>
      <c r="ILS125" s="3"/>
      <c r="ILT125" s="3"/>
      <c r="ILU125" s="3"/>
      <c r="ILV125" s="3"/>
      <c r="ILW125" s="3"/>
      <c r="ILX125" s="3"/>
      <c r="ILY125" s="3"/>
      <c r="ILZ125" s="3"/>
      <c r="IMA125" s="3"/>
      <c r="IMB125" s="3"/>
      <c r="IMC125" s="3"/>
      <c r="IMD125" s="3"/>
      <c r="IME125" s="3"/>
      <c r="IMF125" s="3"/>
      <c r="IMG125" s="3"/>
      <c r="IMH125" s="3"/>
      <c r="IMI125" s="3"/>
      <c r="IMJ125" s="3"/>
      <c r="IMK125" s="3"/>
      <c r="IML125" s="3"/>
      <c r="IMM125" s="3"/>
      <c r="IMN125" s="3"/>
      <c r="IMO125" s="3"/>
      <c r="IMP125" s="3"/>
      <c r="IMQ125" s="3"/>
      <c r="IMR125" s="3"/>
      <c r="IMS125" s="3"/>
      <c r="IMT125" s="3"/>
      <c r="IMU125" s="3"/>
      <c r="IMV125" s="3"/>
      <c r="IMW125" s="3"/>
      <c r="IMX125" s="3"/>
      <c r="IMY125" s="3"/>
      <c r="IMZ125" s="3"/>
      <c r="INA125" s="3"/>
      <c r="INB125" s="3"/>
      <c r="INC125" s="3"/>
      <c r="IND125" s="3"/>
      <c r="INE125" s="3"/>
      <c r="INF125" s="3"/>
      <c r="ING125" s="3"/>
      <c r="INH125" s="3"/>
      <c r="INI125" s="3"/>
      <c r="INJ125" s="3"/>
      <c r="INK125" s="3"/>
      <c r="INL125" s="3"/>
      <c r="INM125" s="3"/>
      <c r="INN125" s="3"/>
      <c r="INO125" s="3"/>
      <c r="INP125" s="3"/>
      <c r="INQ125" s="3"/>
      <c r="INR125" s="3"/>
      <c r="INS125" s="3"/>
      <c r="INT125" s="3"/>
      <c r="INU125" s="3"/>
      <c r="INV125" s="3"/>
      <c r="INW125" s="3"/>
      <c r="INX125" s="3"/>
      <c r="INY125" s="3"/>
      <c r="INZ125" s="3"/>
      <c r="IOA125" s="3"/>
      <c r="IOB125" s="3"/>
      <c r="IOC125" s="3"/>
      <c r="IOD125" s="3"/>
      <c r="IOE125" s="3"/>
      <c r="IOF125" s="3"/>
      <c r="IOG125" s="3"/>
      <c r="IOH125" s="3"/>
      <c r="IOI125" s="3"/>
      <c r="IOJ125" s="3"/>
      <c r="IOK125" s="3"/>
      <c r="IOL125" s="3"/>
      <c r="IOM125" s="3"/>
      <c r="ION125" s="3"/>
      <c r="IOO125" s="3"/>
      <c r="IOP125" s="3"/>
      <c r="IOQ125" s="3"/>
      <c r="IOR125" s="3"/>
      <c r="IOS125" s="3"/>
      <c r="IOT125" s="3"/>
      <c r="IOU125" s="3"/>
      <c r="IOV125" s="3"/>
      <c r="IOW125" s="3"/>
      <c r="IOX125" s="3"/>
      <c r="IOY125" s="3"/>
      <c r="IOZ125" s="3"/>
      <c r="IPA125" s="3"/>
      <c r="IPB125" s="3"/>
      <c r="IPC125" s="3"/>
      <c r="IPD125" s="3"/>
      <c r="IPE125" s="3"/>
      <c r="IPF125" s="3"/>
      <c r="IPG125" s="3"/>
      <c r="IPH125" s="3"/>
      <c r="IPI125" s="3"/>
      <c r="IPJ125" s="3"/>
      <c r="IPK125" s="3"/>
      <c r="IPL125" s="3"/>
      <c r="IPM125" s="3"/>
      <c r="IPN125" s="3"/>
      <c r="IPO125" s="3"/>
      <c r="IPP125" s="3"/>
      <c r="IPQ125" s="3"/>
      <c r="IPR125" s="3"/>
      <c r="IPS125" s="3"/>
      <c r="IPT125" s="3"/>
      <c r="IPU125" s="3"/>
      <c r="IPV125" s="3"/>
      <c r="IPW125" s="3"/>
      <c r="IPX125" s="3"/>
      <c r="IPY125" s="3"/>
      <c r="IPZ125" s="3"/>
      <c r="IQA125" s="3"/>
      <c r="IQB125" s="3"/>
      <c r="IQC125" s="3"/>
      <c r="IQD125" s="3"/>
      <c r="IQE125" s="3"/>
      <c r="IQF125" s="3"/>
      <c r="IQG125" s="3"/>
      <c r="IQH125" s="3"/>
      <c r="IQI125" s="3"/>
      <c r="IQJ125" s="3"/>
      <c r="IQK125" s="3"/>
      <c r="IQL125" s="3"/>
      <c r="IQM125" s="3"/>
      <c r="IQN125" s="3"/>
      <c r="IQO125" s="3"/>
      <c r="IQP125" s="3"/>
      <c r="IQQ125" s="3"/>
      <c r="IQR125" s="3"/>
      <c r="IQS125" s="3"/>
      <c r="IQT125" s="3"/>
      <c r="IQU125" s="3"/>
      <c r="IQV125" s="3"/>
      <c r="IQW125" s="3"/>
      <c r="IQX125" s="3"/>
      <c r="IQY125" s="3"/>
      <c r="IQZ125" s="3"/>
      <c r="IRA125" s="3"/>
      <c r="IRB125" s="3"/>
      <c r="IRC125" s="3"/>
      <c r="IRD125" s="3"/>
      <c r="IRE125" s="3"/>
      <c r="IRF125" s="3"/>
      <c r="IRG125" s="3"/>
      <c r="IRH125" s="3"/>
      <c r="IRI125" s="3"/>
      <c r="IRJ125" s="3"/>
      <c r="IRK125" s="3"/>
      <c r="IRL125" s="3"/>
      <c r="IRM125" s="3"/>
      <c r="IRN125" s="3"/>
      <c r="IRO125" s="3"/>
      <c r="IRP125" s="3"/>
      <c r="IRQ125" s="3"/>
      <c r="IRR125" s="3"/>
      <c r="IRS125" s="3"/>
      <c r="IRT125" s="3"/>
      <c r="IRU125" s="3"/>
      <c r="IRV125" s="3"/>
      <c r="IRW125" s="3"/>
      <c r="IRX125" s="3"/>
      <c r="IRY125" s="3"/>
      <c r="IRZ125" s="3"/>
      <c r="ISA125" s="3"/>
      <c r="ISB125" s="3"/>
      <c r="ISC125" s="3"/>
      <c r="ISD125" s="3"/>
      <c r="ISE125" s="3"/>
      <c r="ISF125" s="3"/>
      <c r="ISG125" s="3"/>
      <c r="ISH125" s="3"/>
      <c r="ISI125" s="3"/>
      <c r="ISJ125" s="3"/>
      <c r="ISK125" s="3"/>
      <c r="ISL125" s="3"/>
      <c r="ISM125" s="3"/>
      <c r="ISN125" s="3"/>
      <c r="ISO125" s="3"/>
      <c r="ISP125" s="3"/>
      <c r="ISQ125" s="3"/>
      <c r="ISR125" s="3"/>
      <c r="ISS125" s="3"/>
      <c r="IST125" s="3"/>
      <c r="ISU125" s="3"/>
      <c r="ISV125" s="3"/>
      <c r="ISW125" s="3"/>
      <c r="ISX125" s="3"/>
      <c r="ISY125" s="3"/>
      <c r="ISZ125" s="3"/>
      <c r="ITA125" s="3"/>
      <c r="ITB125" s="3"/>
      <c r="ITC125" s="3"/>
      <c r="ITD125" s="3"/>
      <c r="ITE125" s="3"/>
      <c r="ITF125" s="3"/>
      <c r="ITG125" s="3"/>
      <c r="ITH125" s="3"/>
      <c r="ITI125" s="3"/>
      <c r="ITJ125" s="3"/>
      <c r="ITK125" s="3"/>
      <c r="ITL125" s="3"/>
      <c r="ITM125" s="3"/>
      <c r="ITN125" s="3"/>
      <c r="ITO125" s="3"/>
      <c r="ITP125" s="3"/>
      <c r="ITQ125" s="3"/>
      <c r="ITR125" s="3"/>
      <c r="ITS125" s="3"/>
      <c r="ITT125" s="3"/>
      <c r="ITU125" s="3"/>
      <c r="ITV125" s="3"/>
      <c r="ITW125" s="3"/>
      <c r="ITX125" s="3"/>
      <c r="ITY125" s="3"/>
      <c r="ITZ125" s="3"/>
      <c r="IUA125" s="3"/>
      <c r="IUB125" s="3"/>
      <c r="IUC125" s="3"/>
      <c r="IUD125" s="3"/>
      <c r="IUE125" s="3"/>
      <c r="IUF125" s="3"/>
      <c r="IUG125" s="3"/>
      <c r="IUH125" s="3"/>
      <c r="IUI125" s="3"/>
      <c r="IUJ125" s="3"/>
      <c r="IUK125" s="3"/>
      <c r="IUL125" s="3"/>
      <c r="IUM125" s="3"/>
      <c r="IUN125" s="3"/>
      <c r="IUO125" s="3"/>
      <c r="IUP125" s="3"/>
      <c r="IUQ125" s="3"/>
      <c r="IUR125" s="3"/>
      <c r="IUS125" s="3"/>
      <c r="IUT125" s="3"/>
      <c r="IUU125" s="3"/>
      <c r="IUV125" s="3"/>
      <c r="IUW125" s="3"/>
      <c r="IUX125" s="3"/>
      <c r="IUY125" s="3"/>
      <c r="IUZ125" s="3"/>
      <c r="IVA125" s="3"/>
      <c r="IVB125" s="3"/>
      <c r="IVC125" s="3"/>
      <c r="IVD125" s="3"/>
      <c r="IVE125" s="3"/>
      <c r="IVF125" s="3"/>
      <c r="IVG125" s="3"/>
      <c r="IVH125" s="3"/>
      <c r="IVI125" s="3"/>
      <c r="IVJ125" s="3"/>
      <c r="IVK125" s="3"/>
      <c r="IVL125" s="3"/>
      <c r="IVM125" s="3"/>
      <c r="IVN125" s="3"/>
      <c r="IVO125" s="3"/>
      <c r="IVP125" s="3"/>
      <c r="IVQ125" s="3"/>
      <c r="IVR125" s="3"/>
      <c r="IVS125" s="3"/>
      <c r="IVT125" s="3"/>
      <c r="IVU125" s="3"/>
      <c r="IVV125" s="3"/>
      <c r="IVW125" s="3"/>
      <c r="IVX125" s="3"/>
      <c r="IVY125" s="3"/>
      <c r="IVZ125" s="3"/>
      <c r="IWA125" s="3"/>
      <c r="IWB125" s="3"/>
      <c r="IWC125" s="3"/>
      <c r="IWD125" s="3"/>
      <c r="IWE125" s="3"/>
      <c r="IWF125" s="3"/>
      <c r="IWG125" s="3"/>
      <c r="IWH125" s="3"/>
      <c r="IWI125" s="3"/>
      <c r="IWJ125" s="3"/>
      <c r="IWK125" s="3"/>
      <c r="IWL125" s="3"/>
      <c r="IWM125" s="3"/>
      <c r="IWN125" s="3"/>
      <c r="IWO125" s="3"/>
      <c r="IWP125" s="3"/>
      <c r="IWQ125" s="3"/>
      <c r="IWR125" s="3"/>
      <c r="IWS125" s="3"/>
      <c r="IWT125" s="3"/>
      <c r="IWU125" s="3"/>
      <c r="IWV125" s="3"/>
      <c r="IWW125" s="3"/>
      <c r="IWX125" s="3"/>
      <c r="IWY125" s="3"/>
      <c r="IWZ125" s="3"/>
      <c r="IXA125" s="3"/>
      <c r="IXB125" s="3"/>
      <c r="IXC125" s="3"/>
      <c r="IXD125" s="3"/>
      <c r="IXE125" s="3"/>
      <c r="IXF125" s="3"/>
      <c r="IXG125" s="3"/>
      <c r="IXH125" s="3"/>
      <c r="IXI125" s="3"/>
      <c r="IXJ125" s="3"/>
      <c r="IXK125" s="3"/>
      <c r="IXL125" s="3"/>
      <c r="IXM125" s="3"/>
      <c r="IXN125" s="3"/>
      <c r="IXO125" s="3"/>
      <c r="IXP125" s="3"/>
      <c r="IXQ125" s="3"/>
      <c r="IXR125" s="3"/>
      <c r="IXS125" s="3"/>
      <c r="IXT125" s="3"/>
      <c r="IXU125" s="3"/>
      <c r="IXV125" s="3"/>
      <c r="IXW125" s="3"/>
      <c r="IXX125" s="3"/>
      <c r="IXY125" s="3"/>
      <c r="IXZ125" s="3"/>
      <c r="IYA125" s="3"/>
      <c r="IYB125" s="3"/>
      <c r="IYC125" s="3"/>
      <c r="IYD125" s="3"/>
      <c r="IYE125" s="3"/>
      <c r="IYF125" s="3"/>
      <c r="IYG125" s="3"/>
      <c r="IYH125" s="3"/>
      <c r="IYI125" s="3"/>
      <c r="IYJ125" s="3"/>
      <c r="IYK125" s="3"/>
      <c r="IYL125" s="3"/>
      <c r="IYM125" s="3"/>
      <c r="IYN125" s="3"/>
      <c r="IYO125" s="3"/>
      <c r="IYP125" s="3"/>
      <c r="IYQ125" s="3"/>
      <c r="IYR125" s="3"/>
      <c r="IYS125" s="3"/>
      <c r="IYT125" s="3"/>
      <c r="IYU125" s="3"/>
      <c r="IYV125" s="3"/>
      <c r="IYW125" s="3"/>
      <c r="IYX125" s="3"/>
      <c r="IYY125" s="3"/>
      <c r="IYZ125" s="3"/>
      <c r="IZA125" s="3"/>
      <c r="IZB125" s="3"/>
      <c r="IZC125" s="3"/>
      <c r="IZD125" s="3"/>
      <c r="IZE125" s="3"/>
      <c r="IZF125" s="3"/>
      <c r="IZG125" s="3"/>
      <c r="IZH125" s="3"/>
      <c r="IZI125" s="3"/>
      <c r="IZJ125" s="3"/>
      <c r="IZK125" s="3"/>
      <c r="IZL125" s="3"/>
      <c r="IZM125" s="3"/>
      <c r="IZN125" s="3"/>
      <c r="IZO125" s="3"/>
      <c r="IZP125" s="3"/>
      <c r="IZQ125" s="3"/>
      <c r="IZR125" s="3"/>
      <c r="IZS125" s="3"/>
      <c r="IZT125" s="3"/>
      <c r="IZU125" s="3"/>
      <c r="IZV125" s="3"/>
      <c r="IZW125" s="3"/>
      <c r="IZX125" s="3"/>
      <c r="IZY125" s="3"/>
      <c r="IZZ125" s="3"/>
      <c r="JAA125" s="3"/>
      <c r="JAB125" s="3"/>
      <c r="JAC125" s="3"/>
      <c r="JAD125" s="3"/>
      <c r="JAE125" s="3"/>
      <c r="JAF125" s="3"/>
      <c r="JAG125" s="3"/>
      <c r="JAH125" s="3"/>
      <c r="JAI125" s="3"/>
      <c r="JAJ125" s="3"/>
      <c r="JAK125" s="3"/>
      <c r="JAL125" s="3"/>
      <c r="JAM125" s="3"/>
      <c r="JAN125" s="3"/>
      <c r="JAO125" s="3"/>
      <c r="JAP125" s="3"/>
      <c r="JAQ125" s="3"/>
      <c r="JAR125" s="3"/>
      <c r="JAS125" s="3"/>
      <c r="JAT125" s="3"/>
      <c r="JAU125" s="3"/>
      <c r="JAV125" s="3"/>
      <c r="JAW125" s="3"/>
      <c r="JAX125" s="3"/>
      <c r="JAY125" s="3"/>
      <c r="JAZ125" s="3"/>
      <c r="JBA125" s="3"/>
      <c r="JBB125" s="3"/>
      <c r="JBC125" s="3"/>
      <c r="JBD125" s="3"/>
      <c r="JBE125" s="3"/>
      <c r="JBF125" s="3"/>
      <c r="JBG125" s="3"/>
      <c r="JBH125" s="3"/>
      <c r="JBI125" s="3"/>
      <c r="JBJ125" s="3"/>
      <c r="JBK125" s="3"/>
      <c r="JBL125" s="3"/>
      <c r="JBM125" s="3"/>
      <c r="JBN125" s="3"/>
      <c r="JBO125" s="3"/>
      <c r="JBP125" s="3"/>
      <c r="JBQ125" s="3"/>
      <c r="JBR125" s="3"/>
      <c r="JBS125" s="3"/>
      <c r="JBT125" s="3"/>
      <c r="JBU125" s="3"/>
      <c r="JBV125" s="3"/>
      <c r="JBW125" s="3"/>
      <c r="JBX125" s="3"/>
      <c r="JBY125" s="3"/>
      <c r="JBZ125" s="3"/>
      <c r="JCA125" s="3"/>
      <c r="JCB125" s="3"/>
      <c r="JCC125" s="3"/>
      <c r="JCD125" s="3"/>
      <c r="JCE125" s="3"/>
      <c r="JCF125" s="3"/>
      <c r="JCG125" s="3"/>
      <c r="JCH125" s="3"/>
      <c r="JCI125" s="3"/>
      <c r="JCJ125" s="3"/>
      <c r="JCK125" s="3"/>
      <c r="JCL125" s="3"/>
      <c r="JCM125" s="3"/>
      <c r="JCN125" s="3"/>
      <c r="JCO125" s="3"/>
      <c r="JCP125" s="3"/>
      <c r="JCQ125" s="3"/>
      <c r="JCR125" s="3"/>
      <c r="JCS125" s="3"/>
      <c r="JCT125" s="3"/>
      <c r="JCU125" s="3"/>
      <c r="JCV125" s="3"/>
      <c r="JCW125" s="3"/>
      <c r="JCX125" s="3"/>
      <c r="JCY125" s="3"/>
      <c r="JCZ125" s="3"/>
      <c r="JDA125" s="3"/>
      <c r="JDB125" s="3"/>
      <c r="JDC125" s="3"/>
      <c r="JDD125" s="3"/>
      <c r="JDE125" s="3"/>
      <c r="JDF125" s="3"/>
      <c r="JDG125" s="3"/>
      <c r="JDH125" s="3"/>
      <c r="JDI125" s="3"/>
      <c r="JDJ125" s="3"/>
      <c r="JDK125" s="3"/>
      <c r="JDL125" s="3"/>
      <c r="JDM125" s="3"/>
      <c r="JDN125" s="3"/>
      <c r="JDO125" s="3"/>
      <c r="JDP125" s="3"/>
      <c r="JDQ125" s="3"/>
      <c r="JDR125" s="3"/>
      <c r="JDS125" s="3"/>
      <c r="JDT125" s="3"/>
      <c r="JDU125" s="3"/>
      <c r="JDV125" s="3"/>
      <c r="JDW125" s="3"/>
      <c r="JDX125" s="3"/>
      <c r="JDY125" s="3"/>
      <c r="JDZ125" s="3"/>
      <c r="JEA125" s="3"/>
      <c r="JEB125" s="3"/>
      <c r="JEC125" s="3"/>
      <c r="JED125" s="3"/>
      <c r="JEE125" s="3"/>
      <c r="JEF125" s="3"/>
      <c r="JEG125" s="3"/>
      <c r="JEH125" s="3"/>
      <c r="JEI125" s="3"/>
      <c r="JEJ125" s="3"/>
      <c r="JEK125" s="3"/>
      <c r="JEL125" s="3"/>
      <c r="JEM125" s="3"/>
      <c r="JEN125" s="3"/>
      <c r="JEO125" s="3"/>
      <c r="JEP125" s="3"/>
      <c r="JEQ125" s="3"/>
      <c r="JER125" s="3"/>
      <c r="JES125" s="3"/>
      <c r="JET125" s="3"/>
      <c r="JEU125" s="3"/>
      <c r="JEV125" s="3"/>
      <c r="JEW125" s="3"/>
      <c r="JEX125" s="3"/>
      <c r="JEY125" s="3"/>
      <c r="JEZ125" s="3"/>
      <c r="JFA125" s="3"/>
      <c r="JFB125" s="3"/>
      <c r="JFC125" s="3"/>
      <c r="JFD125" s="3"/>
      <c r="JFE125" s="3"/>
      <c r="JFF125" s="3"/>
      <c r="JFG125" s="3"/>
      <c r="JFH125" s="3"/>
      <c r="JFI125" s="3"/>
      <c r="JFJ125" s="3"/>
      <c r="JFK125" s="3"/>
      <c r="JFL125" s="3"/>
      <c r="JFM125" s="3"/>
      <c r="JFN125" s="3"/>
      <c r="JFO125" s="3"/>
      <c r="JFP125" s="3"/>
      <c r="JFQ125" s="3"/>
      <c r="JFR125" s="3"/>
      <c r="JFS125" s="3"/>
      <c r="JFT125" s="3"/>
      <c r="JFU125" s="3"/>
      <c r="JFV125" s="3"/>
      <c r="JFW125" s="3"/>
      <c r="JFX125" s="3"/>
      <c r="JFY125" s="3"/>
      <c r="JFZ125" s="3"/>
      <c r="JGA125" s="3"/>
      <c r="JGB125" s="3"/>
      <c r="JGC125" s="3"/>
      <c r="JGD125" s="3"/>
      <c r="JGE125" s="3"/>
      <c r="JGF125" s="3"/>
      <c r="JGG125" s="3"/>
      <c r="JGH125" s="3"/>
      <c r="JGI125" s="3"/>
      <c r="JGJ125" s="3"/>
      <c r="JGK125" s="3"/>
      <c r="JGL125" s="3"/>
      <c r="JGM125" s="3"/>
      <c r="JGN125" s="3"/>
      <c r="JGO125" s="3"/>
      <c r="JGP125" s="3"/>
      <c r="JGQ125" s="3"/>
      <c r="JGR125" s="3"/>
      <c r="JGS125" s="3"/>
      <c r="JGT125" s="3"/>
      <c r="JGU125" s="3"/>
      <c r="JGV125" s="3"/>
      <c r="JGW125" s="3"/>
      <c r="JGX125" s="3"/>
      <c r="JGY125" s="3"/>
      <c r="JGZ125" s="3"/>
      <c r="JHA125" s="3"/>
      <c r="JHB125" s="3"/>
      <c r="JHC125" s="3"/>
      <c r="JHD125" s="3"/>
      <c r="JHE125" s="3"/>
      <c r="JHF125" s="3"/>
      <c r="JHG125" s="3"/>
      <c r="JHH125" s="3"/>
      <c r="JHI125" s="3"/>
      <c r="JHJ125" s="3"/>
      <c r="JHK125" s="3"/>
      <c r="JHL125" s="3"/>
      <c r="JHM125" s="3"/>
      <c r="JHN125" s="3"/>
      <c r="JHO125" s="3"/>
      <c r="JHP125" s="3"/>
      <c r="JHQ125" s="3"/>
      <c r="JHR125" s="3"/>
      <c r="JHS125" s="3"/>
      <c r="JHT125" s="3"/>
      <c r="JHU125" s="3"/>
      <c r="JHV125" s="3"/>
      <c r="JHW125" s="3"/>
      <c r="JHX125" s="3"/>
      <c r="JHY125" s="3"/>
      <c r="JHZ125" s="3"/>
      <c r="JIA125" s="3"/>
      <c r="JIB125" s="3"/>
      <c r="JIC125" s="3"/>
      <c r="JID125" s="3"/>
      <c r="JIE125" s="3"/>
      <c r="JIF125" s="3"/>
      <c r="JIG125" s="3"/>
      <c r="JIH125" s="3"/>
      <c r="JII125" s="3"/>
      <c r="JIJ125" s="3"/>
      <c r="JIK125" s="3"/>
      <c r="JIL125" s="3"/>
      <c r="JIM125" s="3"/>
      <c r="JIN125" s="3"/>
      <c r="JIO125" s="3"/>
      <c r="JIP125" s="3"/>
      <c r="JIQ125" s="3"/>
      <c r="JIR125" s="3"/>
      <c r="JIS125" s="3"/>
      <c r="JIT125" s="3"/>
      <c r="JIU125" s="3"/>
      <c r="JIV125" s="3"/>
      <c r="JIW125" s="3"/>
      <c r="JIX125" s="3"/>
      <c r="JIY125" s="3"/>
      <c r="JIZ125" s="3"/>
      <c r="JJA125" s="3"/>
      <c r="JJB125" s="3"/>
      <c r="JJC125" s="3"/>
      <c r="JJD125" s="3"/>
      <c r="JJE125" s="3"/>
      <c r="JJF125" s="3"/>
      <c r="JJG125" s="3"/>
      <c r="JJH125" s="3"/>
      <c r="JJI125" s="3"/>
      <c r="JJJ125" s="3"/>
      <c r="JJK125" s="3"/>
      <c r="JJL125" s="3"/>
      <c r="JJM125" s="3"/>
      <c r="JJN125" s="3"/>
      <c r="JJO125" s="3"/>
      <c r="JJP125" s="3"/>
      <c r="JJQ125" s="3"/>
      <c r="JJR125" s="3"/>
      <c r="JJS125" s="3"/>
      <c r="JJT125" s="3"/>
      <c r="JJU125" s="3"/>
      <c r="JJV125" s="3"/>
      <c r="JJW125" s="3"/>
      <c r="JJX125" s="3"/>
      <c r="JJY125" s="3"/>
      <c r="JJZ125" s="3"/>
      <c r="JKA125" s="3"/>
      <c r="JKB125" s="3"/>
      <c r="JKC125" s="3"/>
      <c r="JKD125" s="3"/>
      <c r="JKE125" s="3"/>
      <c r="JKF125" s="3"/>
      <c r="JKG125" s="3"/>
      <c r="JKH125" s="3"/>
      <c r="JKI125" s="3"/>
      <c r="JKJ125" s="3"/>
      <c r="JKK125" s="3"/>
      <c r="JKL125" s="3"/>
      <c r="JKM125" s="3"/>
      <c r="JKN125" s="3"/>
      <c r="JKO125" s="3"/>
      <c r="JKP125" s="3"/>
      <c r="JKQ125" s="3"/>
      <c r="JKR125" s="3"/>
      <c r="JKS125" s="3"/>
      <c r="JKT125" s="3"/>
      <c r="JKU125" s="3"/>
      <c r="JKV125" s="3"/>
      <c r="JKW125" s="3"/>
      <c r="JKX125" s="3"/>
      <c r="JKY125" s="3"/>
      <c r="JKZ125" s="3"/>
      <c r="JLA125" s="3"/>
      <c r="JLB125" s="3"/>
      <c r="JLC125" s="3"/>
      <c r="JLD125" s="3"/>
      <c r="JLE125" s="3"/>
      <c r="JLF125" s="3"/>
      <c r="JLG125" s="3"/>
      <c r="JLH125" s="3"/>
      <c r="JLI125" s="3"/>
      <c r="JLJ125" s="3"/>
      <c r="JLK125" s="3"/>
      <c r="JLL125" s="3"/>
      <c r="JLM125" s="3"/>
      <c r="JLN125" s="3"/>
      <c r="JLO125" s="3"/>
      <c r="JLP125" s="3"/>
      <c r="JLQ125" s="3"/>
      <c r="JLR125" s="3"/>
      <c r="JLS125" s="3"/>
      <c r="JLT125" s="3"/>
      <c r="JLU125" s="3"/>
      <c r="JLV125" s="3"/>
      <c r="JLW125" s="3"/>
      <c r="JLX125" s="3"/>
      <c r="JLY125" s="3"/>
      <c r="JLZ125" s="3"/>
      <c r="JMA125" s="3"/>
      <c r="JMB125" s="3"/>
      <c r="JMC125" s="3"/>
      <c r="JMD125" s="3"/>
      <c r="JME125" s="3"/>
      <c r="JMF125" s="3"/>
      <c r="JMG125" s="3"/>
      <c r="JMH125" s="3"/>
      <c r="JMI125" s="3"/>
      <c r="JMJ125" s="3"/>
      <c r="JMK125" s="3"/>
      <c r="JML125" s="3"/>
      <c r="JMM125" s="3"/>
      <c r="JMN125" s="3"/>
      <c r="JMO125" s="3"/>
      <c r="JMP125" s="3"/>
      <c r="JMQ125" s="3"/>
      <c r="JMR125" s="3"/>
      <c r="JMS125" s="3"/>
      <c r="JMT125" s="3"/>
      <c r="JMU125" s="3"/>
      <c r="JMV125" s="3"/>
      <c r="JMW125" s="3"/>
      <c r="JMX125" s="3"/>
      <c r="JMY125" s="3"/>
      <c r="JMZ125" s="3"/>
      <c r="JNA125" s="3"/>
      <c r="JNB125" s="3"/>
      <c r="JNC125" s="3"/>
      <c r="JND125" s="3"/>
      <c r="JNE125" s="3"/>
      <c r="JNF125" s="3"/>
      <c r="JNG125" s="3"/>
      <c r="JNH125" s="3"/>
      <c r="JNI125" s="3"/>
      <c r="JNJ125" s="3"/>
      <c r="JNK125" s="3"/>
      <c r="JNL125" s="3"/>
      <c r="JNM125" s="3"/>
      <c r="JNN125" s="3"/>
      <c r="JNO125" s="3"/>
      <c r="JNP125" s="3"/>
      <c r="JNQ125" s="3"/>
      <c r="JNR125" s="3"/>
      <c r="JNS125" s="3"/>
      <c r="JNT125" s="3"/>
      <c r="JNU125" s="3"/>
      <c r="JNV125" s="3"/>
      <c r="JNW125" s="3"/>
      <c r="JNX125" s="3"/>
      <c r="JNY125" s="3"/>
      <c r="JNZ125" s="3"/>
      <c r="JOA125" s="3"/>
      <c r="JOB125" s="3"/>
      <c r="JOC125" s="3"/>
      <c r="JOD125" s="3"/>
      <c r="JOE125" s="3"/>
      <c r="JOF125" s="3"/>
      <c r="JOG125" s="3"/>
      <c r="JOH125" s="3"/>
      <c r="JOI125" s="3"/>
      <c r="JOJ125" s="3"/>
      <c r="JOK125" s="3"/>
      <c r="JOL125" s="3"/>
      <c r="JOM125" s="3"/>
      <c r="JON125" s="3"/>
      <c r="JOO125" s="3"/>
      <c r="JOP125" s="3"/>
      <c r="JOQ125" s="3"/>
      <c r="JOR125" s="3"/>
      <c r="JOS125" s="3"/>
      <c r="JOT125" s="3"/>
      <c r="JOU125" s="3"/>
      <c r="JOV125" s="3"/>
      <c r="JOW125" s="3"/>
      <c r="JOX125" s="3"/>
      <c r="JOY125" s="3"/>
      <c r="JOZ125" s="3"/>
      <c r="JPA125" s="3"/>
      <c r="JPB125" s="3"/>
      <c r="JPC125" s="3"/>
      <c r="JPD125" s="3"/>
      <c r="JPE125" s="3"/>
      <c r="JPF125" s="3"/>
      <c r="JPG125" s="3"/>
      <c r="JPH125" s="3"/>
      <c r="JPI125" s="3"/>
      <c r="JPJ125" s="3"/>
      <c r="JPK125" s="3"/>
      <c r="JPL125" s="3"/>
      <c r="JPM125" s="3"/>
      <c r="JPN125" s="3"/>
      <c r="JPO125" s="3"/>
      <c r="JPP125" s="3"/>
      <c r="JPQ125" s="3"/>
      <c r="JPR125" s="3"/>
      <c r="JPS125" s="3"/>
      <c r="JPT125" s="3"/>
      <c r="JPU125" s="3"/>
      <c r="JPV125" s="3"/>
      <c r="JPW125" s="3"/>
      <c r="JPX125" s="3"/>
      <c r="JPY125" s="3"/>
      <c r="JPZ125" s="3"/>
      <c r="JQA125" s="3"/>
      <c r="JQB125" s="3"/>
      <c r="JQC125" s="3"/>
      <c r="JQD125" s="3"/>
      <c r="JQE125" s="3"/>
      <c r="JQF125" s="3"/>
      <c r="JQG125" s="3"/>
      <c r="JQH125" s="3"/>
      <c r="JQI125" s="3"/>
      <c r="JQJ125" s="3"/>
      <c r="JQK125" s="3"/>
      <c r="JQL125" s="3"/>
      <c r="JQM125" s="3"/>
      <c r="JQN125" s="3"/>
      <c r="JQO125" s="3"/>
      <c r="JQP125" s="3"/>
      <c r="JQQ125" s="3"/>
      <c r="JQR125" s="3"/>
      <c r="JQS125" s="3"/>
      <c r="JQT125" s="3"/>
      <c r="JQU125" s="3"/>
      <c r="JQV125" s="3"/>
      <c r="JQW125" s="3"/>
      <c r="JQX125" s="3"/>
      <c r="JQY125" s="3"/>
      <c r="JQZ125" s="3"/>
      <c r="JRA125" s="3"/>
      <c r="JRB125" s="3"/>
      <c r="JRC125" s="3"/>
      <c r="JRD125" s="3"/>
      <c r="JRE125" s="3"/>
      <c r="JRF125" s="3"/>
      <c r="JRG125" s="3"/>
      <c r="JRH125" s="3"/>
      <c r="JRI125" s="3"/>
      <c r="JRJ125" s="3"/>
      <c r="JRK125" s="3"/>
      <c r="JRL125" s="3"/>
      <c r="JRM125" s="3"/>
      <c r="JRN125" s="3"/>
      <c r="JRO125" s="3"/>
      <c r="JRP125" s="3"/>
      <c r="JRQ125" s="3"/>
      <c r="JRR125" s="3"/>
      <c r="JRS125" s="3"/>
      <c r="JRT125" s="3"/>
      <c r="JRU125" s="3"/>
      <c r="JRV125" s="3"/>
      <c r="JRW125" s="3"/>
      <c r="JRX125" s="3"/>
      <c r="JRY125" s="3"/>
      <c r="JRZ125" s="3"/>
      <c r="JSA125" s="3"/>
      <c r="JSB125" s="3"/>
      <c r="JSC125" s="3"/>
      <c r="JSD125" s="3"/>
      <c r="JSE125" s="3"/>
      <c r="JSF125" s="3"/>
      <c r="JSG125" s="3"/>
      <c r="JSH125" s="3"/>
      <c r="JSI125" s="3"/>
      <c r="JSJ125" s="3"/>
      <c r="JSK125" s="3"/>
      <c r="JSL125" s="3"/>
      <c r="JSM125" s="3"/>
      <c r="JSN125" s="3"/>
      <c r="JSO125" s="3"/>
      <c r="JSP125" s="3"/>
      <c r="JSQ125" s="3"/>
      <c r="JSR125" s="3"/>
      <c r="JSS125" s="3"/>
      <c r="JST125" s="3"/>
      <c r="JSU125" s="3"/>
      <c r="JSV125" s="3"/>
      <c r="JSW125" s="3"/>
      <c r="JSX125" s="3"/>
      <c r="JSY125" s="3"/>
      <c r="JSZ125" s="3"/>
      <c r="JTA125" s="3"/>
      <c r="JTB125" s="3"/>
      <c r="JTC125" s="3"/>
      <c r="JTD125" s="3"/>
      <c r="JTE125" s="3"/>
      <c r="JTF125" s="3"/>
      <c r="JTG125" s="3"/>
      <c r="JTH125" s="3"/>
      <c r="JTI125" s="3"/>
      <c r="JTJ125" s="3"/>
      <c r="JTK125" s="3"/>
      <c r="JTL125" s="3"/>
      <c r="JTM125" s="3"/>
      <c r="JTN125" s="3"/>
      <c r="JTO125" s="3"/>
      <c r="JTP125" s="3"/>
      <c r="JTQ125" s="3"/>
      <c r="JTR125" s="3"/>
      <c r="JTS125" s="3"/>
      <c r="JTT125" s="3"/>
      <c r="JTU125" s="3"/>
      <c r="JTV125" s="3"/>
      <c r="JTW125" s="3"/>
      <c r="JTX125" s="3"/>
      <c r="JTY125" s="3"/>
      <c r="JTZ125" s="3"/>
      <c r="JUA125" s="3"/>
      <c r="JUB125" s="3"/>
      <c r="JUC125" s="3"/>
      <c r="JUD125" s="3"/>
      <c r="JUE125" s="3"/>
      <c r="JUF125" s="3"/>
      <c r="JUG125" s="3"/>
      <c r="JUH125" s="3"/>
      <c r="JUI125" s="3"/>
      <c r="JUJ125" s="3"/>
      <c r="JUK125" s="3"/>
      <c r="JUL125" s="3"/>
      <c r="JUM125" s="3"/>
      <c r="JUN125" s="3"/>
      <c r="JUO125" s="3"/>
      <c r="JUP125" s="3"/>
      <c r="JUQ125" s="3"/>
      <c r="JUR125" s="3"/>
      <c r="JUS125" s="3"/>
      <c r="JUT125" s="3"/>
      <c r="JUU125" s="3"/>
      <c r="JUV125" s="3"/>
      <c r="JUW125" s="3"/>
      <c r="JUX125" s="3"/>
      <c r="JUY125" s="3"/>
      <c r="JUZ125" s="3"/>
      <c r="JVA125" s="3"/>
      <c r="JVB125" s="3"/>
      <c r="JVC125" s="3"/>
      <c r="JVD125" s="3"/>
      <c r="JVE125" s="3"/>
      <c r="JVF125" s="3"/>
      <c r="JVG125" s="3"/>
      <c r="JVH125" s="3"/>
      <c r="JVI125" s="3"/>
      <c r="JVJ125" s="3"/>
      <c r="JVK125" s="3"/>
      <c r="JVL125" s="3"/>
      <c r="JVM125" s="3"/>
      <c r="JVN125" s="3"/>
      <c r="JVO125" s="3"/>
      <c r="JVP125" s="3"/>
      <c r="JVQ125" s="3"/>
      <c r="JVR125" s="3"/>
      <c r="JVS125" s="3"/>
      <c r="JVT125" s="3"/>
      <c r="JVU125" s="3"/>
      <c r="JVV125" s="3"/>
      <c r="JVW125" s="3"/>
      <c r="JVX125" s="3"/>
      <c r="JVY125" s="3"/>
      <c r="JVZ125" s="3"/>
      <c r="JWA125" s="3"/>
      <c r="JWB125" s="3"/>
      <c r="JWC125" s="3"/>
      <c r="JWD125" s="3"/>
      <c r="JWE125" s="3"/>
      <c r="JWF125" s="3"/>
      <c r="JWG125" s="3"/>
      <c r="JWH125" s="3"/>
      <c r="JWI125" s="3"/>
      <c r="JWJ125" s="3"/>
      <c r="JWK125" s="3"/>
      <c r="JWL125" s="3"/>
      <c r="JWM125" s="3"/>
      <c r="JWN125" s="3"/>
      <c r="JWO125" s="3"/>
      <c r="JWP125" s="3"/>
      <c r="JWQ125" s="3"/>
      <c r="JWR125" s="3"/>
      <c r="JWS125" s="3"/>
      <c r="JWT125" s="3"/>
      <c r="JWU125" s="3"/>
      <c r="JWV125" s="3"/>
      <c r="JWW125" s="3"/>
      <c r="JWX125" s="3"/>
      <c r="JWY125" s="3"/>
      <c r="JWZ125" s="3"/>
      <c r="JXA125" s="3"/>
      <c r="JXB125" s="3"/>
      <c r="JXC125" s="3"/>
      <c r="JXD125" s="3"/>
      <c r="JXE125" s="3"/>
      <c r="JXF125" s="3"/>
      <c r="JXG125" s="3"/>
      <c r="JXH125" s="3"/>
      <c r="JXI125" s="3"/>
      <c r="JXJ125" s="3"/>
      <c r="JXK125" s="3"/>
      <c r="JXL125" s="3"/>
      <c r="JXM125" s="3"/>
      <c r="JXN125" s="3"/>
      <c r="JXO125" s="3"/>
      <c r="JXP125" s="3"/>
      <c r="JXQ125" s="3"/>
      <c r="JXR125" s="3"/>
      <c r="JXS125" s="3"/>
      <c r="JXT125" s="3"/>
      <c r="JXU125" s="3"/>
      <c r="JXV125" s="3"/>
      <c r="JXW125" s="3"/>
      <c r="JXX125" s="3"/>
      <c r="JXY125" s="3"/>
      <c r="JXZ125" s="3"/>
      <c r="JYA125" s="3"/>
      <c r="JYB125" s="3"/>
      <c r="JYC125" s="3"/>
      <c r="JYD125" s="3"/>
      <c r="JYE125" s="3"/>
      <c r="JYF125" s="3"/>
      <c r="JYG125" s="3"/>
      <c r="JYH125" s="3"/>
      <c r="JYI125" s="3"/>
      <c r="JYJ125" s="3"/>
      <c r="JYK125" s="3"/>
      <c r="JYL125" s="3"/>
      <c r="JYM125" s="3"/>
      <c r="JYN125" s="3"/>
      <c r="JYO125" s="3"/>
      <c r="JYP125" s="3"/>
      <c r="JYQ125" s="3"/>
      <c r="JYR125" s="3"/>
      <c r="JYS125" s="3"/>
      <c r="JYT125" s="3"/>
      <c r="JYU125" s="3"/>
      <c r="JYV125" s="3"/>
      <c r="JYW125" s="3"/>
      <c r="JYX125" s="3"/>
      <c r="JYY125" s="3"/>
      <c r="JYZ125" s="3"/>
      <c r="JZA125" s="3"/>
      <c r="JZB125" s="3"/>
      <c r="JZC125" s="3"/>
      <c r="JZD125" s="3"/>
      <c r="JZE125" s="3"/>
      <c r="JZF125" s="3"/>
      <c r="JZG125" s="3"/>
      <c r="JZH125" s="3"/>
      <c r="JZI125" s="3"/>
      <c r="JZJ125" s="3"/>
      <c r="JZK125" s="3"/>
      <c r="JZL125" s="3"/>
      <c r="JZM125" s="3"/>
      <c r="JZN125" s="3"/>
      <c r="JZO125" s="3"/>
      <c r="JZP125" s="3"/>
      <c r="JZQ125" s="3"/>
      <c r="JZR125" s="3"/>
      <c r="JZS125" s="3"/>
      <c r="JZT125" s="3"/>
      <c r="JZU125" s="3"/>
      <c r="JZV125" s="3"/>
      <c r="JZW125" s="3"/>
      <c r="JZX125" s="3"/>
      <c r="JZY125" s="3"/>
      <c r="JZZ125" s="3"/>
      <c r="KAA125" s="3"/>
      <c r="KAB125" s="3"/>
      <c r="KAC125" s="3"/>
      <c r="KAD125" s="3"/>
      <c r="KAE125" s="3"/>
      <c r="KAF125" s="3"/>
      <c r="KAG125" s="3"/>
      <c r="KAH125" s="3"/>
      <c r="KAI125" s="3"/>
      <c r="KAJ125" s="3"/>
      <c r="KAK125" s="3"/>
      <c r="KAL125" s="3"/>
      <c r="KAM125" s="3"/>
      <c r="KAN125" s="3"/>
      <c r="KAO125" s="3"/>
      <c r="KAP125" s="3"/>
      <c r="KAQ125" s="3"/>
      <c r="KAR125" s="3"/>
      <c r="KAS125" s="3"/>
      <c r="KAT125" s="3"/>
      <c r="KAU125" s="3"/>
      <c r="KAV125" s="3"/>
      <c r="KAW125" s="3"/>
      <c r="KAX125" s="3"/>
      <c r="KAY125" s="3"/>
      <c r="KAZ125" s="3"/>
      <c r="KBA125" s="3"/>
      <c r="KBB125" s="3"/>
      <c r="KBC125" s="3"/>
      <c r="KBD125" s="3"/>
      <c r="KBE125" s="3"/>
      <c r="KBF125" s="3"/>
      <c r="KBG125" s="3"/>
      <c r="KBH125" s="3"/>
      <c r="KBI125" s="3"/>
      <c r="KBJ125" s="3"/>
      <c r="KBK125" s="3"/>
      <c r="KBL125" s="3"/>
      <c r="KBM125" s="3"/>
      <c r="KBN125" s="3"/>
      <c r="KBO125" s="3"/>
      <c r="KBP125" s="3"/>
      <c r="KBQ125" s="3"/>
      <c r="KBR125" s="3"/>
      <c r="KBS125" s="3"/>
      <c r="KBT125" s="3"/>
      <c r="KBU125" s="3"/>
      <c r="KBV125" s="3"/>
      <c r="KBW125" s="3"/>
      <c r="KBX125" s="3"/>
      <c r="KBY125" s="3"/>
      <c r="KBZ125" s="3"/>
      <c r="KCA125" s="3"/>
      <c r="KCB125" s="3"/>
      <c r="KCC125" s="3"/>
      <c r="KCD125" s="3"/>
      <c r="KCE125" s="3"/>
      <c r="KCF125" s="3"/>
      <c r="KCG125" s="3"/>
      <c r="KCH125" s="3"/>
      <c r="KCI125" s="3"/>
      <c r="KCJ125" s="3"/>
      <c r="KCK125" s="3"/>
      <c r="KCL125" s="3"/>
      <c r="KCM125" s="3"/>
      <c r="KCN125" s="3"/>
      <c r="KCO125" s="3"/>
      <c r="KCP125" s="3"/>
      <c r="KCQ125" s="3"/>
      <c r="KCR125" s="3"/>
      <c r="KCS125" s="3"/>
      <c r="KCT125" s="3"/>
      <c r="KCU125" s="3"/>
      <c r="KCV125" s="3"/>
      <c r="KCW125" s="3"/>
      <c r="KCX125" s="3"/>
      <c r="KCY125" s="3"/>
      <c r="KCZ125" s="3"/>
      <c r="KDA125" s="3"/>
      <c r="KDB125" s="3"/>
      <c r="KDC125" s="3"/>
      <c r="KDD125" s="3"/>
      <c r="KDE125" s="3"/>
      <c r="KDF125" s="3"/>
      <c r="KDG125" s="3"/>
      <c r="KDH125" s="3"/>
      <c r="KDI125" s="3"/>
      <c r="KDJ125" s="3"/>
      <c r="KDK125" s="3"/>
      <c r="KDL125" s="3"/>
      <c r="KDM125" s="3"/>
      <c r="KDN125" s="3"/>
      <c r="KDO125" s="3"/>
      <c r="KDP125" s="3"/>
      <c r="KDQ125" s="3"/>
      <c r="KDR125" s="3"/>
      <c r="KDS125" s="3"/>
      <c r="KDT125" s="3"/>
      <c r="KDU125" s="3"/>
      <c r="KDV125" s="3"/>
      <c r="KDW125" s="3"/>
      <c r="KDX125" s="3"/>
      <c r="KDY125" s="3"/>
      <c r="KDZ125" s="3"/>
      <c r="KEA125" s="3"/>
      <c r="KEB125" s="3"/>
      <c r="KEC125" s="3"/>
      <c r="KED125" s="3"/>
      <c r="KEE125" s="3"/>
      <c r="KEF125" s="3"/>
      <c r="KEG125" s="3"/>
      <c r="KEH125" s="3"/>
      <c r="KEI125" s="3"/>
      <c r="KEJ125" s="3"/>
      <c r="KEK125" s="3"/>
      <c r="KEL125" s="3"/>
      <c r="KEM125" s="3"/>
      <c r="KEN125" s="3"/>
      <c r="KEO125" s="3"/>
      <c r="KEP125" s="3"/>
      <c r="KEQ125" s="3"/>
      <c r="KER125" s="3"/>
      <c r="KES125" s="3"/>
      <c r="KET125" s="3"/>
      <c r="KEU125" s="3"/>
      <c r="KEV125" s="3"/>
      <c r="KEW125" s="3"/>
      <c r="KEX125" s="3"/>
      <c r="KEY125" s="3"/>
      <c r="KEZ125" s="3"/>
      <c r="KFA125" s="3"/>
      <c r="KFB125" s="3"/>
      <c r="KFC125" s="3"/>
      <c r="KFD125" s="3"/>
      <c r="KFE125" s="3"/>
      <c r="KFF125" s="3"/>
      <c r="KFG125" s="3"/>
      <c r="KFH125" s="3"/>
      <c r="KFI125" s="3"/>
      <c r="KFJ125" s="3"/>
      <c r="KFK125" s="3"/>
      <c r="KFL125" s="3"/>
      <c r="KFM125" s="3"/>
      <c r="KFN125" s="3"/>
      <c r="KFO125" s="3"/>
      <c r="KFP125" s="3"/>
      <c r="KFQ125" s="3"/>
      <c r="KFR125" s="3"/>
      <c r="KFS125" s="3"/>
      <c r="KFT125" s="3"/>
      <c r="KFU125" s="3"/>
      <c r="KFV125" s="3"/>
      <c r="KFW125" s="3"/>
      <c r="KFX125" s="3"/>
      <c r="KFY125" s="3"/>
      <c r="KFZ125" s="3"/>
      <c r="KGA125" s="3"/>
      <c r="KGB125" s="3"/>
      <c r="KGC125" s="3"/>
      <c r="KGD125" s="3"/>
      <c r="KGE125" s="3"/>
      <c r="KGF125" s="3"/>
      <c r="KGG125" s="3"/>
      <c r="KGH125" s="3"/>
      <c r="KGI125" s="3"/>
      <c r="KGJ125" s="3"/>
      <c r="KGK125" s="3"/>
      <c r="KGL125" s="3"/>
      <c r="KGM125" s="3"/>
      <c r="KGN125" s="3"/>
      <c r="KGO125" s="3"/>
      <c r="KGP125" s="3"/>
      <c r="KGQ125" s="3"/>
      <c r="KGR125" s="3"/>
      <c r="KGS125" s="3"/>
      <c r="KGT125" s="3"/>
      <c r="KGU125" s="3"/>
      <c r="KGV125" s="3"/>
      <c r="KGW125" s="3"/>
      <c r="KGX125" s="3"/>
      <c r="KGY125" s="3"/>
      <c r="KGZ125" s="3"/>
      <c r="KHA125" s="3"/>
      <c r="KHB125" s="3"/>
      <c r="KHC125" s="3"/>
      <c r="KHD125" s="3"/>
      <c r="KHE125" s="3"/>
      <c r="KHF125" s="3"/>
      <c r="KHG125" s="3"/>
      <c r="KHH125" s="3"/>
      <c r="KHI125" s="3"/>
      <c r="KHJ125" s="3"/>
      <c r="KHK125" s="3"/>
      <c r="KHL125" s="3"/>
      <c r="KHM125" s="3"/>
      <c r="KHN125" s="3"/>
      <c r="KHO125" s="3"/>
      <c r="KHP125" s="3"/>
      <c r="KHQ125" s="3"/>
      <c r="KHR125" s="3"/>
      <c r="KHS125" s="3"/>
      <c r="KHT125" s="3"/>
      <c r="KHU125" s="3"/>
      <c r="KHV125" s="3"/>
      <c r="KHW125" s="3"/>
      <c r="KHX125" s="3"/>
      <c r="KHY125" s="3"/>
      <c r="KHZ125" s="3"/>
      <c r="KIA125" s="3"/>
      <c r="KIB125" s="3"/>
      <c r="KIC125" s="3"/>
      <c r="KID125" s="3"/>
      <c r="KIE125" s="3"/>
      <c r="KIF125" s="3"/>
      <c r="KIG125" s="3"/>
      <c r="KIH125" s="3"/>
      <c r="KII125" s="3"/>
      <c r="KIJ125" s="3"/>
      <c r="KIK125" s="3"/>
      <c r="KIL125" s="3"/>
      <c r="KIM125" s="3"/>
      <c r="KIN125" s="3"/>
      <c r="KIO125" s="3"/>
      <c r="KIP125" s="3"/>
      <c r="KIQ125" s="3"/>
      <c r="KIR125" s="3"/>
      <c r="KIS125" s="3"/>
      <c r="KIT125" s="3"/>
      <c r="KIU125" s="3"/>
      <c r="KIV125" s="3"/>
      <c r="KIW125" s="3"/>
      <c r="KIX125" s="3"/>
      <c r="KIY125" s="3"/>
      <c r="KIZ125" s="3"/>
      <c r="KJA125" s="3"/>
      <c r="KJB125" s="3"/>
      <c r="KJC125" s="3"/>
      <c r="KJD125" s="3"/>
      <c r="KJE125" s="3"/>
      <c r="KJF125" s="3"/>
      <c r="KJG125" s="3"/>
      <c r="KJH125" s="3"/>
      <c r="KJI125" s="3"/>
      <c r="KJJ125" s="3"/>
      <c r="KJK125" s="3"/>
      <c r="KJL125" s="3"/>
      <c r="KJM125" s="3"/>
      <c r="KJN125" s="3"/>
      <c r="KJO125" s="3"/>
      <c r="KJP125" s="3"/>
      <c r="KJQ125" s="3"/>
      <c r="KJR125" s="3"/>
      <c r="KJS125" s="3"/>
      <c r="KJT125" s="3"/>
      <c r="KJU125" s="3"/>
      <c r="KJV125" s="3"/>
      <c r="KJW125" s="3"/>
      <c r="KJX125" s="3"/>
      <c r="KJY125" s="3"/>
      <c r="KJZ125" s="3"/>
      <c r="KKA125" s="3"/>
      <c r="KKB125" s="3"/>
      <c r="KKC125" s="3"/>
      <c r="KKD125" s="3"/>
      <c r="KKE125" s="3"/>
      <c r="KKF125" s="3"/>
      <c r="KKG125" s="3"/>
      <c r="KKH125" s="3"/>
      <c r="KKI125" s="3"/>
      <c r="KKJ125" s="3"/>
      <c r="KKK125" s="3"/>
      <c r="KKL125" s="3"/>
      <c r="KKM125" s="3"/>
      <c r="KKN125" s="3"/>
      <c r="KKO125" s="3"/>
      <c r="KKP125" s="3"/>
      <c r="KKQ125" s="3"/>
      <c r="KKR125" s="3"/>
      <c r="KKS125" s="3"/>
      <c r="KKT125" s="3"/>
      <c r="KKU125" s="3"/>
      <c r="KKV125" s="3"/>
      <c r="KKW125" s="3"/>
      <c r="KKX125" s="3"/>
      <c r="KKY125" s="3"/>
      <c r="KKZ125" s="3"/>
      <c r="KLA125" s="3"/>
      <c r="KLB125" s="3"/>
      <c r="KLC125" s="3"/>
      <c r="KLD125" s="3"/>
      <c r="KLE125" s="3"/>
      <c r="KLF125" s="3"/>
      <c r="KLG125" s="3"/>
      <c r="KLH125" s="3"/>
      <c r="KLI125" s="3"/>
      <c r="KLJ125" s="3"/>
      <c r="KLK125" s="3"/>
      <c r="KLL125" s="3"/>
      <c r="KLM125" s="3"/>
      <c r="KLN125" s="3"/>
      <c r="KLO125" s="3"/>
      <c r="KLP125" s="3"/>
      <c r="KLQ125" s="3"/>
      <c r="KLR125" s="3"/>
      <c r="KLS125" s="3"/>
      <c r="KLT125" s="3"/>
      <c r="KLU125" s="3"/>
      <c r="KLV125" s="3"/>
      <c r="KLW125" s="3"/>
      <c r="KLX125" s="3"/>
      <c r="KLY125" s="3"/>
      <c r="KLZ125" s="3"/>
      <c r="KMA125" s="3"/>
      <c r="KMB125" s="3"/>
      <c r="KMC125" s="3"/>
      <c r="KMD125" s="3"/>
      <c r="KME125" s="3"/>
      <c r="KMF125" s="3"/>
      <c r="KMG125" s="3"/>
      <c r="KMH125" s="3"/>
      <c r="KMI125" s="3"/>
      <c r="KMJ125" s="3"/>
      <c r="KMK125" s="3"/>
      <c r="KML125" s="3"/>
      <c r="KMM125" s="3"/>
      <c r="KMN125" s="3"/>
      <c r="KMO125" s="3"/>
      <c r="KMP125" s="3"/>
      <c r="KMQ125" s="3"/>
      <c r="KMR125" s="3"/>
      <c r="KMS125" s="3"/>
      <c r="KMT125" s="3"/>
      <c r="KMU125" s="3"/>
      <c r="KMV125" s="3"/>
      <c r="KMW125" s="3"/>
      <c r="KMX125" s="3"/>
      <c r="KMY125" s="3"/>
      <c r="KMZ125" s="3"/>
      <c r="KNA125" s="3"/>
      <c r="KNB125" s="3"/>
      <c r="KNC125" s="3"/>
      <c r="KND125" s="3"/>
      <c r="KNE125" s="3"/>
      <c r="KNF125" s="3"/>
      <c r="KNG125" s="3"/>
      <c r="KNH125" s="3"/>
      <c r="KNI125" s="3"/>
      <c r="KNJ125" s="3"/>
      <c r="KNK125" s="3"/>
      <c r="KNL125" s="3"/>
      <c r="KNM125" s="3"/>
      <c r="KNN125" s="3"/>
      <c r="KNO125" s="3"/>
      <c r="KNP125" s="3"/>
      <c r="KNQ125" s="3"/>
      <c r="KNR125" s="3"/>
      <c r="KNS125" s="3"/>
      <c r="KNT125" s="3"/>
      <c r="KNU125" s="3"/>
      <c r="KNV125" s="3"/>
      <c r="KNW125" s="3"/>
      <c r="KNX125" s="3"/>
      <c r="KNY125" s="3"/>
      <c r="KNZ125" s="3"/>
      <c r="KOA125" s="3"/>
      <c r="KOB125" s="3"/>
      <c r="KOC125" s="3"/>
      <c r="KOD125" s="3"/>
      <c r="KOE125" s="3"/>
      <c r="KOF125" s="3"/>
      <c r="KOG125" s="3"/>
      <c r="KOH125" s="3"/>
      <c r="KOI125" s="3"/>
      <c r="KOJ125" s="3"/>
      <c r="KOK125" s="3"/>
      <c r="KOL125" s="3"/>
      <c r="KOM125" s="3"/>
      <c r="KON125" s="3"/>
      <c r="KOO125" s="3"/>
      <c r="KOP125" s="3"/>
      <c r="KOQ125" s="3"/>
      <c r="KOR125" s="3"/>
      <c r="KOS125" s="3"/>
      <c r="KOT125" s="3"/>
      <c r="KOU125" s="3"/>
      <c r="KOV125" s="3"/>
      <c r="KOW125" s="3"/>
      <c r="KOX125" s="3"/>
      <c r="KOY125" s="3"/>
      <c r="KOZ125" s="3"/>
      <c r="KPA125" s="3"/>
      <c r="KPB125" s="3"/>
      <c r="KPC125" s="3"/>
      <c r="KPD125" s="3"/>
      <c r="KPE125" s="3"/>
      <c r="KPF125" s="3"/>
      <c r="KPG125" s="3"/>
      <c r="KPH125" s="3"/>
      <c r="KPI125" s="3"/>
      <c r="KPJ125" s="3"/>
      <c r="KPK125" s="3"/>
      <c r="KPL125" s="3"/>
      <c r="KPM125" s="3"/>
      <c r="KPN125" s="3"/>
      <c r="KPO125" s="3"/>
      <c r="KPP125" s="3"/>
      <c r="KPQ125" s="3"/>
      <c r="KPR125" s="3"/>
      <c r="KPS125" s="3"/>
      <c r="KPT125" s="3"/>
      <c r="KPU125" s="3"/>
      <c r="KPV125" s="3"/>
      <c r="KPW125" s="3"/>
      <c r="KPX125" s="3"/>
      <c r="KPY125" s="3"/>
      <c r="KPZ125" s="3"/>
      <c r="KQA125" s="3"/>
      <c r="KQB125" s="3"/>
      <c r="KQC125" s="3"/>
      <c r="KQD125" s="3"/>
      <c r="KQE125" s="3"/>
      <c r="KQF125" s="3"/>
      <c r="KQG125" s="3"/>
      <c r="KQH125" s="3"/>
      <c r="KQI125" s="3"/>
      <c r="KQJ125" s="3"/>
      <c r="KQK125" s="3"/>
      <c r="KQL125" s="3"/>
      <c r="KQM125" s="3"/>
      <c r="KQN125" s="3"/>
      <c r="KQO125" s="3"/>
      <c r="KQP125" s="3"/>
      <c r="KQQ125" s="3"/>
      <c r="KQR125" s="3"/>
      <c r="KQS125" s="3"/>
      <c r="KQT125" s="3"/>
      <c r="KQU125" s="3"/>
      <c r="KQV125" s="3"/>
      <c r="KQW125" s="3"/>
      <c r="KQX125" s="3"/>
      <c r="KQY125" s="3"/>
      <c r="KQZ125" s="3"/>
      <c r="KRA125" s="3"/>
      <c r="KRB125" s="3"/>
      <c r="KRC125" s="3"/>
      <c r="KRD125" s="3"/>
      <c r="KRE125" s="3"/>
      <c r="KRF125" s="3"/>
      <c r="KRG125" s="3"/>
      <c r="KRH125" s="3"/>
      <c r="KRI125" s="3"/>
      <c r="KRJ125" s="3"/>
      <c r="KRK125" s="3"/>
      <c r="KRL125" s="3"/>
      <c r="KRM125" s="3"/>
      <c r="KRN125" s="3"/>
      <c r="KRO125" s="3"/>
      <c r="KRP125" s="3"/>
      <c r="KRQ125" s="3"/>
      <c r="KRR125" s="3"/>
      <c r="KRS125" s="3"/>
      <c r="KRT125" s="3"/>
      <c r="KRU125" s="3"/>
      <c r="KRV125" s="3"/>
      <c r="KRW125" s="3"/>
      <c r="KRX125" s="3"/>
      <c r="KRY125" s="3"/>
      <c r="KRZ125" s="3"/>
      <c r="KSA125" s="3"/>
      <c r="KSB125" s="3"/>
      <c r="KSC125" s="3"/>
      <c r="KSD125" s="3"/>
      <c r="KSE125" s="3"/>
      <c r="KSF125" s="3"/>
      <c r="KSG125" s="3"/>
      <c r="KSH125" s="3"/>
      <c r="KSI125" s="3"/>
      <c r="KSJ125" s="3"/>
      <c r="KSK125" s="3"/>
      <c r="KSL125" s="3"/>
      <c r="KSM125" s="3"/>
      <c r="KSN125" s="3"/>
      <c r="KSO125" s="3"/>
      <c r="KSP125" s="3"/>
      <c r="KSQ125" s="3"/>
      <c r="KSR125" s="3"/>
      <c r="KSS125" s="3"/>
      <c r="KST125" s="3"/>
      <c r="KSU125" s="3"/>
      <c r="KSV125" s="3"/>
      <c r="KSW125" s="3"/>
      <c r="KSX125" s="3"/>
      <c r="KSY125" s="3"/>
      <c r="KSZ125" s="3"/>
      <c r="KTA125" s="3"/>
      <c r="KTB125" s="3"/>
      <c r="KTC125" s="3"/>
      <c r="KTD125" s="3"/>
      <c r="KTE125" s="3"/>
      <c r="KTF125" s="3"/>
      <c r="KTG125" s="3"/>
      <c r="KTH125" s="3"/>
      <c r="KTI125" s="3"/>
      <c r="KTJ125" s="3"/>
      <c r="KTK125" s="3"/>
      <c r="KTL125" s="3"/>
      <c r="KTM125" s="3"/>
      <c r="KTN125" s="3"/>
      <c r="KTO125" s="3"/>
      <c r="KTP125" s="3"/>
      <c r="KTQ125" s="3"/>
      <c r="KTR125" s="3"/>
      <c r="KTS125" s="3"/>
      <c r="KTT125" s="3"/>
      <c r="KTU125" s="3"/>
      <c r="KTV125" s="3"/>
      <c r="KTW125" s="3"/>
      <c r="KTX125" s="3"/>
      <c r="KTY125" s="3"/>
      <c r="KTZ125" s="3"/>
      <c r="KUA125" s="3"/>
      <c r="KUB125" s="3"/>
      <c r="KUC125" s="3"/>
      <c r="KUD125" s="3"/>
      <c r="KUE125" s="3"/>
      <c r="KUF125" s="3"/>
      <c r="KUG125" s="3"/>
      <c r="KUH125" s="3"/>
      <c r="KUI125" s="3"/>
      <c r="KUJ125" s="3"/>
      <c r="KUK125" s="3"/>
      <c r="KUL125" s="3"/>
      <c r="KUM125" s="3"/>
      <c r="KUN125" s="3"/>
      <c r="KUO125" s="3"/>
      <c r="KUP125" s="3"/>
      <c r="KUQ125" s="3"/>
      <c r="KUR125" s="3"/>
      <c r="KUS125" s="3"/>
      <c r="KUT125" s="3"/>
      <c r="KUU125" s="3"/>
      <c r="KUV125" s="3"/>
      <c r="KUW125" s="3"/>
      <c r="KUX125" s="3"/>
      <c r="KUY125" s="3"/>
      <c r="KUZ125" s="3"/>
      <c r="KVA125" s="3"/>
      <c r="KVB125" s="3"/>
      <c r="KVC125" s="3"/>
      <c r="KVD125" s="3"/>
      <c r="KVE125" s="3"/>
      <c r="KVF125" s="3"/>
      <c r="KVG125" s="3"/>
      <c r="KVH125" s="3"/>
      <c r="KVI125" s="3"/>
      <c r="KVJ125" s="3"/>
      <c r="KVK125" s="3"/>
      <c r="KVL125" s="3"/>
      <c r="KVM125" s="3"/>
      <c r="KVN125" s="3"/>
      <c r="KVO125" s="3"/>
      <c r="KVP125" s="3"/>
      <c r="KVQ125" s="3"/>
      <c r="KVR125" s="3"/>
      <c r="KVS125" s="3"/>
      <c r="KVT125" s="3"/>
      <c r="KVU125" s="3"/>
      <c r="KVV125" s="3"/>
      <c r="KVW125" s="3"/>
      <c r="KVX125" s="3"/>
      <c r="KVY125" s="3"/>
      <c r="KVZ125" s="3"/>
      <c r="KWA125" s="3"/>
      <c r="KWB125" s="3"/>
      <c r="KWC125" s="3"/>
      <c r="KWD125" s="3"/>
      <c r="KWE125" s="3"/>
      <c r="KWF125" s="3"/>
      <c r="KWG125" s="3"/>
      <c r="KWH125" s="3"/>
      <c r="KWI125" s="3"/>
      <c r="KWJ125" s="3"/>
      <c r="KWK125" s="3"/>
      <c r="KWL125" s="3"/>
      <c r="KWM125" s="3"/>
      <c r="KWN125" s="3"/>
      <c r="KWO125" s="3"/>
      <c r="KWP125" s="3"/>
      <c r="KWQ125" s="3"/>
      <c r="KWR125" s="3"/>
      <c r="KWS125" s="3"/>
      <c r="KWT125" s="3"/>
      <c r="KWU125" s="3"/>
      <c r="KWV125" s="3"/>
      <c r="KWW125" s="3"/>
      <c r="KWX125" s="3"/>
      <c r="KWY125" s="3"/>
      <c r="KWZ125" s="3"/>
      <c r="KXA125" s="3"/>
      <c r="KXB125" s="3"/>
      <c r="KXC125" s="3"/>
      <c r="KXD125" s="3"/>
      <c r="KXE125" s="3"/>
      <c r="KXF125" s="3"/>
      <c r="KXG125" s="3"/>
      <c r="KXH125" s="3"/>
      <c r="KXI125" s="3"/>
      <c r="KXJ125" s="3"/>
      <c r="KXK125" s="3"/>
      <c r="KXL125" s="3"/>
      <c r="KXM125" s="3"/>
      <c r="KXN125" s="3"/>
      <c r="KXO125" s="3"/>
      <c r="KXP125" s="3"/>
      <c r="KXQ125" s="3"/>
      <c r="KXR125" s="3"/>
      <c r="KXS125" s="3"/>
      <c r="KXT125" s="3"/>
      <c r="KXU125" s="3"/>
      <c r="KXV125" s="3"/>
      <c r="KXW125" s="3"/>
      <c r="KXX125" s="3"/>
      <c r="KXY125" s="3"/>
      <c r="KXZ125" s="3"/>
      <c r="KYA125" s="3"/>
      <c r="KYB125" s="3"/>
      <c r="KYC125" s="3"/>
      <c r="KYD125" s="3"/>
      <c r="KYE125" s="3"/>
      <c r="KYF125" s="3"/>
      <c r="KYG125" s="3"/>
      <c r="KYH125" s="3"/>
      <c r="KYI125" s="3"/>
      <c r="KYJ125" s="3"/>
      <c r="KYK125" s="3"/>
      <c r="KYL125" s="3"/>
      <c r="KYM125" s="3"/>
      <c r="KYN125" s="3"/>
      <c r="KYO125" s="3"/>
      <c r="KYP125" s="3"/>
      <c r="KYQ125" s="3"/>
      <c r="KYR125" s="3"/>
      <c r="KYS125" s="3"/>
      <c r="KYT125" s="3"/>
      <c r="KYU125" s="3"/>
      <c r="KYV125" s="3"/>
      <c r="KYW125" s="3"/>
      <c r="KYX125" s="3"/>
      <c r="KYY125" s="3"/>
      <c r="KYZ125" s="3"/>
      <c r="KZA125" s="3"/>
      <c r="KZB125" s="3"/>
      <c r="KZC125" s="3"/>
      <c r="KZD125" s="3"/>
      <c r="KZE125" s="3"/>
      <c r="KZF125" s="3"/>
      <c r="KZG125" s="3"/>
      <c r="KZH125" s="3"/>
      <c r="KZI125" s="3"/>
      <c r="KZJ125" s="3"/>
      <c r="KZK125" s="3"/>
      <c r="KZL125" s="3"/>
      <c r="KZM125" s="3"/>
      <c r="KZN125" s="3"/>
      <c r="KZO125" s="3"/>
      <c r="KZP125" s="3"/>
      <c r="KZQ125" s="3"/>
      <c r="KZR125" s="3"/>
      <c r="KZS125" s="3"/>
      <c r="KZT125" s="3"/>
      <c r="KZU125" s="3"/>
      <c r="KZV125" s="3"/>
      <c r="KZW125" s="3"/>
      <c r="KZX125" s="3"/>
      <c r="KZY125" s="3"/>
      <c r="KZZ125" s="3"/>
      <c r="LAA125" s="3"/>
      <c r="LAB125" s="3"/>
      <c r="LAC125" s="3"/>
      <c r="LAD125" s="3"/>
      <c r="LAE125" s="3"/>
      <c r="LAF125" s="3"/>
      <c r="LAG125" s="3"/>
      <c r="LAH125" s="3"/>
      <c r="LAI125" s="3"/>
      <c r="LAJ125" s="3"/>
      <c r="LAK125" s="3"/>
      <c r="LAL125" s="3"/>
      <c r="LAM125" s="3"/>
      <c r="LAN125" s="3"/>
      <c r="LAO125" s="3"/>
      <c r="LAP125" s="3"/>
      <c r="LAQ125" s="3"/>
      <c r="LAR125" s="3"/>
      <c r="LAS125" s="3"/>
      <c r="LAT125" s="3"/>
      <c r="LAU125" s="3"/>
      <c r="LAV125" s="3"/>
      <c r="LAW125" s="3"/>
      <c r="LAX125" s="3"/>
      <c r="LAY125" s="3"/>
      <c r="LAZ125" s="3"/>
      <c r="LBA125" s="3"/>
      <c r="LBB125" s="3"/>
      <c r="LBC125" s="3"/>
      <c r="LBD125" s="3"/>
      <c r="LBE125" s="3"/>
      <c r="LBF125" s="3"/>
      <c r="LBG125" s="3"/>
      <c r="LBH125" s="3"/>
      <c r="LBI125" s="3"/>
      <c r="LBJ125" s="3"/>
      <c r="LBK125" s="3"/>
      <c r="LBL125" s="3"/>
      <c r="LBM125" s="3"/>
      <c r="LBN125" s="3"/>
      <c r="LBO125" s="3"/>
      <c r="LBP125" s="3"/>
      <c r="LBQ125" s="3"/>
      <c r="LBR125" s="3"/>
      <c r="LBS125" s="3"/>
      <c r="LBT125" s="3"/>
      <c r="LBU125" s="3"/>
      <c r="LBV125" s="3"/>
      <c r="LBW125" s="3"/>
      <c r="LBX125" s="3"/>
      <c r="LBY125" s="3"/>
      <c r="LBZ125" s="3"/>
      <c r="LCA125" s="3"/>
      <c r="LCB125" s="3"/>
      <c r="LCC125" s="3"/>
      <c r="LCD125" s="3"/>
      <c r="LCE125" s="3"/>
      <c r="LCF125" s="3"/>
      <c r="LCG125" s="3"/>
      <c r="LCH125" s="3"/>
      <c r="LCI125" s="3"/>
      <c r="LCJ125" s="3"/>
      <c r="LCK125" s="3"/>
      <c r="LCL125" s="3"/>
      <c r="LCM125" s="3"/>
      <c r="LCN125" s="3"/>
      <c r="LCO125" s="3"/>
      <c r="LCP125" s="3"/>
      <c r="LCQ125" s="3"/>
      <c r="LCR125" s="3"/>
      <c r="LCS125" s="3"/>
      <c r="LCT125" s="3"/>
      <c r="LCU125" s="3"/>
      <c r="LCV125" s="3"/>
      <c r="LCW125" s="3"/>
      <c r="LCX125" s="3"/>
      <c r="LCY125" s="3"/>
      <c r="LCZ125" s="3"/>
      <c r="LDA125" s="3"/>
      <c r="LDB125" s="3"/>
      <c r="LDC125" s="3"/>
      <c r="LDD125" s="3"/>
      <c r="LDE125" s="3"/>
      <c r="LDF125" s="3"/>
      <c r="LDG125" s="3"/>
      <c r="LDH125" s="3"/>
      <c r="LDI125" s="3"/>
      <c r="LDJ125" s="3"/>
      <c r="LDK125" s="3"/>
      <c r="LDL125" s="3"/>
      <c r="LDM125" s="3"/>
      <c r="LDN125" s="3"/>
      <c r="LDO125" s="3"/>
      <c r="LDP125" s="3"/>
      <c r="LDQ125" s="3"/>
      <c r="LDR125" s="3"/>
      <c r="LDS125" s="3"/>
      <c r="LDT125" s="3"/>
      <c r="LDU125" s="3"/>
      <c r="LDV125" s="3"/>
      <c r="LDW125" s="3"/>
      <c r="LDX125" s="3"/>
      <c r="LDY125" s="3"/>
      <c r="LDZ125" s="3"/>
      <c r="LEA125" s="3"/>
      <c r="LEB125" s="3"/>
      <c r="LEC125" s="3"/>
      <c r="LED125" s="3"/>
      <c r="LEE125" s="3"/>
      <c r="LEF125" s="3"/>
      <c r="LEG125" s="3"/>
      <c r="LEH125" s="3"/>
      <c r="LEI125" s="3"/>
      <c r="LEJ125" s="3"/>
      <c r="LEK125" s="3"/>
      <c r="LEL125" s="3"/>
      <c r="LEM125" s="3"/>
      <c r="LEN125" s="3"/>
      <c r="LEO125" s="3"/>
      <c r="LEP125" s="3"/>
      <c r="LEQ125" s="3"/>
      <c r="LER125" s="3"/>
      <c r="LES125" s="3"/>
      <c r="LET125" s="3"/>
      <c r="LEU125" s="3"/>
      <c r="LEV125" s="3"/>
      <c r="LEW125" s="3"/>
      <c r="LEX125" s="3"/>
      <c r="LEY125" s="3"/>
      <c r="LEZ125" s="3"/>
      <c r="LFA125" s="3"/>
      <c r="LFB125" s="3"/>
      <c r="LFC125" s="3"/>
      <c r="LFD125" s="3"/>
      <c r="LFE125" s="3"/>
      <c r="LFF125" s="3"/>
      <c r="LFG125" s="3"/>
      <c r="LFH125" s="3"/>
      <c r="LFI125" s="3"/>
      <c r="LFJ125" s="3"/>
      <c r="LFK125" s="3"/>
      <c r="LFL125" s="3"/>
      <c r="LFM125" s="3"/>
      <c r="LFN125" s="3"/>
      <c r="LFO125" s="3"/>
      <c r="LFP125" s="3"/>
      <c r="LFQ125" s="3"/>
      <c r="LFR125" s="3"/>
      <c r="LFS125" s="3"/>
      <c r="LFT125" s="3"/>
      <c r="LFU125" s="3"/>
      <c r="LFV125" s="3"/>
      <c r="LFW125" s="3"/>
      <c r="LFX125" s="3"/>
      <c r="LFY125" s="3"/>
      <c r="LFZ125" s="3"/>
      <c r="LGA125" s="3"/>
      <c r="LGB125" s="3"/>
      <c r="LGC125" s="3"/>
      <c r="LGD125" s="3"/>
      <c r="LGE125" s="3"/>
      <c r="LGF125" s="3"/>
      <c r="LGG125" s="3"/>
      <c r="LGH125" s="3"/>
      <c r="LGI125" s="3"/>
      <c r="LGJ125" s="3"/>
      <c r="LGK125" s="3"/>
      <c r="LGL125" s="3"/>
      <c r="LGM125" s="3"/>
      <c r="LGN125" s="3"/>
      <c r="LGO125" s="3"/>
      <c r="LGP125" s="3"/>
      <c r="LGQ125" s="3"/>
      <c r="LGR125" s="3"/>
      <c r="LGS125" s="3"/>
      <c r="LGT125" s="3"/>
      <c r="LGU125" s="3"/>
      <c r="LGV125" s="3"/>
      <c r="LGW125" s="3"/>
      <c r="LGX125" s="3"/>
      <c r="LGY125" s="3"/>
      <c r="LGZ125" s="3"/>
      <c r="LHA125" s="3"/>
      <c r="LHB125" s="3"/>
      <c r="LHC125" s="3"/>
      <c r="LHD125" s="3"/>
      <c r="LHE125" s="3"/>
      <c r="LHF125" s="3"/>
      <c r="LHG125" s="3"/>
      <c r="LHH125" s="3"/>
      <c r="LHI125" s="3"/>
      <c r="LHJ125" s="3"/>
      <c r="LHK125" s="3"/>
      <c r="LHL125" s="3"/>
      <c r="LHM125" s="3"/>
      <c r="LHN125" s="3"/>
      <c r="LHO125" s="3"/>
      <c r="LHP125" s="3"/>
      <c r="LHQ125" s="3"/>
      <c r="LHR125" s="3"/>
      <c r="LHS125" s="3"/>
      <c r="LHT125" s="3"/>
      <c r="LHU125" s="3"/>
      <c r="LHV125" s="3"/>
      <c r="LHW125" s="3"/>
      <c r="LHX125" s="3"/>
      <c r="LHY125" s="3"/>
      <c r="LHZ125" s="3"/>
      <c r="LIA125" s="3"/>
      <c r="LIB125" s="3"/>
      <c r="LIC125" s="3"/>
      <c r="LID125" s="3"/>
      <c r="LIE125" s="3"/>
      <c r="LIF125" s="3"/>
      <c r="LIG125" s="3"/>
      <c r="LIH125" s="3"/>
      <c r="LII125" s="3"/>
      <c r="LIJ125" s="3"/>
      <c r="LIK125" s="3"/>
      <c r="LIL125" s="3"/>
      <c r="LIM125" s="3"/>
      <c r="LIN125" s="3"/>
      <c r="LIO125" s="3"/>
      <c r="LIP125" s="3"/>
      <c r="LIQ125" s="3"/>
      <c r="LIR125" s="3"/>
      <c r="LIS125" s="3"/>
      <c r="LIT125" s="3"/>
      <c r="LIU125" s="3"/>
      <c r="LIV125" s="3"/>
      <c r="LIW125" s="3"/>
      <c r="LIX125" s="3"/>
      <c r="LIY125" s="3"/>
      <c r="LIZ125" s="3"/>
      <c r="LJA125" s="3"/>
      <c r="LJB125" s="3"/>
      <c r="LJC125" s="3"/>
      <c r="LJD125" s="3"/>
      <c r="LJE125" s="3"/>
      <c r="LJF125" s="3"/>
      <c r="LJG125" s="3"/>
      <c r="LJH125" s="3"/>
      <c r="LJI125" s="3"/>
      <c r="LJJ125" s="3"/>
      <c r="LJK125" s="3"/>
      <c r="LJL125" s="3"/>
      <c r="LJM125" s="3"/>
      <c r="LJN125" s="3"/>
      <c r="LJO125" s="3"/>
      <c r="LJP125" s="3"/>
      <c r="LJQ125" s="3"/>
      <c r="LJR125" s="3"/>
      <c r="LJS125" s="3"/>
      <c r="LJT125" s="3"/>
      <c r="LJU125" s="3"/>
      <c r="LJV125" s="3"/>
      <c r="LJW125" s="3"/>
      <c r="LJX125" s="3"/>
      <c r="LJY125" s="3"/>
      <c r="LJZ125" s="3"/>
      <c r="LKA125" s="3"/>
      <c r="LKB125" s="3"/>
      <c r="LKC125" s="3"/>
      <c r="LKD125" s="3"/>
      <c r="LKE125" s="3"/>
      <c r="LKF125" s="3"/>
      <c r="LKG125" s="3"/>
      <c r="LKH125" s="3"/>
      <c r="LKI125" s="3"/>
      <c r="LKJ125" s="3"/>
      <c r="LKK125" s="3"/>
      <c r="LKL125" s="3"/>
      <c r="LKM125" s="3"/>
      <c r="LKN125" s="3"/>
      <c r="LKO125" s="3"/>
      <c r="LKP125" s="3"/>
      <c r="LKQ125" s="3"/>
      <c r="LKR125" s="3"/>
      <c r="LKS125" s="3"/>
      <c r="LKT125" s="3"/>
      <c r="LKU125" s="3"/>
      <c r="LKV125" s="3"/>
      <c r="LKW125" s="3"/>
      <c r="LKX125" s="3"/>
      <c r="LKY125" s="3"/>
      <c r="LKZ125" s="3"/>
      <c r="LLA125" s="3"/>
      <c r="LLB125" s="3"/>
      <c r="LLC125" s="3"/>
      <c r="LLD125" s="3"/>
      <c r="LLE125" s="3"/>
      <c r="LLF125" s="3"/>
      <c r="LLG125" s="3"/>
      <c r="LLH125" s="3"/>
      <c r="LLI125" s="3"/>
      <c r="LLJ125" s="3"/>
      <c r="LLK125" s="3"/>
      <c r="LLL125" s="3"/>
      <c r="LLM125" s="3"/>
      <c r="LLN125" s="3"/>
      <c r="LLO125" s="3"/>
      <c r="LLP125" s="3"/>
      <c r="LLQ125" s="3"/>
      <c r="LLR125" s="3"/>
      <c r="LLS125" s="3"/>
      <c r="LLT125" s="3"/>
      <c r="LLU125" s="3"/>
      <c r="LLV125" s="3"/>
      <c r="LLW125" s="3"/>
      <c r="LLX125" s="3"/>
      <c r="LLY125" s="3"/>
      <c r="LLZ125" s="3"/>
      <c r="LMA125" s="3"/>
      <c r="LMB125" s="3"/>
      <c r="LMC125" s="3"/>
      <c r="LMD125" s="3"/>
      <c r="LME125" s="3"/>
      <c r="LMF125" s="3"/>
      <c r="LMG125" s="3"/>
      <c r="LMH125" s="3"/>
      <c r="LMI125" s="3"/>
      <c r="LMJ125" s="3"/>
      <c r="LMK125" s="3"/>
      <c r="LML125" s="3"/>
      <c r="LMM125" s="3"/>
      <c r="LMN125" s="3"/>
      <c r="LMO125" s="3"/>
      <c r="LMP125" s="3"/>
      <c r="LMQ125" s="3"/>
      <c r="LMR125" s="3"/>
      <c r="LMS125" s="3"/>
      <c r="LMT125" s="3"/>
      <c r="LMU125" s="3"/>
      <c r="LMV125" s="3"/>
      <c r="LMW125" s="3"/>
      <c r="LMX125" s="3"/>
      <c r="LMY125" s="3"/>
      <c r="LMZ125" s="3"/>
      <c r="LNA125" s="3"/>
      <c r="LNB125" s="3"/>
      <c r="LNC125" s="3"/>
      <c r="LND125" s="3"/>
      <c r="LNE125" s="3"/>
      <c r="LNF125" s="3"/>
      <c r="LNG125" s="3"/>
      <c r="LNH125" s="3"/>
      <c r="LNI125" s="3"/>
      <c r="LNJ125" s="3"/>
      <c r="LNK125" s="3"/>
      <c r="LNL125" s="3"/>
      <c r="LNM125" s="3"/>
      <c r="LNN125" s="3"/>
      <c r="LNO125" s="3"/>
      <c r="LNP125" s="3"/>
      <c r="LNQ125" s="3"/>
      <c r="LNR125" s="3"/>
      <c r="LNS125" s="3"/>
      <c r="LNT125" s="3"/>
      <c r="LNU125" s="3"/>
      <c r="LNV125" s="3"/>
      <c r="LNW125" s="3"/>
      <c r="LNX125" s="3"/>
      <c r="LNY125" s="3"/>
      <c r="LNZ125" s="3"/>
      <c r="LOA125" s="3"/>
      <c r="LOB125" s="3"/>
      <c r="LOC125" s="3"/>
      <c r="LOD125" s="3"/>
      <c r="LOE125" s="3"/>
      <c r="LOF125" s="3"/>
      <c r="LOG125" s="3"/>
      <c r="LOH125" s="3"/>
      <c r="LOI125" s="3"/>
      <c r="LOJ125" s="3"/>
      <c r="LOK125" s="3"/>
      <c r="LOL125" s="3"/>
      <c r="LOM125" s="3"/>
      <c r="LON125" s="3"/>
      <c r="LOO125" s="3"/>
      <c r="LOP125" s="3"/>
      <c r="LOQ125" s="3"/>
      <c r="LOR125" s="3"/>
      <c r="LOS125" s="3"/>
      <c r="LOT125" s="3"/>
      <c r="LOU125" s="3"/>
      <c r="LOV125" s="3"/>
      <c r="LOW125" s="3"/>
      <c r="LOX125" s="3"/>
      <c r="LOY125" s="3"/>
      <c r="LOZ125" s="3"/>
      <c r="LPA125" s="3"/>
      <c r="LPB125" s="3"/>
      <c r="LPC125" s="3"/>
      <c r="LPD125" s="3"/>
      <c r="LPE125" s="3"/>
      <c r="LPF125" s="3"/>
      <c r="LPG125" s="3"/>
      <c r="LPH125" s="3"/>
      <c r="LPI125" s="3"/>
      <c r="LPJ125" s="3"/>
      <c r="LPK125" s="3"/>
      <c r="LPL125" s="3"/>
      <c r="LPM125" s="3"/>
      <c r="LPN125" s="3"/>
      <c r="LPO125" s="3"/>
      <c r="LPP125" s="3"/>
      <c r="LPQ125" s="3"/>
      <c r="LPR125" s="3"/>
      <c r="LPS125" s="3"/>
      <c r="LPT125" s="3"/>
      <c r="LPU125" s="3"/>
      <c r="LPV125" s="3"/>
      <c r="LPW125" s="3"/>
      <c r="LPX125" s="3"/>
      <c r="LPY125" s="3"/>
      <c r="LPZ125" s="3"/>
      <c r="LQA125" s="3"/>
      <c r="LQB125" s="3"/>
      <c r="LQC125" s="3"/>
      <c r="LQD125" s="3"/>
      <c r="LQE125" s="3"/>
      <c r="LQF125" s="3"/>
      <c r="LQG125" s="3"/>
      <c r="LQH125" s="3"/>
      <c r="LQI125" s="3"/>
      <c r="LQJ125" s="3"/>
      <c r="LQK125" s="3"/>
      <c r="LQL125" s="3"/>
      <c r="LQM125" s="3"/>
      <c r="LQN125" s="3"/>
      <c r="LQO125" s="3"/>
      <c r="LQP125" s="3"/>
      <c r="LQQ125" s="3"/>
      <c r="LQR125" s="3"/>
      <c r="LQS125" s="3"/>
      <c r="LQT125" s="3"/>
      <c r="LQU125" s="3"/>
      <c r="LQV125" s="3"/>
      <c r="LQW125" s="3"/>
      <c r="LQX125" s="3"/>
      <c r="LQY125" s="3"/>
      <c r="LQZ125" s="3"/>
      <c r="LRA125" s="3"/>
      <c r="LRB125" s="3"/>
      <c r="LRC125" s="3"/>
      <c r="LRD125" s="3"/>
      <c r="LRE125" s="3"/>
      <c r="LRF125" s="3"/>
      <c r="LRG125" s="3"/>
      <c r="LRH125" s="3"/>
      <c r="LRI125" s="3"/>
      <c r="LRJ125" s="3"/>
      <c r="LRK125" s="3"/>
      <c r="LRL125" s="3"/>
      <c r="LRM125" s="3"/>
      <c r="LRN125" s="3"/>
      <c r="LRO125" s="3"/>
      <c r="LRP125" s="3"/>
      <c r="LRQ125" s="3"/>
      <c r="LRR125" s="3"/>
      <c r="LRS125" s="3"/>
      <c r="LRT125" s="3"/>
      <c r="LRU125" s="3"/>
      <c r="LRV125" s="3"/>
      <c r="LRW125" s="3"/>
      <c r="LRX125" s="3"/>
      <c r="LRY125" s="3"/>
      <c r="LRZ125" s="3"/>
      <c r="LSA125" s="3"/>
      <c r="LSB125" s="3"/>
      <c r="LSC125" s="3"/>
      <c r="LSD125" s="3"/>
      <c r="LSE125" s="3"/>
      <c r="LSF125" s="3"/>
      <c r="LSG125" s="3"/>
      <c r="LSH125" s="3"/>
      <c r="LSI125" s="3"/>
      <c r="LSJ125" s="3"/>
      <c r="LSK125" s="3"/>
      <c r="LSL125" s="3"/>
      <c r="LSM125" s="3"/>
      <c r="LSN125" s="3"/>
      <c r="LSO125" s="3"/>
      <c r="LSP125" s="3"/>
      <c r="LSQ125" s="3"/>
      <c r="LSR125" s="3"/>
      <c r="LSS125" s="3"/>
      <c r="LST125" s="3"/>
      <c r="LSU125" s="3"/>
      <c r="LSV125" s="3"/>
      <c r="LSW125" s="3"/>
      <c r="LSX125" s="3"/>
      <c r="LSY125" s="3"/>
      <c r="LSZ125" s="3"/>
      <c r="LTA125" s="3"/>
      <c r="LTB125" s="3"/>
      <c r="LTC125" s="3"/>
      <c r="LTD125" s="3"/>
      <c r="LTE125" s="3"/>
      <c r="LTF125" s="3"/>
      <c r="LTG125" s="3"/>
      <c r="LTH125" s="3"/>
      <c r="LTI125" s="3"/>
      <c r="LTJ125" s="3"/>
      <c r="LTK125" s="3"/>
      <c r="LTL125" s="3"/>
      <c r="LTM125" s="3"/>
      <c r="LTN125" s="3"/>
      <c r="LTO125" s="3"/>
      <c r="LTP125" s="3"/>
      <c r="LTQ125" s="3"/>
      <c r="LTR125" s="3"/>
      <c r="LTS125" s="3"/>
      <c r="LTT125" s="3"/>
      <c r="LTU125" s="3"/>
      <c r="LTV125" s="3"/>
      <c r="LTW125" s="3"/>
      <c r="LTX125" s="3"/>
      <c r="LTY125" s="3"/>
      <c r="LTZ125" s="3"/>
      <c r="LUA125" s="3"/>
      <c r="LUB125" s="3"/>
      <c r="LUC125" s="3"/>
      <c r="LUD125" s="3"/>
      <c r="LUE125" s="3"/>
      <c r="LUF125" s="3"/>
      <c r="LUG125" s="3"/>
      <c r="LUH125" s="3"/>
      <c r="LUI125" s="3"/>
      <c r="LUJ125" s="3"/>
      <c r="LUK125" s="3"/>
      <c r="LUL125" s="3"/>
      <c r="LUM125" s="3"/>
      <c r="LUN125" s="3"/>
      <c r="LUO125" s="3"/>
      <c r="LUP125" s="3"/>
      <c r="LUQ125" s="3"/>
      <c r="LUR125" s="3"/>
      <c r="LUS125" s="3"/>
      <c r="LUT125" s="3"/>
      <c r="LUU125" s="3"/>
      <c r="LUV125" s="3"/>
      <c r="LUW125" s="3"/>
      <c r="LUX125" s="3"/>
      <c r="LUY125" s="3"/>
      <c r="LUZ125" s="3"/>
      <c r="LVA125" s="3"/>
      <c r="LVB125" s="3"/>
      <c r="LVC125" s="3"/>
      <c r="LVD125" s="3"/>
      <c r="LVE125" s="3"/>
      <c r="LVF125" s="3"/>
      <c r="LVG125" s="3"/>
      <c r="LVH125" s="3"/>
      <c r="LVI125" s="3"/>
      <c r="LVJ125" s="3"/>
      <c r="LVK125" s="3"/>
      <c r="LVL125" s="3"/>
      <c r="LVM125" s="3"/>
      <c r="LVN125" s="3"/>
      <c r="LVO125" s="3"/>
      <c r="LVP125" s="3"/>
      <c r="LVQ125" s="3"/>
      <c r="LVR125" s="3"/>
      <c r="LVS125" s="3"/>
      <c r="LVT125" s="3"/>
      <c r="LVU125" s="3"/>
      <c r="LVV125" s="3"/>
      <c r="LVW125" s="3"/>
      <c r="LVX125" s="3"/>
      <c r="LVY125" s="3"/>
      <c r="LVZ125" s="3"/>
      <c r="LWA125" s="3"/>
      <c r="LWB125" s="3"/>
      <c r="LWC125" s="3"/>
      <c r="LWD125" s="3"/>
      <c r="LWE125" s="3"/>
      <c r="LWF125" s="3"/>
      <c r="LWG125" s="3"/>
      <c r="LWH125" s="3"/>
      <c r="LWI125" s="3"/>
      <c r="LWJ125" s="3"/>
      <c r="LWK125" s="3"/>
      <c r="LWL125" s="3"/>
      <c r="LWM125" s="3"/>
      <c r="LWN125" s="3"/>
      <c r="LWO125" s="3"/>
      <c r="LWP125" s="3"/>
      <c r="LWQ125" s="3"/>
      <c r="LWR125" s="3"/>
      <c r="LWS125" s="3"/>
      <c r="LWT125" s="3"/>
      <c r="LWU125" s="3"/>
      <c r="LWV125" s="3"/>
      <c r="LWW125" s="3"/>
      <c r="LWX125" s="3"/>
      <c r="LWY125" s="3"/>
      <c r="LWZ125" s="3"/>
      <c r="LXA125" s="3"/>
      <c r="LXB125" s="3"/>
      <c r="LXC125" s="3"/>
      <c r="LXD125" s="3"/>
      <c r="LXE125" s="3"/>
      <c r="LXF125" s="3"/>
      <c r="LXG125" s="3"/>
      <c r="LXH125" s="3"/>
      <c r="LXI125" s="3"/>
      <c r="LXJ125" s="3"/>
      <c r="LXK125" s="3"/>
      <c r="LXL125" s="3"/>
      <c r="LXM125" s="3"/>
      <c r="LXN125" s="3"/>
      <c r="LXO125" s="3"/>
      <c r="LXP125" s="3"/>
      <c r="LXQ125" s="3"/>
      <c r="LXR125" s="3"/>
      <c r="LXS125" s="3"/>
      <c r="LXT125" s="3"/>
      <c r="LXU125" s="3"/>
      <c r="LXV125" s="3"/>
      <c r="LXW125" s="3"/>
      <c r="LXX125" s="3"/>
      <c r="LXY125" s="3"/>
      <c r="LXZ125" s="3"/>
      <c r="LYA125" s="3"/>
      <c r="LYB125" s="3"/>
      <c r="LYC125" s="3"/>
      <c r="LYD125" s="3"/>
      <c r="LYE125" s="3"/>
      <c r="LYF125" s="3"/>
      <c r="LYG125" s="3"/>
      <c r="LYH125" s="3"/>
      <c r="LYI125" s="3"/>
      <c r="LYJ125" s="3"/>
      <c r="LYK125" s="3"/>
      <c r="LYL125" s="3"/>
      <c r="LYM125" s="3"/>
      <c r="LYN125" s="3"/>
      <c r="LYO125" s="3"/>
      <c r="LYP125" s="3"/>
      <c r="LYQ125" s="3"/>
      <c r="LYR125" s="3"/>
      <c r="LYS125" s="3"/>
      <c r="LYT125" s="3"/>
      <c r="LYU125" s="3"/>
      <c r="LYV125" s="3"/>
      <c r="LYW125" s="3"/>
      <c r="LYX125" s="3"/>
      <c r="LYY125" s="3"/>
      <c r="LYZ125" s="3"/>
      <c r="LZA125" s="3"/>
      <c r="LZB125" s="3"/>
      <c r="LZC125" s="3"/>
      <c r="LZD125" s="3"/>
      <c r="LZE125" s="3"/>
      <c r="LZF125" s="3"/>
      <c r="LZG125" s="3"/>
      <c r="LZH125" s="3"/>
      <c r="LZI125" s="3"/>
      <c r="LZJ125" s="3"/>
      <c r="LZK125" s="3"/>
      <c r="LZL125" s="3"/>
      <c r="LZM125" s="3"/>
      <c r="LZN125" s="3"/>
      <c r="LZO125" s="3"/>
      <c r="LZP125" s="3"/>
      <c r="LZQ125" s="3"/>
      <c r="LZR125" s="3"/>
      <c r="LZS125" s="3"/>
      <c r="LZT125" s="3"/>
      <c r="LZU125" s="3"/>
      <c r="LZV125" s="3"/>
      <c r="LZW125" s="3"/>
      <c r="LZX125" s="3"/>
      <c r="LZY125" s="3"/>
      <c r="LZZ125" s="3"/>
      <c r="MAA125" s="3"/>
      <c r="MAB125" s="3"/>
      <c r="MAC125" s="3"/>
      <c r="MAD125" s="3"/>
      <c r="MAE125" s="3"/>
      <c r="MAF125" s="3"/>
      <c r="MAG125" s="3"/>
      <c r="MAH125" s="3"/>
      <c r="MAI125" s="3"/>
      <c r="MAJ125" s="3"/>
      <c r="MAK125" s="3"/>
      <c r="MAL125" s="3"/>
      <c r="MAM125" s="3"/>
      <c r="MAN125" s="3"/>
      <c r="MAO125" s="3"/>
      <c r="MAP125" s="3"/>
      <c r="MAQ125" s="3"/>
      <c r="MAR125" s="3"/>
      <c r="MAS125" s="3"/>
      <c r="MAT125" s="3"/>
      <c r="MAU125" s="3"/>
      <c r="MAV125" s="3"/>
      <c r="MAW125" s="3"/>
      <c r="MAX125" s="3"/>
      <c r="MAY125" s="3"/>
      <c r="MAZ125" s="3"/>
      <c r="MBA125" s="3"/>
      <c r="MBB125" s="3"/>
      <c r="MBC125" s="3"/>
      <c r="MBD125" s="3"/>
      <c r="MBE125" s="3"/>
      <c r="MBF125" s="3"/>
      <c r="MBG125" s="3"/>
      <c r="MBH125" s="3"/>
      <c r="MBI125" s="3"/>
      <c r="MBJ125" s="3"/>
      <c r="MBK125" s="3"/>
      <c r="MBL125" s="3"/>
      <c r="MBM125" s="3"/>
      <c r="MBN125" s="3"/>
      <c r="MBO125" s="3"/>
      <c r="MBP125" s="3"/>
      <c r="MBQ125" s="3"/>
      <c r="MBR125" s="3"/>
      <c r="MBS125" s="3"/>
      <c r="MBT125" s="3"/>
      <c r="MBU125" s="3"/>
      <c r="MBV125" s="3"/>
      <c r="MBW125" s="3"/>
      <c r="MBX125" s="3"/>
      <c r="MBY125" s="3"/>
      <c r="MBZ125" s="3"/>
      <c r="MCA125" s="3"/>
      <c r="MCB125" s="3"/>
      <c r="MCC125" s="3"/>
      <c r="MCD125" s="3"/>
      <c r="MCE125" s="3"/>
      <c r="MCF125" s="3"/>
      <c r="MCG125" s="3"/>
      <c r="MCH125" s="3"/>
      <c r="MCI125" s="3"/>
      <c r="MCJ125" s="3"/>
      <c r="MCK125" s="3"/>
      <c r="MCL125" s="3"/>
      <c r="MCM125" s="3"/>
      <c r="MCN125" s="3"/>
      <c r="MCO125" s="3"/>
      <c r="MCP125" s="3"/>
      <c r="MCQ125" s="3"/>
      <c r="MCR125" s="3"/>
      <c r="MCS125" s="3"/>
      <c r="MCT125" s="3"/>
      <c r="MCU125" s="3"/>
      <c r="MCV125" s="3"/>
      <c r="MCW125" s="3"/>
      <c r="MCX125" s="3"/>
      <c r="MCY125" s="3"/>
      <c r="MCZ125" s="3"/>
      <c r="MDA125" s="3"/>
      <c r="MDB125" s="3"/>
      <c r="MDC125" s="3"/>
      <c r="MDD125" s="3"/>
      <c r="MDE125" s="3"/>
      <c r="MDF125" s="3"/>
      <c r="MDG125" s="3"/>
      <c r="MDH125" s="3"/>
      <c r="MDI125" s="3"/>
      <c r="MDJ125" s="3"/>
      <c r="MDK125" s="3"/>
      <c r="MDL125" s="3"/>
      <c r="MDM125" s="3"/>
      <c r="MDN125" s="3"/>
      <c r="MDO125" s="3"/>
      <c r="MDP125" s="3"/>
      <c r="MDQ125" s="3"/>
      <c r="MDR125" s="3"/>
      <c r="MDS125" s="3"/>
      <c r="MDT125" s="3"/>
      <c r="MDU125" s="3"/>
      <c r="MDV125" s="3"/>
      <c r="MDW125" s="3"/>
      <c r="MDX125" s="3"/>
      <c r="MDY125" s="3"/>
      <c r="MDZ125" s="3"/>
      <c r="MEA125" s="3"/>
      <c r="MEB125" s="3"/>
      <c r="MEC125" s="3"/>
      <c r="MED125" s="3"/>
      <c r="MEE125" s="3"/>
      <c r="MEF125" s="3"/>
      <c r="MEG125" s="3"/>
      <c r="MEH125" s="3"/>
      <c r="MEI125" s="3"/>
      <c r="MEJ125" s="3"/>
      <c r="MEK125" s="3"/>
      <c r="MEL125" s="3"/>
      <c r="MEM125" s="3"/>
      <c r="MEN125" s="3"/>
      <c r="MEO125" s="3"/>
      <c r="MEP125" s="3"/>
      <c r="MEQ125" s="3"/>
      <c r="MER125" s="3"/>
      <c r="MES125" s="3"/>
      <c r="MET125" s="3"/>
      <c r="MEU125" s="3"/>
      <c r="MEV125" s="3"/>
      <c r="MEW125" s="3"/>
      <c r="MEX125" s="3"/>
      <c r="MEY125" s="3"/>
      <c r="MEZ125" s="3"/>
      <c r="MFA125" s="3"/>
      <c r="MFB125" s="3"/>
      <c r="MFC125" s="3"/>
      <c r="MFD125" s="3"/>
      <c r="MFE125" s="3"/>
      <c r="MFF125" s="3"/>
      <c r="MFG125" s="3"/>
      <c r="MFH125" s="3"/>
      <c r="MFI125" s="3"/>
      <c r="MFJ125" s="3"/>
      <c r="MFK125" s="3"/>
      <c r="MFL125" s="3"/>
      <c r="MFM125" s="3"/>
      <c r="MFN125" s="3"/>
      <c r="MFO125" s="3"/>
      <c r="MFP125" s="3"/>
      <c r="MFQ125" s="3"/>
      <c r="MFR125" s="3"/>
      <c r="MFS125" s="3"/>
      <c r="MFT125" s="3"/>
      <c r="MFU125" s="3"/>
      <c r="MFV125" s="3"/>
      <c r="MFW125" s="3"/>
      <c r="MFX125" s="3"/>
      <c r="MFY125" s="3"/>
      <c r="MFZ125" s="3"/>
      <c r="MGA125" s="3"/>
      <c r="MGB125" s="3"/>
      <c r="MGC125" s="3"/>
      <c r="MGD125" s="3"/>
      <c r="MGE125" s="3"/>
      <c r="MGF125" s="3"/>
      <c r="MGG125" s="3"/>
      <c r="MGH125" s="3"/>
      <c r="MGI125" s="3"/>
      <c r="MGJ125" s="3"/>
      <c r="MGK125" s="3"/>
      <c r="MGL125" s="3"/>
      <c r="MGM125" s="3"/>
      <c r="MGN125" s="3"/>
      <c r="MGO125" s="3"/>
      <c r="MGP125" s="3"/>
      <c r="MGQ125" s="3"/>
      <c r="MGR125" s="3"/>
      <c r="MGS125" s="3"/>
      <c r="MGT125" s="3"/>
      <c r="MGU125" s="3"/>
      <c r="MGV125" s="3"/>
      <c r="MGW125" s="3"/>
      <c r="MGX125" s="3"/>
      <c r="MGY125" s="3"/>
      <c r="MGZ125" s="3"/>
      <c r="MHA125" s="3"/>
      <c r="MHB125" s="3"/>
      <c r="MHC125" s="3"/>
      <c r="MHD125" s="3"/>
      <c r="MHE125" s="3"/>
      <c r="MHF125" s="3"/>
      <c r="MHG125" s="3"/>
      <c r="MHH125" s="3"/>
      <c r="MHI125" s="3"/>
      <c r="MHJ125" s="3"/>
      <c r="MHK125" s="3"/>
      <c r="MHL125" s="3"/>
      <c r="MHM125" s="3"/>
      <c r="MHN125" s="3"/>
      <c r="MHO125" s="3"/>
      <c r="MHP125" s="3"/>
      <c r="MHQ125" s="3"/>
      <c r="MHR125" s="3"/>
      <c r="MHS125" s="3"/>
      <c r="MHT125" s="3"/>
      <c r="MHU125" s="3"/>
      <c r="MHV125" s="3"/>
      <c r="MHW125" s="3"/>
      <c r="MHX125" s="3"/>
      <c r="MHY125" s="3"/>
      <c r="MHZ125" s="3"/>
      <c r="MIA125" s="3"/>
      <c r="MIB125" s="3"/>
      <c r="MIC125" s="3"/>
      <c r="MID125" s="3"/>
      <c r="MIE125" s="3"/>
      <c r="MIF125" s="3"/>
      <c r="MIG125" s="3"/>
      <c r="MIH125" s="3"/>
      <c r="MII125" s="3"/>
      <c r="MIJ125" s="3"/>
      <c r="MIK125" s="3"/>
      <c r="MIL125" s="3"/>
      <c r="MIM125" s="3"/>
      <c r="MIN125" s="3"/>
      <c r="MIO125" s="3"/>
      <c r="MIP125" s="3"/>
      <c r="MIQ125" s="3"/>
      <c r="MIR125" s="3"/>
      <c r="MIS125" s="3"/>
      <c r="MIT125" s="3"/>
      <c r="MIU125" s="3"/>
      <c r="MIV125" s="3"/>
      <c r="MIW125" s="3"/>
      <c r="MIX125" s="3"/>
      <c r="MIY125" s="3"/>
      <c r="MIZ125" s="3"/>
      <c r="MJA125" s="3"/>
      <c r="MJB125" s="3"/>
      <c r="MJC125" s="3"/>
      <c r="MJD125" s="3"/>
      <c r="MJE125" s="3"/>
      <c r="MJF125" s="3"/>
      <c r="MJG125" s="3"/>
      <c r="MJH125" s="3"/>
      <c r="MJI125" s="3"/>
      <c r="MJJ125" s="3"/>
      <c r="MJK125" s="3"/>
      <c r="MJL125" s="3"/>
      <c r="MJM125" s="3"/>
      <c r="MJN125" s="3"/>
      <c r="MJO125" s="3"/>
      <c r="MJP125" s="3"/>
      <c r="MJQ125" s="3"/>
      <c r="MJR125" s="3"/>
      <c r="MJS125" s="3"/>
      <c r="MJT125" s="3"/>
      <c r="MJU125" s="3"/>
      <c r="MJV125" s="3"/>
      <c r="MJW125" s="3"/>
      <c r="MJX125" s="3"/>
      <c r="MJY125" s="3"/>
      <c r="MJZ125" s="3"/>
      <c r="MKA125" s="3"/>
      <c r="MKB125" s="3"/>
      <c r="MKC125" s="3"/>
      <c r="MKD125" s="3"/>
      <c r="MKE125" s="3"/>
      <c r="MKF125" s="3"/>
      <c r="MKG125" s="3"/>
      <c r="MKH125" s="3"/>
      <c r="MKI125" s="3"/>
      <c r="MKJ125" s="3"/>
      <c r="MKK125" s="3"/>
      <c r="MKL125" s="3"/>
      <c r="MKM125" s="3"/>
      <c r="MKN125" s="3"/>
      <c r="MKO125" s="3"/>
      <c r="MKP125" s="3"/>
      <c r="MKQ125" s="3"/>
      <c r="MKR125" s="3"/>
      <c r="MKS125" s="3"/>
      <c r="MKT125" s="3"/>
      <c r="MKU125" s="3"/>
      <c r="MKV125" s="3"/>
      <c r="MKW125" s="3"/>
      <c r="MKX125" s="3"/>
      <c r="MKY125" s="3"/>
      <c r="MKZ125" s="3"/>
      <c r="MLA125" s="3"/>
      <c r="MLB125" s="3"/>
      <c r="MLC125" s="3"/>
      <c r="MLD125" s="3"/>
      <c r="MLE125" s="3"/>
      <c r="MLF125" s="3"/>
      <c r="MLG125" s="3"/>
      <c r="MLH125" s="3"/>
      <c r="MLI125" s="3"/>
      <c r="MLJ125" s="3"/>
      <c r="MLK125" s="3"/>
      <c r="MLL125" s="3"/>
      <c r="MLM125" s="3"/>
      <c r="MLN125" s="3"/>
      <c r="MLO125" s="3"/>
      <c r="MLP125" s="3"/>
      <c r="MLQ125" s="3"/>
      <c r="MLR125" s="3"/>
      <c r="MLS125" s="3"/>
      <c r="MLT125" s="3"/>
      <c r="MLU125" s="3"/>
      <c r="MLV125" s="3"/>
      <c r="MLW125" s="3"/>
      <c r="MLX125" s="3"/>
      <c r="MLY125" s="3"/>
      <c r="MLZ125" s="3"/>
      <c r="MMA125" s="3"/>
      <c r="MMB125" s="3"/>
      <c r="MMC125" s="3"/>
      <c r="MMD125" s="3"/>
      <c r="MME125" s="3"/>
      <c r="MMF125" s="3"/>
      <c r="MMG125" s="3"/>
      <c r="MMH125" s="3"/>
      <c r="MMI125" s="3"/>
      <c r="MMJ125" s="3"/>
      <c r="MMK125" s="3"/>
      <c r="MML125" s="3"/>
      <c r="MMM125" s="3"/>
      <c r="MMN125" s="3"/>
      <c r="MMO125" s="3"/>
      <c r="MMP125" s="3"/>
      <c r="MMQ125" s="3"/>
      <c r="MMR125" s="3"/>
      <c r="MMS125" s="3"/>
      <c r="MMT125" s="3"/>
      <c r="MMU125" s="3"/>
      <c r="MMV125" s="3"/>
      <c r="MMW125" s="3"/>
      <c r="MMX125" s="3"/>
      <c r="MMY125" s="3"/>
      <c r="MMZ125" s="3"/>
      <c r="MNA125" s="3"/>
      <c r="MNB125" s="3"/>
      <c r="MNC125" s="3"/>
      <c r="MND125" s="3"/>
      <c r="MNE125" s="3"/>
      <c r="MNF125" s="3"/>
      <c r="MNG125" s="3"/>
      <c r="MNH125" s="3"/>
      <c r="MNI125" s="3"/>
      <c r="MNJ125" s="3"/>
      <c r="MNK125" s="3"/>
      <c r="MNL125" s="3"/>
      <c r="MNM125" s="3"/>
      <c r="MNN125" s="3"/>
      <c r="MNO125" s="3"/>
      <c r="MNP125" s="3"/>
      <c r="MNQ125" s="3"/>
      <c r="MNR125" s="3"/>
      <c r="MNS125" s="3"/>
      <c r="MNT125" s="3"/>
      <c r="MNU125" s="3"/>
      <c r="MNV125" s="3"/>
      <c r="MNW125" s="3"/>
      <c r="MNX125" s="3"/>
      <c r="MNY125" s="3"/>
      <c r="MNZ125" s="3"/>
      <c r="MOA125" s="3"/>
      <c r="MOB125" s="3"/>
      <c r="MOC125" s="3"/>
      <c r="MOD125" s="3"/>
      <c r="MOE125" s="3"/>
      <c r="MOF125" s="3"/>
      <c r="MOG125" s="3"/>
      <c r="MOH125" s="3"/>
      <c r="MOI125" s="3"/>
      <c r="MOJ125" s="3"/>
      <c r="MOK125" s="3"/>
      <c r="MOL125" s="3"/>
      <c r="MOM125" s="3"/>
      <c r="MON125" s="3"/>
      <c r="MOO125" s="3"/>
      <c r="MOP125" s="3"/>
      <c r="MOQ125" s="3"/>
      <c r="MOR125" s="3"/>
      <c r="MOS125" s="3"/>
      <c r="MOT125" s="3"/>
      <c r="MOU125" s="3"/>
      <c r="MOV125" s="3"/>
      <c r="MOW125" s="3"/>
      <c r="MOX125" s="3"/>
      <c r="MOY125" s="3"/>
      <c r="MOZ125" s="3"/>
      <c r="MPA125" s="3"/>
      <c r="MPB125" s="3"/>
      <c r="MPC125" s="3"/>
      <c r="MPD125" s="3"/>
      <c r="MPE125" s="3"/>
      <c r="MPF125" s="3"/>
      <c r="MPG125" s="3"/>
      <c r="MPH125" s="3"/>
      <c r="MPI125" s="3"/>
      <c r="MPJ125" s="3"/>
      <c r="MPK125" s="3"/>
      <c r="MPL125" s="3"/>
      <c r="MPM125" s="3"/>
      <c r="MPN125" s="3"/>
      <c r="MPO125" s="3"/>
      <c r="MPP125" s="3"/>
      <c r="MPQ125" s="3"/>
      <c r="MPR125" s="3"/>
      <c r="MPS125" s="3"/>
      <c r="MPT125" s="3"/>
      <c r="MPU125" s="3"/>
      <c r="MPV125" s="3"/>
      <c r="MPW125" s="3"/>
      <c r="MPX125" s="3"/>
      <c r="MPY125" s="3"/>
      <c r="MPZ125" s="3"/>
      <c r="MQA125" s="3"/>
      <c r="MQB125" s="3"/>
      <c r="MQC125" s="3"/>
      <c r="MQD125" s="3"/>
      <c r="MQE125" s="3"/>
      <c r="MQF125" s="3"/>
      <c r="MQG125" s="3"/>
      <c r="MQH125" s="3"/>
      <c r="MQI125" s="3"/>
      <c r="MQJ125" s="3"/>
      <c r="MQK125" s="3"/>
      <c r="MQL125" s="3"/>
      <c r="MQM125" s="3"/>
      <c r="MQN125" s="3"/>
      <c r="MQO125" s="3"/>
      <c r="MQP125" s="3"/>
      <c r="MQQ125" s="3"/>
      <c r="MQR125" s="3"/>
      <c r="MQS125" s="3"/>
      <c r="MQT125" s="3"/>
      <c r="MQU125" s="3"/>
      <c r="MQV125" s="3"/>
      <c r="MQW125" s="3"/>
      <c r="MQX125" s="3"/>
      <c r="MQY125" s="3"/>
      <c r="MQZ125" s="3"/>
      <c r="MRA125" s="3"/>
      <c r="MRB125" s="3"/>
      <c r="MRC125" s="3"/>
      <c r="MRD125" s="3"/>
      <c r="MRE125" s="3"/>
      <c r="MRF125" s="3"/>
      <c r="MRG125" s="3"/>
      <c r="MRH125" s="3"/>
      <c r="MRI125" s="3"/>
      <c r="MRJ125" s="3"/>
      <c r="MRK125" s="3"/>
      <c r="MRL125" s="3"/>
      <c r="MRM125" s="3"/>
      <c r="MRN125" s="3"/>
      <c r="MRO125" s="3"/>
      <c r="MRP125" s="3"/>
      <c r="MRQ125" s="3"/>
      <c r="MRR125" s="3"/>
      <c r="MRS125" s="3"/>
      <c r="MRT125" s="3"/>
      <c r="MRU125" s="3"/>
      <c r="MRV125" s="3"/>
      <c r="MRW125" s="3"/>
      <c r="MRX125" s="3"/>
      <c r="MRY125" s="3"/>
      <c r="MRZ125" s="3"/>
      <c r="MSA125" s="3"/>
      <c r="MSB125" s="3"/>
      <c r="MSC125" s="3"/>
      <c r="MSD125" s="3"/>
      <c r="MSE125" s="3"/>
      <c r="MSF125" s="3"/>
      <c r="MSG125" s="3"/>
      <c r="MSH125" s="3"/>
      <c r="MSI125" s="3"/>
      <c r="MSJ125" s="3"/>
      <c r="MSK125" s="3"/>
      <c r="MSL125" s="3"/>
      <c r="MSM125" s="3"/>
      <c r="MSN125" s="3"/>
      <c r="MSO125" s="3"/>
      <c r="MSP125" s="3"/>
      <c r="MSQ125" s="3"/>
      <c r="MSR125" s="3"/>
      <c r="MSS125" s="3"/>
      <c r="MST125" s="3"/>
      <c r="MSU125" s="3"/>
      <c r="MSV125" s="3"/>
      <c r="MSW125" s="3"/>
      <c r="MSX125" s="3"/>
      <c r="MSY125" s="3"/>
      <c r="MSZ125" s="3"/>
      <c r="MTA125" s="3"/>
      <c r="MTB125" s="3"/>
      <c r="MTC125" s="3"/>
      <c r="MTD125" s="3"/>
      <c r="MTE125" s="3"/>
      <c r="MTF125" s="3"/>
      <c r="MTG125" s="3"/>
      <c r="MTH125" s="3"/>
      <c r="MTI125" s="3"/>
      <c r="MTJ125" s="3"/>
      <c r="MTK125" s="3"/>
      <c r="MTL125" s="3"/>
      <c r="MTM125" s="3"/>
      <c r="MTN125" s="3"/>
      <c r="MTO125" s="3"/>
      <c r="MTP125" s="3"/>
      <c r="MTQ125" s="3"/>
      <c r="MTR125" s="3"/>
      <c r="MTS125" s="3"/>
      <c r="MTT125" s="3"/>
      <c r="MTU125" s="3"/>
      <c r="MTV125" s="3"/>
      <c r="MTW125" s="3"/>
      <c r="MTX125" s="3"/>
      <c r="MTY125" s="3"/>
      <c r="MTZ125" s="3"/>
      <c r="MUA125" s="3"/>
      <c r="MUB125" s="3"/>
      <c r="MUC125" s="3"/>
      <c r="MUD125" s="3"/>
      <c r="MUE125" s="3"/>
      <c r="MUF125" s="3"/>
      <c r="MUG125" s="3"/>
      <c r="MUH125" s="3"/>
      <c r="MUI125" s="3"/>
      <c r="MUJ125" s="3"/>
      <c r="MUK125" s="3"/>
      <c r="MUL125" s="3"/>
      <c r="MUM125" s="3"/>
      <c r="MUN125" s="3"/>
      <c r="MUO125" s="3"/>
      <c r="MUP125" s="3"/>
      <c r="MUQ125" s="3"/>
      <c r="MUR125" s="3"/>
      <c r="MUS125" s="3"/>
      <c r="MUT125" s="3"/>
      <c r="MUU125" s="3"/>
      <c r="MUV125" s="3"/>
      <c r="MUW125" s="3"/>
      <c r="MUX125" s="3"/>
      <c r="MUY125" s="3"/>
      <c r="MUZ125" s="3"/>
      <c r="MVA125" s="3"/>
      <c r="MVB125" s="3"/>
      <c r="MVC125" s="3"/>
      <c r="MVD125" s="3"/>
      <c r="MVE125" s="3"/>
      <c r="MVF125" s="3"/>
      <c r="MVG125" s="3"/>
      <c r="MVH125" s="3"/>
      <c r="MVI125" s="3"/>
      <c r="MVJ125" s="3"/>
      <c r="MVK125" s="3"/>
      <c r="MVL125" s="3"/>
      <c r="MVM125" s="3"/>
      <c r="MVN125" s="3"/>
      <c r="MVO125" s="3"/>
      <c r="MVP125" s="3"/>
      <c r="MVQ125" s="3"/>
      <c r="MVR125" s="3"/>
      <c r="MVS125" s="3"/>
      <c r="MVT125" s="3"/>
      <c r="MVU125" s="3"/>
      <c r="MVV125" s="3"/>
      <c r="MVW125" s="3"/>
      <c r="MVX125" s="3"/>
      <c r="MVY125" s="3"/>
      <c r="MVZ125" s="3"/>
      <c r="MWA125" s="3"/>
      <c r="MWB125" s="3"/>
      <c r="MWC125" s="3"/>
      <c r="MWD125" s="3"/>
      <c r="MWE125" s="3"/>
      <c r="MWF125" s="3"/>
      <c r="MWG125" s="3"/>
      <c r="MWH125" s="3"/>
      <c r="MWI125" s="3"/>
      <c r="MWJ125" s="3"/>
      <c r="MWK125" s="3"/>
      <c r="MWL125" s="3"/>
      <c r="MWM125" s="3"/>
      <c r="MWN125" s="3"/>
      <c r="MWO125" s="3"/>
      <c r="MWP125" s="3"/>
      <c r="MWQ125" s="3"/>
      <c r="MWR125" s="3"/>
      <c r="MWS125" s="3"/>
      <c r="MWT125" s="3"/>
      <c r="MWU125" s="3"/>
      <c r="MWV125" s="3"/>
      <c r="MWW125" s="3"/>
      <c r="MWX125" s="3"/>
      <c r="MWY125" s="3"/>
      <c r="MWZ125" s="3"/>
      <c r="MXA125" s="3"/>
      <c r="MXB125" s="3"/>
      <c r="MXC125" s="3"/>
      <c r="MXD125" s="3"/>
      <c r="MXE125" s="3"/>
      <c r="MXF125" s="3"/>
      <c r="MXG125" s="3"/>
      <c r="MXH125" s="3"/>
      <c r="MXI125" s="3"/>
      <c r="MXJ125" s="3"/>
      <c r="MXK125" s="3"/>
      <c r="MXL125" s="3"/>
      <c r="MXM125" s="3"/>
      <c r="MXN125" s="3"/>
      <c r="MXO125" s="3"/>
      <c r="MXP125" s="3"/>
      <c r="MXQ125" s="3"/>
      <c r="MXR125" s="3"/>
      <c r="MXS125" s="3"/>
      <c r="MXT125" s="3"/>
      <c r="MXU125" s="3"/>
      <c r="MXV125" s="3"/>
      <c r="MXW125" s="3"/>
      <c r="MXX125" s="3"/>
      <c r="MXY125" s="3"/>
      <c r="MXZ125" s="3"/>
      <c r="MYA125" s="3"/>
      <c r="MYB125" s="3"/>
      <c r="MYC125" s="3"/>
      <c r="MYD125" s="3"/>
      <c r="MYE125" s="3"/>
      <c r="MYF125" s="3"/>
      <c r="MYG125" s="3"/>
      <c r="MYH125" s="3"/>
      <c r="MYI125" s="3"/>
      <c r="MYJ125" s="3"/>
      <c r="MYK125" s="3"/>
      <c r="MYL125" s="3"/>
      <c r="MYM125" s="3"/>
      <c r="MYN125" s="3"/>
      <c r="MYO125" s="3"/>
      <c r="MYP125" s="3"/>
      <c r="MYQ125" s="3"/>
      <c r="MYR125" s="3"/>
      <c r="MYS125" s="3"/>
      <c r="MYT125" s="3"/>
      <c r="MYU125" s="3"/>
      <c r="MYV125" s="3"/>
      <c r="MYW125" s="3"/>
      <c r="MYX125" s="3"/>
      <c r="MYY125" s="3"/>
      <c r="MYZ125" s="3"/>
      <c r="MZA125" s="3"/>
      <c r="MZB125" s="3"/>
      <c r="MZC125" s="3"/>
      <c r="MZD125" s="3"/>
      <c r="MZE125" s="3"/>
      <c r="MZF125" s="3"/>
      <c r="MZG125" s="3"/>
      <c r="MZH125" s="3"/>
      <c r="MZI125" s="3"/>
      <c r="MZJ125" s="3"/>
      <c r="MZK125" s="3"/>
      <c r="MZL125" s="3"/>
      <c r="MZM125" s="3"/>
      <c r="MZN125" s="3"/>
      <c r="MZO125" s="3"/>
      <c r="MZP125" s="3"/>
      <c r="MZQ125" s="3"/>
      <c r="MZR125" s="3"/>
      <c r="MZS125" s="3"/>
      <c r="MZT125" s="3"/>
      <c r="MZU125" s="3"/>
      <c r="MZV125" s="3"/>
      <c r="MZW125" s="3"/>
      <c r="MZX125" s="3"/>
      <c r="MZY125" s="3"/>
      <c r="MZZ125" s="3"/>
      <c r="NAA125" s="3"/>
      <c r="NAB125" s="3"/>
      <c r="NAC125" s="3"/>
      <c r="NAD125" s="3"/>
      <c r="NAE125" s="3"/>
      <c r="NAF125" s="3"/>
      <c r="NAG125" s="3"/>
      <c r="NAH125" s="3"/>
      <c r="NAI125" s="3"/>
      <c r="NAJ125" s="3"/>
      <c r="NAK125" s="3"/>
      <c r="NAL125" s="3"/>
      <c r="NAM125" s="3"/>
      <c r="NAN125" s="3"/>
      <c r="NAO125" s="3"/>
      <c r="NAP125" s="3"/>
      <c r="NAQ125" s="3"/>
      <c r="NAR125" s="3"/>
      <c r="NAS125" s="3"/>
      <c r="NAT125" s="3"/>
      <c r="NAU125" s="3"/>
      <c r="NAV125" s="3"/>
      <c r="NAW125" s="3"/>
      <c r="NAX125" s="3"/>
      <c r="NAY125" s="3"/>
      <c r="NAZ125" s="3"/>
      <c r="NBA125" s="3"/>
      <c r="NBB125" s="3"/>
      <c r="NBC125" s="3"/>
      <c r="NBD125" s="3"/>
      <c r="NBE125" s="3"/>
      <c r="NBF125" s="3"/>
      <c r="NBG125" s="3"/>
      <c r="NBH125" s="3"/>
      <c r="NBI125" s="3"/>
      <c r="NBJ125" s="3"/>
      <c r="NBK125" s="3"/>
      <c r="NBL125" s="3"/>
      <c r="NBM125" s="3"/>
      <c r="NBN125" s="3"/>
      <c r="NBO125" s="3"/>
      <c r="NBP125" s="3"/>
      <c r="NBQ125" s="3"/>
      <c r="NBR125" s="3"/>
      <c r="NBS125" s="3"/>
      <c r="NBT125" s="3"/>
      <c r="NBU125" s="3"/>
      <c r="NBV125" s="3"/>
      <c r="NBW125" s="3"/>
      <c r="NBX125" s="3"/>
      <c r="NBY125" s="3"/>
      <c r="NBZ125" s="3"/>
      <c r="NCA125" s="3"/>
      <c r="NCB125" s="3"/>
      <c r="NCC125" s="3"/>
      <c r="NCD125" s="3"/>
      <c r="NCE125" s="3"/>
      <c r="NCF125" s="3"/>
      <c r="NCG125" s="3"/>
      <c r="NCH125" s="3"/>
      <c r="NCI125" s="3"/>
      <c r="NCJ125" s="3"/>
      <c r="NCK125" s="3"/>
      <c r="NCL125" s="3"/>
      <c r="NCM125" s="3"/>
      <c r="NCN125" s="3"/>
      <c r="NCO125" s="3"/>
      <c r="NCP125" s="3"/>
      <c r="NCQ125" s="3"/>
      <c r="NCR125" s="3"/>
      <c r="NCS125" s="3"/>
      <c r="NCT125" s="3"/>
      <c r="NCU125" s="3"/>
      <c r="NCV125" s="3"/>
      <c r="NCW125" s="3"/>
      <c r="NCX125" s="3"/>
      <c r="NCY125" s="3"/>
      <c r="NCZ125" s="3"/>
      <c r="NDA125" s="3"/>
      <c r="NDB125" s="3"/>
      <c r="NDC125" s="3"/>
      <c r="NDD125" s="3"/>
      <c r="NDE125" s="3"/>
      <c r="NDF125" s="3"/>
      <c r="NDG125" s="3"/>
      <c r="NDH125" s="3"/>
      <c r="NDI125" s="3"/>
      <c r="NDJ125" s="3"/>
      <c r="NDK125" s="3"/>
      <c r="NDL125" s="3"/>
      <c r="NDM125" s="3"/>
      <c r="NDN125" s="3"/>
      <c r="NDO125" s="3"/>
      <c r="NDP125" s="3"/>
      <c r="NDQ125" s="3"/>
      <c r="NDR125" s="3"/>
      <c r="NDS125" s="3"/>
      <c r="NDT125" s="3"/>
      <c r="NDU125" s="3"/>
      <c r="NDV125" s="3"/>
      <c r="NDW125" s="3"/>
      <c r="NDX125" s="3"/>
      <c r="NDY125" s="3"/>
      <c r="NDZ125" s="3"/>
      <c r="NEA125" s="3"/>
      <c r="NEB125" s="3"/>
      <c r="NEC125" s="3"/>
      <c r="NED125" s="3"/>
      <c r="NEE125" s="3"/>
      <c r="NEF125" s="3"/>
      <c r="NEG125" s="3"/>
      <c r="NEH125" s="3"/>
      <c r="NEI125" s="3"/>
      <c r="NEJ125" s="3"/>
      <c r="NEK125" s="3"/>
      <c r="NEL125" s="3"/>
      <c r="NEM125" s="3"/>
      <c r="NEN125" s="3"/>
      <c r="NEO125" s="3"/>
      <c r="NEP125" s="3"/>
      <c r="NEQ125" s="3"/>
      <c r="NER125" s="3"/>
      <c r="NES125" s="3"/>
      <c r="NET125" s="3"/>
      <c r="NEU125" s="3"/>
      <c r="NEV125" s="3"/>
      <c r="NEW125" s="3"/>
      <c r="NEX125" s="3"/>
      <c r="NEY125" s="3"/>
      <c r="NEZ125" s="3"/>
      <c r="NFA125" s="3"/>
      <c r="NFB125" s="3"/>
      <c r="NFC125" s="3"/>
      <c r="NFD125" s="3"/>
      <c r="NFE125" s="3"/>
      <c r="NFF125" s="3"/>
      <c r="NFG125" s="3"/>
      <c r="NFH125" s="3"/>
      <c r="NFI125" s="3"/>
      <c r="NFJ125" s="3"/>
      <c r="NFK125" s="3"/>
      <c r="NFL125" s="3"/>
      <c r="NFM125" s="3"/>
      <c r="NFN125" s="3"/>
      <c r="NFO125" s="3"/>
      <c r="NFP125" s="3"/>
      <c r="NFQ125" s="3"/>
      <c r="NFR125" s="3"/>
      <c r="NFS125" s="3"/>
      <c r="NFT125" s="3"/>
      <c r="NFU125" s="3"/>
      <c r="NFV125" s="3"/>
      <c r="NFW125" s="3"/>
      <c r="NFX125" s="3"/>
      <c r="NFY125" s="3"/>
      <c r="NFZ125" s="3"/>
      <c r="NGA125" s="3"/>
      <c r="NGB125" s="3"/>
      <c r="NGC125" s="3"/>
      <c r="NGD125" s="3"/>
      <c r="NGE125" s="3"/>
      <c r="NGF125" s="3"/>
      <c r="NGG125" s="3"/>
      <c r="NGH125" s="3"/>
      <c r="NGI125" s="3"/>
      <c r="NGJ125" s="3"/>
      <c r="NGK125" s="3"/>
      <c r="NGL125" s="3"/>
      <c r="NGM125" s="3"/>
      <c r="NGN125" s="3"/>
      <c r="NGO125" s="3"/>
      <c r="NGP125" s="3"/>
      <c r="NGQ125" s="3"/>
      <c r="NGR125" s="3"/>
      <c r="NGS125" s="3"/>
      <c r="NGT125" s="3"/>
      <c r="NGU125" s="3"/>
      <c r="NGV125" s="3"/>
      <c r="NGW125" s="3"/>
      <c r="NGX125" s="3"/>
      <c r="NGY125" s="3"/>
      <c r="NGZ125" s="3"/>
      <c r="NHA125" s="3"/>
      <c r="NHB125" s="3"/>
      <c r="NHC125" s="3"/>
      <c r="NHD125" s="3"/>
      <c r="NHE125" s="3"/>
      <c r="NHF125" s="3"/>
      <c r="NHG125" s="3"/>
      <c r="NHH125" s="3"/>
      <c r="NHI125" s="3"/>
      <c r="NHJ125" s="3"/>
      <c r="NHK125" s="3"/>
      <c r="NHL125" s="3"/>
      <c r="NHM125" s="3"/>
      <c r="NHN125" s="3"/>
      <c r="NHO125" s="3"/>
      <c r="NHP125" s="3"/>
      <c r="NHQ125" s="3"/>
      <c r="NHR125" s="3"/>
      <c r="NHS125" s="3"/>
      <c r="NHT125" s="3"/>
      <c r="NHU125" s="3"/>
      <c r="NHV125" s="3"/>
      <c r="NHW125" s="3"/>
      <c r="NHX125" s="3"/>
      <c r="NHY125" s="3"/>
      <c r="NHZ125" s="3"/>
      <c r="NIA125" s="3"/>
      <c r="NIB125" s="3"/>
      <c r="NIC125" s="3"/>
      <c r="NID125" s="3"/>
      <c r="NIE125" s="3"/>
      <c r="NIF125" s="3"/>
      <c r="NIG125" s="3"/>
      <c r="NIH125" s="3"/>
      <c r="NII125" s="3"/>
      <c r="NIJ125" s="3"/>
      <c r="NIK125" s="3"/>
      <c r="NIL125" s="3"/>
      <c r="NIM125" s="3"/>
      <c r="NIN125" s="3"/>
      <c r="NIO125" s="3"/>
      <c r="NIP125" s="3"/>
      <c r="NIQ125" s="3"/>
      <c r="NIR125" s="3"/>
      <c r="NIS125" s="3"/>
      <c r="NIT125" s="3"/>
      <c r="NIU125" s="3"/>
      <c r="NIV125" s="3"/>
      <c r="NIW125" s="3"/>
      <c r="NIX125" s="3"/>
      <c r="NIY125" s="3"/>
      <c r="NIZ125" s="3"/>
      <c r="NJA125" s="3"/>
      <c r="NJB125" s="3"/>
      <c r="NJC125" s="3"/>
      <c r="NJD125" s="3"/>
      <c r="NJE125" s="3"/>
      <c r="NJF125" s="3"/>
      <c r="NJG125" s="3"/>
      <c r="NJH125" s="3"/>
      <c r="NJI125" s="3"/>
      <c r="NJJ125" s="3"/>
      <c r="NJK125" s="3"/>
      <c r="NJL125" s="3"/>
      <c r="NJM125" s="3"/>
      <c r="NJN125" s="3"/>
      <c r="NJO125" s="3"/>
      <c r="NJP125" s="3"/>
      <c r="NJQ125" s="3"/>
      <c r="NJR125" s="3"/>
      <c r="NJS125" s="3"/>
      <c r="NJT125" s="3"/>
      <c r="NJU125" s="3"/>
      <c r="NJV125" s="3"/>
      <c r="NJW125" s="3"/>
      <c r="NJX125" s="3"/>
      <c r="NJY125" s="3"/>
      <c r="NJZ125" s="3"/>
      <c r="NKA125" s="3"/>
      <c r="NKB125" s="3"/>
      <c r="NKC125" s="3"/>
      <c r="NKD125" s="3"/>
      <c r="NKE125" s="3"/>
      <c r="NKF125" s="3"/>
      <c r="NKG125" s="3"/>
      <c r="NKH125" s="3"/>
      <c r="NKI125" s="3"/>
      <c r="NKJ125" s="3"/>
      <c r="NKK125" s="3"/>
      <c r="NKL125" s="3"/>
      <c r="NKM125" s="3"/>
      <c r="NKN125" s="3"/>
      <c r="NKO125" s="3"/>
      <c r="NKP125" s="3"/>
      <c r="NKQ125" s="3"/>
      <c r="NKR125" s="3"/>
      <c r="NKS125" s="3"/>
      <c r="NKT125" s="3"/>
      <c r="NKU125" s="3"/>
      <c r="NKV125" s="3"/>
      <c r="NKW125" s="3"/>
      <c r="NKX125" s="3"/>
      <c r="NKY125" s="3"/>
      <c r="NKZ125" s="3"/>
      <c r="NLA125" s="3"/>
      <c r="NLB125" s="3"/>
      <c r="NLC125" s="3"/>
      <c r="NLD125" s="3"/>
      <c r="NLE125" s="3"/>
      <c r="NLF125" s="3"/>
      <c r="NLG125" s="3"/>
      <c r="NLH125" s="3"/>
      <c r="NLI125" s="3"/>
      <c r="NLJ125" s="3"/>
      <c r="NLK125" s="3"/>
      <c r="NLL125" s="3"/>
      <c r="NLM125" s="3"/>
      <c r="NLN125" s="3"/>
      <c r="NLO125" s="3"/>
      <c r="NLP125" s="3"/>
      <c r="NLQ125" s="3"/>
      <c r="NLR125" s="3"/>
      <c r="NLS125" s="3"/>
      <c r="NLT125" s="3"/>
      <c r="NLU125" s="3"/>
      <c r="NLV125" s="3"/>
      <c r="NLW125" s="3"/>
      <c r="NLX125" s="3"/>
      <c r="NLY125" s="3"/>
      <c r="NLZ125" s="3"/>
      <c r="NMA125" s="3"/>
      <c r="NMB125" s="3"/>
      <c r="NMC125" s="3"/>
      <c r="NMD125" s="3"/>
      <c r="NME125" s="3"/>
      <c r="NMF125" s="3"/>
      <c r="NMG125" s="3"/>
      <c r="NMH125" s="3"/>
      <c r="NMI125" s="3"/>
      <c r="NMJ125" s="3"/>
      <c r="NMK125" s="3"/>
      <c r="NML125" s="3"/>
      <c r="NMM125" s="3"/>
      <c r="NMN125" s="3"/>
      <c r="NMO125" s="3"/>
      <c r="NMP125" s="3"/>
      <c r="NMQ125" s="3"/>
      <c r="NMR125" s="3"/>
      <c r="NMS125" s="3"/>
      <c r="NMT125" s="3"/>
      <c r="NMU125" s="3"/>
      <c r="NMV125" s="3"/>
      <c r="NMW125" s="3"/>
      <c r="NMX125" s="3"/>
      <c r="NMY125" s="3"/>
      <c r="NMZ125" s="3"/>
      <c r="NNA125" s="3"/>
      <c r="NNB125" s="3"/>
      <c r="NNC125" s="3"/>
      <c r="NND125" s="3"/>
      <c r="NNE125" s="3"/>
      <c r="NNF125" s="3"/>
      <c r="NNG125" s="3"/>
      <c r="NNH125" s="3"/>
      <c r="NNI125" s="3"/>
      <c r="NNJ125" s="3"/>
      <c r="NNK125" s="3"/>
      <c r="NNL125" s="3"/>
      <c r="NNM125" s="3"/>
      <c r="NNN125" s="3"/>
      <c r="NNO125" s="3"/>
      <c r="NNP125" s="3"/>
      <c r="NNQ125" s="3"/>
      <c r="NNR125" s="3"/>
      <c r="NNS125" s="3"/>
      <c r="NNT125" s="3"/>
      <c r="NNU125" s="3"/>
      <c r="NNV125" s="3"/>
      <c r="NNW125" s="3"/>
      <c r="NNX125" s="3"/>
      <c r="NNY125" s="3"/>
      <c r="NNZ125" s="3"/>
      <c r="NOA125" s="3"/>
      <c r="NOB125" s="3"/>
      <c r="NOC125" s="3"/>
      <c r="NOD125" s="3"/>
      <c r="NOE125" s="3"/>
      <c r="NOF125" s="3"/>
      <c r="NOG125" s="3"/>
      <c r="NOH125" s="3"/>
      <c r="NOI125" s="3"/>
      <c r="NOJ125" s="3"/>
      <c r="NOK125" s="3"/>
      <c r="NOL125" s="3"/>
      <c r="NOM125" s="3"/>
      <c r="NON125" s="3"/>
      <c r="NOO125" s="3"/>
      <c r="NOP125" s="3"/>
      <c r="NOQ125" s="3"/>
      <c r="NOR125" s="3"/>
      <c r="NOS125" s="3"/>
      <c r="NOT125" s="3"/>
      <c r="NOU125" s="3"/>
      <c r="NOV125" s="3"/>
      <c r="NOW125" s="3"/>
      <c r="NOX125" s="3"/>
      <c r="NOY125" s="3"/>
      <c r="NOZ125" s="3"/>
      <c r="NPA125" s="3"/>
      <c r="NPB125" s="3"/>
      <c r="NPC125" s="3"/>
      <c r="NPD125" s="3"/>
      <c r="NPE125" s="3"/>
      <c r="NPF125" s="3"/>
      <c r="NPG125" s="3"/>
      <c r="NPH125" s="3"/>
      <c r="NPI125" s="3"/>
      <c r="NPJ125" s="3"/>
      <c r="NPK125" s="3"/>
      <c r="NPL125" s="3"/>
      <c r="NPM125" s="3"/>
      <c r="NPN125" s="3"/>
      <c r="NPO125" s="3"/>
      <c r="NPP125" s="3"/>
      <c r="NPQ125" s="3"/>
      <c r="NPR125" s="3"/>
      <c r="NPS125" s="3"/>
      <c r="NPT125" s="3"/>
      <c r="NPU125" s="3"/>
      <c r="NPV125" s="3"/>
      <c r="NPW125" s="3"/>
      <c r="NPX125" s="3"/>
      <c r="NPY125" s="3"/>
      <c r="NPZ125" s="3"/>
      <c r="NQA125" s="3"/>
      <c r="NQB125" s="3"/>
      <c r="NQC125" s="3"/>
      <c r="NQD125" s="3"/>
      <c r="NQE125" s="3"/>
      <c r="NQF125" s="3"/>
      <c r="NQG125" s="3"/>
      <c r="NQH125" s="3"/>
      <c r="NQI125" s="3"/>
      <c r="NQJ125" s="3"/>
      <c r="NQK125" s="3"/>
      <c r="NQL125" s="3"/>
      <c r="NQM125" s="3"/>
      <c r="NQN125" s="3"/>
      <c r="NQO125" s="3"/>
      <c r="NQP125" s="3"/>
      <c r="NQQ125" s="3"/>
      <c r="NQR125" s="3"/>
      <c r="NQS125" s="3"/>
      <c r="NQT125" s="3"/>
      <c r="NQU125" s="3"/>
      <c r="NQV125" s="3"/>
      <c r="NQW125" s="3"/>
      <c r="NQX125" s="3"/>
      <c r="NQY125" s="3"/>
      <c r="NQZ125" s="3"/>
      <c r="NRA125" s="3"/>
      <c r="NRB125" s="3"/>
      <c r="NRC125" s="3"/>
      <c r="NRD125" s="3"/>
      <c r="NRE125" s="3"/>
      <c r="NRF125" s="3"/>
      <c r="NRG125" s="3"/>
      <c r="NRH125" s="3"/>
      <c r="NRI125" s="3"/>
      <c r="NRJ125" s="3"/>
      <c r="NRK125" s="3"/>
      <c r="NRL125" s="3"/>
      <c r="NRM125" s="3"/>
      <c r="NRN125" s="3"/>
      <c r="NRO125" s="3"/>
      <c r="NRP125" s="3"/>
      <c r="NRQ125" s="3"/>
      <c r="NRR125" s="3"/>
      <c r="NRS125" s="3"/>
      <c r="NRT125" s="3"/>
      <c r="NRU125" s="3"/>
      <c r="NRV125" s="3"/>
      <c r="NRW125" s="3"/>
      <c r="NRX125" s="3"/>
      <c r="NRY125" s="3"/>
      <c r="NRZ125" s="3"/>
      <c r="NSA125" s="3"/>
      <c r="NSB125" s="3"/>
      <c r="NSC125" s="3"/>
      <c r="NSD125" s="3"/>
      <c r="NSE125" s="3"/>
      <c r="NSF125" s="3"/>
      <c r="NSG125" s="3"/>
      <c r="NSH125" s="3"/>
      <c r="NSI125" s="3"/>
      <c r="NSJ125" s="3"/>
      <c r="NSK125" s="3"/>
      <c r="NSL125" s="3"/>
      <c r="NSM125" s="3"/>
      <c r="NSN125" s="3"/>
      <c r="NSO125" s="3"/>
      <c r="NSP125" s="3"/>
      <c r="NSQ125" s="3"/>
      <c r="NSR125" s="3"/>
      <c r="NSS125" s="3"/>
      <c r="NST125" s="3"/>
      <c r="NSU125" s="3"/>
      <c r="NSV125" s="3"/>
      <c r="NSW125" s="3"/>
      <c r="NSX125" s="3"/>
      <c r="NSY125" s="3"/>
      <c r="NSZ125" s="3"/>
      <c r="NTA125" s="3"/>
      <c r="NTB125" s="3"/>
      <c r="NTC125" s="3"/>
      <c r="NTD125" s="3"/>
      <c r="NTE125" s="3"/>
      <c r="NTF125" s="3"/>
      <c r="NTG125" s="3"/>
      <c r="NTH125" s="3"/>
      <c r="NTI125" s="3"/>
      <c r="NTJ125" s="3"/>
      <c r="NTK125" s="3"/>
      <c r="NTL125" s="3"/>
      <c r="NTM125" s="3"/>
      <c r="NTN125" s="3"/>
      <c r="NTO125" s="3"/>
      <c r="NTP125" s="3"/>
      <c r="NTQ125" s="3"/>
      <c r="NTR125" s="3"/>
      <c r="NTS125" s="3"/>
      <c r="NTT125" s="3"/>
      <c r="NTU125" s="3"/>
      <c r="NTV125" s="3"/>
      <c r="NTW125" s="3"/>
      <c r="NTX125" s="3"/>
      <c r="NTY125" s="3"/>
      <c r="NTZ125" s="3"/>
      <c r="NUA125" s="3"/>
      <c r="NUB125" s="3"/>
      <c r="NUC125" s="3"/>
      <c r="NUD125" s="3"/>
      <c r="NUE125" s="3"/>
      <c r="NUF125" s="3"/>
      <c r="NUG125" s="3"/>
      <c r="NUH125" s="3"/>
      <c r="NUI125" s="3"/>
      <c r="NUJ125" s="3"/>
      <c r="NUK125" s="3"/>
      <c r="NUL125" s="3"/>
      <c r="NUM125" s="3"/>
      <c r="NUN125" s="3"/>
      <c r="NUO125" s="3"/>
      <c r="NUP125" s="3"/>
      <c r="NUQ125" s="3"/>
      <c r="NUR125" s="3"/>
      <c r="NUS125" s="3"/>
      <c r="NUT125" s="3"/>
      <c r="NUU125" s="3"/>
      <c r="NUV125" s="3"/>
      <c r="NUW125" s="3"/>
      <c r="NUX125" s="3"/>
      <c r="NUY125" s="3"/>
      <c r="NUZ125" s="3"/>
      <c r="NVA125" s="3"/>
      <c r="NVB125" s="3"/>
      <c r="NVC125" s="3"/>
      <c r="NVD125" s="3"/>
      <c r="NVE125" s="3"/>
      <c r="NVF125" s="3"/>
      <c r="NVG125" s="3"/>
      <c r="NVH125" s="3"/>
      <c r="NVI125" s="3"/>
      <c r="NVJ125" s="3"/>
      <c r="NVK125" s="3"/>
      <c r="NVL125" s="3"/>
      <c r="NVM125" s="3"/>
      <c r="NVN125" s="3"/>
      <c r="NVO125" s="3"/>
      <c r="NVP125" s="3"/>
      <c r="NVQ125" s="3"/>
      <c r="NVR125" s="3"/>
      <c r="NVS125" s="3"/>
      <c r="NVT125" s="3"/>
      <c r="NVU125" s="3"/>
      <c r="NVV125" s="3"/>
      <c r="NVW125" s="3"/>
      <c r="NVX125" s="3"/>
      <c r="NVY125" s="3"/>
      <c r="NVZ125" s="3"/>
      <c r="NWA125" s="3"/>
      <c r="NWB125" s="3"/>
      <c r="NWC125" s="3"/>
      <c r="NWD125" s="3"/>
      <c r="NWE125" s="3"/>
      <c r="NWF125" s="3"/>
      <c r="NWG125" s="3"/>
      <c r="NWH125" s="3"/>
      <c r="NWI125" s="3"/>
      <c r="NWJ125" s="3"/>
      <c r="NWK125" s="3"/>
      <c r="NWL125" s="3"/>
      <c r="NWM125" s="3"/>
      <c r="NWN125" s="3"/>
      <c r="NWO125" s="3"/>
      <c r="NWP125" s="3"/>
      <c r="NWQ125" s="3"/>
      <c r="NWR125" s="3"/>
      <c r="NWS125" s="3"/>
      <c r="NWT125" s="3"/>
      <c r="NWU125" s="3"/>
      <c r="NWV125" s="3"/>
      <c r="NWW125" s="3"/>
      <c r="NWX125" s="3"/>
      <c r="NWY125" s="3"/>
      <c r="NWZ125" s="3"/>
      <c r="NXA125" s="3"/>
      <c r="NXB125" s="3"/>
      <c r="NXC125" s="3"/>
      <c r="NXD125" s="3"/>
      <c r="NXE125" s="3"/>
      <c r="NXF125" s="3"/>
      <c r="NXG125" s="3"/>
      <c r="NXH125" s="3"/>
      <c r="NXI125" s="3"/>
      <c r="NXJ125" s="3"/>
      <c r="NXK125" s="3"/>
      <c r="NXL125" s="3"/>
      <c r="NXM125" s="3"/>
      <c r="NXN125" s="3"/>
      <c r="NXO125" s="3"/>
      <c r="NXP125" s="3"/>
      <c r="NXQ125" s="3"/>
      <c r="NXR125" s="3"/>
      <c r="NXS125" s="3"/>
      <c r="NXT125" s="3"/>
      <c r="NXU125" s="3"/>
      <c r="NXV125" s="3"/>
      <c r="NXW125" s="3"/>
      <c r="NXX125" s="3"/>
      <c r="NXY125" s="3"/>
      <c r="NXZ125" s="3"/>
      <c r="NYA125" s="3"/>
      <c r="NYB125" s="3"/>
      <c r="NYC125" s="3"/>
      <c r="NYD125" s="3"/>
      <c r="NYE125" s="3"/>
      <c r="NYF125" s="3"/>
      <c r="NYG125" s="3"/>
      <c r="NYH125" s="3"/>
      <c r="NYI125" s="3"/>
      <c r="NYJ125" s="3"/>
      <c r="NYK125" s="3"/>
      <c r="NYL125" s="3"/>
      <c r="NYM125" s="3"/>
      <c r="NYN125" s="3"/>
      <c r="NYO125" s="3"/>
      <c r="NYP125" s="3"/>
      <c r="NYQ125" s="3"/>
      <c r="NYR125" s="3"/>
      <c r="NYS125" s="3"/>
      <c r="NYT125" s="3"/>
      <c r="NYU125" s="3"/>
      <c r="NYV125" s="3"/>
      <c r="NYW125" s="3"/>
      <c r="NYX125" s="3"/>
      <c r="NYY125" s="3"/>
      <c r="NYZ125" s="3"/>
      <c r="NZA125" s="3"/>
      <c r="NZB125" s="3"/>
      <c r="NZC125" s="3"/>
      <c r="NZD125" s="3"/>
      <c r="NZE125" s="3"/>
      <c r="NZF125" s="3"/>
      <c r="NZG125" s="3"/>
      <c r="NZH125" s="3"/>
      <c r="NZI125" s="3"/>
      <c r="NZJ125" s="3"/>
      <c r="NZK125" s="3"/>
      <c r="NZL125" s="3"/>
      <c r="NZM125" s="3"/>
      <c r="NZN125" s="3"/>
      <c r="NZO125" s="3"/>
      <c r="NZP125" s="3"/>
      <c r="NZQ125" s="3"/>
      <c r="NZR125" s="3"/>
      <c r="NZS125" s="3"/>
      <c r="NZT125" s="3"/>
      <c r="NZU125" s="3"/>
      <c r="NZV125" s="3"/>
      <c r="NZW125" s="3"/>
      <c r="NZX125" s="3"/>
      <c r="NZY125" s="3"/>
      <c r="NZZ125" s="3"/>
      <c r="OAA125" s="3"/>
      <c r="OAB125" s="3"/>
      <c r="OAC125" s="3"/>
      <c r="OAD125" s="3"/>
      <c r="OAE125" s="3"/>
      <c r="OAF125" s="3"/>
      <c r="OAG125" s="3"/>
      <c r="OAH125" s="3"/>
      <c r="OAI125" s="3"/>
      <c r="OAJ125" s="3"/>
      <c r="OAK125" s="3"/>
      <c r="OAL125" s="3"/>
      <c r="OAM125" s="3"/>
      <c r="OAN125" s="3"/>
      <c r="OAO125" s="3"/>
      <c r="OAP125" s="3"/>
      <c r="OAQ125" s="3"/>
      <c r="OAR125" s="3"/>
      <c r="OAS125" s="3"/>
      <c r="OAT125" s="3"/>
      <c r="OAU125" s="3"/>
      <c r="OAV125" s="3"/>
      <c r="OAW125" s="3"/>
      <c r="OAX125" s="3"/>
      <c r="OAY125" s="3"/>
      <c r="OAZ125" s="3"/>
      <c r="OBA125" s="3"/>
      <c r="OBB125" s="3"/>
      <c r="OBC125" s="3"/>
      <c r="OBD125" s="3"/>
      <c r="OBE125" s="3"/>
      <c r="OBF125" s="3"/>
      <c r="OBG125" s="3"/>
      <c r="OBH125" s="3"/>
      <c r="OBI125" s="3"/>
      <c r="OBJ125" s="3"/>
      <c r="OBK125" s="3"/>
      <c r="OBL125" s="3"/>
      <c r="OBM125" s="3"/>
      <c r="OBN125" s="3"/>
      <c r="OBO125" s="3"/>
      <c r="OBP125" s="3"/>
      <c r="OBQ125" s="3"/>
      <c r="OBR125" s="3"/>
      <c r="OBS125" s="3"/>
      <c r="OBT125" s="3"/>
      <c r="OBU125" s="3"/>
      <c r="OBV125" s="3"/>
      <c r="OBW125" s="3"/>
      <c r="OBX125" s="3"/>
      <c r="OBY125" s="3"/>
      <c r="OBZ125" s="3"/>
      <c r="OCA125" s="3"/>
      <c r="OCB125" s="3"/>
      <c r="OCC125" s="3"/>
      <c r="OCD125" s="3"/>
      <c r="OCE125" s="3"/>
      <c r="OCF125" s="3"/>
      <c r="OCG125" s="3"/>
      <c r="OCH125" s="3"/>
      <c r="OCI125" s="3"/>
      <c r="OCJ125" s="3"/>
      <c r="OCK125" s="3"/>
      <c r="OCL125" s="3"/>
      <c r="OCM125" s="3"/>
      <c r="OCN125" s="3"/>
      <c r="OCO125" s="3"/>
      <c r="OCP125" s="3"/>
      <c r="OCQ125" s="3"/>
      <c r="OCR125" s="3"/>
      <c r="OCS125" s="3"/>
      <c r="OCT125" s="3"/>
      <c r="OCU125" s="3"/>
      <c r="OCV125" s="3"/>
      <c r="OCW125" s="3"/>
      <c r="OCX125" s="3"/>
      <c r="OCY125" s="3"/>
      <c r="OCZ125" s="3"/>
      <c r="ODA125" s="3"/>
      <c r="ODB125" s="3"/>
      <c r="ODC125" s="3"/>
      <c r="ODD125" s="3"/>
      <c r="ODE125" s="3"/>
      <c r="ODF125" s="3"/>
      <c r="ODG125" s="3"/>
      <c r="ODH125" s="3"/>
      <c r="ODI125" s="3"/>
      <c r="ODJ125" s="3"/>
      <c r="ODK125" s="3"/>
      <c r="ODL125" s="3"/>
      <c r="ODM125" s="3"/>
      <c r="ODN125" s="3"/>
      <c r="ODO125" s="3"/>
      <c r="ODP125" s="3"/>
      <c r="ODQ125" s="3"/>
      <c r="ODR125" s="3"/>
      <c r="ODS125" s="3"/>
      <c r="ODT125" s="3"/>
      <c r="ODU125" s="3"/>
      <c r="ODV125" s="3"/>
      <c r="ODW125" s="3"/>
      <c r="ODX125" s="3"/>
      <c r="ODY125" s="3"/>
      <c r="ODZ125" s="3"/>
      <c r="OEA125" s="3"/>
      <c r="OEB125" s="3"/>
      <c r="OEC125" s="3"/>
      <c r="OED125" s="3"/>
      <c r="OEE125" s="3"/>
      <c r="OEF125" s="3"/>
      <c r="OEG125" s="3"/>
      <c r="OEH125" s="3"/>
      <c r="OEI125" s="3"/>
      <c r="OEJ125" s="3"/>
      <c r="OEK125" s="3"/>
      <c r="OEL125" s="3"/>
      <c r="OEM125" s="3"/>
      <c r="OEN125" s="3"/>
      <c r="OEO125" s="3"/>
      <c r="OEP125" s="3"/>
      <c r="OEQ125" s="3"/>
      <c r="OER125" s="3"/>
      <c r="OES125" s="3"/>
      <c r="OET125" s="3"/>
      <c r="OEU125" s="3"/>
      <c r="OEV125" s="3"/>
      <c r="OEW125" s="3"/>
      <c r="OEX125" s="3"/>
      <c r="OEY125" s="3"/>
      <c r="OEZ125" s="3"/>
      <c r="OFA125" s="3"/>
      <c r="OFB125" s="3"/>
      <c r="OFC125" s="3"/>
      <c r="OFD125" s="3"/>
      <c r="OFE125" s="3"/>
      <c r="OFF125" s="3"/>
      <c r="OFG125" s="3"/>
      <c r="OFH125" s="3"/>
      <c r="OFI125" s="3"/>
      <c r="OFJ125" s="3"/>
      <c r="OFK125" s="3"/>
      <c r="OFL125" s="3"/>
      <c r="OFM125" s="3"/>
      <c r="OFN125" s="3"/>
      <c r="OFO125" s="3"/>
      <c r="OFP125" s="3"/>
      <c r="OFQ125" s="3"/>
      <c r="OFR125" s="3"/>
      <c r="OFS125" s="3"/>
      <c r="OFT125" s="3"/>
      <c r="OFU125" s="3"/>
      <c r="OFV125" s="3"/>
      <c r="OFW125" s="3"/>
      <c r="OFX125" s="3"/>
      <c r="OFY125" s="3"/>
      <c r="OFZ125" s="3"/>
      <c r="OGA125" s="3"/>
      <c r="OGB125" s="3"/>
      <c r="OGC125" s="3"/>
      <c r="OGD125" s="3"/>
      <c r="OGE125" s="3"/>
      <c r="OGF125" s="3"/>
      <c r="OGG125" s="3"/>
      <c r="OGH125" s="3"/>
      <c r="OGI125" s="3"/>
      <c r="OGJ125" s="3"/>
      <c r="OGK125" s="3"/>
      <c r="OGL125" s="3"/>
      <c r="OGM125" s="3"/>
      <c r="OGN125" s="3"/>
      <c r="OGO125" s="3"/>
      <c r="OGP125" s="3"/>
      <c r="OGQ125" s="3"/>
      <c r="OGR125" s="3"/>
      <c r="OGS125" s="3"/>
      <c r="OGT125" s="3"/>
      <c r="OGU125" s="3"/>
      <c r="OGV125" s="3"/>
      <c r="OGW125" s="3"/>
      <c r="OGX125" s="3"/>
      <c r="OGY125" s="3"/>
      <c r="OGZ125" s="3"/>
      <c r="OHA125" s="3"/>
      <c r="OHB125" s="3"/>
      <c r="OHC125" s="3"/>
      <c r="OHD125" s="3"/>
      <c r="OHE125" s="3"/>
      <c r="OHF125" s="3"/>
      <c r="OHG125" s="3"/>
      <c r="OHH125" s="3"/>
      <c r="OHI125" s="3"/>
      <c r="OHJ125" s="3"/>
      <c r="OHK125" s="3"/>
      <c r="OHL125" s="3"/>
      <c r="OHM125" s="3"/>
      <c r="OHN125" s="3"/>
      <c r="OHO125" s="3"/>
      <c r="OHP125" s="3"/>
      <c r="OHQ125" s="3"/>
      <c r="OHR125" s="3"/>
      <c r="OHS125" s="3"/>
      <c r="OHT125" s="3"/>
      <c r="OHU125" s="3"/>
      <c r="OHV125" s="3"/>
      <c r="OHW125" s="3"/>
      <c r="OHX125" s="3"/>
      <c r="OHY125" s="3"/>
      <c r="OHZ125" s="3"/>
      <c r="OIA125" s="3"/>
      <c r="OIB125" s="3"/>
      <c r="OIC125" s="3"/>
      <c r="OID125" s="3"/>
      <c r="OIE125" s="3"/>
      <c r="OIF125" s="3"/>
      <c r="OIG125" s="3"/>
      <c r="OIH125" s="3"/>
      <c r="OII125" s="3"/>
      <c r="OIJ125" s="3"/>
      <c r="OIK125" s="3"/>
      <c r="OIL125" s="3"/>
      <c r="OIM125" s="3"/>
      <c r="OIN125" s="3"/>
      <c r="OIO125" s="3"/>
      <c r="OIP125" s="3"/>
      <c r="OIQ125" s="3"/>
      <c r="OIR125" s="3"/>
      <c r="OIS125" s="3"/>
      <c r="OIT125" s="3"/>
      <c r="OIU125" s="3"/>
      <c r="OIV125" s="3"/>
      <c r="OIW125" s="3"/>
      <c r="OIX125" s="3"/>
      <c r="OIY125" s="3"/>
      <c r="OIZ125" s="3"/>
      <c r="OJA125" s="3"/>
      <c r="OJB125" s="3"/>
      <c r="OJC125" s="3"/>
      <c r="OJD125" s="3"/>
      <c r="OJE125" s="3"/>
      <c r="OJF125" s="3"/>
      <c r="OJG125" s="3"/>
      <c r="OJH125" s="3"/>
      <c r="OJI125" s="3"/>
      <c r="OJJ125" s="3"/>
      <c r="OJK125" s="3"/>
      <c r="OJL125" s="3"/>
      <c r="OJM125" s="3"/>
      <c r="OJN125" s="3"/>
      <c r="OJO125" s="3"/>
      <c r="OJP125" s="3"/>
      <c r="OJQ125" s="3"/>
      <c r="OJR125" s="3"/>
      <c r="OJS125" s="3"/>
      <c r="OJT125" s="3"/>
      <c r="OJU125" s="3"/>
      <c r="OJV125" s="3"/>
      <c r="OJW125" s="3"/>
      <c r="OJX125" s="3"/>
      <c r="OJY125" s="3"/>
      <c r="OJZ125" s="3"/>
      <c r="OKA125" s="3"/>
      <c r="OKB125" s="3"/>
      <c r="OKC125" s="3"/>
      <c r="OKD125" s="3"/>
      <c r="OKE125" s="3"/>
      <c r="OKF125" s="3"/>
      <c r="OKG125" s="3"/>
      <c r="OKH125" s="3"/>
      <c r="OKI125" s="3"/>
      <c r="OKJ125" s="3"/>
      <c r="OKK125" s="3"/>
      <c r="OKL125" s="3"/>
      <c r="OKM125" s="3"/>
      <c r="OKN125" s="3"/>
      <c r="OKO125" s="3"/>
      <c r="OKP125" s="3"/>
      <c r="OKQ125" s="3"/>
      <c r="OKR125" s="3"/>
      <c r="OKS125" s="3"/>
      <c r="OKT125" s="3"/>
      <c r="OKU125" s="3"/>
      <c r="OKV125" s="3"/>
      <c r="OKW125" s="3"/>
      <c r="OKX125" s="3"/>
      <c r="OKY125" s="3"/>
      <c r="OKZ125" s="3"/>
      <c r="OLA125" s="3"/>
      <c r="OLB125" s="3"/>
      <c r="OLC125" s="3"/>
      <c r="OLD125" s="3"/>
      <c r="OLE125" s="3"/>
      <c r="OLF125" s="3"/>
      <c r="OLG125" s="3"/>
      <c r="OLH125" s="3"/>
      <c r="OLI125" s="3"/>
      <c r="OLJ125" s="3"/>
      <c r="OLK125" s="3"/>
      <c r="OLL125" s="3"/>
      <c r="OLM125" s="3"/>
      <c r="OLN125" s="3"/>
      <c r="OLO125" s="3"/>
      <c r="OLP125" s="3"/>
      <c r="OLQ125" s="3"/>
      <c r="OLR125" s="3"/>
      <c r="OLS125" s="3"/>
      <c r="OLT125" s="3"/>
      <c r="OLU125" s="3"/>
      <c r="OLV125" s="3"/>
      <c r="OLW125" s="3"/>
      <c r="OLX125" s="3"/>
      <c r="OLY125" s="3"/>
      <c r="OLZ125" s="3"/>
      <c r="OMA125" s="3"/>
      <c r="OMB125" s="3"/>
      <c r="OMC125" s="3"/>
      <c r="OMD125" s="3"/>
      <c r="OME125" s="3"/>
      <c r="OMF125" s="3"/>
      <c r="OMG125" s="3"/>
      <c r="OMH125" s="3"/>
      <c r="OMI125" s="3"/>
      <c r="OMJ125" s="3"/>
      <c r="OMK125" s="3"/>
      <c r="OML125" s="3"/>
      <c r="OMM125" s="3"/>
      <c r="OMN125" s="3"/>
      <c r="OMO125" s="3"/>
      <c r="OMP125" s="3"/>
      <c r="OMQ125" s="3"/>
      <c r="OMR125" s="3"/>
      <c r="OMS125" s="3"/>
      <c r="OMT125" s="3"/>
      <c r="OMU125" s="3"/>
      <c r="OMV125" s="3"/>
      <c r="OMW125" s="3"/>
      <c r="OMX125" s="3"/>
      <c r="OMY125" s="3"/>
      <c r="OMZ125" s="3"/>
      <c r="ONA125" s="3"/>
      <c r="ONB125" s="3"/>
      <c r="ONC125" s="3"/>
      <c r="OND125" s="3"/>
      <c r="ONE125" s="3"/>
      <c r="ONF125" s="3"/>
      <c r="ONG125" s="3"/>
      <c r="ONH125" s="3"/>
      <c r="ONI125" s="3"/>
      <c r="ONJ125" s="3"/>
      <c r="ONK125" s="3"/>
      <c r="ONL125" s="3"/>
      <c r="ONM125" s="3"/>
      <c r="ONN125" s="3"/>
      <c r="ONO125" s="3"/>
      <c r="ONP125" s="3"/>
      <c r="ONQ125" s="3"/>
      <c r="ONR125" s="3"/>
      <c r="ONS125" s="3"/>
      <c r="ONT125" s="3"/>
      <c r="ONU125" s="3"/>
      <c r="ONV125" s="3"/>
      <c r="ONW125" s="3"/>
      <c r="ONX125" s="3"/>
      <c r="ONY125" s="3"/>
      <c r="ONZ125" s="3"/>
      <c r="OOA125" s="3"/>
      <c r="OOB125" s="3"/>
      <c r="OOC125" s="3"/>
      <c r="OOD125" s="3"/>
      <c r="OOE125" s="3"/>
      <c r="OOF125" s="3"/>
      <c r="OOG125" s="3"/>
      <c r="OOH125" s="3"/>
      <c r="OOI125" s="3"/>
      <c r="OOJ125" s="3"/>
      <c r="OOK125" s="3"/>
      <c r="OOL125" s="3"/>
      <c r="OOM125" s="3"/>
      <c r="OON125" s="3"/>
      <c r="OOO125" s="3"/>
      <c r="OOP125" s="3"/>
      <c r="OOQ125" s="3"/>
      <c r="OOR125" s="3"/>
      <c r="OOS125" s="3"/>
      <c r="OOT125" s="3"/>
      <c r="OOU125" s="3"/>
      <c r="OOV125" s="3"/>
      <c r="OOW125" s="3"/>
      <c r="OOX125" s="3"/>
      <c r="OOY125" s="3"/>
      <c r="OOZ125" s="3"/>
      <c r="OPA125" s="3"/>
      <c r="OPB125" s="3"/>
      <c r="OPC125" s="3"/>
      <c r="OPD125" s="3"/>
      <c r="OPE125" s="3"/>
      <c r="OPF125" s="3"/>
      <c r="OPG125" s="3"/>
      <c r="OPH125" s="3"/>
      <c r="OPI125" s="3"/>
      <c r="OPJ125" s="3"/>
      <c r="OPK125" s="3"/>
      <c r="OPL125" s="3"/>
      <c r="OPM125" s="3"/>
      <c r="OPN125" s="3"/>
      <c r="OPO125" s="3"/>
      <c r="OPP125" s="3"/>
      <c r="OPQ125" s="3"/>
      <c r="OPR125" s="3"/>
      <c r="OPS125" s="3"/>
      <c r="OPT125" s="3"/>
      <c r="OPU125" s="3"/>
      <c r="OPV125" s="3"/>
      <c r="OPW125" s="3"/>
      <c r="OPX125" s="3"/>
      <c r="OPY125" s="3"/>
      <c r="OPZ125" s="3"/>
      <c r="OQA125" s="3"/>
      <c r="OQB125" s="3"/>
      <c r="OQC125" s="3"/>
      <c r="OQD125" s="3"/>
      <c r="OQE125" s="3"/>
      <c r="OQF125" s="3"/>
      <c r="OQG125" s="3"/>
      <c r="OQH125" s="3"/>
      <c r="OQI125" s="3"/>
      <c r="OQJ125" s="3"/>
      <c r="OQK125" s="3"/>
      <c r="OQL125" s="3"/>
      <c r="OQM125" s="3"/>
      <c r="OQN125" s="3"/>
      <c r="OQO125" s="3"/>
      <c r="OQP125" s="3"/>
      <c r="OQQ125" s="3"/>
      <c r="OQR125" s="3"/>
      <c r="OQS125" s="3"/>
      <c r="OQT125" s="3"/>
      <c r="OQU125" s="3"/>
      <c r="OQV125" s="3"/>
      <c r="OQW125" s="3"/>
      <c r="OQX125" s="3"/>
      <c r="OQY125" s="3"/>
      <c r="OQZ125" s="3"/>
      <c r="ORA125" s="3"/>
      <c r="ORB125" s="3"/>
      <c r="ORC125" s="3"/>
      <c r="ORD125" s="3"/>
      <c r="ORE125" s="3"/>
      <c r="ORF125" s="3"/>
      <c r="ORG125" s="3"/>
      <c r="ORH125" s="3"/>
      <c r="ORI125" s="3"/>
      <c r="ORJ125" s="3"/>
      <c r="ORK125" s="3"/>
      <c r="ORL125" s="3"/>
      <c r="ORM125" s="3"/>
      <c r="ORN125" s="3"/>
      <c r="ORO125" s="3"/>
      <c r="ORP125" s="3"/>
      <c r="ORQ125" s="3"/>
      <c r="ORR125" s="3"/>
      <c r="ORS125" s="3"/>
      <c r="ORT125" s="3"/>
      <c r="ORU125" s="3"/>
      <c r="ORV125" s="3"/>
      <c r="ORW125" s="3"/>
      <c r="ORX125" s="3"/>
      <c r="ORY125" s="3"/>
      <c r="ORZ125" s="3"/>
      <c r="OSA125" s="3"/>
      <c r="OSB125" s="3"/>
      <c r="OSC125" s="3"/>
      <c r="OSD125" s="3"/>
      <c r="OSE125" s="3"/>
      <c r="OSF125" s="3"/>
      <c r="OSG125" s="3"/>
      <c r="OSH125" s="3"/>
      <c r="OSI125" s="3"/>
      <c r="OSJ125" s="3"/>
      <c r="OSK125" s="3"/>
      <c r="OSL125" s="3"/>
      <c r="OSM125" s="3"/>
      <c r="OSN125" s="3"/>
      <c r="OSO125" s="3"/>
      <c r="OSP125" s="3"/>
      <c r="OSQ125" s="3"/>
      <c r="OSR125" s="3"/>
      <c r="OSS125" s="3"/>
      <c r="OST125" s="3"/>
      <c r="OSU125" s="3"/>
      <c r="OSV125" s="3"/>
      <c r="OSW125" s="3"/>
      <c r="OSX125" s="3"/>
      <c r="OSY125" s="3"/>
      <c r="OSZ125" s="3"/>
      <c r="OTA125" s="3"/>
      <c r="OTB125" s="3"/>
      <c r="OTC125" s="3"/>
      <c r="OTD125" s="3"/>
      <c r="OTE125" s="3"/>
      <c r="OTF125" s="3"/>
      <c r="OTG125" s="3"/>
      <c r="OTH125" s="3"/>
      <c r="OTI125" s="3"/>
      <c r="OTJ125" s="3"/>
      <c r="OTK125" s="3"/>
      <c r="OTL125" s="3"/>
      <c r="OTM125" s="3"/>
      <c r="OTN125" s="3"/>
      <c r="OTO125" s="3"/>
      <c r="OTP125" s="3"/>
      <c r="OTQ125" s="3"/>
      <c r="OTR125" s="3"/>
      <c r="OTS125" s="3"/>
      <c r="OTT125" s="3"/>
      <c r="OTU125" s="3"/>
      <c r="OTV125" s="3"/>
      <c r="OTW125" s="3"/>
      <c r="OTX125" s="3"/>
      <c r="OTY125" s="3"/>
      <c r="OTZ125" s="3"/>
      <c r="OUA125" s="3"/>
      <c r="OUB125" s="3"/>
      <c r="OUC125" s="3"/>
      <c r="OUD125" s="3"/>
      <c r="OUE125" s="3"/>
      <c r="OUF125" s="3"/>
      <c r="OUG125" s="3"/>
      <c r="OUH125" s="3"/>
      <c r="OUI125" s="3"/>
      <c r="OUJ125" s="3"/>
      <c r="OUK125" s="3"/>
      <c r="OUL125" s="3"/>
      <c r="OUM125" s="3"/>
      <c r="OUN125" s="3"/>
      <c r="OUO125" s="3"/>
      <c r="OUP125" s="3"/>
      <c r="OUQ125" s="3"/>
      <c r="OUR125" s="3"/>
      <c r="OUS125" s="3"/>
      <c r="OUT125" s="3"/>
      <c r="OUU125" s="3"/>
      <c r="OUV125" s="3"/>
      <c r="OUW125" s="3"/>
      <c r="OUX125" s="3"/>
      <c r="OUY125" s="3"/>
      <c r="OUZ125" s="3"/>
      <c r="OVA125" s="3"/>
      <c r="OVB125" s="3"/>
      <c r="OVC125" s="3"/>
      <c r="OVD125" s="3"/>
      <c r="OVE125" s="3"/>
      <c r="OVF125" s="3"/>
      <c r="OVG125" s="3"/>
      <c r="OVH125" s="3"/>
      <c r="OVI125" s="3"/>
      <c r="OVJ125" s="3"/>
      <c r="OVK125" s="3"/>
      <c r="OVL125" s="3"/>
      <c r="OVM125" s="3"/>
      <c r="OVN125" s="3"/>
      <c r="OVO125" s="3"/>
      <c r="OVP125" s="3"/>
      <c r="OVQ125" s="3"/>
      <c r="OVR125" s="3"/>
      <c r="OVS125" s="3"/>
      <c r="OVT125" s="3"/>
      <c r="OVU125" s="3"/>
      <c r="OVV125" s="3"/>
      <c r="OVW125" s="3"/>
      <c r="OVX125" s="3"/>
      <c r="OVY125" s="3"/>
      <c r="OVZ125" s="3"/>
      <c r="OWA125" s="3"/>
      <c r="OWB125" s="3"/>
      <c r="OWC125" s="3"/>
      <c r="OWD125" s="3"/>
      <c r="OWE125" s="3"/>
      <c r="OWF125" s="3"/>
      <c r="OWG125" s="3"/>
      <c r="OWH125" s="3"/>
      <c r="OWI125" s="3"/>
      <c r="OWJ125" s="3"/>
      <c r="OWK125" s="3"/>
      <c r="OWL125" s="3"/>
      <c r="OWM125" s="3"/>
      <c r="OWN125" s="3"/>
      <c r="OWO125" s="3"/>
      <c r="OWP125" s="3"/>
      <c r="OWQ125" s="3"/>
      <c r="OWR125" s="3"/>
      <c r="OWS125" s="3"/>
      <c r="OWT125" s="3"/>
      <c r="OWU125" s="3"/>
      <c r="OWV125" s="3"/>
      <c r="OWW125" s="3"/>
      <c r="OWX125" s="3"/>
      <c r="OWY125" s="3"/>
      <c r="OWZ125" s="3"/>
      <c r="OXA125" s="3"/>
      <c r="OXB125" s="3"/>
      <c r="OXC125" s="3"/>
      <c r="OXD125" s="3"/>
      <c r="OXE125" s="3"/>
      <c r="OXF125" s="3"/>
      <c r="OXG125" s="3"/>
      <c r="OXH125" s="3"/>
      <c r="OXI125" s="3"/>
      <c r="OXJ125" s="3"/>
      <c r="OXK125" s="3"/>
      <c r="OXL125" s="3"/>
      <c r="OXM125" s="3"/>
      <c r="OXN125" s="3"/>
      <c r="OXO125" s="3"/>
      <c r="OXP125" s="3"/>
      <c r="OXQ125" s="3"/>
      <c r="OXR125" s="3"/>
      <c r="OXS125" s="3"/>
      <c r="OXT125" s="3"/>
      <c r="OXU125" s="3"/>
      <c r="OXV125" s="3"/>
      <c r="OXW125" s="3"/>
      <c r="OXX125" s="3"/>
      <c r="OXY125" s="3"/>
      <c r="OXZ125" s="3"/>
      <c r="OYA125" s="3"/>
      <c r="OYB125" s="3"/>
      <c r="OYC125" s="3"/>
      <c r="OYD125" s="3"/>
      <c r="OYE125" s="3"/>
      <c r="OYF125" s="3"/>
      <c r="OYG125" s="3"/>
      <c r="OYH125" s="3"/>
      <c r="OYI125" s="3"/>
      <c r="OYJ125" s="3"/>
      <c r="OYK125" s="3"/>
      <c r="OYL125" s="3"/>
      <c r="OYM125" s="3"/>
      <c r="OYN125" s="3"/>
      <c r="OYO125" s="3"/>
      <c r="OYP125" s="3"/>
      <c r="OYQ125" s="3"/>
      <c r="OYR125" s="3"/>
      <c r="OYS125" s="3"/>
      <c r="OYT125" s="3"/>
      <c r="OYU125" s="3"/>
      <c r="OYV125" s="3"/>
      <c r="OYW125" s="3"/>
      <c r="OYX125" s="3"/>
      <c r="OYY125" s="3"/>
      <c r="OYZ125" s="3"/>
      <c r="OZA125" s="3"/>
      <c r="OZB125" s="3"/>
      <c r="OZC125" s="3"/>
      <c r="OZD125" s="3"/>
      <c r="OZE125" s="3"/>
      <c r="OZF125" s="3"/>
      <c r="OZG125" s="3"/>
      <c r="OZH125" s="3"/>
      <c r="OZI125" s="3"/>
      <c r="OZJ125" s="3"/>
      <c r="OZK125" s="3"/>
      <c r="OZL125" s="3"/>
      <c r="OZM125" s="3"/>
      <c r="OZN125" s="3"/>
      <c r="OZO125" s="3"/>
      <c r="OZP125" s="3"/>
      <c r="OZQ125" s="3"/>
      <c r="OZR125" s="3"/>
      <c r="OZS125" s="3"/>
      <c r="OZT125" s="3"/>
      <c r="OZU125" s="3"/>
      <c r="OZV125" s="3"/>
      <c r="OZW125" s="3"/>
      <c r="OZX125" s="3"/>
      <c r="OZY125" s="3"/>
      <c r="OZZ125" s="3"/>
      <c r="PAA125" s="3"/>
      <c r="PAB125" s="3"/>
      <c r="PAC125" s="3"/>
      <c r="PAD125" s="3"/>
      <c r="PAE125" s="3"/>
      <c r="PAF125" s="3"/>
      <c r="PAG125" s="3"/>
      <c r="PAH125" s="3"/>
      <c r="PAI125" s="3"/>
      <c r="PAJ125" s="3"/>
      <c r="PAK125" s="3"/>
      <c r="PAL125" s="3"/>
      <c r="PAM125" s="3"/>
      <c r="PAN125" s="3"/>
      <c r="PAO125" s="3"/>
      <c r="PAP125" s="3"/>
      <c r="PAQ125" s="3"/>
      <c r="PAR125" s="3"/>
      <c r="PAS125" s="3"/>
      <c r="PAT125" s="3"/>
      <c r="PAU125" s="3"/>
      <c r="PAV125" s="3"/>
      <c r="PAW125" s="3"/>
      <c r="PAX125" s="3"/>
      <c r="PAY125" s="3"/>
      <c r="PAZ125" s="3"/>
      <c r="PBA125" s="3"/>
      <c r="PBB125" s="3"/>
      <c r="PBC125" s="3"/>
      <c r="PBD125" s="3"/>
      <c r="PBE125" s="3"/>
      <c r="PBF125" s="3"/>
      <c r="PBG125" s="3"/>
      <c r="PBH125" s="3"/>
      <c r="PBI125" s="3"/>
      <c r="PBJ125" s="3"/>
      <c r="PBK125" s="3"/>
      <c r="PBL125" s="3"/>
      <c r="PBM125" s="3"/>
      <c r="PBN125" s="3"/>
      <c r="PBO125" s="3"/>
      <c r="PBP125" s="3"/>
      <c r="PBQ125" s="3"/>
      <c r="PBR125" s="3"/>
      <c r="PBS125" s="3"/>
      <c r="PBT125" s="3"/>
      <c r="PBU125" s="3"/>
      <c r="PBV125" s="3"/>
      <c r="PBW125" s="3"/>
      <c r="PBX125" s="3"/>
      <c r="PBY125" s="3"/>
      <c r="PBZ125" s="3"/>
      <c r="PCA125" s="3"/>
      <c r="PCB125" s="3"/>
      <c r="PCC125" s="3"/>
      <c r="PCD125" s="3"/>
      <c r="PCE125" s="3"/>
      <c r="PCF125" s="3"/>
      <c r="PCG125" s="3"/>
      <c r="PCH125" s="3"/>
      <c r="PCI125" s="3"/>
      <c r="PCJ125" s="3"/>
      <c r="PCK125" s="3"/>
      <c r="PCL125" s="3"/>
      <c r="PCM125" s="3"/>
      <c r="PCN125" s="3"/>
      <c r="PCO125" s="3"/>
      <c r="PCP125" s="3"/>
      <c r="PCQ125" s="3"/>
      <c r="PCR125" s="3"/>
      <c r="PCS125" s="3"/>
      <c r="PCT125" s="3"/>
      <c r="PCU125" s="3"/>
      <c r="PCV125" s="3"/>
      <c r="PCW125" s="3"/>
      <c r="PCX125" s="3"/>
      <c r="PCY125" s="3"/>
      <c r="PCZ125" s="3"/>
      <c r="PDA125" s="3"/>
      <c r="PDB125" s="3"/>
      <c r="PDC125" s="3"/>
      <c r="PDD125" s="3"/>
      <c r="PDE125" s="3"/>
      <c r="PDF125" s="3"/>
      <c r="PDG125" s="3"/>
      <c r="PDH125" s="3"/>
      <c r="PDI125" s="3"/>
      <c r="PDJ125" s="3"/>
      <c r="PDK125" s="3"/>
      <c r="PDL125" s="3"/>
      <c r="PDM125" s="3"/>
      <c r="PDN125" s="3"/>
      <c r="PDO125" s="3"/>
      <c r="PDP125" s="3"/>
      <c r="PDQ125" s="3"/>
      <c r="PDR125" s="3"/>
      <c r="PDS125" s="3"/>
      <c r="PDT125" s="3"/>
      <c r="PDU125" s="3"/>
      <c r="PDV125" s="3"/>
      <c r="PDW125" s="3"/>
      <c r="PDX125" s="3"/>
      <c r="PDY125" s="3"/>
      <c r="PDZ125" s="3"/>
      <c r="PEA125" s="3"/>
      <c r="PEB125" s="3"/>
      <c r="PEC125" s="3"/>
      <c r="PED125" s="3"/>
      <c r="PEE125" s="3"/>
      <c r="PEF125" s="3"/>
      <c r="PEG125" s="3"/>
      <c r="PEH125" s="3"/>
      <c r="PEI125" s="3"/>
      <c r="PEJ125" s="3"/>
      <c r="PEK125" s="3"/>
      <c r="PEL125" s="3"/>
      <c r="PEM125" s="3"/>
      <c r="PEN125" s="3"/>
      <c r="PEO125" s="3"/>
      <c r="PEP125" s="3"/>
      <c r="PEQ125" s="3"/>
      <c r="PER125" s="3"/>
      <c r="PES125" s="3"/>
      <c r="PET125" s="3"/>
      <c r="PEU125" s="3"/>
      <c r="PEV125" s="3"/>
      <c r="PEW125" s="3"/>
      <c r="PEX125" s="3"/>
      <c r="PEY125" s="3"/>
      <c r="PEZ125" s="3"/>
      <c r="PFA125" s="3"/>
      <c r="PFB125" s="3"/>
      <c r="PFC125" s="3"/>
      <c r="PFD125" s="3"/>
      <c r="PFE125" s="3"/>
      <c r="PFF125" s="3"/>
      <c r="PFG125" s="3"/>
      <c r="PFH125" s="3"/>
      <c r="PFI125" s="3"/>
      <c r="PFJ125" s="3"/>
      <c r="PFK125" s="3"/>
      <c r="PFL125" s="3"/>
      <c r="PFM125" s="3"/>
      <c r="PFN125" s="3"/>
      <c r="PFO125" s="3"/>
      <c r="PFP125" s="3"/>
      <c r="PFQ125" s="3"/>
      <c r="PFR125" s="3"/>
      <c r="PFS125" s="3"/>
      <c r="PFT125" s="3"/>
      <c r="PFU125" s="3"/>
      <c r="PFV125" s="3"/>
      <c r="PFW125" s="3"/>
      <c r="PFX125" s="3"/>
      <c r="PFY125" s="3"/>
      <c r="PFZ125" s="3"/>
      <c r="PGA125" s="3"/>
      <c r="PGB125" s="3"/>
      <c r="PGC125" s="3"/>
      <c r="PGD125" s="3"/>
      <c r="PGE125" s="3"/>
      <c r="PGF125" s="3"/>
      <c r="PGG125" s="3"/>
      <c r="PGH125" s="3"/>
      <c r="PGI125" s="3"/>
      <c r="PGJ125" s="3"/>
      <c r="PGK125" s="3"/>
      <c r="PGL125" s="3"/>
      <c r="PGM125" s="3"/>
      <c r="PGN125" s="3"/>
      <c r="PGO125" s="3"/>
      <c r="PGP125" s="3"/>
      <c r="PGQ125" s="3"/>
      <c r="PGR125" s="3"/>
      <c r="PGS125" s="3"/>
      <c r="PGT125" s="3"/>
      <c r="PGU125" s="3"/>
      <c r="PGV125" s="3"/>
      <c r="PGW125" s="3"/>
      <c r="PGX125" s="3"/>
      <c r="PGY125" s="3"/>
      <c r="PGZ125" s="3"/>
      <c r="PHA125" s="3"/>
      <c r="PHB125" s="3"/>
      <c r="PHC125" s="3"/>
      <c r="PHD125" s="3"/>
      <c r="PHE125" s="3"/>
      <c r="PHF125" s="3"/>
      <c r="PHG125" s="3"/>
      <c r="PHH125" s="3"/>
      <c r="PHI125" s="3"/>
      <c r="PHJ125" s="3"/>
      <c r="PHK125" s="3"/>
      <c r="PHL125" s="3"/>
      <c r="PHM125" s="3"/>
      <c r="PHN125" s="3"/>
      <c r="PHO125" s="3"/>
      <c r="PHP125" s="3"/>
      <c r="PHQ125" s="3"/>
      <c r="PHR125" s="3"/>
      <c r="PHS125" s="3"/>
      <c r="PHT125" s="3"/>
      <c r="PHU125" s="3"/>
      <c r="PHV125" s="3"/>
      <c r="PHW125" s="3"/>
      <c r="PHX125" s="3"/>
      <c r="PHY125" s="3"/>
      <c r="PHZ125" s="3"/>
      <c r="PIA125" s="3"/>
      <c r="PIB125" s="3"/>
      <c r="PIC125" s="3"/>
      <c r="PID125" s="3"/>
      <c r="PIE125" s="3"/>
      <c r="PIF125" s="3"/>
      <c r="PIG125" s="3"/>
      <c r="PIH125" s="3"/>
      <c r="PII125" s="3"/>
      <c r="PIJ125" s="3"/>
      <c r="PIK125" s="3"/>
      <c r="PIL125" s="3"/>
      <c r="PIM125" s="3"/>
      <c r="PIN125" s="3"/>
      <c r="PIO125" s="3"/>
      <c r="PIP125" s="3"/>
      <c r="PIQ125" s="3"/>
      <c r="PIR125" s="3"/>
      <c r="PIS125" s="3"/>
      <c r="PIT125" s="3"/>
      <c r="PIU125" s="3"/>
      <c r="PIV125" s="3"/>
      <c r="PIW125" s="3"/>
      <c r="PIX125" s="3"/>
      <c r="PIY125" s="3"/>
      <c r="PIZ125" s="3"/>
      <c r="PJA125" s="3"/>
      <c r="PJB125" s="3"/>
      <c r="PJC125" s="3"/>
      <c r="PJD125" s="3"/>
      <c r="PJE125" s="3"/>
      <c r="PJF125" s="3"/>
      <c r="PJG125" s="3"/>
      <c r="PJH125" s="3"/>
      <c r="PJI125" s="3"/>
      <c r="PJJ125" s="3"/>
      <c r="PJK125" s="3"/>
      <c r="PJL125" s="3"/>
      <c r="PJM125" s="3"/>
      <c r="PJN125" s="3"/>
      <c r="PJO125" s="3"/>
      <c r="PJP125" s="3"/>
      <c r="PJQ125" s="3"/>
      <c r="PJR125" s="3"/>
      <c r="PJS125" s="3"/>
      <c r="PJT125" s="3"/>
      <c r="PJU125" s="3"/>
      <c r="PJV125" s="3"/>
      <c r="PJW125" s="3"/>
      <c r="PJX125" s="3"/>
      <c r="PJY125" s="3"/>
      <c r="PJZ125" s="3"/>
      <c r="PKA125" s="3"/>
      <c r="PKB125" s="3"/>
      <c r="PKC125" s="3"/>
      <c r="PKD125" s="3"/>
      <c r="PKE125" s="3"/>
      <c r="PKF125" s="3"/>
      <c r="PKG125" s="3"/>
      <c r="PKH125" s="3"/>
      <c r="PKI125" s="3"/>
      <c r="PKJ125" s="3"/>
      <c r="PKK125" s="3"/>
      <c r="PKL125" s="3"/>
      <c r="PKM125" s="3"/>
      <c r="PKN125" s="3"/>
      <c r="PKO125" s="3"/>
      <c r="PKP125" s="3"/>
      <c r="PKQ125" s="3"/>
      <c r="PKR125" s="3"/>
      <c r="PKS125" s="3"/>
      <c r="PKT125" s="3"/>
      <c r="PKU125" s="3"/>
      <c r="PKV125" s="3"/>
      <c r="PKW125" s="3"/>
      <c r="PKX125" s="3"/>
      <c r="PKY125" s="3"/>
      <c r="PKZ125" s="3"/>
      <c r="PLA125" s="3"/>
      <c r="PLB125" s="3"/>
      <c r="PLC125" s="3"/>
      <c r="PLD125" s="3"/>
      <c r="PLE125" s="3"/>
      <c r="PLF125" s="3"/>
      <c r="PLG125" s="3"/>
      <c r="PLH125" s="3"/>
      <c r="PLI125" s="3"/>
      <c r="PLJ125" s="3"/>
      <c r="PLK125" s="3"/>
      <c r="PLL125" s="3"/>
      <c r="PLM125" s="3"/>
      <c r="PLN125" s="3"/>
      <c r="PLO125" s="3"/>
      <c r="PLP125" s="3"/>
      <c r="PLQ125" s="3"/>
      <c r="PLR125" s="3"/>
      <c r="PLS125" s="3"/>
      <c r="PLT125" s="3"/>
      <c r="PLU125" s="3"/>
      <c r="PLV125" s="3"/>
      <c r="PLW125" s="3"/>
      <c r="PLX125" s="3"/>
      <c r="PLY125" s="3"/>
      <c r="PLZ125" s="3"/>
      <c r="PMA125" s="3"/>
      <c r="PMB125" s="3"/>
      <c r="PMC125" s="3"/>
      <c r="PMD125" s="3"/>
      <c r="PME125" s="3"/>
      <c r="PMF125" s="3"/>
      <c r="PMG125" s="3"/>
      <c r="PMH125" s="3"/>
      <c r="PMI125" s="3"/>
      <c r="PMJ125" s="3"/>
      <c r="PMK125" s="3"/>
      <c r="PML125" s="3"/>
      <c r="PMM125" s="3"/>
      <c r="PMN125" s="3"/>
      <c r="PMO125" s="3"/>
      <c r="PMP125" s="3"/>
      <c r="PMQ125" s="3"/>
      <c r="PMR125" s="3"/>
      <c r="PMS125" s="3"/>
      <c r="PMT125" s="3"/>
      <c r="PMU125" s="3"/>
      <c r="PMV125" s="3"/>
      <c r="PMW125" s="3"/>
      <c r="PMX125" s="3"/>
      <c r="PMY125" s="3"/>
      <c r="PMZ125" s="3"/>
      <c r="PNA125" s="3"/>
      <c r="PNB125" s="3"/>
      <c r="PNC125" s="3"/>
      <c r="PND125" s="3"/>
      <c r="PNE125" s="3"/>
      <c r="PNF125" s="3"/>
      <c r="PNG125" s="3"/>
      <c r="PNH125" s="3"/>
      <c r="PNI125" s="3"/>
      <c r="PNJ125" s="3"/>
      <c r="PNK125" s="3"/>
      <c r="PNL125" s="3"/>
      <c r="PNM125" s="3"/>
      <c r="PNN125" s="3"/>
      <c r="PNO125" s="3"/>
      <c r="PNP125" s="3"/>
      <c r="PNQ125" s="3"/>
      <c r="PNR125" s="3"/>
      <c r="PNS125" s="3"/>
      <c r="PNT125" s="3"/>
      <c r="PNU125" s="3"/>
      <c r="PNV125" s="3"/>
      <c r="PNW125" s="3"/>
      <c r="PNX125" s="3"/>
      <c r="PNY125" s="3"/>
      <c r="PNZ125" s="3"/>
      <c r="POA125" s="3"/>
      <c r="POB125" s="3"/>
      <c r="POC125" s="3"/>
      <c r="POD125" s="3"/>
      <c r="POE125" s="3"/>
      <c r="POF125" s="3"/>
      <c r="POG125" s="3"/>
      <c r="POH125" s="3"/>
      <c r="POI125" s="3"/>
      <c r="POJ125" s="3"/>
      <c r="POK125" s="3"/>
      <c r="POL125" s="3"/>
      <c r="POM125" s="3"/>
      <c r="PON125" s="3"/>
      <c r="POO125" s="3"/>
      <c r="POP125" s="3"/>
      <c r="POQ125" s="3"/>
      <c r="POR125" s="3"/>
      <c r="POS125" s="3"/>
      <c r="POT125" s="3"/>
      <c r="POU125" s="3"/>
      <c r="POV125" s="3"/>
      <c r="POW125" s="3"/>
      <c r="POX125" s="3"/>
      <c r="POY125" s="3"/>
      <c r="POZ125" s="3"/>
      <c r="PPA125" s="3"/>
      <c r="PPB125" s="3"/>
      <c r="PPC125" s="3"/>
      <c r="PPD125" s="3"/>
      <c r="PPE125" s="3"/>
      <c r="PPF125" s="3"/>
      <c r="PPG125" s="3"/>
      <c r="PPH125" s="3"/>
      <c r="PPI125" s="3"/>
      <c r="PPJ125" s="3"/>
      <c r="PPK125" s="3"/>
      <c r="PPL125" s="3"/>
      <c r="PPM125" s="3"/>
      <c r="PPN125" s="3"/>
      <c r="PPO125" s="3"/>
      <c r="PPP125" s="3"/>
      <c r="PPQ125" s="3"/>
      <c r="PPR125" s="3"/>
      <c r="PPS125" s="3"/>
      <c r="PPT125" s="3"/>
      <c r="PPU125" s="3"/>
      <c r="PPV125" s="3"/>
      <c r="PPW125" s="3"/>
      <c r="PPX125" s="3"/>
      <c r="PPY125" s="3"/>
      <c r="PPZ125" s="3"/>
      <c r="PQA125" s="3"/>
      <c r="PQB125" s="3"/>
      <c r="PQC125" s="3"/>
      <c r="PQD125" s="3"/>
      <c r="PQE125" s="3"/>
      <c r="PQF125" s="3"/>
      <c r="PQG125" s="3"/>
      <c r="PQH125" s="3"/>
      <c r="PQI125" s="3"/>
      <c r="PQJ125" s="3"/>
      <c r="PQK125" s="3"/>
      <c r="PQL125" s="3"/>
      <c r="PQM125" s="3"/>
      <c r="PQN125" s="3"/>
      <c r="PQO125" s="3"/>
      <c r="PQP125" s="3"/>
      <c r="PQQ125" s="3"/>
      <c r="PQR125" s="3"/>
      <c r="PQS125" s="3"/>
      <c r="PQT125" s="3"/>
      <c r="PQU125" s="3"/>
      <c r="PQV125" s="3"/>
      <c r="PQW125" s="3"/>
      <c r="PQX125" s="3"/>
      <c r="PQY125" s="3"/>
      <c r="PQZ125" s="3"/>
      <c r="PRA125" s="3"/>
      <c r="PRB125" s="3"/>
      <c r="PRC125" s="3"/>
      <c r="PRD125" s="3"/>
      <c r="PRE125" s="3"/>
      <c r="PRF125" s="3"/>
      <c r="PRG125" s="3"/>
      <c r="PRH125" s="3"/>
      <c r="PRI125" s="3"/>
      <c r="PRJ125" s="3"/>
      <c r="PRK125" s="3"/>
      <c r="PRL125" s="3"/>
      <c r="PRM125" s="3"/>
      <c r="PRN125" s="3"/>
      <c r="PRO125" s="3"/>
      <c r="PRP125" s="3"/>
      <c r="PRQ125" s="3"/>
      <c r="PRR125" s="3"/>
      <c r="PRS125" s="3"/>
      <c r="PRT125" s="3"/>
      <c r="PRU125" s="3"/>
      <c r="PRV125" s="3"/>
      <c r="PRW125" s="3"/>
      <c r="PRX125" s="3"/>
      <c r="PRY125" s="3"/>
      <c r="PRZ125" s="3"/>
      <c r="PSA125" s="3"/>
      <c r="PSB125" s="3"/>
      <c r="PSC125" s="3"/>
      <c r="PSD125" s="3"/>
      <c r="PSE125" s="3"/>
      <c r="PSF125" s="3"/>
      <c r="PSG125" s="3"/>
      <c r="PSH125" s="3"/>
      <c r="PSI125" s="3"/>
      <c r="PSJ125" s="3"/>
      <c r="PSK125" s="3"/>
      <c r="PSL125" s="3"/>
      <c r="PSM125" s="3"/>
      <c r="PSN125" s="3"/>
      <c r="PSO125" s="3"/>
      <c r="PSP125" s="3"/>
      <c r="PSQ125" s="3"/>
      <c r="PSR125" s="3"/>
      <c r="PSS125" s="3"/>
      <c r="PST125" s="3"/>
      <c r="PSU125" s="3"/>
      <c r="PSV125" s="3"/>
      <c r="PSW125" s="3"/>
      <c r="PSX125" s="3"/>
      <c r="PSY125" s="3"/>
      <c r="PSZ125" s="3"/>
      <c r="PTA125" s="3"/>
      <c r="PTB125" s="3"/>
      <c r="PTC125" s="3"/>
      <c r="PTD125" s="3"/>
      <c r="PTE125" s="3"/>
      <c r="PTF125" s="3"/>
      <c r="PTG125" s="3"/>
      <c r="PTH125" s="3"/>
      <c r="PTI125" s="3"/>
      <c r="PTJ125" s="3"/>
      <c r="PTK125" s="3"/>
      <c r="PTL125" s="3"/>
      <c r="PTM125" s="3"/>
      <c r="PTN125" s="3"/>
      <c r="PTO125" s="3"/>
      <c r="PTP125" s="3"/>
      <c r="PTQ125" s="3"/>
      <c r="PTR125" s="3"/>
      <c r="PTS125" s="3"/>
      <c r="PTT125" s="3"/>
      <c r="PTU125" s="3"/>
      <c r="PTV125" s="3"/>
      <c r="PTW125" s="3"/>
      <c r="PTX125" s="3"/>
      <c r="PTY125" s="3"/>
      <c r="PTZ125" s="3"/>
      <c r="PUA125" s="3"/>
      <c r="PUB125" s="3"/>
      <c r="PUC125" s="3"/>
      <c r="PUD125" s="3"/>
      <c r="PUE125" s="3"/>
      <c r="PUF125" s="3"/>
      <c r="PUG125" s="3"/>
      <c r="PUH125" s="3"/>
      <c r="PUI125" s="3"/>
      <c r="PUJ125" s="3"/>
      <c r="PUK125" s="3"/>
      <c r="PUL125" s="3"/>
      <c r="PUM125" s="3"/>
      <c r="PUN125" s="3"/>
      <c r="PUO125" s="3"/>
      <c r="PUP125" s="3"/>
      <c r="PUQ125" s="3"/>
      <c r="PUR125" s="3"/>
      <c r="PUS125" s="3"/>
      <c r="PUT125" s="3"/>
      <c r="PUU125" s="3"/>
      <c r="PUV125" s="3"/>
      <c r="PUW125" s="3"/>
      <c r="PUX125" s="3"/>
      <c r="PUY125" s="3"/>
      <c r="PUZ125" s="3"/>
      <c r="PVA125" s="3"/>
      <c r="PVB125" s="3"/>
      <c r="PVC125" s="3"/>
      <c r="PVD125" s="3"/>
      <c r="PVE125" s="3"/>
      <c r="PVF125" s="3"/>
      <c r="PVG125" s="3"/>
      <c r="PVH125" s="3"/>
      <c r="PVI125" s="3"/>
      <c r="PVJ125" s="3"/>
      <c r="PVK125" s="3"/>
      <c r="PVL125" s="3"/>
      <c r="PVM125" s="3"/>
      <c r="PVN125" s="3"/>
      <c r="PVO125" s="3"/>
      <c r="PVP125" s="3"/>
      <c r="PVQ125" s="3"/>
      <c r="PVR125" s="3"/>
      <c r="PVS125" s="3"/>
      <c r="PVT125" s="3"/>
      <c r="PVU125" s="3"/>
      <c r="PVV125" s="3"/>
      <c r="PVW125" s="3"/>
      <c r="PVX125" s="3"/>
      <c r="PVY125" s="3"/>
      <c r="PVZ125" s="3"/>
      <c r="PWA125" s="3"/>
      <c r="PWB125" s="3"/>
      <c r="PWC125" s="3"/>
      <c r="PWD125" s="3"/>
      <c r="PWE125" s="3"/>
      <c r="PWF125" s="3"/>
      <c r="PWG125" s="3"/>
      <c r="PWH125" s="3"/>
      <c r="PWI125" s="3"/>
      <c r="PWJ125" s="3"/>
      <c r="PWK125" s="3"/>
      <c r="PWL125" s="3"/>
      <c r="PWM125" s="3"/>
      <c r="PWN125" s="3"/>
      <c r="PWO125" s="3"/>
      <c r="PWP125" s="3"/>
      <c r="PWQ125" s="3"/>
      <c r="PWR125" s="3"/>
      <c r="PWS125" s="3"/>
      <c r="PWT125" s="3"/>
      <c r="PWU125" s="3"/>
      <c r="PWV125" s="3"/>
      <c r="PWW125" s="3"/>
      <c r="PWX125" s="3"/>
      <c r="PWY125" s="3"/>
      <c r="PWZ125" s="3"/>
      <c r="PXA125" s="3"/>
      <c r="PXB125" s="3"/>
      <c r="PXC125" s="3"/>
      <c r="PXD125" s="3"/>
      <c r="PXE125" s="3"/>
      <c r="PXF125" s="3"/>
      <c r="PXG125" s="3"/>
      <c r="PXH125" s="3"/>
      <c r="PXI125" s="3"/>
      <c r="PXJ125" s="3"/>
      <c r="PXK125" s="3"/>
      <c r="PXL125" s="3"/>
      <c r="PXM125" s="3"/>
      <c r="PXN125" s="3"/>
      <c r="PXO125" s="3"/>
      <c r="PXP125" s="3"/>
      <c r="PXQ125" s="3"/>
      <c r="PXR125" s="3"/>
      <c r="PXS125" s="3"/>
      <c r="PXT125" s="3"/>
      <c r="PXU125" s="3"/>
      <c r="PXV125" s="3"/>
      <c r="PXW125" s="3"/>
      <c r="PXX125" s="3"/>
      <c r="PXY125" s="3"/>
      <c r="PXZ125" s="3"/>
      <c r="PYA125" s="3"/>
      <c r="PYB125" s="3"/>
      <c r="PYC125" s="3"/>
      <c r="PYD125" s="3"/>
      <c r="PYE125" s="3"/>
      <c r="PYF125" s="3"/>
      <c r="PYG125" s="3"/>
      <c r="PYH125" s="3"/>
      <c r="PYI125" s="3"/>
      <c r="PYJ125" s="3"/>
      <c r="PYK125" s="3"/>
      <c r="PYL125" s="3"/>
      <c r="PYM125" s="3"/>
      <c r="PYN125" s="3"/>
      <c r="PYO125" s="3"/>
      <c r="PYP125" s="3"/>
      <c r="PYQ125" s="3"/>
      <c r="PYR125" s="3"/>
      <c r="PYS125" s="3"/>
      <c r="PYT125" s="3"/>
      <c r="PYU125" s="3"/>
      <c r="PYV125" s="3"/>
      <c r="PYW125" s="3"/>
      <c r="PYX125" s="3"/>
      <c r="PYY125" s="3"/>
      <c r="PYZ125" s="3"/>
      <c r="PZA125" s="3"/>
      <c r="PZB125" s="3"/>
      <c r="PZC125" s="3"/>
      <c r="PZD125" s="3"/>
      <c r="PZE125" s="3"/>
      <c r="PZF125" s="3"/>
      <c r="PZG125" s="3"/>
      <c r="PZH125" s="3"/>
      <c r="PZI125" s="3"/>
      <c r="PZJ125" s="3"/>
      <c r="PZK125" s="3"/>
      <c r="PZL125" s="3"/>
      <c r="PZM125" s="3"/>
      <c r="PZN125" s="3"/>
      <c r="PZO125" s="3"/>
      <c r="PZP125" s="3"/>
      <c r="PZQ125" s="3"/>
      <c r="PZR125" s="3"/>
      <c r="PZS125" s="3"/>
      <c r="PZT125" s="3"/>
      <c r="PZU125" s="3"/>
      <c r="PZV125" s="3"/>
      <c r="PZW125" s="3"/>
      <c r="PZX125" s="3"/>
      <c r="PZY125" s="3"/>
      <c r="PZZ125" s="3"/>
      <c r="QAA125" s="3"/>
      <c r="QAB125" s="3"/>
      <c r="QAC125" s="3"/>
      <c r="QAD125" s="3"/>
      <c r="QAE125" s="3"/>
      <c r="QAF125" s="3"/>
      <c r="QAG125" s="3"/>
      <c r="QAH125" s="3"/>
      <c r="QAI125" s="3"/>
      <c r="QAJ125" s="3"/>
      <c r="QAK125" s="3"/>
      <c r="QAL125" s="3"/>
      <c r="QAM125" s="3"/>
      <c r="QAN125" s="3"/>
      <c r="QAO125" s="3"/>
      <c r="QAP125" s="3"/>
      <c r="QAQ125" s="3"/>
      <c r="QAR125" s="3"/>
      <c r="QAS125" s="3"/>
      <c r="QAT125" s="3"/>
      <c r="QAU125" s="3"/>
      <c r="QAV125" s="3"/>
      <c r="QAW125" s="3"/>
      <c r="QAX125" s="3"/>
      <c r="QAY125" s="3"/>
      <c r="QAZ125" s="3"/>
      <c r="QBA125" s="3"/>
      <c r="QBB125" s="3"/>
      <c r="QBC125" s="3"/>
      <c r="QBD125" s="3"/>
      <c r="QBE125" s="3"/>
      <c r="QBF125" s="3"/>
      <c r="QBG125" s="3"/>
      <c r="QBH125" s="3"/>
      <c r="QBI125" s="3"/>
      <c r="QBJ125" s="3"/>
      <c r="QBK125" s="3"/>
      <c r="QBL125" s="3"/>
      <c r="QBM125" s="3"/>
      <c r="QBN125" s="3"/>
      <c r="QBO125" s="3"/>
      <c r="QBP125" s="3"/>
      <c r="QBQ125" s="3"/>
      <c r="QBR125" s="3"/>
      <c r="QBS125" s="3"/>
      <c r="QBT125" s="3"/>
      <c r="QBU125" s="3"/>
      <c r="QBV125" s="3"/>
      <c r="QBW125" s="3"/>
      <c r="QBX125" s="3"/>
      <c r="QBY125" s="3"/>
      <c r="QBZ125" s="3"/>
      <c r="QCA125" s="3"/>
      <c r="QCB125" s="3"/>
      <c r="QCC125" s="3"/>
      <c r="QCD125" s="3"/>
      <c r="QCE125" s="3"/>
      <c r="QCF125" s="3"/>
      <c r="QCG125" s="3"/>
      <c r="QCH125" s="3"/>
      <c r="QCI125" s="3"/>
      <c r="QCJ125" s="3"/>
      <c r="QCK125" s="3"/>
      <c r="QCL125" s="3"/>
      <c r="QCM125" s="3"/>
      <c r="QCN125" s="3"/>
      <c r="QCO125" s="3"/>
      <c r="QCP125" s="3"/>
      <c r="QCQ125" s="3"/>
      <c r="QCR125" s="3"/>
      <c r="QCS125" s="3"/>
      <c r="QCT125" s="3"/>
      <c r="QCU125" s="3"/>
      <c r="QCV125" s="3"/>
      <c r="QCW125" s="3"/>
      <c r="QCX125" s="3"/>
      <c r="QCY125" s="3"/>
      <c r="QCZ125" s="3"/>
      <c r="QDA125" s="3"/>
      <c r="QDB125" s="3"/>
      <c r="QDC125" s="3"/>
      <c r="QDD125" s="3"/>
      <c r="QDE125" s="3"/>
      <c r="QDF125" s="3"/>
      <c r="QDG125" s="3"/>
      <c r="QDH125" s="3"/>
      <c r="QDI125" s="3"/>
      <c r="QDJ125" s="3"/>
      <c r="QDK125" s="3"/>
      <c r="QDL125" s="3"/>
      <c r="QDM125" s="3"/>
      <c r="QDN125" s="3"/>
      <c r="QDO125" s="3"/>
      <c r="QDP125" s="3"/>
      <c r="QDQ125" s="3"/>
      <c r="QDR125" s="3"/>
      <c r="QDS125" s="3"/>
      <c r="QDT125" s="3"/>
      <c r="QDU125" s="3"/>
      <c r="QDV125" s="3"/>
      <c r="QDW125" s="3"/>
      <c r="QDX125" s="3"/>
      <c r="QDY125" s="3"/>
      <c r="QDZ125" s="3"/>
      <c r="QEA125" s="3"/>
      <c r="QEB125" s="3"/>
      <c r="QEC125" s="3"/>
      <c r="QED125" s="3"/>
      <c r="QEE125" s="3"/>
      <c r="QEF125" s="3"/>
      <c r="QEG125" s="3"/>
      <c r="QEH125" s="3"/>
      <c r="QEI125" s="3"/>
      <c r="QEJ125" s="3"/>
      <c r="QEK125" s="3"/>
      <c r="QEL125" s="3"/>
      <c r="QEM125" s="3"/>
      <c r="QEN125" s="3"/>
      <c r="QEO125" s="3"/>
      <c r="QEP125" s="3"/>
      <c r="QEQ125" s="3"/>
      <c r="QER125" s="3"/>
      <c r="QES125" s="3"/>
      <c r="QET125" s="3"/>
      <c r="QEU125" s="3"/>
      <c r="QEV125" s="3"/>
      <c r="QEW125" s="3"/>
      <c r="QEX125" s="3"/>
      <c r="QEY125" s="3"/>
      <c r="QEZ125" s="3"/>
      <c r="QFA125" s="3"/>
      <c r="QFB125" s="3"/>
      <c r="QFC125" s="3"/>
      <c r="QFD125" s="3"/>
      <c r="QFE125" s="3"/>
      <c r="QFF125" s="3"/>
      <c r="QFG125" s="3"/>
      <c r="QFH125" s="3"/>
      <c r="QFI125" s="3"/>
      <c r="QFJ125" s="3"/>
      <c r="QFK125" s="3"/>
      <c r="QFL125" s="3"/>
      <c r="QFM125" s="3"/>
      <c r="QFN125" s="3"/>
      <c r="QFO125" s="3"/>
      <c r="QFP125" s="3"/>
      <c r="QFQ125" s="3"/>
      <c r="QFR125" s="3"/>
      <c r="QFS125" s="3"/>
      <c r="QFT125" s="3"/>
      <c r="QFU125" s="3"/>
      <c r="QFV125" s="3"/>
      <c r="QFW125" s="3"/>
      <c r="QFX125" s="3"/>
      <c r="QFY125" s="3"/>
      <c r="QFZ125" s="3"/>
      <c r="QGA125" s="3"/>
      <c r="QGB125" s="3"/>
      <c r="QGC125" s="3"/>
      <c r="QGD125" s="3"/>
      <c r="QGE125" s="3"/>
      <c r="QGF125" s="3"/>
      <c r="QGG125" s="3"/>
      <c r="QGH125" s="3"/>
      <c r="QGI125" s="3"/>
      <c r="QGJ125" s="3"/>
      <c r="QGK125" s="3"/>
      <c r="QGL125" s="3"/>
      <c r="QGM125" s="3"/>
      <c r="QGN125" s="3"/>
      <c r="QGO125" s="3"/>
      <c r="QGP125" s="3"/>
      <c r="QGQ125" s="3"/>
      <c r="QGR125" s="3"/>
      <c r="QGS125" s="3"/>
      <c r="QGT125" s="3"/>
      <c r="QGU125" s="3"/>
      <c r="QGV125" s="3"/>
      <c r="QGW125" s="3"/>
      <c r="QGX125" s="3"/>
      <c r="QGY125" s="3"/>
      <c r="QGZ125" s="3"/>
      <c r="QHA125" s="3"/>
      <c r="QHB125" s="3"/>
      <c r="QHC125" s="3"/>
      <c r="QHD125" s="3"/>
      <c r="QHE125" s="3"/>
      <c r="QHF125" s="3"/>
      <c r="QHG125" s="3"/>
      <c r="QHH125" s="3"/>
      <c r="QHI125" s="3"/>
      <c r="QHJ125" s="3"/>
      <c r="QHK125" s="3"/>
      <c r="QHL125" s="3"/>
      <c r="QHM125" s="3"/>
      <c r="QHN125" s="3"/>
      <c r="QHO125" s="3"/>
      <c r="QHP125" s="3"/>
      <c r="QHQ125" s="3"/>
      <c r="QHR125" s="3"/>
      <c r="QHS125" s="3"/>
      <c r="QHT125" s="3"/>
      <c r="QHU125" s="3"/>
      <c r="QHV125" s="3"/>
      <c r="QHW125" s="3"/>
      <c r="QHX125" s="3"/>
      <c r="QHY125" s="3"/>
      <c r="QHZ125" s="3"/>
      <c r="QIA125" s="3"/>
      <c r="QIB125" s="3"/>
      <c r="QIC125" s="3"/>
      <c r="QID125" s="3"/>
      <c r="QIE125" s="3"/>
      <c r="QIF125" s="3"/>
      <c r="QIG125" s="3"/>
      <c r="QIH125" s="3"/>
      <c r="QII125" s="3"/>
      <c r="QIJ125" s="3"/>
      <c r="QIK125" s="3"/>
      <c r="QIL125" s="3"/>
      <c r="QIM125" s="3"/>
      <c r="QIN125" s="3"/>
      <c r="QIO125" s="3"/>
      <c r="QIP125" s="3"/>
      <c r="QIQ125" s="3"/>
      <c r="QIR125" s="3"/>
      <c r="QIS125" s="3"/>
      <c r="QIT125" s="3"/>
      <c r="QIU125" s="3"/>
      <c r="QIV125" s="3"/>
      <c r="QIW125" s="3"/>
      <c r="QIX125" s="3"/>
      <c r="QIY125" s="3"/>
      <c r="QIZ125" s="3"/>
      <c r="QJA125" s="3"/>
      <c r="QJB125" s="3"/>
      <c r="QJC125" s="3"/>
      <c r="QJD125" s="3"/>
      <c r="QJE125" s="3"/>
      <c r="QJF125" s="3"/>
      <c r="QJG125" s="3"/>
      <c r="QJH125" s="3"/>
      <c r="QJI125" s="3"/>
      <c r="QJJ125" s="3"/>
      <c r="QJK125" s="3"/>
      <c r="QJL125" s="3"/>
      <c r="QJM125" s="3"/>
      <c r="QJN125" s="3"/>
      <c r="QJO125" s="3"/>
      <c r="QJP125" s="3"/>
      <c r="QJQ125" s="3"/>
      <c r="QJR125" s="3"/>
      <c r="QJS125" s="3"/>
      <c r="QJT125" s="3"/>
      <c r="QJU125" s="3"/>
      <c r="QJV125" s="3"/>
      <c r="QJW125" s="3"/>
      <c r="QJX125" s="3"/>
      <c r="QJY125" s="3"/>
      <c r="QJZ125" s="3"/>
      <c r="QKA125" s="3"/>
      <c r="QKB125" s="3"/>
      <c r="QKC125" s="3"/>
      <c r="QKD125" s="3"/>
      <c r="QKE125" s="3"/>
      <c r="QKF125" s="3"/>
      <c r="QKG125" s="3"/>
      <c r="QKH125" s="3"/>
      <c r="QKI125" s="3"/>
      <c r="QKJ125" s="3"/>
      <c r="QKK125" s="3"/>
      <c r="QKL125" s="3"/>
      <c r="QKM125" s="3"/>
      <c r="QKN125" s="3"/>
      <c r="QKO125" s="3"/>
      <c r="QKP125" s="3"/>
      <c r="QKQ125" s="3"/>
      <c r="QKR125" s="3"/>
      <c r="QKS125" s="3"/>
      <c r="QKT125" s="3"/>
      <c r="QKU125" s="3"/>
      <c r="QKV125" s="3"/>
      <c r="QKW125" s="3"/>
      <c r="QKX125" s="3"/>
      <c r="QKY125" s="3"/>
      <c r="QKZ125" s="3"/>
      <c r="QLA125" s="3"/>
      <c r="QLB125" s="3"/>
      <c r="QLC125" s="3"/>
      <c r="QLD125" s="3"/>
      <c r="QLE125" s="3"/>
      <c r="QLF125" s="3"/>
      <c r="QLG125" s="3"/>
      <c r="QLH125" s="3"/>
      <c r="QLI125" s="3"/>
      <c r="QLJ125" s="3"/>
      <c r="QLK125" s="3"/>
      <c r="QLL125" s="3"/>
      <c r="QLM125" s="3"/>
      <c r="QLN125" s="3"/>
      <c r="QLO125" s="3"/>
      <c r="QLP125" s="3"/>
      <c r="QLQ125" s="3"/>
      <c r="QLR125" s="3"/>
      <c r="QLS125" s="3"/>
      <c r="QLT125" s="3"/>
      <c r="QLU125" s="3"/>
      <c r="QLV125" s="3"/>
      <c r="QLW125" s="3"/>
      <c r="QLX125" s="3"/>
      <c r="QLY125" s="3"/>
      <c r="QLZ125" s="3"/>
      <c r="QMA125" s="3"/>
      <c r="QMB125" s="3"/>
      <c r="QMC125" s="3"/>
      <c r="QMD125" s="3"/>
      <c r="QME125" s="3"/>
      <c r="QMF125" s="3"/>
      <c r="QMG125" s="3"/>
      <c r="QMH125" s="3"/>
      <c r="QMI125" s="3"/>
      <c r="QMJ125" s="3"/>
      <c r="QMK125" s="3"/>
      <c r="QML125" s="3"/>
      <c r="QMM125" s="3"/>
      <c r="QMN125" s="3"/>
      <c r="QMO125" s="3"/>
      <c r="QMP125" s="3"/>
      <c r="QMQ125" s="3"/>
      <c r="QMR125" s="3"/>
      <c r="QMS125" s="3"/>
      <c r="QMT125" s="3"/>
      <c r="QMU125" s="3"/>
      <c r="QMV125" s="3"/>
      <c r="QMW125" s="3"/>
      <c r="QMX125" s="3"/>
      <c r="QMY125" s="3"/>
      <c r="QMZ125" s="3"/>
      <c r="QNA125" s="3"/>
      <c r="QNB125" s="3"/>
      <c r="QNC125" s="3"/>
      <c r="QND125" s="3"/>
      <c r="QNE125" s="3"/>
      <c r="QNF125" s="3"/>
      <c r="QNG125" s="3"/>
      <c r="QNH125" s="3"/>
      <c r="QNI125" s="3"/>
      <c r="QNJ125" s="3"/>
      <c r="QNK125" s="3"/>
      <c r="QNL125" s="3"/>
      <c r="QNM125" s="3"/>
      <c r="QNN125" s="3"/>
      <c r="QNO125" s="3"/>
      <c r="QNP125" s="3"/>
      <c r="QNQ125" s="3"/>
      <c r="QNR125" s="3"/>
      <c r="QNS125" s="3"/>
      <c r="QNT125" s="3"/>
      <c r="QNU125" s="3"/>
      <c r="QNV125" s="3"/>
      <c r="QNW125" s="3"/>
      <c r="QNX125" s="3"/>
      <c r="QNY125" s="3"/>
      <c r="QNZ125" s="3"/>
      <c r="QOA125" s="3"/>
      <c r="QOB125" s="3"/>
      <c r="QOC125" s="3"/>
      <c r="QOD125" s="3"/>
      <c r="QOE125" s="3"/>
      <c r="QOF125" s="3"/>
      <c r="QOG125" s="3"/>
      <c r="QOH125" s="3"/>
      <c r="QOI125" s="3"/>
      <c r="QOJ125" s="3"/>
      <c r="QOK125" s="3"/>
      <c r="QOL125" s="3"/>
      <c r="QOM125" s="3"/>
      <c r="QON125" s="3"/>
      <c r="QOO125" s="3"/>
      <c r="QOP125" s="3"/>
      <c r="QOQ125" s="3"/>
      <c r="QOR125" s="3"/>
      <c r="QOS125" s="3"/>
      <c r="QOT125" s="3"/>
      <c r="QOU125" s="3"/>
      <c r="QOV125" s="3"/>
      <c r="QOW125" s="3"/>
      <c r="QOX125" s="3"/>
      <c r="QOY125" s="3"/>
      <c r="QOZ125" s="3"/>
      <c r="QPA125" s="3"/>
      <c r="QPB125" s="3"/>
      <c r="QPC125" s="3"/>
      <c r="QPD125" s="3"/>
      <c r="QPE125" s="3"/>
      <c r="QPF125" s="3"/>
      <c r="QPG125" s="3"/>
      <c r="QPH125" s="3"/>
      <c r="QPI125" s="3"/>
      <c r="QPJ125" s="3"/>
      <c r="QPK125" s="3"/>
      <c r="QPL125" s="3"/>
      <c r="QPM125" s="3"/>
      <c r="QPN125" s="3"/>
      <c r="QPO125" s="3"/>
      <c r="QPP125" s="3"/>
      <c r="QPQ125" s="3"/>
      <c r="QPR125" s="3"/>
      <c r="QPS125" s="3"/>
      <c r="QPT125" s="3"/>
      <c r="QPU125" s="3"/>
      <c r="QPV125" s="3"/>
      <c r="QPW125" s="3"/>
      <c r="QPX125" s="3"/>
      <c r="QPY125" s="3"/>
      <c r="QPZ125" s="3"/>
      <c r="QQA125" s="3"/>
      <c r="QQB125" s="3"/>
      <c r="QQC125" s="3"/>
      <c r="QQD125" s="3"/>
      <c r="QQE125" s="3"/>
      <c r="QQF125" s="3"/>
      <c r="QQG125" s="3"/>
      <c r="QQH125" s="3"/>
      <c r="QQI125" s="3"/>
      <c r="QQJ125" s="3"/>
      <c r="QQK125" s="3"/>
      <c r="QQL125" s="3"/>
      <c r="QQM125" s="3"/>
      <c r="QQN125" s="3"/>
      <c r="QQO125" s="3"/>
      <c r="QQP125" s="3"/>
      <c r="QQQ125" s="3"/>
      <c r="QQR125" s="3"/>
      <c r="QQS125" s="3"/>
      <c r="QQT125" s="3"/>
      <c r="QQU125" s="3"/>
      <c r="QQV125" s="3"/>
      <c r="QQW125" s="3"/>
      <c r="QQX125" s="3"/>
      <c r="QQY125" s="3"/>
      <c r="QQZ125" s="3"/>
      <c r="QRA125" s="3"/>
      <c r="QRB125" s="3"/>
      <c r="QRC125" s="3"/>
      <c r="QRD125" s="3"/>
      <c r="QRE125" s="3"/>
      <c r="QRF125" s="3"/>
      <c r="QRG125" s="3"/>
      <c r="QRH125" s="3"/>
      <c r="QRI125" s="3"/>
      <c r="QRJ125" s="3"/>
      <c r="QRK125" s="3"/>
      <c r="QRL125" s="3"/>
      <c r="QRM125" s="3"/>
      <c r="QRN125" s="3"/>
      <c r="QRO125" s="3"/>
      <c r="QRP125" s="3"/>
      <c r="QRQ125" s="3"/>
      <c r="QRR125" s="3"/>
      <c r="QRS125" s="3"/>
      <c r="QRT125" s="3"/>
      <c r="QRU125" s="3"/>
      <c r="QRV125" s="3"/>
      <c r="QRW125" s="3"/>
      <c r="QRX125" s="3"/>
      <c r="QRY125" s="3"/>
      <c r="QRZ125" s="3"/>
      <c r="QSA125" s="3"/>
      <c r="QSB125" s="3"/>
      <c r="QSC125" s="3"/>
      <c r="QSD125" s="3"/>
      <c r="QSE125" s="3"/>
      <c r="QSF125" s="3"/>
      <c r="QSG125" s="3"/>
      <c r="QSH125" s="3"/>
      <c r="QSI125" s="3"/>
      <c r="QSJ125" s="3"/>
      <c r="QSK125" s="3"/>
      <c r="QSL125" s="3"/>
      <c r="QSM125" s="3"/>
      <c r="QSN125" s="3"/>
      <c r="QSO125" s="3"/>
      <c r="QSP125" s="3"/>
      <c r="QSQ125" s="3"/>
      <c r="QSR125" s="3"/>
      <c r="QSS125" s="3"/>
      <c r="QST125" s="3"/>
      <c r="QSU125" s="3"/>
      <c r="QSV125" s="3"/>
      <c r="QSW125" s="3"/>
      <c r="QSX125" s="3"/>
      <c r="QSY125" s="3"/>
      <c r="QSZ125" s="3"/>
      <c r="QTA125" s="3"/>
      <c r="QTB125" s="3"/>
      <c r="QTC125" s="3"/>
      <c r="QTD125" s="3"/>
      <c r="QTE125" s="3"/>
      <c r="QTF125" s="3"/>
      <c r="QTG125" s="3"/>
      <c r="QTH125" s="3"/>
      <c r="QTI125" s="3"/>
      <c r="QTJ125" s="3"/>
      <c r="QTK125" s="3"/>
      <c r="QTL125" s="3"/>
      <c r="QTM125" s="3"/>
      <c r="QTN125" s="3"/>
      <c r="QTO125" s="3"/>
      <c r="QTP125" s="3"/>
      <c r="QTQ125" s="3"/>
      <c r="QTR125" s="3"/>
      <c r="QTS125" s="3"/>
      <c r="QTT125" s="3"/>
      <c r="QTU125" s="3"/>
      <c r="QTV125" s="3"/>
      <c r="QTW125" s="3"/>
      <c r="QTX125" s="3"/>
      <c r="QTY125" s="3"/>
      <c r="QTZ125" s="3"/>
      <c r="QUA125" s="3"/>
      <c r="QUB125" s="3"/>
      <c r="QUC125" s="3"/>
      <c r="QUD125" s="3"/>
      <c r="QUE125" s="3"/>
      <c r="QUF125" s="3"/>
      <c r="QUG125" s="3"/>
      <c r="QUH125" s="3"/>
      <c r="QUI125" s="3"/>
      <c r="QUJ125" s="3"/>
      <c r="QUK125" s="3"/>
      <c r="QUL125" s="3"/>
      <c r="QUM125" s="3"/>
      <c r="QUN125" s="3"/>
      <c r="QUO125" s="3"/>
      <c r="QUP125" s="3"/>
      <c r="QUQ125" s="3"/>
      <c r="QUR125" s="3"/>
      <c r="QUS125" s="3"/>
      <c r="QUT125" s="3"/>
      <c r="QUU125" s="3"/>
      <c r="QUV125" s="3"/>
      <c r="QUW125" s="3"/>
      <c r="QUX125" s="3"/>
      <c r="QUY125" s="3"/>
      <c r="QUZ125" s="3"/>
      <c r="QVA125" s="3"/>
      <c r="QVB125" s="3"/>
      <c r="QVC125" s="3"/>
      <c r="QVD125" s="3"/>
      <c r="QVE125" s="3"/>
      <c r="QVF125" s="3"/>
      <c r="QVG125" s="3"/>
      <c r="QVH125" s="3"/>
      <c r="QVI125" s="3"/>
      <c r="QVJ125" s="3"/>
      <c r="QVK125" s="3"/>
      <c r="QVL125" s="3"/>
      <c r="QVM125" s="3"/>
      <c r="QVN125" s="3"/>
      <c r="QVO125" s="3"/>
      <c r="QVP125" s="3"/>
      <c r="QVQ125" s="3"/>
      <c r="QVR125" s="3"/>
      <c r="QVS125" s="3"/>
      <c r="QVT125" s="3"/>
      <c r="QVU125" s="3"/>
      <c r="QVV125" s="3"/>
      <c r="QVW125" s="3"/>
      <c r="QVX125" s="3"/>
      <c r="QVY125" s="3"/>
      <c r="QVZ125" s="3"/>
      <c r="QWA125" s="3"/>
      <c r="QWB125" s="3"/>
      <c r="QWC125" s="3"/>
      <c r="QWD125" s="3"/>
      <c r="QWE125" s="3"/>
      <c r="QWF125" s="3"/>
      <c r="QWG125" s="3"/>
      <c r="QWH125" s="3"/>
      <c r="QWI125" s="3"/>
      <c r="QWJ125" s="3"/>
      <c r="QWK125" s="3"/>
      <c r="QWL125" s="3"/>
      <c r="QWM125" s="3"/>
      <c r="QWN125" s="3"/>
      <c r="QWO125" s="3"/>
      <c r="QWP125" s="3"/>
      <c r="QWQ125" s="3"/>
      <c r="QWR125" s="3"/>
      <c r="QWS125" s="3"/>
      <c r="QWT125" s="3"/>
      <c r="QWU125" s="3"/>
      <c r="QWV125" s="3"/>
      <c r="QWW125" s="3"/>
      <c r="QWX125" s="3"/>
      <c r="QWY125" s="3"/>
      <c r="QWZ125" s="3"/>
      <c r="QXA125" s="3"/>
      <c r="QXB125" s="3"/>
      <c r="QXC125" s="3"/>
      <c r="QXD125" s="3"/>
      <c r="QXE125" s="3"/>
      <c r="QXF125" s="3"/>
      <c r="QXG125" s="3"/>
      <c r="QXH125" s="3"/>
      <c r="QXI125" s="3"/>
      <c r="QXJ125" s="3"/>
      <c r="QXK125" s="3"/>
      <c r="QXL125" s="3"/>
      <c r="QXM125" s="3"/>
      <c r="QXN125" s="3"/>
      <c r="QXO125" s="3"/>
      <c r="QXP125" s="3"/>
      <c r="QXQ125" s="3"/>
      <c r="QXR125" s="3"/>
      <c r="QXS125" s="3"/>
      <c r="QXT125" s="3"/>
      <c r="QXU125" s="3"/>
      <c r="QXV125" s="3"/>
      <c r="QXW125" s="3"/>
      <c r="QXX125" s="3"/>
      <c r="QXY125" s="3"/>
      <c r="QXZ125" s="3"/>
      <c r="QYA125" s="3"/>
      <c r="QYB125" s="3"/>
      <c r="QYC125" s="3"/>
      <c r="QYD125" s="3"/>
      <c r="QYE125" s="3"/>
      <c r="QYF125" s="3"/>
      <c r="QYG125" s="3"/>
      <c r="QYH125" s="3"/>
      <c r="QYI125" s="3"/>
      <c r="QYJ125" s="3"/>
      <c r="QYK125" s="3"/>
      <c r="QYL125" s="3"/>
      <c r="QYM125" s="3"/>
      <c r="QYN125" s="3"/>
      <c r="QYO125" s="3"/>
      <c r="QYP125" s="3"/>
      <c r="QYQ125" s="3"/>
      <c r="QYR125" s="3"/>
      <c r="QYS125" s="3"/>
      <c r="QYT125" s="3"/>
      <c r="QYU125" s="3"/>
      <c r="QYV125" s="3"/>
      <c r="QYW125" s="3"/>
      <c r="QYX125" s="3"/>
      <c r="QYY125" s="3"/>
      <c r="QYZ125" s="3"/>
      <c r="QZA125" s="3"/>
      <c r="QZB125" s="3"/>
      <c r="QZC125" s="3"/>
      <c r="QZD125" s="3"/>
      <c r="QZE125" s="3"/>
      <c r="QZF125" s="3"/>
      <c r="QZG125" s="3"/>
      <c r="QZH125" s="3"/>
      <c r="QZI125" s="3"/>
      <c r="QZJ125" s="3"/>
      <c r="QZK125" s="3"/>
      <c r="QZL125" s="3"/>
      <c r="QZM125" s="3"/>
      <c r="QZN125" s="3"/>
      <c r="QZO125" s="3"/>
      <c r="QZP125" s="3"/>
      <c r="QZQ125" s="3"/>
      <c r="QZR125" s="3"/>
      <c r="QZS125" s="3"/>
      <c r="QZT125" s="3"/>
      <c r="QZU125" s="3"/>
      <c r="QZV125" s="3"/>
      <c r="QZW125" s="3"/>
      <c r="QZX125" s="3"/>
      <c r="QZY125" s="3"/>
      <c r="QZZ125" s="3"/>
      <c r="RAA125" s="3"/>
      <c r="RAB125" s="3"/>
      <c r="RAC125" s="3"/>
      <c r="RAD125" s="3"/>
      <c r="RAE125" s="3"/>
      <c r="RAF125" s="3"/>
      <c r="RAG125" s="3"/>
      <c r="RAH125" s="3"/>
      <c r="RAI125" s="3"/>
      <c r="RAJ125" s="3"/>
      <c r="RAK125" s="3"/>
      <c r="RAL125" s="3"/>
      <c r="RAM125" s="3"/>
      <c r="RAN125" s="3"/>
      <c r="RAO125" s="3"/>
      <c r="RAP125" s="3"/>
      <c r="RAQ125" s="3"/>
      <c r="RAR125" s="3"/>
      <c r="RAS125" s="3"/>
      <c r="RAT125" s="3"/>
      <c r="RAU125" s="3"/>
      <c r="RAV125" s="3"/>
      <c r="RAW125" s="3"/>
      <c r="RAX125" s="3"/>
      <c r="RAY125" s="3"/>
      <c r="RAZ125" s="3"/>
      <c r="RBA125" s="3"/>
      <c r="RBB125" s="3"/>
      <c r="RBC125" s="3"/>
      <c r="RBD125" s="3"/>
      <c r="RBE125" s="3"/>
      <c r="RBF125" s="3"/>
      <c r="RBG125" s="3"/>
      <c r="RBH125" s="3"/>
      <c r="RBI125" s="3"/>
      <c r="RBJ125" s="3"/>
      <c r="RBK125" s="3"/>
      <c r="RBL125" s="3"/>
      <c r="RBM125" s="3"/>
      <c r="RBN125" s="3"/>
      <c r="RBO125" s="3"/>
      <c r="RBP125" s="3"/>
      <c r="RBQ125" s="3"/>
      <c r="RBR125" s="3"/>
      <c r="RBS125" s="3"/>
      <c r="RBT125" s="3"/>
      <c r="RBU125" s="3"/>
      <c r="RBV125" s="3"/>
      <c r="RBW125" s="3"/>
      <c r="RBX125" s="3"/>
      <c r="RBY125" s="3"/>
      <c r="RBZ125" s="3"/>
      <c r="RCA125" s="3"/>
      <c r="RCB125" s="3"/>
      <c r="RCC125" s="3"/>
      <c r="RCD125" s="3"/>
      <c r="RCE125" s="3"/>
      <c r="RCF125" s="3"/>
      <c r="RCG125" s="3"/>
      <c r="RCH125" s="3"/>
      <c r="RCI125" s="3"/>
      <c r="RCJ125" s="3"/>
      <c r="RCK125" s="3"/>
      <c r="RCL125" s="3"/>
      <c r="RCM125" s="3"/>
      <c r="RCN125" s="3"/>
      <c r="RCO125" s="3"/>
      <c r="RCP125" s="3"/>
      <c r="RCQ125" s="3"/>
      <c r="RCR125" s="3"/>
      <c r="RCS125" s="3"/>
      <c r="RCT125" s="3"/>
      <c r="RCU125" s="3"/>
      <c r="RCV125" s="3"/>
      <c r="RCW125" s="3"/>
      <c r="RCX125" s="3"/>
      <c r="RCY125" s="3"/>
      <c r="RCZ125" s="3"/>
      <c r="RDA125" s="3"/>
      <c r="RDB125" s="3"/>
      <c r="RDC125" s="3"/>
      <c r="RDD125" s="3"/>
      <c r="RDE125" s="3"/>
      <c r="RDF125" s="3"/>
      <c r="RDG125" s="3"/>
      <c r="RDH125" s="3"/>
      <c r="RDI125" s="3"/>
      <c r="RDJ125" s="3"/>
      <c r="RDK125" s="3"/>
      <c r="RDL125" s="3"/>
      <c r="RDM125" s="3"/>
      <c r="RDN125" s="3"/>
      <c r="RDO125" s="3"/>
      <c r="RDP125" s="3"/>
      <c r="RDQ125" s="3"/>
      <c r="RDR125" s="3"/>
      <c r="RDS125" s="3"/>
      <c r="RDT125" s="3"/>
      <c r="RDU125" s="3"/>
      <c r="RDV125" s="3"/>
      <c r="RDW125" s="3"/>
      <c r="RDX125" s="3"/>
      <c r="RDY125" s="3"/>
      <c r="RDZ125" s="3"/>
      <c r="REA125" s="3"/>
      <c r="REB125" s="3"/>
      <c r="REC125" s="3"/>
      <c r="RED125" s="3"/>
      <c r="REE125" s="3"/>
      <c r="REF125" s="3"/>
      <c r="REG125" s="3"/>
      <c r="REH125" s="3"/>
      <c r="REI125" s="3"/>
      <c r="REJ125" s="3"/>
      <c r="REK125" s="3"/>
      <c r="REL125" s="3"/>
      <c r="REM125" s="3"/>
      <c r="REN125" s="3"/>
      <c r="REO125" s="3"/>
      <c r="REP125" s="3"/>
      <c r="REQ125" s="3"/>
      <c r="RER125" s="3"/>
      <c r="RES125" s="3"/>
      <c r="RET125" s="3"/>
      <c r="REU125" s="3"/>
      <c r="REV125" s="3"/>
      <c r="REW125" s="3"/>
      <c r="REX125" s="3"/>
      <c r="REY125" s="3"/>
      <c r="REZ125" s="3"/>
      <c r="RFA125" s="3"/>
      <c r="RFB125" s="3"/>
      <c r="RFC125" s="3"/>
      <c r="RFD125" s="3"/>
      <c r="RFE125" s="3"/>
      <c r="RFF125" s="3"/>
      <c r="RFG125" s="3"/>
      <c r="RFH125" s="3"/>
      <c r="RFI125" s="3"/>
      <c r="RFJ125" s="3"/>
      <c r="RFK125" s="3"/>
      <c r="RFL125" s="3"/>
      <c r="RFM125" s="3"/>
      <c r="RFN125" s="3"/>
      <c r="RFO125" s="3"/>
      <c r="RFP125" s="3"/>
      <c r="RFQ125" s="3"/>
      <c r="RFR125" s="3"/>
      <c r="RFS125" s="3"/>
      <c r="RFT125" s="3"/>
      <c r="RFU125" s="3"/>
      <c r="RFV125" s="3"/>
      <c r="RFW125" s="3"/>
      <c r="RFX125" s="3"/>
      <c r="RFY125" s="3"/>
      <c r="RFZ125" s="3"/>
      <c r="RGA125" s="3"/>
      <c r="RGB125" s="3"/>
      <c r="RGC125" s="3"/>
      <c r="RGD125" s="3"/>
      <c r="RGE125" s="3"/>
      <c r="RGF125" s="3"/>
      <c r="RGG125" s="3"/>
      <c r="RGH125" s="3"/>
      <c r="RGI125" s="3"/>
      <c r="RGJ125" s="3"/>
      <c r="RGK125" s="3"/>
      <c r="RGL125" s="3"/>
      <c r="RGM125" s="3"/>
      <c r="RGN125" s="3"/>
      <c r="RGO125" s="3"/>
      <c r="RGP125" s="3"/>
      <c r="RGQ125" s="3"/>
      <c r="RGR125" s="3"/>
      <c r="RGS125" s="3"/>
      <c r="RGT125" s="3"/>
      <c r="RGU125" s="3"/>
      <c r="RGV125" s="3"/>
      <c r="RGW125" s="3"/>
      <c r="RGX125" s="3"/>
      <c r="RGY125" s="3"/>
      <c r="RGZ125" s="3"/>
      <c r="RHA125" s="3"/>
      <c r="RHB125" s="3"/>
      <c r="RHC125" s="3"/>
      <c r="RHD125" s="3"/>
      <c r="RHE125" s="3"/>
      <c r="RHF125" s="3"/>
      <c r="RHG125" s="3"/>
      <c r="RHH125" s="3"/>
      <c r="RHI125" s="3"/>
      <c r="RHJ125" s="3"/>
      <c r="RHK125" s="3"/>
      <c r="RHL125" s="3"/>
      <c r="RHM125" s="3"/>
      <c r="RHN125" s="3"/>
      <c r="RHO125" s="3"/>
      <c r="RHP125" s="3"/>
      <c r="RHQ125" s="3"/>
      <c r="RHR125" s="3"/>
      <c r="RHS125" s="3"/>
      <c r="RHT125" s="3"/>
      <c r="RHU125" s="3"/>
      <c r="RHV125" s="3"/>
      <c r="RHW125" s="3"/>
      <c r="RHX125" s="3"/>
      <c r="RHY125" s="3"/>
      <c r="RHZ125" s="3"/>
      <c r="RIA125" s="3"/>
      <c r="RIB125" s="3"/>
      <c r="RIC125" s="3"/>
      <c r="RID125" s="3"/>
      <c r="RIE125" s="3"/>
      <c r="RIF125" s="3"/>
      <c r="RIG125" s="3"/>
      <c r="RIH125" s="3"/>
      <c r="RII125" s="3"/>
      <c r="RIJ125" s="3"/>
      <c r="RIK125" s="3"/>
      <c r="RIL125" s="3"/>
      <c r="RIM125" s="3"/>
      <c r="RIN125" s="3"/>
      <c r="RIO125" s="3"/>
      <c r="RIP125" s="3"/>
      <c r="RIQ125" s="3"/>
      <c r="RIR125" s="3"/>
      <c r="RIS125" s="3"/>
      <c r="RIT125" s="3"/>
      <c r="RIU125" s="3"/>
      <c r="RIV125" s="3"/>
      <c r="RIW125" s="3"/>
      <c r="RIX125" s="3"/>
      <c r="RIY125" s="3"/>
      <c r="RIZ125" s="3"/>
      <c r="RJA125" s="3"/>
      <c r="RJB125" s="3"/>
      <c r="RJC125" s="3"/>
      <c r="RJD125" s="3"/>
      <c r="RJE125" s="3"/>
      <c r="RJF125" s="3"/>
      <c r="RJG125" s="3"/>
      <c r="RJH125" s="3"/>
      <c r="RJI125" s="3"/>
      <c r="RJJ125" s="3"/>
      <c r="RJK125" s="3"/>
      <c r="RJL125" s="3"/>
      <c r="RJM125" s="3"/>
      <c r="RJN125" s="3"/>
      <c r="RJO125" s="3"/>
      <c r="RJP125" s="3"/>
      <c r="RJQ125" s="3"/>
      <c r="RJR125" s="3"/>
      <c r="RJS125" s="3"/>
      <c r="RJT125" s="3"/>
      <c r="RJU125" s="3"/>
      <c r="RJV125" s="3"/>
      <c r="RJW125" s="3"/>
      <c r="RJX125" s="3"/>
      <c r="RJY125" s="3"/>
      <c r="RJZ125" s="3"/>
      <c r="RKA125" s="3"/>
      <c r="RKB125" s="3"/>
      <c r="RKC125" s="3"/>
      <c r="RKD125" s="3"/>
      <c r="RKE125" s="3"/>
      <c r="RKF125" s="3"/>
      <c r="RKG125" s="3"/>
      <c r="RKH125" s="3"/>
      <c r="RKI125" s="3"/>
      <c r="RKJ125" s="3"/>
      <c r="RKK125" s="3"/>
      <c r="RKL125" s="3"/>
      <c r="RKM125" s="3"/>
      <c r="RKN125" s="3"/>
      <c r="RKO125" s="3"/>
      <c r="RKP125" s="3"/>
      <c r="RKQ125" s="3"/>
      <c r="RKR125" s="3"/>
      <c r="RKS125" s="3"/>
      <c r="RKT125" s="3"/>
      <c r="RKU125" s="3"/>
      <c r="RKV125" s="3"/>
      <c r="RKW125" s="3"/>
      <c r="RKX125" s="3"/>
      <c r="RKY125" s="3"/>
      <c r="RKZ125" s="3"/>
      <c r="RLA125" s="3"/>
      <c r="RLB125" s="3"/>
      <c r="RLC125" s="3"/>
      <c r="RLD125" s="3"/>
      <c r="RLE125" s="3"/>
      <c r="RLF125" s="3"/>
      <c r="RLG125" s="3"/>
      <c r="RLH125" s="3"/>
      <c r="RLI125" s="3"/>
      <c r="RLJ125" s="3"/>
      <c r="RLK125" s="3"/>
      <c r="RLL125" s="3"/>
      <c r="RLM125" s="3"/>
      <c r="RLN125" s="3"/>
      <c r="RLO125" s="3"/>
      <c r="RLP125" s="3"/>
      <c r="RLQ125" s="3"/>
      <c r="RLR125" s="3"/>
      <c r="RLS125" s="3"/>
      <c r="RLT125" s="3"/>
      <c r="RLU125" s="3"/>
      <c r="RLV125" s="3"/>
      <c r="RLW125" s="3"/>
      <c r="RLX125" s="3"/>
      <c r="RLY125" s="3"/>
      <c r="RLZ125" s="3"/>
      <c r="RMA125" s="3"/>
      <c r="RMB125" s="3"/>
      <c r="RMC125" s="3"/>
      <c r="RMD125" s="3"/>
      <c r="RME125" s="3"/>
      <c r="RMF125" s="3"/>
      <c r="RMG125" s="3"/>
      <c r="RMH125" s="3"/>
      <c r="RMI125" s="3"/>
      <c r="RMJ125" s="3"/>
      <c r="RMK125" s="3"/>
      <c r="RML125" s="3"/>
      <c r="RMM125" s="3"/>
      <c r="RMN125" s="3"/>
      <c r="RMO125" s="3"/>
      <c r="RMP125" s="3"/>
      <c r="RMQ125" s="3"/>
      <c r="RMR125" s="3"/>
      <c r="RMS125" s="3"/>
      <c r="RMT125" s="3"/>
      <c r="RMU125" s="3"/>
      <c r="RMV125" s="3"/>
      <c r="RMW125" s="3"/>
      <c r="RMX125" s="3"/>
      <c r="RMY125" s="3"/>
      <c r="RMZ125" s="3"/>
      <c r="RNA125" s="3"/>
      <c r="RNB125" s="3"/>
      <c r="RNC125" s="3"/>
      <c r="RND125" s="3"/>
      <c r="RNE125" s="3"/>
      <c r="RNF125" s="3"/>
      <c r="RNG125" s="3"/>
      <c r="RNH125" s="3"/>
      <c r="RNI125" s="3"/>
      <c r="RNJ125" s="3"/>
      <c r="RNK125" s="3"/>
      <c r="RNL125" s="3"/>
      <c r="RNM125" s="3"/>
      <c r="RNN125" s="3"/>
      <c r="RNO125" s="3"/>
      <c r="RNP125" s="3"/>
      <c r="RNQ125" s="3"/>
      <c r="RNR125" s="3"/>
      <c r="RNS125" s="3"/>
      <c r="RNT125" s="3"/>
      <c r="RNU125" s="3"/>
      <c r="RNV125" s="3"/>
      <c r="RNW125" s="3"/>
      <c r="RNX125" s="3"/>
      <c r="RNY125" s="3"/>
      <c r="RNZ125" s="3"/>
      <c r="ROA125" s="3"/>
      <c r="ROB125" s="3"/>
      <c r="ROC125" s="3"/>
      <c r="ROD125" s="3"/>
      <c r="ROE125" s="3"/>
      <c r="ROF125" s="3"/>
      <c r="ROG125" s="3"/>
      <c r="ROH125" s="3"/>
      <c r="ROI125" s="3"/>
      <c r="ROJ125" s="3"/>
      <c r="ROK125" s="3"/>
      <c r="ROL125" s="3"/>
      <c r="ROM125" s="3"/>
      <c r="RON125" s="3"/>
      <c r="ROO125" s="3"/>
      <c r="ROP125" s="3"/>
      <c r="ROQ125" s="3"/>
      <c r="ROR125" s="3"/>
      <c r="ROS125" s="3"/>
      <c r="ROT125" s="3"/>
      <c r="ROU125" s="3"/>
      <c r="ROV125" s="3"/>
      <c r="ROW125" s="3"/>
      <c r="ROX125" s="3"/>
      <c r="ROY125" s="3"/>
      <c r="ROZ125" s="3"/>
      <c r="RPA125" s="3"/>
      <c r="RPB125" s="3"/>
      <c r="RPC125" s="3"/>
      <c r="RPD125" s="3"/>
      <c r="RPE125" s="3"/>
      <c r="RPF125" s="3"/>
      <c r="RPG125" s="3"/>
      <c r="RPH125" s="3"/>
      <c r="RPI125" s="3"/>
      <c r="RPJ125" s="3"/>
      <c r="RPK125" s="3"/>
      <c r="RPL125" s="3"/>
      <c r="RPM125" s="3"/>
      <c r="RPN125" s="3"/>
      <c r="RPO125" s="3"/>
      <c r="RPP125" s="3"/>
      <c r="RPQ125" s="3"/>
      <c r="RPR125" s="3"/>
      <c r="RPS125" s="3"/>
      <c r="RPT125" s="3"/>
      <c r="RPU125" s="3"/>
      <c r="RPV125" s="3"/>
      <c r="RPW125" s="3"/>
      <c r="RPX125" s="3"/>
      <c r="RPY125" s="3"/>
      <c r="RPZ125" s="3"/>
      <c r="RQA125" s="3"/>
      <c r="RQB125" s="3"/>
      <c r="RQC125" s="3"/>
      <c r="RQD125" s="3"/>
      <c r="RQE125" s="3"/>
      <c r="RQF125" s="3"/>
      <c r="RQG125" s="3"/>
      <c r="RQH125" s="3"/>
      <c r="RQI125" s="3"/>
      <c r="RQJ125" s="3"/>
      <c r="RQK125" s="3"/>
      <c r="RQL125" s="3"/>
      <c r="RQM125" s="3"/>
      <c r="RQN125" s="3"/>
      <c r="RQO125" s="3"/>
      <c r="RQP125" s="3"/>
      <c r="RQQ125" s="3"/>
      <c r="RQR125" s="3"/>
      <c r="RQS125" s="3"/>
      <c r="RQT125" s="3"/>
      <c r="RQU125" s="3"/>
      <c r="RQV125" s="3"/>
      <c r="RQW125" s="3"/>
      <c r="RQX125" s="3"/>
      <c r="RQY125" s="3"/>
      <c r="RQZ125" s="3"/>
      <c r="RRA125" s="3"/>
      <c r="RRB125" s="3"/>
      <c r="RRC125" s="3"/>
      <c r="RRD125" s="3"/>
      <c r="RRE125" s="3"/>
      <c r="RRF125" s="3"/>
      <c r="RRG125" s="3"/>
      <c r="RRH125" s="3"/>
      <c r="RRI125" s="3"/>
      <c r="RRJ125" s="3"/>
      <c r="RRK125" s="3"/>
      <c r="RRL125" s="3"/>
      <c r="RRM125" s="3"/>
      <c r="RRN125" s="3"/>
      <c r="RRO125" s="3"/>
      <c r="RRP125" s="3"/>
      <c r="RRQ125" s="3"/>
      <c r="RRR125" s="3"/>
      <c r="RRS125" s="3"/>
      <c r="RRT125" s="3"/>
      <c r="RRU125" s="3"/>
      <c r="RRV125" s="3"/>
      <c r="RRW125" s="3"/>
      <c r="RRX125" s="3"/>
      <c r="RRY125" s="3"/>
      <c r="RRZ125" s="3"/>
      <c r="RSA125" s="3"/>
      <c r="RSB125" s="3"/>
      <c r="RSC125" s="3"/>
      <c r="RSD125" s="3"/>
      <c r="RSE125" s="3"/>
      <c r="RSF125" s="3"/>
      <c r="RSG125" s="3"/>
      <c r="RSH125" s="3"/>
      <c r="RSI125" s="3"/>
      <c r="RSJ125" s="3"/>
      <c r="RSK125" s="3"/>
      <c r="RSL125" s="3"/>
      <c r="RSM125" s="3"/>
      <c r="RSN125" s="3"/>
      <c r="RSO125" s="3"/>
      <c r="RSP125" s="3"/>
      <c r="RSQ125" s="3"/>
      <c r="RSR125" s="3"/>
      <c r="RSS125" s="3"/>
      <c r="RST125" s="3"/>
      <c r="RSU125" s="3"/>
      <c r="RSV125" s="3"/>
      <c r="RSW125" s="3"/>
      <c r="RSX125" s="3"/>
      <c r="RSY125" s="3"/>
      <c r="RSZ125" s="3"/>
      <c r="RTA125" s="3"/>
      <c r="RTB125" s="3"/>
      <c r="RTC125" s="3"/>
      <c r="RTD125" s="3"/>
      <c r="RTE125" s="3"/>
      <c r="RTF125" s="3"/>
      <c r="RTG125" s="3"/>
      <c r="RTH125" s="3"/>
      <c r="RTI125" s="3"/>
      <c r="RTJ125" s="3"/>
      <c r="RTK125" s="3"/>
      <c r="RTL125" s="3"/>
      <c r="RTM125" s="3"/>
      <c r="RTN125" s="3"/>
      <c r="RTO125" s="3"/>
      <c r="RTP125" s="3"/>
      <c r="RTQ125" s="3"/>
      <c r="RTR125" s="3"/>
      <c r="RTS125" s="3"/>
      <c r="RTT125" s="3"/>
      <c r="RTU125" s="3"/>
      <c r="RTV125" s="3"/>
      <c r="RTW125" s="3"/>
      <c r="RTX125" s="3"/>
      <c r="RTY125" s="3"/>
      <c r="RTZ125" s="3"/>
      <c r="RUA125" s="3"/>
      <c r="RUB125" s="3"/>
      <c r="RUC125" s="3"/>
      <c r="RUD125" s="3"/>
      <c r="RUE125" s="3"/>
      <c r="RUF125" s="3"/>
      <c r="RUG125" s="3"/>
      <c r="RUH125" s="3"/>
      <c r="RUI125" s="3"/>
      <c r="RUJ125" s="3"/>
      <c r="RUK125" s="3"/>
      <c r="RUL125" s="3"/>
      <c r="RUM125" s="3"/>
      <c r="RUN125" s="3"/>
      <c r="RUO125" s="3"/>
      <c r="RUP125" s="3"/>
      <c r="RUQ125" s="3"/>
      <c r="RUR125" s="3"/>
      <c r="RUS125" s="3"/>
      <c r="RUT125" s="3"/>
      <c r="RUU125" s="3"/>
      <c r="RUV125" s="3"/>
      <c r="RUW125" s="3"/>
      <c r="RUX125" s="3"/>
      <c r="RUY125" s="3"/>
      <c r="RUZ125" s="3"/>
      <c r="RVA125" s="3"/>
      <c r="RVB125" s="3"/>
      <c r="RVC125" s="3"/>
      <c r="RVD125" s="3"/>
      <c r="RVE125" s="3"/>
      <c r="RVF125" s="3"/>
      <c r="RVG125" s="3"/>
      <c r="RVH125" s="3"/>
      <c r="RVI125" s="3"/>
      <c r="RVJ125" s="3"/>
      <c r="RVK125" s="3"/>
      <c r="RVL125" s="3"/>
      <c r="RVM125" s="3"/>
      <c r="RVN125" s="3"/>
      <c r="RVO125" s="3"/>
      <c r="RVP125" s="3"/>
      <c r="RVQ125" s="3"/>
      <c r="RVR125" s="3"/>
      <c r="RVS125" s="3"/>
      <c r="RVT125" s="3"/>
      <c r="RVU125" s="3"/>
      <c r="RVV125" s="3"/>
      <c r="RVW125" s="3"/>
      <c r="RVX125" s="3"/>
      <c r="RVY125" s="3"/>
      <c r="RVZ125" s="3"/>
      <c r="RWA125" s="3"/>
      <c r="RWB125" s="3"/>
      <c r="RWC125" s="3"/>
      <c r="RWD125" s="3"/>
      <c r="RWE125" s="3"/>
      <c r="RWF125" s="3"/>
      <c r="RWG125" s="3"/>
      <c r="RWH125" s="3"/>
      <c r="RWI125" s="3"/>
      <c r="RWJ125" s="3"/>
      <c r="RWK125" s="3"/>
      <c r="RWL125" s="3"/>
      <c r="RWM125" s="3"/>
      <c r="RWN125" s="3"/>
      <c r="RWO125" s="3"/>
      <c r="RWP125" s="3"/>
      <c r="RWQ125" s="3"/>
      <c r="RWR125" s="3"/>
      <c r="RWS125" s="3"/>
      <c r="RWT125" s="3"/>
      <c r="RWU125" s="3"/>
      <c r="RWV125" s="3"/>
      <c r="RWW125" s="3"/>
      <c r="RWX125" s="3"/>
      <c r="RWY125" s="3"/>
      <c r="RWZ125" s="3"/>
      <c r="RXA125" s="3"/>
      <c r="RXB125" s="3"/>
      <c r="RXC125" s="3"/>
      <c r="RXD125" s="3"/>
      <c r="RXE125" s="3"/>
      <c r="RXF125" s="3"/>
      <c r="RXG125" s="3"/>
      <c r="RXH125" s="3"/>
      <c r="RXI125" s="3"/>
      <c r="RXJ125" s="3"/>
      <c r="RXK125" s="3"/>
      <c r="RXL125" s="3"/>
      <c r="RXM125" s="3"/>
      <c r="RXN125" s="3"/>
      <c r="RXO125" s="3"/>
      <c r="RXP125" s="3"/>
      <c r="RXQ125" s="3"/>
      <c r="RXR125" s="3"/>
      <c r="RXS125" s="3"/>
      <c r="RXT125" s="3"/>
      <c r="RXU125" s="3"/>
      <c r="RXV125" s="3"/>
      <c r="RXW125" s="3"/>
      <c r="RXX125" s="3"/>
      <c r="RXY125" s="3"/>
      <c r="RXZ125" s="3"/>
      <c r="RYA125" s="3"/>
      <c r="RYB125" s="3"/>
      <c r="RYC125" s="3"/>
      <c r="RYD125" s="3"/>
      <c r="RYE125" s="3"/>
      <c r="RYF125" s="3"/>
      <c r="RYG125" s="3"/>
      <c r="RYH125" s="3"/>
      <c r="RYI125" s="3"/>
      <c r="RYJ125" s="3"/>
      <c r="RYK125" s="3"/>
      <c r="RYL125" s="3"/>
      <c r="RYM125" s="3"/>
      <c r="RYN125" s="3"/>
      <c r="RYO125" s="3"/>
      <c r="RYP125" s="3"/>
      <c r="RYQ125" s="3"/>
      <c r="RYR125" s="3"/>
      <c r="RYS125" s="3"/>
      <c r="RYT125" s="3"/>
      <c r="RYU125" s="3"/>
      <c r="RYV125" s="3"/>
      <c r="RYW125" s="3"/>
      <c r="RYX125" s="3"/>
      <c r="RYY125" s="3"/>
      <c r="RYZ125" s="3"/>
      <c r="RZA125" s="3"/>
      <c r="RZB125" s="3"/>
      <c r="RZC125" s="3"/>
      <c r="RZD125" s="3"/>
      <c r="RZE125" s="3"/>
      <c r="RZF125" s="3"/>
      <c r="RZG125" s="3"/>
      <c r="RZH125" s="3"/>
      <c r="RZI125" s="3"/>
      <c r="RZJ125" s="3"/>
      <c r="RZK125" s="3"/>
      <c r="RZL125" s="3"/>
      <c r="RZM125" s="3"/>
      <c r="RZN125" s="3"/>
      <c r="RZO125" s="3"/>
      <c r="RZP125" s="3"/>
      <c r="RZQ125" s="3"/>
      <c r="RZR125" s="3"/>
      <c r="RZS125" s="3"/>
      <c r="RZT125" s="3"/>
      <c r="RZU125" s="3"/>
      <c r="RZV125" s="3"/>
      <c r="RZW125" s="3"/>
      <c r="RZX125" s="3"/>
      <c r="RZY125" s="3"/>
      <c r="RZZ125" s="3"/>
      <c r="SAA125" s="3"/>
      <c r="SAB125" s="3"/>
      <c r="SAC125" s="3"/>
      <c r="SAD125" s="3"/>
      <c r="SAE125" s="3"/>
      <c r="SAF125" s="3"/>
      <c r="SAG125" s="3"/>
      <c r="SAH125" s="3"/>
      <c r="SAI125" s="3"/>
      <c r="SAJ125" s="3"/>
      <c r="SAK125" s="3"/>
      <c r="SAL125" s="3"/>
      <c r="SAM125" s="3"/>
      <c r="SAN125" s="3"/>
      <c r="SAO125" s="3"/>
      <c r="SAP125" s="3"/>
      <c r="SAQ125" s="3"/>
      <c r="SAR125" s="3"/>
      <c r="SAS125" s="3"/>
      <c r="SAT125" s="3"/>
      <c r="SAU125" s="3"/>
      <c r="SAV125" s="3"/>
      <c r="SAW125" s="3"/>
      <c r="SAX125" s="3"/>
      <c r="SAY125" s="3"/>
      <c r="SAZ125" s="3"/>
      <c r="SBA125" s="3"/>
      <c r="SBB125" s="3"/>
      <c r="SBC125" s="3"/>
      <c r="SBD125" s="3"/>
      <c r="SBE125" s="3"/>
      <c r="SBF125" s="3"/>
      <c r="SBG125" s="3"/>
      <c r="SBH125" s="3"/>
      <c r="SBI125" s="3"/>
      <c r="SBJ125" s="3"/>
      <c r="SBK125" s="3"/>
      <c r="SBL125" s="3"/>
      <c r="SBM125" s="3"/>
      <c r="SBN125" s="3"/>
      <c r="SBO125" s="3"/>
      <c r="SBP125" s="3"/>
      <c r="SBQ125" s="3"/>
      <c r="SBR125" s="3"/>
      <c r="SBS125" s="3"/>
      <c r="SBT125" s="3"/>
      <c r="SBU125" s="3"/>
      <c r="SBV125" s="3"/>
      <c r="SBW125" s="3"/>
      <c r="SBX125" s="3"/>
      <c r="SBY125" s="3"/>
      <c r="SBZ125" s="3"/>
      <c r="SCA125" s="3"/>
      <c r="SCB125" s="3"/>
      <c r="SCC125" s="3"/>
      <c r="SCD125" s="3"/>
      <c r="SCE125" s="3"/>
      <c r="SCF125" s="3"/>
      <c r="SCG125" s="3"/>
      <c r="SCH125" s="3"/>
      <c r="SCI125" s="3"/>
      <c r="SCJ125" s="3"/>
      <c r="SCK125" s="3"/>
      <c r="SCL125" s="3"/>
      <c r="SCM125" s="3"/>
      <c r="SCN125" s="3"/>
      <c r="SCO125" s="3"/>
      <c r="SCP125" s="3"/>
      <c r="SCQ125" s="3"/>
      <c r="SCR125" s="3"/>
      <c r="SCS125" s="3"/>
      <c r="SCT125" s="3"/>
      <c r="SCU125" s="3"/>
      <c r="SCV125" s="3"/>
      <c r="SCW125" s="3"/>
      <c r="SCX125" s="3"/>
      <c r="SCY125" s="3"/>
      <c r="SCZ125" s="3"/>
      <c r="SDA125" s="3"/>
      <c r="SDB125" s="3"/>
      <c r="SDC125" s="3"/>
      <c r="SDD125" s="3"/>
      <c r="SDE125" s="3"/>
      <c r="SDF125" s="3"/>
      <c r="SDG125" s="3"/>
      <c r="SDH125" s="3"/>
      <c r="SDI125" s="3"/>
      <c r="SDJ125" s="3"/>
      <c r="SDK125" s="3"/>
      <c r="SDL125" s="3"/>
      <c r="SDM125" s="3"/>
      <c r="SDN125" s="3"/>
      <c r="SDO125" s="3"/>
      <c r="SDP125" s="3"/>
      <c r="SDQ125" s="3"/>
      <c r="SDR125" s="3"/>
      <c r="SDS125" s="3"/>
      <c r="SDT125" s="3"/>
      <c r="SDU125" s="3"/>
      <c r="SDV125" s="3"/>
      <c r="SDW125" s="3"/>
      <c r="SDX125" s="3"/>
      <c r="SDY125" s="3"/>
      <c r="SDZ125" s="3"/>
      <c r="SEA125" s="3"/>
      <c r="SEB125" s="3"/>
      <c r="SEC125" s="3"/>
      <c r="SED125" s="3"/>
      <c r="SEE125" s="3"/>
      <c r="SEF125" s="3"/>
      <c r="SEG125" s="3"/>
      <c r="SEH125" s="3"/>
      <c r="SEI125" s="3"/>
      <c r="SEJ125" s="3"/>
      <c r="SEK125" s="3"/>
      <c r="SEL125" s="3"/>
      <c r="SEM125" s="3"/>
      <c r="SEN125" s="3"/>
      <c r="SEO125" s="3"/>
      <c r="SEP125" s="3"/>
      <c r="SEQ125" s="3"/>
      <c r="SER125" s="3"/>
      <c r="SES125" s="3"/>
      <c r="SET125" s="3"/>
      <c r="SEU125" s="3"/>
      <c r="SEV125" s="3"/>
      <c r="SEW125" s="3"/>
      <c r="SEX125" s="3"/>
      <c r="SEY125" s="3"/>
      <c r="SEZ125" s="3"/>
      <c r="SFA125" s="3"/>
      <c r="SFB125" s="3"/>
      <c r="SFC125" s="3"/>
      <c r="SFD125" s="3"/>
      <c r="SFE125" s="3"/>
      <c r="SFF125" s="3"/>
      <c r="SFG125" s="3"/>
      <c r="SFH125" s="3"/>
      <c r="SFI125" s="3"/>
      <c r="SFJ125" s="3"/>
      <c r="SFK125" s="3"/>
      <c r="SFL125" s="3"/>
      <c r="SFM125" s="3"/>
      <c r="SFN125" s="3"/>
      <c r="SFO125" s="3"/>
      <c r="SFP125" s="3"/>
      <c r="SFQ125" s="3"/>
      <c r="SFR125" s="3"/>
      <c r="SFS125" s="3"/>
      <c r="SFT125" s="3"/>
      <c r="SFU125" s="3"/>
      <c r="SFV125" s="3"/>
      <c r="SFW125" s="3"/>
      <c r="SFX125" s="3"/>
      <c r="SFY125" s="3"/>
      <c r="SFZ125" s="3"/>
      <c r="SGA125" s="3"/>
      <c r="SGB125" s="3"/>
      <c r="SGC125" s="3"/>
      <c r="SGD125" s="3"/>
      <c r="SGE125" s="3"/>
      <c r="SGF125" s="3"/>
      <c r="SGG125" s="3"/>
      <c r="SGH125" s="3"/>
      <c r="SGI125" s="3"/>
      <c r="SGJ125" s="3"/>
      <c r="SGK125" s="3"/>
      <c r="SGL125" s="3"/>
      <c r="SGM125" s="3"/>
      <c r="SGN125" s="3"/>
      <c r="SGO125" s="3"/>
      <c r="SGP125" s="3"/>
      <c r="SGQ125" s="3"/>
      <c r="SGR125" s="3"/>
      <c r="SGS125" s="3"/>
      <c r="SGT125" s="3"/>
      <c r="SGU125" s="3"/>
      <c r="SGV125" s="3"/>
      <c r="SGW125" s="3"/>
      <c r="SGX125" s="3"/>
      <c r="SGY125" s="3"/>
      <c r="SGZ125" s="3"/>
      <c r="SHA125" s="3"/>
      <c r="SHB125" s="3"/>
      <c r="SHC125" s="3"/>
      <c r="SHD125" s="3"/>
      <c r="SHE125" s="3"/>
      <c r="SHF125" s="3"/>
      <c r="SHG125" s="3"/>
      <c r="SHH125" s="3"/>
      <c r="SHI125" s="3"/>
      <c r="SHJ125" s="3"/>
      <c r="SHK125" s="3"/>
      <c r="SHL125" s="3"/>
      <c r="SHM125" s="3"/>
      <c r="SHN125" s="3"/>
      <c r="SHO125" s="3"/>
      <c r="SHP125" s="3"/>
      <c r="SHQ125" s="3"/>
      <c r="SHR125" s="3"/>
      <c r="SHS125" s="3"/>
      <c r="SHT125" s="3"/>
      <c r="SHU125" s="3"/>
      <c r="SHV125" s="3"/>
      <c r="SHW125" s="3"/>
      <c r="SHX125" s="3"/>
      <c r="SHY125" s="3"/>
      <c r="SHZ125" s="3"/>
      <c r="SIA125" s="3"/>
      <c r="SIB125" s="3"/>
      <c r="SIC125" s="3"/>
      <c r="SID125" s="3"/>
      <c r="SIE125" s="3"/>
      <c r="SIF125" s="3"/>
      <c r="SIG125" s="3"/>
      <c r="SIH125" s="3"/>
      <c r="SII125" s="3"/>
      <c r="SIJ125" s="3"/>
      <c r="SIK125" s="3"/>
      <c r="SIL125" s="3"/>
      <c r="SIM125" s="3"/>
      <c r="SIN125" s="3"/>
      <c r="SIO125" s="3"/>
      <c r="SIP125" s="3"/>
      <c r="SIQ125" s="3"/>
      <c r="SIR125" s="3"/>
      <c r="SIS125" s="3"/>
      <c r="SIT125" s="3"/>
      <c r="SIU125" s="3"/>
      <c r="SIV125" s="3"/>
      <c r="SIW125" s="3"/>
      <c r="SIX125" s="3"/>
      <c r="SIY125" s="3"/>
      <c r="SIZ125" s="3"/>
      <c r="SJA125" s="3"/>
      <c r="SJB125" s="3"/>
      <c r="SJC125" s="3"/>
      <c r="SJD125" s="3"/>
      <c r="SJE125" s="3"/>
      <c r="SJF125" s="3"/>
      <c r="SJG125" s="3"/>
      <c r="SJH125" s="3"/>
      <c r="SJI125" s="3"/>
      <c r="SJJ125" s="3"/>
      <c r="SJK125" s="3"/>
      <c r="SJL125" s="3"/>
      <c r="SJM125" s="3"/>
      <c r="SJN125" s="3"/>
      <c r="SJO125" s="3"/>
      <c r="SJP125" s="3"/>
      <c r="SJQ125" s="3"/>
      <c r="SJR125" s="3"/>
      <c r="SJS125" s="3"/>
      <c r="SJT125" s="3"/>
      <c r="SJU125" s="3"/>
      <c r="SJV125" s="3"/>
      <c r="SJW125" s="3"/>
      <c r="SJX125" s="3"/>
      <c r="SJY125" s="3"/>
      <c r="SJZ125" s="3"/>
      <c r="SKA125" s="3"/>
      <c r="SKB125" s="3"/>
      <c r="SKC125" s="3"/>
      <c r="SKD125" s="3"/>
      <c r="SKE125" s="3"/>
      <c r="SKF125" s="3"/>
      <c r="SKG125" s="3"/>
      <c r="SKH125" s="3"/>
      <c r="SKI125" s="3"/>
      <c r="SKJ125" s="3"/>
      <c r="SKK125" s="3"/>
      <c r="SKL125" s="3"/>
      <c r="SKM125" s="3"/>
      <c r="SKN125" s="3"/>
      <c r="SKO125" s="3"/>
      <c r="SKP125" s="3"/>
      <c r="SKQ125" s="3"/>
      <c r="SKR125" s="3"/>
      <c r="SKS125" s="3"/>
      <c r="SKT125" s="3"/>
      <c r="SKU125" s="3"/>
      <c r="SKV125" s="3"/>
      <c r="SKW125" s="3"/>
      <c r="SKX125" s="3"/>
      <c r="SKY125" s="3"/>
      <c r="SKZ125" s="3"/>
      <c r="SLA125" s="3"/>
      <c r="SLB125" s="3"/>
      <c r="SLC125" s="3"/>
      <c r="SLD125" s="3"/>
      <c r="SLE125" s="3"/>
      <c r="SLF125" s="3"/>
      <c r="SLG125" s="3"/>
      <c r="SLH125" s="3"/>
      <c r="SLI125" s="3"/>
      <c r="SLJ125" s="3"/>
      <c r="SLK125" s="3"/>
      <c r="SLL125" s="3"/>
      <c r="SLM125" s="3"/>
      <c r="SLN125" s="3"/>
      <c r="SLO125" s="3"/>
      <c r="SLP125" s="3"/>
      <c r="SLQ125" s="3"/>
      <c r="SLR125" s="3"/>
      <c r="SLS125" s="3"/>
      <c r="SLT125" s="3"/>
      <c r="SLU125" s="3"/>
      <c r="SLV125" s="3"/>
      <c r="SLW125" s="3"/>
      <c r="SLX125" s="3"/>
      <c r="SLY125" s="3"/>
      <c r="SLZ125" s="3"/>
      <c r="SMA125" s="3"/>
      <c r="SMB125" s="3"/>
      <c r="SMC125" s="3"/>
      <c r="SMD125" s="3"/>
      <c r="SME125" s="3"/>
      <c r="SMF125" s="3"/>
      <c r="SMG125" s="3"/>
      <c r="SMH125" s="3"/>
      <c r="SMI125" s="3"/>
      <c r="SMJ125" s="3"/>
      <c r="SMK125" s="3"/>
      <c r="SML125" s="3"/>
      <c r="SMM125" s="3"/>
      <c r="SMN125" s="3"/>
      <c r="SMO125" s="3"/>
      <c r="SMP125" s="3"/>
      <c r="SMQ125" s="3"/>
      <c r="SMR125" s="3"/>
      <c r="SMS125" s="3"/>
      <c r="SMT125" s="3"/>
      <c r="SMU125" s="3"/>
      <c r="SMV125" s="3"/>
      <c r="SMW125" s="3"/>
      <c r="SMX125" s="3"/>
      <c r="SMY125" s="3"/>
      <c r="SMZ125" s="3"/>
      <c r="SNA125" s="3"/>
      <c r="SNB125" s="3"/>
      <c r="SNC125" s="3"/>
      <c r="SND125" s="3"/>
      <c r="SNE125" s="3"/>
      <c r="SNF125" s="3"/>
      <c r="SNG125" s="3"/>
      <c r="SNH125" s="3"/>
      <c r="SNI125" s="3"/>
      <c r="SNJ125" s="3"/>
      <c r="SNK125" s="3"/>
      <c r="SNL125" s="3"/>
      <c r="SNM125" s="3"/>
      <c r="SNN125" s="3"/>
      <c r="SNO125" s="3"/>
      <c r="SNP125" s="3"/>
      <c r="SNQ125" s="3"/>
      <c r="SNR125" s="3"/>
      <c r="SNS125" s="3"/>
      <c r="SNT125" s="3"/>
      <c r="SNU125" s="3"/>
      <c r="SNV125" s="3"/>
      <c r="SNW125" s="3"/>
      <c r="SNX125" s="3"/>
      <c r="SNY125" s="3"/>
      <c r="SNZ125" s="3"/>
      <c r="SOA125" s="3"/>
      <c r="SOB125" s="3"/>
      <c r="SOC125" s="3"/>
      <c r="SOD125" s="3"/>
      <c r="SOE125" s="3"/>
      <c r="SOF125" s="3"/>
      <c r="SOG125" s="3"/>
      <c r="SOH125" s="3"/>
      <c r="SOI125" s="3"/>
      <c r="SOJ125" s="3"/>
      <c r="SOK125" s="3"/>
      <c r="SOL125" s="3"/>
      <c r="SOM125" s="3"/>
      <c r="SON125" s="3"/>
      <c r="SOO125" s="3"/>
      <c r="SOP125" s="3"/>
      <c r="SOQ125" s="3"/>
      <c r="SOR125" s="3"/>
      <c r="SOS125" s="3"/>
      <c r="SOT125" s="3"/>
      <c r="SOU125" s="3"/>
      <c r="SOV125" s="3"/>
      <c r="SOW125" s="3"/>
      <c r="SOX125" s="3"/>
      <c r="SOY125" s="3"/>
      <c r="SOZ125" s="3"/>
      <c r="SPA125" s="3"/>
      <c r="SPB125" s="3"/>
      <c r="SPC125" s="3"/>
      <c r="SPD125" s="3"/>
      <c r="SPE125" s="3"/>
      <c r="SPF125" s="3"/>
      <c r="SPG125" s="3"/>
      <c r="SPH125" s="3"/>
      <c r="SPI125" s="3"/>
      <c r="SPJ125" s="3"/>
      <c r="SPK125" s="3"/>
      <c r="SPL125" s="3"/>
      <c r="SPM125" s="3"/>
      <c r="SPN125" s="3"/>
      <c r="SPO125" s="3"/>
      <c r="SPP125" s="3"/>
      <c r="SPQ125" s="3"/>
      <c r="SPR125" s="3"/>
      <c r="SPS125" s="3"/>
      <c r="SPT125" s="3"/>
      <c r="SPU125" s="3"/>
      <c r="SPV125" s="3"/>
      <c r="SPW125" s="3"/>
      <c r="SPX125" s="3"/>
      <c r="SPY125" s="3"/>
      <c r="SPZ125" s="3"/>
      <c r="SQA125" s="3"/>
      <c r="SQB125" s="3"/>
      <c r="SQC125" s="3"/>
      <c r="SQD125" s="3"/>
      <c r="SQE125" s="3"/>
      <c r="SQF125" s="3"/>
      <c r="SQG125" s="3"/>
      <c r="SQH125" s="3"/>
      <c r="SQI125" s="3"/>
      <c r="SQJ125" s="3"/>
      <c r="SQK125" s="3"/>
      <c r="SQL125" s="3"/>
      <c r="SQM125" s="3"/>
      <c r="SQN125" s="3"/>
      <c r="SQO125" s="3"/>
      <c r="SQP125" s="3"/>
      <c r="SQQ125" s="3"/>
      <c r="SQR125" s="3"/>
      <c r="SQS125" s="3"/>
      <c r="SQT125" s="3"/>
      <c r="SQU125" s="3"/>
      <c r="SQV125" s="3"/>
      <c r="SQW125" s="3"/>
      <c r="SQX125" s="3"/>
      <c r="SQY125" s="3"/>
      <c r="SQZ125" s="3"/>
      <c r="SRA125" s="3"/>
      <c r="SRB125" s="3"/>
      <c r="SRC125" s="3"/>
      <c r="SRD125" s="3"/>
      <c r="SRE125" s="3"/>
      <c r="SRF125" s="3"/>
      <c r="SRG125" s="3"/>
      <c r="SRH125" s="3"/>
      <c r="SRI125" s="3"/>
      <c r="SRJ125" s="3"/>
      <c r="SRK125" s="3"/>
      <c r="SRL125" s="3"/>
      <c r="SRM125" s="3"/>
      <c r="SRN125" s="3"/>
      <c r="SRO125" s="3"/>
      <c r="SRP125" s="3"/>
      <c r="SRQ125" s="3"/>
      <c r="SRR125" s="3"/>
      <c r="SRS125" s="3"/>
      <c r="SRT125" s="3"/>
      <c r="SRU125" s="3"/>
      <c r="SRV125" s="3"/>
      <c r="SRW125" s="3"/>
      <c r="SRX125" s="3"/>
      <c r="SRY125" s="3"/>
      <c r="SRZ125" s="3"/>
      <c r="SSA125" s="3"/>
      <c r="SSB125" s="3"/>
      <c r="SSC125" s="3"/>
      <c r="SSD125" s="3"/>
      <c r="SSE125" s="3"/>
      <c r="SSF125" s="3"/>
      <c r="SSG125" s="3"/>
      <c r="SSH125" s="3"/>
      <c r="SSI125" s="3"/>
      <c r="SSJ125" s="3"/>
      <c r="SSK125" s="3"/>
      <c r="SSL125" s="3"/>
      <c r="SSM125" s="3"/>
      <c r="SSN125" s="3"/>
      <c r="SSO125" s="3"/>
      <c r="SSP125" s="3"/>
      <c r="SSQ125" s="3"/>
      <c r="SSR125" s="3"/>
      <c r="SSS125" s="3"/>
      <c r="SST125" s="3"/>
      <c r="SSU125" s="3"/>
      <c r="SSV125" s="3"/>
      <c r="SSW125" s="3"/>
      <c r="SSX125" s="3"/>
      <c r="SSY125" s="3"/>
      <c r="SSZ125" s="3"/>
      <c r="STA125" s="3"/>
      <c r="STB125" s="3"/>
      <c r="STC125" s="3"/>
      <c r="STD125" s="3"/>
      <c r="STE125" s="3"/>
      <c r="STF125" s="3"/>
      <c r="STG125" s="3"/>
      <c r="STH125" s="3"/>
      <c r="STI125" s="3"/>
      <c r="STJ125" s="3"/>
      <c r="STK125" s="3"/>
      <c r="STL125" s="3"/>
      <c r="STM125" s="3"/>
      <c r="STN125" s="3"/>
      <c r="STO125" s="3"/>
      <c r="STP125" s="3"/>
      <c r="STQ125" s="3"/>
      <c r="STR125" s="3"/>
      <c r="STS125" s="3"/>
      <c r="STT125" s="3"/>
      <c r="STU125" s="3"/>
      <c r="STV125" s="3"/>
      <c r="STW125" s="3"/>
      <c r="STX125" s="3"/>
      <c r="STY125" s="3"/>
      <c r="STZ125" s="3"/>
      <c r="SUA125" s="3"/>
      <c r="SUB125" s="3"/>
      <c r="SUC125" s="3"/>
      <c r="SUD125" s="3"/>
      <c r="SUE125" s="3"/>
      <c r="SUF125" s="3"/>
      <c r="SUG125" s="3"/>
      <c r="SUH125" s="3"/>
      <c r="SUI125" s="3"/>
      <c r="SUJ125" s="3"/>
      <c r="SUK125" s="3"/>
      <c r="SUL125" s="3"/>
      <c r="SUM125" s="3"/>
      <c r="SUN125" s="3"/>
      <c r="SUO125" s="3"/>
      <c r="SUP125" s="3"/>
      <c r="SUQ125" s="3"/>
      <c r="SUR125" s="3"/>
      <c r="SUS125" s="3"/>
      <c r="SUT125" s="3"/>
      <c r="SUU125" s="3"/>
      <c r="SUV125" s="3"/>
      <c r="SUW125" s="3"/>
      <c r="SUX125" s="3"/>
      <c r="SUY125" s="3"/>
      <c r="SUZ125" s="3"/>
      <c r="SVA125" s="3"/>
      <c r="SVB125" s="3"/>
      <c r="SVC125" s="3"/>
      <c r="SVD125" s="3"/>
      <c r="SVE125" s="3"/>
      <c r="SVF125" s="3"/>
      <c r="SVG125" s="3"/>
      <c r="SVH125" s="3"/>
      <c r="SVI125" s="3"/>
      <c r="SVJ125" s="3"/>
      <c r="SVK125" s="3"/>
      <c r="SVL125" s="3"/>
      <c r="SVM125" s="3"/>
      <c r="SVN125" s="3"/>
      <c r="SVO125" s="3"/>
      <c r="SVP125" s="3"/>
      <c r="SVQ125" s="3"/>
      <c r="SVR125" s="3"/>
      <c r="SVS125" s="3"/>
      <c r="SVT125" s="3"/>
      <c r="SVU125" s="3"/>
      <c r="SVV125" s="3"/>
      <c r="SVW125" s="3"/>
      <c r="SVX125" s="3"/>
      <c r="SVY125" s="3"/>
      <c r="SVZ125" s="3"/>
      <c r="SWA125" s="3"/>
      <c r="SWB125" s="3"/>
      <c r="SWC125" s="3"/>
      <c r="SWD125" s="3"/>
      <c r="SWE125" s="3"/>
      <c r="SWF125" s="3"/>
      <c r="SWG125" s="3"/>
      <c r="SWH125" s="3"/>
      <c r="SWI125" s="3"/>
      <c r="SWJ125" s="3"/>
      <c r="SWK125" s="3"/>
      <c r="SWL125" s="3"/>
      <c r="SWM125" s="3"/>
      <c r="SWN125" s="3"/>
      <c r="SWO125" s="3"/>
      <c r="SWP125" s="3"/>
      <c r="SWQ125" s="3"/>
      <c r="SWR125" s="3"/>
      <c r="SWS125" s="3"/>
      <c r="SWT125" s="3"/>
      <c r="SWU125" s="3"/>
      <c r="SWV125" s="3"/>
      <c r="SWW125" s="3"/>
      <c r="SWX125" s="3"/>
      <c r="SWY125" s="3"/>
      <c r="SWZ125" s="3"/>
      <c r="SXA125" s="3"/>
      <c r="SXB125" s="3"/>
      <c r="SXC125" s="3"/>
      <c r="SXD125" s="3"/>
      <c r="SXE125" s="3"/>
      <c r="SXF125" s="3"/>
      <c r="SXG125" s="3"/>
      <c r="SXH125" s="3"/>
      <c r="SXI125" s="3"/>
      <c r="SXJ125" s="3"/>
      <c r="SXK125" s="3"/>
      <c r="SXL125" s="3"/>
      <c r="SXM125" s="3"/>
      <c r="SXN125" s="3"/>
      <c r="SXO125" s="3"/>
      <c r="SXP125" s="3"/>
      <c r="SXQ125" s="3"/>
      <c r="SXR125" s="3"/>
      <c r="SXS125" s="3"/>
      <c r="SXT125" s="3"/>
      <c r="SXU125" s="3"/>
      <c r="SXV125" s="3"/>
      <c r="SXW125" s="3"/>
      <c r="SXX125" s="3"/>
      <c r="SXY125" s="3"/>
      <c r="SXZ125" s="3"/>
      <c r="SYA125" s="3"/>
      <c r="SYB125" s="3"/>
      <c r="SYC125" s="3"/>
      <c r="SYD125" s="3"/>
      <c r="SYE125" s="3"/>
      <c r="SYF125" s="3"/>
      <c r="SYG125" s="3"/>
      <c r="SYH125" s="3"/>
      <c r="SYI125" s="3"/>
      <c r="SYJ125" s="3"/>
      <c r="SYK125" s="3"/>
      <c r="SYL125" s="3"/>
      <c r="SYM125" s="3"/>
      <c r="SYN125" s="3"/>
      <c r="SYO125" s="3"/>
      <c r="SYP125" s="3"/>
      <c r="SYQ125" s="3"/>
      <c r="SYR125" s="3"/>
      <c r="SYS125" s="3"/>
      <c r="SYT125" s="3"/>
      <c r="SYU125" s="3"/>
      <c r="SYV125" s="3"/>
      <c r="SYW125" s="3"/>
      <c r="SYX125" s="3"/>
      <c r="SYY125" s="3"/>
      <c r="SYZ125" s="3"/>
      <c r="SZA125" s="3"/>
      <c r="SZB125" s="3"/>
      <c r="SZC125" s="3"/>
      <c r="SZD125" s="3"/>
      <c r="SZE125" s="3"/>
      <c r="SZF125" s="3"/>
      <c r="SZG125" s="3"/>
      <c r="SZH125" s="3"/>
      <c r="SZI125" s="3"/>
      <c r="SZJ125" s="3"/>
      <c r="SZK125" s="3"/>
      <c r="SZL125" s="3"/>
      <c r="SZM125" s="3"/>
      <c r="SZN125" s="3"/>
      <c r="SZO125" s="3"/>
      <c r="SZP125" s="3"/>
      <c r="SZQ125" s="3"/>
      <c r="SZR125" s="3"/>
      <c r="SZS125" s="3"/>
      <c r="SZT125" s="3"/>
      <c r="SZU125" s="3"/>
      <c r="SZV125" s="3"/>
      <c r="SZW125" s="3"/>
      <c r="SZX125" s="3"/>
      <c r="SZY125" s="3"/>
      <c r="SZZ125" s="3"/>
      <c r="TAA125" s="3"/>
      <c r="TAB125" s="3"/>
      <c r="TAC125" s="3"/>
      <c r="TAD125" s="3"/>
      <c r="TAE125" s="3"/>
      <c r="TAF125" s="3"/>
      <c r="TAG125" s="3"/>
      <c r="TAH125" s="3"/>
      <c r="TAI125" s="3"/>
      <c r="TAJ125" s="3"/>
      <c r="TAK125" s="3"/>
      <c r="TAL125" s="3"/>
      <c r="TAM125" s="3"/>
      <c r="TAN125" s="3"/>
      <c r="TAO125" s="3"/>
      <c r="TAP125" s="3"/>
      <c r="TAQ125" s="3"/>
      <c r="TAR125" s="3"/>
      <c r="TAS125" s="3"/>
      <c r="TAT125" s="3"/>
      <c r="TAU125" s="3"/>
      <c r="TAV125" s="3"/>
      <c r="TAW125" s="3"/>
      <c r="TAX125" s="3"/>
      <c r="TAY125" s="3"/>
      <c r="TAZ125" s="3"/>
      <c r="TBA125" s="3"/>
      <c r="TBB125" s="3"/>
      <c r="TBC125" s="3"/>
      <c r="TBD125" s="3"/>
      <c r="TBE125" s="3"/>
      <c r="TBF125" s="3"/>
      <c r="TBG125" s="3"/>
      <c r="TBH125" s="3"/>
      <c r="TBI125" s="3"/>
      <c r="TBJ125" s="3"/>
      <c r="TBK125" s="3"/>
      <c r="TBL125" s="3"/>
      <c r="TBM125" s="3"/>
      <c r="TBN125" s="3"/>
      <c r="TBO125" s="3"/>
      <c r="TBP125" s="3"/>
      <c r="TBQ125" s="3"/>
      <c r="TBR125" s="3"/>
      <c r="TBS125" s="3"/>
      <c r="TBT125" s="3"/>
      <c r="TBU125" s="3"/>
      <c r="TBV125" s="3"/>
      <c r="TBW125" s="3"/>
      <c r="TBX125" s="3"/>
      <c r="TBY125" s="3"/>
      <c r="TBZ125" s="3"/>
      <c r="TCA125" s="3"/>
      <c r="TCB125" s="3"/>
      <c r="TCC125" s="3"/>
      <c r="TCD125" s="3"/>
      <c r="TCE125" s="3"/>
      <c r="TCF125" s="3"/>
      <c r="TCG125" s="3"/>
      <c r="TCH125" s="3"/>
      <c r="TCI125" s="3"/>
      <c r="TCJ125" s="3"/>
      <c r="TCK125" s="3"/>
      <c r="TCL125" s="3"/>
      <c r="TCM125" s="3"/>
      <c r="TCN125" s="3"/>
      <c r="TCO125" s="3"/>
      <c r="TCP125" s="3"/>
      <c r="TCQ125" s="3"/>
      <c r="TCR125" s="3"/>
      <c r="TCS125" s="3"/>
      <c r="TCT125" s="3"/>
      <c r="TCU125" s="3"/>
      <c r="TCV125" s="3"/>
      <c r="TCW125" s="3"/>
      <c r="TCX125" s="3"/>
      <c r="TCY125" s="3"/>
      <c r="TCZ125" s="3"/>
      <c r="TDA125" s="3"/>
      <c r="TDB125" s="3"/>
      <c r="TDC125" s="3"/>
      <c r="TDD125" s="3"/>
      <c r="TDE125" s="3"/>
      <c r="TDF125" s="3"/>
      <c r="TDG125" s="3"/>
      <c r="TDH125" s="3"/>
      <c r="TDI125" s="3"/>
      <c r="TDJ125" s="3"/>
      <c r="TDK125" s="3"/>
      <c r="TDL125" s="3"/>
      <c r="TDM125" s="3"/>
      <c r="TDN125" s="3"/>
      <c r="TDO125" s="3"/>
      <c r="TDP125" s="3"/>
      <c r="TDQ125" s="3"/>
      <c r="TDR125" s="3"/>
      <c r="TDS125" s="3"/>
      <c r="TDT125" s="3"/>
      <c r="TDU125" s="3"/>
      <c r="TDV125" s="3"/>
      <c r="TDW125" s="3"/>
      <c r="TDX125" s="3"/>
      <c r="TDY125" s="3"/>
      <c r="TDZ125" s="3"/>
      <c r="TEA125" s="3"/>
      <c r="TEB125" s="3"/>
      <c r="TEC125" s="3"/>
      <c r="TED125" s="3"/>
      <c r="TEE125" s="3"/>
      <c r="TEF125" s="3"/>
      <c r="TEG125" s="3"/>
      <c r="TEH125" s="3"/>
      <c r="TEI125" s="3"/>
      <c r="TEJ125" s="3"/>
      <c r="TEK125" s="3"/>
      <c r="TEL125" s="3"/>
      <c r="TEM125" s="3"/>
      <c r="TEN125" s="3"/>
      <c r="TEO125" s="3"/>
      <c r="TEP125" s="3"/>
      <c r="TEQ125" s="3"/>
      <c r="TER125" s="3"/>
      <c r="TES125" s="3"/>
      <c r="TET125" s="3"/>
      <c r="TEU125" s="3"/>
      <c r="TEV125" s="3"/>
      <c r="TEW125" s="3"/>
      <c r="TEX125" s="3"/>
      <c r="TEY125" s="3"/>
      <c r="TEZ125" s="3"/>
      <c r="TFA125" s="3"/>
      <c r="TFB125" s="3"/>
      <c r="TFC125" s="3"/>
      <c r="TFD125" s="3"/>
      <c r="TFE125" s="3"/>
      <c r="TFF125" s="3"/>
      <c r="TFG125" s="3"/>
      <c r="TFH125" s="3"/>
      <c r="TFI125" s="3"/>
      <c r="TFJ125" s="3"/>
      <c r="TFK125" s="3"/>
      <c r="TFL125" s="3"/>
      <c r="TFM125" s="3"/>
      <c r="TFN125" s="3"/>
      <c r="TFO125" s="3"/>
      <c r="TFP125" s="3"/>
      <c r="TFQ125" s="3"/>
      <c r="TFR125" s="3"/>
      <c r="TFS125" s="3"/>
      <c r="TFT125" s="3"/>
      <c r="TFU125" s="3"/>
      <c r="TFV125" s="3"/>
      <c r="TFW125" s="3"/>
      <c r="TFX125" s="3"/>
      <c r="TFY125" s="3"/>
      <c r="TFZ125" s="3"/>
      <c r="TGA125" s="3"/>
      <c r="TGB125" s="3"/>
      <c r="TGC125" s="3"/>
      <c r="TGD125" s="3"/>
      <c r="TGE125" s="3"/>
      <c r="TGF125" s="3"/>
      <c r="TGG125" s="3"/>
      <c r="TGH125" s="3"/>
      <c r="TGI125" s="3"/>
      <c r="TGJ125" s="3"/>
      <c r="TGK125" s="3"/>
      <c r="TGL125" s="3"/>
      <c r="TGM125" s="3"/>
      <c r="TGN125" s="3"/>
      <c r="TGO125" s="3"/>
      <c r="TGP125" s="3"/>
      <c r="TGQ125" s="3"/>
      <c r="TGR125" s="3"/>
      <c r="TGS125" s="3"/>
      <c r="TGT125" s="3"/>
      <c r="TGU125" s="3"/>
      <c r="TGV125" s="3"/>
      <c r="TGW125" s="3"/>
      <c r="TGX125" s="3"/>
      <c r="TGY125" s="3"/>
      <c r="TGZ125" s="3"/>
      <c r="THA125" s="3"/>
      <c r="THB125" s="3"/>
      <c r="THC125" s="3"/>
      <c r="THD125" s="3"/>
      <c r="THE125" s="3"/>
      <c r="THF125" s="3"/>
      <c r="THG125" s="3"/>
      <c r="THH125" s="3"/>
      <c r="THI125" s="3"/>
      <c r="THJ125" s="3"/>
      <c r="THK125" s="3"/>
      <c r="THL125" s="3"/>
      <c r="THM125" s="3"/>
      <c r="THN125" s="3"/>
      <c r="THO125" s="3"/>
      <c r="THP125" s="3"/>
      <c r="THQ125" s="3"/>
      <c r="THR125" s="3"/>
      <c r="THS125" s="3"/>
      <c r="THT125" s="3"/>
      <c r="THU125" s="3"/>
      <c r="THV125" s="3"/>
      <c r="THW125" s="3"/>
      <c r="THX125" s="3"/>
      <c r="THY125" s="3"/>
      <c r="THZ125" s="3"/>
      <c r="TIA125" s="3"/>
      <c r="TIB125" s="3"/>
      <c r="TIC125" s="3"/>
      <c r="TID125" s="3"/>
      <c r="TIE125" s="3"/>
      <c r="TIF125" s="3"/>
      <c r="TIG125" s="3"/>
      <c r="TIH125" s="3"/>
      <c r="TII125" s="3"/>
      <c r="TIJ125" s="3"/>
      <c r="TIK125" s="3"/>
      <c r="TIL125" s="3"/>
      <c r="TIM125" s="3"/>
      <c r="TIN125" s="3"/>
      <c r="TIO125" s="3"/>
      <c r="TIP125" s="3"/>
      <c r="TIQ125" s="3"/>
      <c r="TIR125" s="3"/>
      <c r="TIS125" s="3"/>
      <c r="TIT125" s="3"/>
      <c r="TIU125" s="3"/>
      <c r="TIV125" s="3"/>
      <c r="TIW125" s="3"/>
      <c r="TIX125" s="3"/>
      <c r="TIY125" s="3"/>
      <c r="TIZ125" s="3"/>
      <c r="TJA125" s="3"/>
      <c r="TJB125" s="3"/>
      <c r="TJC125" s="3"/>
      <c r="TJD125" s="3"/>
      <c r="TJE125" s="3"/>
      <c r="TJF125" s="3"/>
      <c r="TJG125" s="3"/>
      <c r="TJH125" s="3"/>
      <c r="TJI125" s="3"/>
      <c r="TJJ125" s="3"/>
      <c r="TJK125" s="3"/>
      <c r="TJL125" s="3"/>
      <c r="TJM125" s="3"/>
      <c r="TJN125" s="3"/>
      <c r="TJO125" s="3"/>
      <c r="TJP125" s="3"/>
      <c r="TJQ125" s="3"/>
      <c r="TJR125" s="3"/>
      <c r="TJS125" s="3"/>
      <c r="TJT125" s="3"/>
      <c r="TJU125" s="3"/>
      <c r="TJV125" s="3"/>
      <c r="TJW125" s="3"/>
      <c r="TJX125" s="3"/>
      <c r="TJY125" s="3"/>
      <c r="TJZ125" s="3"/>
      <c r="TKA125" s="3"/>
      <c r="TKB125" s="3"/>
      <c r="TKC125" s="3"/>
      <c r="TKD125" s="3"/>
      <c r="TKE125" s="3"/>
      <c r="TKF125" s="3"/>
      <c r="TKG125" s="3"/>
      <c r="TKH125" s="3"/>
      <c r="TKI125" s="3"/>
      <c r="TKJ125" s="3"/>
      <c r="TKK125" s="3"/>
      <c r="TKL125" s="3"/>
      <c r="TKM125" s="3"/>
      <c r="TKN125" s="3"/>
      <c r="TKO125" s="3"/>
      <c r="TKP125" s="3"/>
      <c r="TKQ125" s="3"/>
      <c r="TKR125" s="3"/>
      <c r="TKS125" s="3"/>
      <c r="TKT125" s="3"/>
      <c r="TKU125" s="3"/>
      <c r="TKV125" s="3"/>
      <c r="TKW125" s="3"/>
      <c r="TKX125" s="3"/>
      <c r="TKY125" s="3"/>
      <c r="TKZ125" s="3"/>
      <c r="TLA125" s="3"/>
      <c r="TLB125" s="3"/>
      <c r="TLC125" s="3"/>
      <c r="TLD125" s="3"/>
      <c r="TLE125" s="3"/>
      <c r="TLF125" s="3"/>
      <c r="TLG125" s="3"/>
      <c r="TLH125" s="3"/>
      <c r="TLI125" s="3"/>
      <c r="TLJ125" s="3"/>
      <c r="TLK125" s="3"/>
      <c r="TLL125" s="3"/>
      <c r="TLM125" s="3"/>
      <c r="TLN125" s="3"/>
      <c r="TLO125" s="3"/>
      <c r="TLP125" s="3"/>
      <c r="TLQ125" s="3"/>
      <c r="TLR125" s="3"/>
      <c r="TLS125" s="3"/>
      <c r="TLT125" s="3"/>
      <c r="TLU125" s="3"/>
      <c r="TLV125" s="3"/>
      <c r="TLW125" s="3"/>
      <c r="TLX125" s="3"/>
      <c r="TLY125" s="3"/>
      <c r="TLZ125" s="3"/>
      <c r="TMA125" s="3"/>
      <c r="TMB125" s="3"/>
      <c r="TMC125" s="3"/>
      <c r="TMD125" s="3"/>
      <c r="TME125" s="3"/>
      <c r="TMF125" s="3"/>
      <c r="TMG125" s="3"/>
      <c r="TMH125" s="3"/>
      <c r="TMI125" s="3"/>
      <c r="TMJ125" s="3"/>
      <c r="TMK125" s="3"/>
      <c r="TML125" s="3"/>
      <c r="TMM125" s="3"/>
      <c r="TMN125" s="3"/>
      <c r="TMO125" s="3"/>
      <c r="TMP125" s="3"/>
      <c r="TMQ125" s="3"/>
      <c r="TMR125" s="3"/>
      <c r="TMS125" s="3"/>
      <c r="TMT125" s="3"/>
      <c r="TMU125" s="3"/>
      <c r="TMV125" s="3"/>
      <c r="TMW125" s="3"/>
      <c r="TMX125" s="3"/>
      <c r="TMY125" s="3"/>
      <c r="TMZ125" s="3"/>
      <c r="TNA125" s="3"/>
      <c r="TNB125" s="3"/>
      <c r="TNC125" s="3"/>
      <c r="TND125" s="3"/>
      <c r="TNE125" s="3"/>
      <c r="TNF125" s="3"/>
      <c r="TNG125" s="3"/>
      <c r="TNH125" s="3"/>
      <c r="TNI125" s="3"/>
      <c r="TNJ125" s="3"/>
      <c r="TNK125" s="3"/>
      <c r="TNL125" s="3"/>
      <c r="TNM125" s="3"/>
      <c r="TNN125" s="3"/>
      <c r="TNO125" s="3"/>
      <c r="TNP125" s="3"/>
      <c r="TNQ125" s="3"/>
      <c r="TNR125" s="3"/>
      <c r="TNS125" s="3"/>
      <c r="TNT125" s="3"/>
      <c r="TNU125" s="3"/>
      <c r="TNV125" s="3"/>
      <c r="TNW125" s="3"/>
      <c r="TNX125" s="3"/>
      <c r="TNY125" s="3"/>
      <c r="TNZ125" s="3"/>
      <c r="TOA125" s="3"/>
      <c r="TOB125" s="3"/>
      <c r="TOC125" s="3"/>
      <c r="TOD125" s="3"/>
      <c r="TOE125" s="3"/>
      <c r="TOF125" s="3"/>
      <c r="TOG125" s="3"/>
      <c r="TOH125" s="3"/>
      <c r="TOI125" s="3"/>
      <c r="TOJ125" s="3"/>
      <c r="TOK125" s="3"/>
      <c r="TOL125" s="3"/>
      <c r="TOM125" s="3"/>
      <c r="TON125" s="3"/>
      <c r="TOO125" s="3"/>
      <c r="TOP125" s="3"/>
      <c r="TOQ125" s="3"/>
      <c r="TOR125" s="3"/>
      <c r="TOS125" s="3"/>
      <c r="TOT125" s="3"/>
      <c r="TOU125" s="3"/>
      <c r="TOV125" s="3"/>
      <c r="TOW125" s="3"/>
      <c r="TOX125" s="3"/>
      <c r="TOY125" s="3"/>
      <c r="TOZ125" s="3"/>
      <c r="TPA125" s="3"/>
      <c r="TPB125" s="3"/>
      <c r="TPC125" s="3"/>
      <c r="TPD125" s="3"/>
      <c r="TPE125" s="3"/>
      <c r="TPF125" s="3"/>
      <c r="TPG125" s="3"/>
      <c r="TPH125" s="3"/>
      <c r="TPI125" s="3"/>
      <c r="TPJ125" s="3"/>
      <c r="TPK125" s="3"/>
      <c r="TPL125" s="3"/>
      <c r="TPM125" s="3"/>
      <c r="TPN125" s="3"/>
      <c r="TPO125" s="3"/>
      <c r="TPP125" s="3"/>
      <c r="TPQ125" s="3"/>
      <c r="TPR125" s="3"/>
      <c r="TPS125" s="3"/>
      <c r="TPT125" s="3"/>
      <c r="TPU125" s="3"/>
      <c r="TPV125" s="3"/>
      <c r="TPW125" s="3"/>
      <c r="TPX125" s="3"/>
      <c r="TPY125" s="3"/>
      <c r="TPZ125" s="3"/>
      <c r="TQA125" s="3"/>
      <c r="TQB125" s="3"/>
      <c r="TQC125" s="3"/>
      <c r="TQD125" s="3"/>
      <c r="TQE125" s="3"/>
      <c r="TQF125" s="3"/>
      <c r="TQG125" s="3"/>
      <c r="TQH125" s="3"/>
      <c r="TQI125" s="3"/>
      <c r="TQJ125" s="3"/>
      <c r="TQK125" s="3"/>
      <c r="TQL125" s="3"/>
      <c r="TQM125" s="3"/>
      <c r="TQN125" s="3"/>
      <c r="TQO125" s="3"/>
      <c r="TQP125" s="3"/>
      <c r="TQQ125" s="3"/>
      <c r="TQR125" s="3"/>
      <c r="TQS125" s="3"/>
      <c r="TQT125" s="3"/>
      <c r="TQU125" s="3"/>
      <c r="TQV125" s="3"/>
      <c r="TQW125" s="3"/>
      <c r="TQX125" s="3"/>
      <c r="TQY125" s="3"/>
      <c r="TQZ125" s="3"/>
      <c r="TRA125" s="3"/>
      <c r="TRB125" s="3"/>
      <c r="TRC125" s="3"/>
      <c r="TRD125" s="3"/>
      <c r="TRE125" s="3"/>
      <c r="TRF125" s="3"/>
      <c r="TRG125" s="3"/>
      <c r="TRH125" s="3"/>
      <c r="TRI125" s="3"/>
      <c r="TRJ125" s="3"/>
      <c r="TRK125" s="3"/>
      <c r="TRL125" s="3"/>
      <c r="TRM125" s="3"/>
      <c r="TRN125" s="3"/>
      <c r="TRO125" s="3"/>
      <c r="TRP125" s="3"/>
      <c r="TRQ125" s="3"/>
      <c r="TRR125" s="3"/>
      <c r="TRS125" s="3"/>
      <c r="TRT125" s="3"/>
      <c r="TRU125" s="3"/>
      <c r="TRV125" s="3"/>
      <c r="TRW125" s="3"/>
      <c r="TRX125" s="3"/>
      <c r="TRY125" s="3"/>
      <c r="TRZ125" s="3"/>
      <c r="TSA125" s="3"/>
      <c r="TSB125" s="3"/>
      <c r="TSC125" s="3"/>
      <c r="TSD125" s="3"/>
      <c r="TSE125" s="3"/>
      <c r="TSF125" s="3"/>
      <c r="TSG125" s="3"/>
      <c r="TSH125" s="3"/>
      <c r="TSI125" s="3"/>
      <c r="TSJ125" s="3"/>
      <c r="TSK125" s="3"/>
      <c r="TSL125" s="3"/>
      <c r="TSM125" s="3"/>
      <c r="TSN125" s="3"/>
      <c r="TSO125" s="3"/>
      <c r="TSP125" s="3"/>
      <c r="TSQ125" s="3"/>
      <c r="TSR125" s="3"/>
      <c r="TSS125" s="3"/>
      <c r="TST125" s="3"/>
      <c r="TSU125" s="3"/>
      <c r="TSV125" s="3"/>
      <c r="TSW125" s="3"/>
      <c r="TSX125" s="3"/>
      <c r="TSY125" s="3"/>
      <c r="TSZ125" s="3"/>
      <c r="TTA125" s="3"/>
      <c r="TTB125" s="3"/>
      <c r="TTC125" s="3"/>
      <c r="TTD125" s="3"/>
      <c r="TTE125" s="3"/>
      <c r="TTF125" s="3"/>
      <c r="TTG125" s="3"/>
      <c r="TTH125" s="3"/>
      <c r="TTI125" s="3"/>
      <c r="TTJ125" s="3"/>
      <c r="TTK125" s="3"/>
      <c r="TTL125" s="3"/>
      <c r="TTM125" s="3"/>
      <c r="TTN125" s="3"/>
      <c r="TTO125" s="3"/>
      <c r="TTP125" s="3"/>
      <c r="TTQ125" s="3"/>
      <c r="TTR125" s="3"/>
      <c r="TTS125" s="3"/>
      <c r="TTT125" s="3"/>
      <c r="TTU125" s="3"/>
      <c r="TTV125" s="3"/>
      <c r="TTW125" s="3"/>
      <c r="TTX125" s="3"/>
      <c r="TTY125" s="3"/>
      <c r="TTZ125" s="3"/>
      <c r="TUA125" s="3"/>
      <c r="TUB125" s="3"/>
      <c r="TUC125" s="3"/>
      <c r="TUD125" s="3"/>
      <c r="TUE125" s="3"/>
      <c r="TUF125" s="3"/>
      <c r="TUG125" s="3"/>
      <c r="TUH125" s="3"/>
      <c r="TUI125" s="3"/>
      <c r="TUJ125" s="3"/>
      <c r="TUK125" s="3"/>
      <c r="TUL125" s="3"/>
      <c r="TUM125" s="3"/>
      <c r="TUN125" s="3"/>
      <c r="TUO125" s="3"/>
      <c r="TUP125" s="3"/>
      <c r="TUQ125" s="3"/>
      <c r="TUR125" s="3"/>
      <c r="TUS125" s="3"/>
      <c r="TUT125" s="3"/>
      <c r="TUU125" s="3"/>
      <c r="TUV125" s="3"/>
      <c r="TUW125" s="3"/>
      <c r="TUX125" s="3"/>
      <c r="TUY125" s="3"/>
      <c r="TUZ125" s="3"/>
      <c r="TVA125" s="3"/>
      <c r="TVB125" s="3"/>
      <c r="TVC125" s="3"/>
      <c r="TVD125" s="3"/>
      <c r="TVE125" s="3"/>
      <c r="TVF125" s="3"/>
      <c r="TVG125" s="3"/>
      <c r="TVH125" s="3"/>
      <c r="TVI125" s="3"/>
      <c r="TVJ125" s="3"/>
      <c r="TVK125" s="3"/>
      <c r="TVL125" s="3"/>
      <c r="TVM125" s="3"/>
      <c r="TVN125" s="3"/>
      <c r="TVO125" s="3"/>
      <c r="TVP125" s="3"/>
      <c r="TVQ125" s="3"/>
      <c r="TVR125" s="3"/>
      <c r="TVS125" s="3"/>
      <c r="TVT125" s="3"/>
      <c r="TVU125" s="3"/>
      <c r="TVV125" s="3"/>
      <c r="TVW125" s="3"/>
      <c r="TVX125" s="3"/>
      <c r="TVY125" s="3"/>
      <c r="TVZ125" s="3"/>
      <c r="TWA125" s="3"/>
      <c r="TWB125" s="3"/>
      <c r="TWC125" s="3"/>
      <c r="TWD125" s="3"/>
      <c r="TWE125" s="3"/>
      <c r="TWF125" s="3"/>
      <c r="TWG125" s="3"/>
      <c r="TWH125" s="3"/>
      <c r="TWI125" s="3"/>
      <c r="TWJ125" s="3"/>
      <c r="TWK125" s="3"/>
      <c r="TWL125" s="3"/>
      <c r="TWM125" s="3"/>
      <c r="TWN125" s="3"/>
      <c r="TWO125" s="3"/>
      <c r="TWP125" s="3"/>
      <c r="TWQ125" s="3"/>
      <c r="TWR125" s="3"/>
      <c r="TWS125" s="3"/>
      <c r="TWT125" s="3"/>
      <c r="TWU125" s="3"/>
      <c r="TWV125" s="3"/>
      <c r="TWW125" s="3"/>
      <c r="TWX125" s="3"/>
      <c r="TWY125" s="3"/>
      <c r="TWZ125" s="3"/>
      <c r="TXA125" s="3"/>
      <c r="TXB125" s="3"/>
      <c r="TXC125" s="3"/>
      <c r="TXD125" s="3"/>
      <c r="TXE125" s="3"/>
      <c r="TXF125" s="3"/>
      <c r="TXG125" s="3"/>
      <c r="TXH125" s="3"/>
      <c r="TXI125" s="3"/>
      <c r="TXJ125" s="3"/>
      <c r="TXK125" s="3"/>
      <c r="TXL125" s="3"/>
      <c r="TXM125" s="3"/>
      <c r="TXN125" s="3"/>
      <c r="TXO125" s="3"/>
      <c r="TXP125" s="3"/>
      <c r="TXQ125" s="3"/>
      <c r="TXR125" s="3"/>
      <c r="TXS125" s="3"/>
      <c r="TXT125" s="3"/>
      <c r="TXU125" s="3"/>
      <c r="TXV125" s="3"/>
      <c r="TXW125" s="3"/>
      <c r="TXX125" s="3"/>
      <c r="TXY125" s="3"/>
      <c r="TXZ125" s="3"/>
      <c r="TYA125" s="3"/>
      <c r="TYB125" s="3"/>
      <c r="TYC125" s="3"/>
      <c r="TYD125" s="3"/>
      <c r="TYE125" s="3"/>
      <c r="TYF125" s="3"/>
      <c r="TYG125" s="3"/>
      <c r="TYH125" s="3"/>
      <c r="TYI125" s="3"/>
      <c r="TYJ125" s="3"/>
      <c r="TYK125" s="3"/>
      <c r="TYL125" s="3"/>
      <c r="TYM125" s="3"/>
      <c r="TYN125" s="3"/>
      <c r="TYO125" s="3"/>
      <c r="TYP125" s="3"/>
      <c r="TYQ125" s="3"/>
      <c r="TYR125" s="3"/>
      <c r="TYS125" s="3"/>
      <c r="TYT125" s="3"/>
      <c r="TYU125" s="3"/>
      <c r="TYV125" s="3"/>
      <c r="TYW125" s="3"/>
      <c r="TYX125" s="3"/>
      <c r="TYY125" s="3"/>
      <c r="TYZ125" s="3"/>
      <c r="TZA125" s="3"/>
      <c r="TZB125" s="3"/>
      <c r="TZC125" s="3"/>
      <c r="TZD125" s="3"/>
      <c r="TZE125" s="3"/>
      <c r="TZF125" s="3"/>
      <c r="TZG125" s="3"/>
      <c r="TZH125" s="3"/>
      <c r="TZI125" s="3"/>
      <c r="TZJ125" s="3"/>
      <c r="TZK125" s="3"/>
      <c r="TZL125" s="3"/>
      <c r="TZM125" s="3"/>
      <c r="TZN125" s="3"/>
      <c r="TZO125" s="3"/>
      <c r="TZP125" s="3"/>
      <c r="TZQ125" s="3"/>
      <c r="TZR125" s="3"/>
      <c r="TZS125" s="3"/>
      <c r="TZT125" s="3"/>
      <c r="TZU125" s="3"/>
      <c r="TZV125" s="3"/>
      <c r="TZW125" s="3"/>
      <c r="TZX125" s="3"/>
      <c r="TZY125" s="3"/>
      <c r="TZZ125" s="3"/>
      <c r="UAA125" s="3"/>
      <c r="UAB125" s="3"/>
      <c r="UAC125" s="3"/>
      <c r="UAD125" s="3"/>
      <c r="UAE125" s="3"/>
      <c r="UAF125" s="3"/>
      <c r="UAG125" s="3"/>
      <c r="UAH125" s="3"/>
      <c r="UAI125" s="3"/>
      <c r="UAJ125" s="3"/>
      <c r="UAK125" s="3"/>
      <c r="UAL125" s="3"/>
      <c r="UAM125" s="3"/>
      <c r="UAN125" s="3"/>
      <c r="UAO125" s="3"/>
      <c r="UAP125" s="3"/>
      <c r="UAQ125" s="3"/>
      <c r="UAR125" s="3"/>
      <c r="UAS125" s="3"/>
      <c r="UAT125" s="3"/>
      <c r="UAU125" s="3"/>
      <c r="UAV125" s="3"/>
      <c r="UAW125" s="3"/>
      <c r="UAX125" s="3"/>
      <c r="UAY125" s="3"/>
      <c r="UAZ125" s="3"/>
      <c r="UBA125" s="3"/>
      <c r="UBB125" s="3"/>
      <c r="UBC125" s="3"/>
      <c r="UBD125" s="3"/>
      <c r="UBE125" s="3"/>
      <c r="UBF125" s="3"/>
      <c r="UBG125" s="3"/>
      <c r="UBH125" s="3"/>
      <c r="UBI125" s="3"/>
      <c r="UBJ125" s="3"/>
      <c r="UBK125" s="3"/>
      <c r="UBL125" s="3"/>
      <c r="UBM125" s="3"/>
      <c r="UBN125" s="3"/>
      <c r="UBO125" s="3"/>
      <c r="UBP125" s="3"/>
      <c r="UBQ125" s="3"/>
      <c r="UBR125" s="3"/>
      <c r="UBS125" s="3"/>
      <c r="UBT125" s="3"/>
      <c r="UBU125" s="3"/>
      <c r="UBV125" s="3"/>
      <c r="UBW125" s="3"/>
      <c r="UBX125" s="3"/>
      <c r="UBY125" s="3"/>
      <c r="UBZ125" s="3"/>
      <c r="UCA125" s="3"/>
      <c r="UCB125" s="3"/>
      <c r="UCC125" s="3"/>
      <c r="UCD125" s="3"/>
      <c r="UCE125" s="3"/>
      <c r="UCF125" s="3"/>
      <c r="UCG125" s="3"/>
      <c r="UCH125" s="3"/>
      <c r="UCI125" s="3"/>
      <c r="UCJ125" s="3"/>
      <c r="UCK125" s="3"/>
      <c r="UCL125" s="3"/>
      <c r="UCM125" s="3"/>
      <c r="UCN125" s="3"/>
      <c r="UCO125" s="3"/>
      <c r="UCP125" s="3"/>
      <c r="UCQ125" s="3"/>
      <c r="UCR125" s="3"/>
      <c r="UCS125" s="3"/>
      <c r="UCT125" s="3"/>
      <c r="UCU125" s="3"/>
      <c r="UCV125" s="3"/>
      <c r="UCW125" s="3"/>
      <c r="UCX125" s="3"/>
      <c r="UCY125" s="3"/>
      <c r="UCZ125" s="3"/>
      <c r="UDA125" s="3"/>
      <c r="UDB125" s="3"/>
      <c r="UDC125" s="3"/>
      <c r="UDD125" s="3"/>
      <c r="UDE125" s="3"/>
      <c r="UDF125" s="3"/>
      <c r="UDG125" s="3"/>
      <c r="UDH125" s="3"/>
      <c r="UDI125" s="3"/>
      <c r="UDJ125" s="3"/>
      <c r="UDK125" s="3"/>
      <c r="UDL125" s="3"/>
      <c r="UDM125" s="3"/>
      <c r="UDN125" s="3"/>
      <c r="UDO125" s="3"/>
      <c r="UDP125" s="3"/>
      <c r="UDQ125" s="3"/>
      <c r="UDR125" s="3"/>
      <c r="UDS125" s="3"/>
      <c r="UDT125" s="3"/>
      <c r="UDU125" s="3"/>
      <c r="UDV125" s="3"/>
      <c r="UDW125" s="3"/>
      <c r="UDX125" s="3"/>
      <c r="UDY125" s="3"/>
      <c r="UDZ125" s="3"/>
      <c r="UEA125" s="3"/>
      <c r="UEB125" s="3"/>
      <c r="UEC125" s="3"/>
      <c r="UED125" s="3"/>
      <c r="UEE125" s="3"/>
      <c r="UEF125" s="3"/>
      <c r="UEG125" s="3"/>
      <c r="UEH125" s="3"/>
      <c r="UEI125" s="3"/>
      <c r="UEJ125" s="3"/>
      <c r="UEK125" s="3"/>
      <c r="UEL125" s="3"/>
      <c r="UEM125" s="3"/>
      <c r="UEN125" s="3"/>
      <c r="UEO125" s="3"/>
      <c r="UEP125" s="3"/>
      <c r="UEQ125" s="3"/>
      <c r="UER125" s="3"/>
      <c r="UES125" s="3"/>
      <c r="UET125" s="3"/>
      <c r="UEU125" s="3"/>
      <c r="UEV125" s="3"/>
      <c r="UEW125" s="3"/>
      <c r="UEX125" s="3"/>
      <c r="UEY125" s="3"/>
      <c r="UEZ125" s="3"/>
      <c r="UFA125" s="3"/>
      <c r="UFB125" s="3"/>
      <c r="UFC125" s="3"/>
      <c r="UFD125" s="3"/>
      <c r="UFE125" s="3"/>
      <c r="UFF125" s="3"/>
      <c r="UFG125" s="3"/>
      <c r="UFH125" s="3"/>
      <c r="UFI125" s="3"/>
      <c r="UFJ125" s="3"/>
      <c r="UFK125" s="3"/>
      <c r="UFL125" s="3"/>
      <c r="UFM125" s="3"/>
      <c r="UFN125" s="3"/>
      <c r="UFO125" s="3"/>
      <c r="UFP125" s="3"/>
      <c r="UFQ125" s="3"/>
      <c r="UFR125" s="3"/>
      <c r="UFS125" s="3"/>
      <c r="UFT125" s="3"/>
      <c r="UFU125" s="3"/>
      <c r="UFV125" s="3"/>
      <c r="UFW125" s="3"/>
      <c r="UFX125" s="3"/>
      <c r="UFY125" s="3"/>
      <c r="UFZ125" s="3"/>
      <c r="UGA125" s="3"/>
      <c r="UGB125" s="3"/>
      <c r="UGC125" s="3"/>
      <c r="UGD125" s="3"/>
      <c r="UGE125" s="3"/>
      <c r="UGF125" s="3"/>
      <c r="UGG125" s="3"/>
      <c r="UGH125" s="3"/>
      <c r="UGI125" s="3"/>
      <c r="UGJ125" s="3"/>
      <c r="UGK125" s="3"/>
      <c r="UGL125" s="3"/>
      <c r="UGM125" s="3"/>
      <c r="UGN125" s="3"/>
      <c r="UGO125" s="3"/>
      <c r="UGP125" s="3"/>
      <c r="UGQ125" s="3"/>
      <c r="UGR125" s="3"/>
      <c r="UGS125" s="3"/>
      <c r="UGT125" s="3"/>
      <c r="UGU125" s="3"/>
      <c r="UGV125" s="3"/>
      <c r="UGW125" s="3"/>
      <c r="UGX125" s="3"/>
      <c r="UGY125" s="3"/>
      <c r="UGZ125" s="3"/>
      <c r="UHA125" s="3"/>
      <c r="UHB125" s="3"/>
      <c r="UHC125" s="3"/>
      <c r="UHD125" s="3"/>
      <c r="UHE125" s="3"/>
      <c r="UHF125" s="3"/>
      <c r="UHG125" s="3"/>
      <c r="UHH125" s="3"/>
      <c r="UHI125" s="3"/>
      <c r="UHJ125" s="3"/>
      <c r="UHK125" s="3"/>
      <c r="UHL125" s="3"/>
      <c r="UHM125" s="3"/>
      <c r="UHN125" s="3"/>
      <c r="UHO125" s="3"/>
      <c r="UHP125" s="3"/>
      <c r="UHQ125" s="3"/>
      <c r="UHR125" s="3"/>
      <c r="UHS125" s="3"/>
      <c r="UHT125" s="3"/>
      <c r="UHU125" s="3"/>
      <c r="UHV125" s="3"/>
      <c r="UHW125" s="3"/>
      <c r="UHX125" s="3"/>
      <c r="UHY125" s="3"/>
      <c r="UHZ125" s="3"/>
      <c r="UIA125" s="3"/>
      <c r="UIB125" s="3"/>
      <c r="UIC125" s="3"/>
      <c r="UID125" s="3"/>
      <c r="UIE125" s="3"/>
      <c r="UIF125" s="3"/>
      <c r="UIG125" s="3"/>
      <c r="UIH125" s="3"/>
      <c r="UII125" s="3"/>
      <c r="UIJ125" s="3"/>
      <c r="UIK125" s="3"/>
      <c r="UIL125" s="3"/>
      <c r="UIM125" s="3"/>
      <c r="UIN125" s="3"/>
      <c r="UIO125" s="3"/>
      <c r="UIP125" s="3"/>
      <c r="UIQ125" s="3"/>
      <c r="UIR125" s="3"/>
      <c r="UIS125" s="3"/>
      <c r="UIT125" s="3"/>
      <c r="UIU125" s="3"/>
      <c r="UIV125" s="3"/>
      <c r="UIW125" s="3"/>
      <c r="UIX125" s="3"/>
      <c r="UIY125" s="3"/>
      <c r="UIZ125" s="3"/>
      <c r="UJA125" s="3"/>
      <c r="UJB125" s="3"/>
      <c r="UJC125" s="3"/>
      <c r="UJD125" s="3"/>
      <c r="UJE125" s="3"/>
      <c r="UJF125" s="3"/>
      <c r="UJG125" s="3"/>
      <c r="UJH125" s="3"/>
      <c r="UJI125" s="3"/>
      <c r="UJJ125" s="3"/>
      <c r="UJK125" s="3"/>
      <c r="UJL125" s="3"/>
      <c r="UJM125" s="3"/>
      <c r="UJN125" s="3"/>
      <c r="UJO125" s="3"/>
      <c r="UJP125" s="3"/>
      <c r="UJQ125" s="3"/>
      <c r="UJR125" s="3"/>
      <c r="UJS125" s="3"/>
      <c r="UJT125" s="3"/>
      <c r="UJU125" s="3"/>
      <c r="UJV125" s="3"/>
      <c r="UJW125" s="3"/>
      <c r="UJX125" s="3"/>
      <c r="UJY125" s="3"/>
      <c r="UJZ125" s="3"/>
      <c r="UKA125" s="3"/>
      <c r="UKB125" s="3"/>
      <c r="UKC125" s="3"/>
      <c r="UKD125" s="3"/>
      <c r="UKE125" s="3"/>
      <c r="UKF125" s="3"/>
      <c r="UKG125" s="3"/>
      <c r="UKH125" s="3"/>
      <c r="UKI125" s="3"/>
      <c r="UKJ125" s="3"/>
      <c r="UKK125" s="3"/>
      <c r="UKL125" s="3"/>
      <c r="UKM125" s="3"/>
      <c r="UKN125" s="3"/>
      <c r="UKO125" s="3"/>
      <c r="UKP125" s="3"/>
      <c r="UKQ125" s="3"/>
      <c r="UKR125" s="3"/>
      <c r="UKS125" s="3"/>
      <c r="UKT125" s="3"/>
      <c r="UKU125" s="3"/>
      <c r="UKV125" s="3"/>
      <c r="UKW125" s="3"/>
      <c r="UKX125" s="3"/>
      <c r="UKY125" s="3"/>
      <c r="UKZ125" s="3"/>
      <c r="ULA125" s="3"/>
      <c r="ULB125" s="3"/>
      <c r="ULC125" s="3"/>
      <c r="ULD125" s="3"/>
      <c r="ULE125" s="3"/>
      <c r="ULF125" s="3"/>
      <c r="ULG125" s="3"/>
      <c r="ULH125" s="3"/>
      <c r="ULI125" s="3"/>
      <c r="ULJ125" s="3"/>
      <c r="ULK125" s="3"/>
      <c r="ULL125" s="3"/>
      <c r="ULM125" s="3"/>
      <c r="ULN125" s="3"/>
      <c r="ULO125" s="3"/>
      <c r="ULP125" s="3"/>
      <c r="ULQ125" s="3"/>
      <c r="ULR125" s="3"/>
      <c r="ULS125" s="3"/>
      <c r="ULT125" s="3"/>
      <c r="ULU125" s="3"/>
      <c r="ULV125" s="3"/>
      <c r="ULW125" s="3"/>
      <c r="ULX125" s="3"/>
      <c r="ULY125" s="3"/>
      <c r="ULZ125" s="3"/>
      <c r="UMA125" s="3"/>
      <c r="UMB125" s="3"/>
      <c r="UMC125" s="3"/>
      <c r="UMD125" s="3"/>
      <c r="UME125" s="3"/>
      <c r="UMF125" s="3"/>
      <c r="UMG125" s="3"/>
      <c r="UMH125" s="3"/>
      <c r="UMI125" s="3"/>
      <c r="UMJ125" s="3"/>
      <c r="UMK125" s="3"/>
      <c r="UML125" s="3"/>
      <c r="UMM125" s="3"/>
      <c r="UMN125" s="3"/>
      <c r="UMO125" s="3"/>
      <c r="UMP125" s="3"/>
      <c r="UMQ125" s="3"/>
      <c r="UMR125" s="3"/>
      <c r="UMS125" s="3"/>
      <c r="UMT125" s="3"/>
      <c r="UMU125" s="3"/>
      <c r="UMV125" s="3"/>
      <c r="UMW125" s="3"/>
      <c r="UMX125" s="3"/>
      <c r="UMY125" s="3"/>
      <c r="UMZ125" s="3"/>
      <c r="UNA125" s="3"/>
      <c r="UNB125" s="3"/>
      <c r="UNC125" s="3"/>
      <c r="UND125" s="3"/>
      <c r="UNE125" s="3"/>
      <c r="UNF125" s="3"/>
      <c r="UNG125" s="3"/>
      <c r="UNH125" s="3"/>
      <c r="UNI125" s="3"/>
      <c r="UNJ125" s="3"/>
      <c r="UNK125" s="3"/>
      <c r="UNL125" s="3"/>
      <c r="UNM125" s="3"/>
      <c r="UNN125" s="3"/>
      <c r="UNO125" s="3"/>
      <c r="UNP125" s="3"/>
      <c r="UNQ125" s="3"/>
      <c r="UNR125" s="3"/>
      <c r="UNS125" s="3"/>
      <c r="UNT125" s="3"/>
      <c r="UNU125" s="3"/>
      <c r="UNV125" s="3"/>
      <c r="UNW125" s="3"/>
      <c r="UNX125" s="3"/>
      <c r="UNY125" s="3"/>
      <c r="UNZ125" s="3"/>
      <c r="UOA125" s="3"/>
      <c r="UOB125" s="3"/>
      <c r="UOC125" s="3"/>
      <c r="UOD125" s="3"/>
      <c r="UOE125" s="3"/>
      <c r="UOF125" s="3"/>
      <c r="UOG125" s="3"/>
      <c r="UOH125" s="3"/>
      <c r="UOI125" s="3"/>
      <c r="UOJ125" s="3"/>
      <c r="UOK125" s="3"/>
      <c r="UOL125" s="3"/>
      <c r="UOM125" s="3"/>
      <c r="UON125" s="3"/>
      <c r="UOO125" s="3"/>
      <c r="UOP125" s="3"/>
      <c r="UOQ125" s="3"/>
      <c r="UOR125" s="3"/>
      <c r="UOS125" s="3"/>
      <c r="UOT125" s="3"/>
      <c r="UOU125" s="3"/>
      <c r="UOV125" s="3"/>
      <c r="UOW125" s="3"/>
      <c r="UOX125" s="3"/>
      <c r="UOY125" s="3"/>
      <c r="UOZ125" s="3"/>
      <c r="UPA125" s="3"/>
      <c r="UPB125" s="3"/>
      <c r="UPC125" s="3"/>
      <c r="UPD125" s="3"/>
      <c r="UPE125" s="3"/>
      <c r="UPF125" s="3"/>
      <c r="UPG125" s="3"/>
      <c r="UPH125" s="3"/>
      <c r="UPI125" s="3"/>
      <c r="UPJ125" s="3"/>
      <c r="UPK125" s="3"/>
      <c r="UPL125" s="3"/>
      <c r="UPM125" s="3"/>
      <c r="UPN125" s="3"/>
      <c r="UPO125" s="3"/>
      <c r="UPP125" s="3"/>
      <c r="UPQ125" s="3"/>
      <c r="UPR125" s="3"/>
      <c r="UPS125" s="3"/>
      <c r="UPT125" s="3"/>
      <c r="UPU125" s="3"/>
      <c r="UPV125" s="3"/>
      <c r="UPW125" s="3"/>
      <c r="UPX125" s="3"/>
      <c r="UPY125" s="3"/>
      <c r="UPZ125" s="3"/>
      <c r="UQA125" s="3"/>
      <c r="UQB125" s="3"/>
      <c r="UQC125" s="3"/>
      <c r="UQD125" s="3"/>
      <c r="UQE125" s="3"/>
      <c r="UQF125" s="3"/>
      <c r="UQG125" s="3"/>
      <c r="UQH125" s="3"/>
      <c r="UQI125" s="3"/>
      <c r="UQJ125" s="3"/>
      <c r="UQK125" s="3"/>
      <c r="UQL125" s="3"/>
      <c r="UQM125" s="3"/>
      <c r="UQN125" s="3"/>
      <c r="UQO125" s="3"/>
      <c r="UQP125" s="3"/>
      <c r="UQQ125" s="3"/>
      <c r="UQR125" s="3"/>
      <c r="UQS125" s="3"/>
      <c r="UQT125" s="3"/>
      <c r="UQU125" s="3"/>
      <c r="UQV125" s="3"/>
      <c r="UQW125" s="3"/>
      <c r="UQX125" s="3"/>
      <c r="UQY125" s="3"/>
      <c r="UQZ125" s="3"/>
      <c r="URA125" s="3"/>
      <c r="URB125" s="3"/>
      <c r="URC125" s="3"/>
      <c r="URD125" s="3"/>
      <c r="URE125" s="3"/>
      <c r="URF125" s="3"/>
      <c r="URG125" s="3"/>
      <c r="URH125" s="3"/>
      <c r="URI125" s="3"/>
      <c r="URJ125" s="3"/>
      <c r="URK125" s="3"/>
      <c r="URL125" s="3"/>
      <c r="URM125" s="3"/>
      <c r="URN125" s="3"/>
      <c r="URO125" s="3"/>
      <c r="URP125" s="3"/>
      <c r="URQ125" s="3"/>
      <c r="URR125" s="3"/>
      <c r="URS125" s="3"/>
      <c r="URT125" s="3"/>
      <c r="URU125" s="3"/>
      <c r="URV125" s="3"/>
      <c r="URW125" s="3"/>
      <c r="URX125" s="3"/>
      <c r="URY125" s="3"/>
      <c r="URZ125" s="3"/>
      <c r="USA125" s="3"/>
      <c r="USB125" s="3"/>
      <c r="USC125" s="3"/>
      <c r="USD125" s="3"/>
      <c r="USE125" s="3"/>
      <c r="USF125" s="3"/>
      <c r="USG125" s="3"/>
      <c r="USH125" s="3"/>
      <c r="USI125" s="3"/>
      <c r="USJ125" s="3"/>
      <c r="USK125" s="3"/>
      <c r="USL125" s="3"/>
      <c r="USM125" s="3"/>
      <c r="USN125" s="3"/>
      <c r="USO125" s="3"/>
      <c r="USP125" s="3"/>
      <c r="USQ125" s="3"/>
      <c r="USR125" s="3"/>
      <c r="USS125" s="3"/>
      <c r="UST125" s="3"/>
      <c r="USU125" s="3"/>
      <c r="USV125" s="3"/>
      <c r="USW125" s="3"/>
      <c r="USX125" s="3"/>
      <c r="USY125" s="3"/>
      <c r="USZ125" s="3"/>
      <c r="UTA125" s="3"/>
      <c r="UTB125" s="3"/>
      <c r="UTC125" s="3"/>
      <c r="UTD125" s="3"/>
      <c r="UTE125" s="3"/>
      <c r="UTF125" s="3"/>
      <c r="UTG125" s="3"/>
      <c r="UTH125" s="3"/>
      <c r="UTI125" s="3"/>
      <c r="UTJ125" s="3"/>
      <c r="UTK125" s="3"/>
      <c r="UTL125" s="3"/>
      <c r="UTM125" s="3"/>
      <c r="UTN125" s="3"/>
      <c r="UTO125" s="3"/>
      <c r="UTP125" s="3"/>
      <c r="UTQ125" s="3"/>
      <c r="UTR125" s="3"/>
      <c r="UTS125" s="3"/>
      <c r="UTT125" s="3"/>
      <c r="UTU125" s="3"/>
      <c r="UTV125" s="3"/>
      <c r="UTW125" s="3"/>
      <c r="UTX125" s="3"/>
      <c r="UTY125" s="3"/>
      <c r="UTZ125" s="3"/>
      <c r="UUA125" s="3"/>
      <c r="UUB125" s="3"/>
      <c r="UUC125" s="3"/>
      <c r="UUD125" s="3"/>
      <c r="UUE125" s="3"/>
      <c r="UUF125" s="3"/>
      <c r="UUG125" s="3"/>
      <c r="UUH125" s="3"/>
      <c r="UUI125" s="3"/>
      <c r="UUJ125" s="3"/>
      <c r="UUK125" s="3"/>
      <c r="UUL125" s="3"/>
      <c r="UUM125" s="3"/>
      <c r="UUN125" s="3"/>
      <c r="UUO125" s="3"/>
      <c r="UUP125" s="3"/>
      <c r="UUQ125" s="3"/>
      <c r="UUR125" s="3"/>
      <c r="UUS125" s="3"/>
      <c r="UUT125" s="3"/>
      <c r="UUU125" s="3"/>
      <c r="UUV125" s="3"/>
      <c r="UUW125" s="3"/>
      <c r="UUX125" s="3"/>
      <c r="UUY125" s="3"/>
      <c r="UUZ125" s="3"/>
      <c r="UVA125" s="3"/>
      <c r="UVB125" s="3"/>
      <c r="UVC125" s="3"/>
      <c r="UVD125" s="3"/>
      <c r="UVE125" s="3"/>
      <c r="UVF125" s="3"/>
      <c r="UVG125" s="3"/>
      <c r="UVH125" s="3"/>
      <c r="UVI125" s="3"/>
      <c r="UVJ125" s="3"/>
      <c r="UVK125" s="3"/>
      <c r="UVL125" s="3"/>
      <c r="UVM125" s="3"/>
      <c r="UVN125" s="3"/>
      <c r="UVO125" s="3"/>
      <c r="UVP125" s="3"/>
      <c r="UVQ125" s="3"/>
      <c r="UVR125" s="3"/>
      <c r="UVS125" s="3"/>
      <c r="UVT125" s="3"/>
      <c r="UVU125" s="3"/>
      <c r="UVV125" s="3"/>
      <c r="UVW125" s="3"/>
      <c r="UVX125" s="3"/>
      <c r="UVY125" s="3"/>
      <c r="UVZ125" s="3"/>
      <c r="UWA125" s="3"/>
      <c r="UWB125" s="3"/>
      <c r="UWC125" s="3"/>
      <c r="UWD125" s="3"/>
      <c r="UWE125" s="3"/>
      <c r="UWF125" s="3"/>
      <c r="UWG125" s="3"/>
      <c r="UWH125" s="3"/>
      <c r="UWI125" s="3"/>
      <c r="UWJ125" s="3"/>
      <c r="UWK125" s="3"/>
      <c r="UWL125" s="3"/>
      <c r="UWM125" s="3"/>
      <c r="UWN125" s="3"/>
      <c r="UWO125" s="3"/>
      <c r="UWP125" s="3"/>
      <c r="UWQ125" s="3"/>
      <c r="UWR125" s="3"/>
      <c r="UWS125" s="3"/>
      <c r="UWT125" s="3"/>
      <c r="UWU125" s="3"/>
      <c r="UWV125" s="3"/>
      <c r="UWW125" s="3"/>
      <c r="UWX125" s="3"/>
      <c r="UWY125" s="3"/>
      <c r="UWZ125" s="3"/>
      <c r="UXA125" s="3"/>
      <c r="UXB125" s="3"/>
      <c r="UXC125" s="3"/>
      <c r="UXD125" s="3"/>
      <c r="UXE125" s="3"/>
      <c r="UXF125" s="3"/>
      <c r="UXG125" s="3"/>
      <c r="UXH125" s="3"/>
      <c r="UXI125" s="3"/>
      <c r="UXJ125" s="3"/>
      <c r="UXK125" s="3"/>
      <c r="UXL125" s="3"/>
      <c r="UXM125" s="3"/>
      <c r="UXN125" s="3"/>
      <c r="UXO125" s="3"/>
      <c r="UXP125" s="3"/>
      <c r="UXQ125" s="3"/>
      <c r="UXR125" s="3"/>
      <c r="UXS125" s="3"/>
      <c r="UXT125" s="3"/>
      <c r="UXU125" s="3"/>
      <c r="UXV125" s="3"/>
      <c r="UXW125" s="3"/>
      <c r="UXX125" s="3"/>
      <c r="UXY125" s="3"/>
      <c r="UXZ125" s="3"/>
      <c r="UYA125" s="3"/>
      <c r="UYB125" s="3"/>
      <c r="UYC125" s="3"/>
      <c r="UYD125" s="3"/>
      <c r="UYE125" s="3"/>
      <c r="UYF125" s="3"/>
      <c r="UYG125" s="3"/>
      <c r="UYH125" s="3"/>
      <c r="UYI125" s="3"/>
      <c r="UYJ125" s="3"/>
      <c r="UYK125" s="3"/>
      <c r="UYL125" s="3"/>
      <c r="UYM125" s="3"/>
      <c r="UYN125" s="3"/>
      <c r="UYO125" s="3"/>
      <c r="UYP125" s="3"/>
      <c r="UYQ125" s="3"/>
      <c r="UYR125" s="3"/>
      <c r="UYS125" s="3"/>
      <c r="UYT125" s="3"/>
      <c r="UYU125" s="3"/>
      <c r="UYV125" s="3"/>
      <c r="UYW125" s="3"/>
      <c r="UYX125" s="3"/>
      <c r="UYY125" s="3"/>
      <c r="UYZ125" s="3"/>
      <c r="UZA125" s="3"/>
      <c r="UZB125" s="3"/>
      <c r="UZC125" s="3"/>
      <c r="UZD125" s="3"/>
      <c r="UZE125" s="3"/>
      <c r="UZF125" s="3"/>
      <c r="UZG125" s="3"/>
      <c r="UZH125" s="3"/>
      <c r="UZI125" s="3"/>
      <c r="UZJ125" s="3"/>
      <c r="UZK125" s="3"/>
      <c r="UZL125" s="3"/>
      <c r="UZM125" s="3"/>
      <c r="UZN125" s="3"/>
      <c r="UZO125" s="3"/>
      <c r="UZP125" s="3"/>
      <c r="UZQ125" s="3"/>
      <c r="UZR125" s="3"/>
      <c r="UZS125" s="3"/>
      <c r="UZT125" s="3"/>
      <c r="UZU125" s="3"/>
      <c r="UZV125" s="3"/>
      <c r="UZW125" s="3"/>
      <c r="UZX125" s="3"/>
      <c r="UZY125" s="3"/>
      <c r="UZZ125" s="3"/>
      <c r="VAA125" s="3"/>
      <c r="VAB125" s="3"/>
      <c r="VAC125" s="3"/>
      <c r="VAD125" s="3"/>
      <c r="VAE125" s="3"/>
      <c r="VAF125" s="3"/>
      <c r="VAG125" s="3"/>
      <c r="VAH125" s="3"/>
      <c r="VAI125" s="3"/>
      <c r="VAJ125" s="3"/>
      <c r="VAK125" s="3"/>
      <c r="VAL125" s="3"/>
      <c r="VAM125" s="3"/>
      <c r="VAN125" s="3"/>
      <c r="VAO125" s="3"/>
      <c r="VAP125" s="3"/>
      <c r="VAQ125" s="3"/>
      <c r="VAR125" s="3"/>
      <c r="VAS125" s="3"/>
      <c r="VAT125" s="3"/>
      <c r="VAU125" s="3"/>
      <c r="VAV125" s="3"/>
      <c r="VAW125" s="3"/>
      <c r="VAX125" s="3"/>
      <c r="VAY125" s="3"/>
      <c r="VAZ125" s="3"/>
      <c r="VBA125" s="3"/>
      <c r="VBB125" s="3"/>
      <c r="VBC125" s="3"/>
      <c r="VBD125" s="3"/>
      <c r="VBE125" s="3"/>
      <c r="VBF125" s="3"/>
      <c r="VBG125" s="3"/>
      <c r="VBH125" s="3"/>
      <c r="VBI125" s="3"/>
      <c r="VBJ125" s="3"/>
      <c r="VBK125" s="3"/>
      <c r="VBL125" s="3"/>
      <c r="VBM125" s="3"/>
      <c r="VBN125" s="3"/>
      <c r="VBO125" s="3"/>
      <c r="VBP125" s="3"/>
      <c r="VBQ125" s="3"/>
      <c r="VBR125" s="3"/>
      <c r="VBS125" s="3"/>
      <c r="VBT125" s="3"/>
      <c r="VBU125" s="3"/>
      <c r="VBV125" s="3"/>
      <c r="VBW125" s="3"/>
      <c r="VBX125" s="3"/>
      <c r="VBY125" s="3"/>
      <c r="VBZ125" s="3"/>
      <c r="VCA125" s="3"/>
      <c r="VCB125" s="3"/>
      <c r="VCC125" s="3"/>
      <c r="VCD125" s="3"/>
      <c r="VCE125" s="3"/>
      <c r="VCF125" s="3"/>
      <c r="VCG125" s="3"/>
      <c r="VCH125" s="3"/>
      <c r="VCI125" s="3"/>
      <c r="VCJ125" s="3"/>
      <c r="VCK125" s="3"/>
      <c r="VCL125" s="3"/>
      <c r="VCM125" s="3"/>
      <c r="VCN125" s="3"/>
      <c r="VCO125" s="3"/>
      <c r="VCP125" s="3"/>
      <c r="VCQ125" s="3"/>
      <c r="VCR125" s="3"/>
      <c r="VCS125" s="3"/>
      <c r="VCT125" s="3"/>
      <c r="VCU125" s="3"/>
      <c r="VCV125" s="3"/>
      <c r="VCW125" s="3"/>
      <c r="VCX125" s="3"/>
      <c r="VCY125" s="3"/>
      <c r="VCZ125" s="3"/>
      <c r="VDA125" s="3"/>
      <c r="VDB125" s="3"/>
      <c r="VDC125" s="3"/>
      <c r="VDD125" s="3"/>
      <c r="VDE125" s="3"/>
      <c r="VDF125" s="3"/>
      <c r="VDG125" s="3"/>
      <c r="VDH125" s="3"/>
      <c r="VDI125" s="3"/>
      <c r="VDJ125" s="3"/>
      <c r="VDK125" s="3"/>
      <c r="VDL125" s="3"/>
      <c r="VDM125" s="3"/>
      <c r="VDN125" s="3"/>
      <c r="VDO125" s="3"/>
      <c r="VDP125" s="3"/>
      <c r="VDQ125" s="3"/>
      <c r="VDR125" s="3"/>
      <c r="VDS125" s="3"/>
      <c r="VDT125" s="3"/>
      <c r="VDU125" s="3"/>
      <c r="VDV125" s="3"/>
      <c r="VDW125" s="3"/>
      <c r="VDX125" s="3"/>
      <c r="VDY125" s="3"/>
      <c r="VDZ125" s="3"/>
      <c r="VEA125" s="3"/>
      <c r="VEB125" s="3"/>
      <c r="VEC125" s="3"/>
      <c r="VED125" s="3"/>
      <c r="VEE125" s="3"/>
      <c r="VEF125" s="3"/>
      <c r="VEG125" s="3"/>
      <c r="VEH125" s="3"/>
      <c r="VEI125" s="3"/>
      <c r="VEJ125" s="3"/>
      <c r="VEK125" s="3"/>
      <c r="VEL125" s="3"/>
      <c r="VEM125" s="3"/>
      <c r="VEN125" s="3"/>
      <c r="VEO125" s="3"/>
      <c r="VEP125" s="3"/>
      <c r="VEQ125" s="3"/>
      <c r="VER125" s="3"/>
      <c r="VES125" s="3"/>
      <c r="VET125" s="3"/>
      <c r="VEU125" s="3"/>
      <c r="VEV125" s="3"/>
      <c r="VEW125" s="3"/>
      <c r="VEX125" s="3"/>
      <c r="VEY125" s="3"/>
      <c r="VEZ125" s="3"/>
      <c r="VFA125" s="3"/>
      <c r="VFB125" s="3"/>
      <c r="VFC125" s="3"/>
      <c r="VFD125" s="3"/>
      <c r="VFE125" s="3"/>
      <c r="VFF125" s="3"/>
      <c r="VFG125" s="3"/>
      <c r="VFH125" s="3"/>
      <c r="VFI125" s="3"/>
      <c r="VFJ125" s="3"/>
      <c r="VFK125" s="3"/>
      <c r="VFL125" s="3"/>
      <c r="VFM125" s="3"/>
      <c r="VFN125" s="3"/>
      <c r="VFO125" s="3"/>
      <c r="VFP125" s="3"/>
      <c r="VFQ125" s="3"/>
      <c r="VFR125" s="3"/>
      <c r="VFS125" s="3"/>
      <c r="VFT125" s="3"/>
      <c r="VFU125" s="3"/>
      <c r="VFV125" s="3"/>
      <c r="VFW125" s="3"/>
      <c r="VFX125" s="3"/>
      <c r="VFY125" s="3"/>
      <c r="VFZ125" s="3"/>
      <c r="VGA125" s="3"/>
      <c r="VGB125" s="3"/>
      <c r="VGC125" s="3"/>
      <c r="VGD125" s="3"/>
      <c r="VGE125" s="3"/>
      <c r="VGF125" s="3"/>
      <c r="VGG125" s="3"/>
      <c r="VGH125" s="3"/>
      <c r="VGI125" s="3"/>
      <c r="VGJ125" s="3"/>
      <c r="VGK125" s="3"/>
      <c r="VGL125" s="3"/>
      <c r="VGM125" s="3"/>
      <c r="VGN125" s="3"/>
      <c r="VGO125" s="3"/>
      <c r="VGP125" s="3"/>
      <c r="VGQ125" s="3"/>
      <c r="VGR125" s="3"/>
      <c r="VGS125" s="3"/>
      <c r="VGT125" s="3"/>
      <c r="VGU125" s="3"/>
      <c r="VGV125" s="3"/>
      <c r="VGW125" s="3"/>
      <c r="VGX125" s="3"/>
      <c r="VGY125" s="3"/>
      <c r="VGZ125" s="3"/>
      <c r="VHA125" s="3"/>
      <c r="VHB125" s="3"/>
      <c r="VHC125" s="3"/>
      <c r="VHD125" s="3"/>
      <c r="VHE125" s="3"/>
      <c r="VHF125" s="3"/>
      <c r="VHG125" s="3"/>
      <c r="VHH125" s="3"/>
      <c r="VHI125" s="3"/>
      <c r="VHJ125" s="3"/>
      <c r="VHK125" s="3"/>
      <c r="VHL125" s="3"/>
      <c r="VHM125" s="3"/>
      <c r="VHN125" s="3"/>
      <c r="VHO125" s="3"/>
      <c r="VHP125" s="3"/>
      <c r="VHQ125" s="3"/>
      <c r="VHR125" s="3"/>
      <c r="VHS125" s="3"/>
      <c r="VHT125" s="3"/>
      <c r="VHU125" s="3"/>
      <c r="VHV125" s="3"/>
      <c r="VHW125" s="3"/>
      <c r="VHX125" s="3"/>
      <c r="VHY125" s="3"/>
      <c r="VHZ125" s="3"/>
      <c r="VIA125" s="3"/>
      <c r="VIB125" s="3"/>
      <c r="VIC125" s="3"/>
      <c r="VID125" s="3"/>
      <c r="VIE125" s="3"/>
      <c r="VIF125" s="3"/>
      <c r="VIG125" s="3"/>
      <c r="VIH125" s="3"/>
      <c r="VII125" s="3"/>
      <c r="VIJ125" s="3"/>
      <c r="VIK125" s="3"/>
      <c r="VIL125" s="3"/>
      <c r="VIM125" s="3"/>
      <c r="VIN125" s="3"/>
      <c r="VIO125" s="3"/>
      <c r="VIP125" s="3"/>
      <c r="VIQ125" s="3"/>
      <c r="VIR125" s="3"/>
      <c r="VIS125" s="3"/>
      <c r="VIT125" s="3"/>
      <c r="VIU125" s="3"/>
      <c r="VIV125" s="3"/>
      <c r="VIW125" s="3"/>
      <c r="VIX125" s="3"/>
      <c r="VIY125" s="3"/>
      <c r="VIZ125" s="3"/>
      <c r="VJA125" s="3"/>
      <c r="VJB125" s="3"/>
      <c r="VJC125" s="3"/>
      <c r="VJD125" s="3"/>
      <c r="VJE125" s="3"/>
      <c r="VJF125" s="3"/>
      <c r="VJG125" s="3"/>
      <c r="VJH125" s="3"/>
      <c r="VJI125" s="3"/>
      <c r="VJJ125" s="3"/>
      <c r="VJK125" s="3"/>
      <c r="VJL125" s="3"/>
      <c r="VJM125" s="3"/>
      <c r="VJN125" s="3"/>
      <c r="VJO125" s="3"/>
      <c r="VJP125" s="3"/>
      <c r="VJQ125" s="3"/>
      <c r="VJR125" s="3"/>
      <c r="VJS125" s="3"/>
      <c r="VJT125" s="3"/>
      <c r="VJU125" s="3"/>
      <c r="VJV125" s="3"/>
      <c r="VJW125" s="3"/>
      <c r="VJX125" s="3"/>
      <c r="VJY125" s="3"/>
      <c r="VJZ125" s="3"/>
      <c r="VKA125" s="3"/>
      <c r="VKB125" s="3"/>
      <c r="VKC125" s="3"/>
      <c r="VKD125" s="3"/>
      <c r="VKE125" s="3"/>
      <c r="VKF125" s="3"/>
      <c r="VKG125" s="3"/>
      <c r="VKH125" s="3"/>
      <c r="VKI125" s="3"/>
      <c r="VKJ125" s="3"/>
      <c r="VKK125" s="3"/>
      <c r="VKL125" s="3"/>
      <c r="VKM125" s="3"/>
      <c r="VKN125" s="3"/>
      <c r="VKO125" s="3"/>
      <c r="VKP125" s="3"/>
      <c r="VKQ125" s="3"/>
      <c r="VKR125" s="3"/>
      <c r="VKS125" s="3"/>
      <c r="VKT125" s="3"/>
      <c r="VKU125" s="3"/>
      <c r="VKV125" s="3"/>
      <c r="VKW125" s="3"/>
      <c r="VKX125" s="3"/>
      <c r="VKY125" s="3"/>
      <c r="VKZ125" s="3"/>
      <c r="VLA125" s="3"/>
      <c r="VLB125" s="3"/>
      <c r="VLC125" s="3"/>
      <c r="VLD125" s="3"/>
      <c r="VLE125" s="3"/>
      <c r="VLF125" s="3"/>
      <c r="VLG125" s="3"/>
      <c r="VLH125" s="3"/>
      <c r="VLI125" s="3"/>
      <c r="VLJ125" s="3"/>
      <c r="VLK125" s="3"/>
      <c r="VLL125" s="3"/>
      <c r="VLM125" s="3"/>
      <c r="VLN125" s="3"/>
      <c r="VLO125" s="3"/>
      <c r="VLP125" s="3"/>
      <c r="VLQ125" s="3"/>
      <c r="VLR125" s="3"/>
      <c r="VLS125" s="3"/>
      <c r="VLT125" s="3"/>
      <c r="VLU125" s="3"/>
      <c r="VLV125" s="3"/>
      <c r="VLW125" s="3"/>
      <c r="VLX125" s="3"/>
      <c r="VLY125" s="3"/>
      <c r="VLZ125" s="3"/>
      <c r="VMA125" s="3"/>
      <c r="VMB125" s="3"/>
      <c r="VMC125" s="3"/>
      <c r="VMD125" s="3"/>
      <c r="VME125" s="3"/>
      <c r="VMF125" s="3"/>
      <c r="VMG125" s="3"/>
      <c r="VMH125" s="3"/>
      <c r="VMI125" s="3"/>
      <c r="VMJ125" s="3"/>
      <c r="VMK125" s="3"/>
      <c r="VML125" s="3"/>
      <c r="VMM125" s="3"/>
      <c r="VMN125" s="3"/>
      <c r="VMO125" s="3"/>
      <c r="VMP125" s="3"/>
      <c r="VMQ125" s="3"/>
      <c r="VMR125" s="3"/>
      <c r="VMS125" s="3"/>
      <c r="VMT125" s="3"/>
      <c r="VMU125" s="3"/>
      <c r="VMV125" s="3"/>
      <c r="VMW125" s="3"/>
      <c r="VMX125" s="3"/>
      <c r="VMY125" s="3"/>
      <c r="VMZ125" s="3"/>
      <c r="VNA125" s="3"/>
      <c r="VNB125" s="3"/>
      <c r="VNC125" s="3"/>
      <c r="VND125" s="3"/>
      <c r="VNE125" s="3"/>
      <c r="VNF125" s="3"/>
      <c r="VNG125" s="3"/>
      <c r="VNH125" s="3"/>
      <c r="VNI125" s="3"/>
      <c r="VNJ125" s="3"/>
      <c r="VNK125" s="3"/>
      <c r="VNL125" s="3"/>
      <c r="VNM125" s="3"/>
      <c r="VNN125" s="3"/>
      <c r="VNO125" s="3"/>
      <c r="VNP125" s="3"/>
      <c r="VNQ125" s="3"/>
      <c r="VNR125" s="3"/>
      <c r="VNS125" s="3"/>
      <c r="VNT125" s="3"/>
      <c r="VNU125" s="3"/>
      <c r="VNV125" s="3"/>
      <c r="VNW125" s="3"/>
      <c r="VNX125" s="3"/>
      <c r="VNY125" s="3"/>
      <c r="VNZ125" s="3"/>
      <c r="VOA125" s="3"/>
      <c r="VOB125" s="3"/>
      <c r="VOC125" s="3"/>
      <c r="VOD125" s="3"/>
      <c r="VOE125" s="3"/>
      <c r="VOF125" s="3"/>
      <c r="VOG125" s="3"/>
      <c r="VOH125" s="3"/>
      <c r="VOI125" s="3"/>
      <c r="VOJ125" s="3"/>
      <c r="VOK125" s="3"/>
      <c r="VOL125" s="3"/>
      <c r="VOM125" s="3"/>
      <c r="VON125" s="3"/>
      <c r="VOO125" s="3"/>
      <c r="VOP125" s="3"/>
      <c r="VOQ125" s="3"/>
      <c r="VOR125" s="3"/>
      <c r="VOS125" s="3"/>
      <c r="VOT125" s="3"/>
      <c r="VOU125" s="3"/>
      <c r="VOV125" s="3"/>
      <c r="VOW125" s="3"/>
      <c r="VOX125" s="3"/>
      <c r="VOY125" s="3"/>
      <c r="VOZ125" s="3"/>
      <c r="VPA125" s="3"/>
      <c r="VPB125" s="3"/>
      <c r="VPC125" s="3"/>
      <c r="VPD125" s="3"/>
      <c r="VPE125" s="3"/>
      <c r="VPF125" s="3"/>
      <c r="VPG125" s="3"/>
      <c r="VPH125" s="3"/>
      <c r="VPI125" s="3"/>
      <c r="VPJ125" s="3"/>
      <c r="VPK125" s="3"/>
      <c r="VPL125" s="3"/>
      <c r="VPM125" s="3"/>
      <c r="VPN125" s="3"/>
      <c r="VPO125" s="3"/>
      <c r="VPP125" s="3"/>
      <c r="VPQ125" s="3"/>
      <c r="VPR125" s="3"/>
      <c r="VPS125" s="3"/>
      <c r="VPT125" s="3"/>
      <c r="VPU125" s="3"/>
      <c r="VPV125" s="3"/>
      <c r="VPW125" s="3"/>
      <c r="VPX125" s="3"/>
      <c r="VPY125" s="3"/>
      <c r="VPZ125" s="3"/>
      <c r="VQA125" s="3"/>
      <c r="VQB125" s="3"/>
      <c r="VQC125" s="3"/>
      <c r="VQD125" s="3"/>
      <c r="VQE125" s="3"/>
      <c r="VQF125" s="3"/>
      <c r="VQG125" s="3"/>
      <c r="VQH125" s="3"/>
      <c r="VQI125" s="3"/>
      <c r="VQJ125" s="3"/>
      <c r="VQK125" s="3"/>
      <c r="VQL125" s="3"/>
      <c r="VQM125" s="3"/>
      <c r="VQN125" s="3"/>
      <c r="VQO125" s="3"/>
      <c r="VQP125" s="3"/>
      <c r="VQQ125" s="3"/>
      <c r="VQR125" s="3"/>
      <c r="VQS125" s="3"/>
      <c r="VQT125" s="3"/>
      <c r="VQU125" s="3"/>
      <c r="VQV125" s="3"/>
      <c r="VQW125" s="3"/>
      <c r="VQX125" s="3"/>
      <c r="VQY125" s="3"/>
      <c r="VQZ125" s="3"/>
      <c r="VRA125" s="3"/>
      <c r="VRB125" s="3"/>
      <c r="VRC125" s="3"/>
      <c r="VRD125" s="3"/>
      <c r="VRE125" s="3"/>
      <c r="VRF125" s="3"/>
      <c r="VRG125" s="3"/>
      <c r="VRH125" s="3"/>
      <c r="VRI125" s="3"/>
      <c r="VRJ125" s="3"/>
      <c r="VRK125" s="3"/>
      <c r="VRL125" s="3"/>
      <c r="VRM125" s="3"/>
      <c r="VRN125" s="3"/>
      <c r="VRO125" s="3"/>
      <c r="VRP125" s="3"/>
      <c r="VRQ125" s="3"/>
      <c r="VRR125" s="3"/>
      <c r="VRS125" s="3"/>
      <c r="VRT125" s="3"/>
      <c r="VRU125" s="3"/>
      <c r="VRV125" s="3"/>
      <c r="VRW125" s="3"/>
      <c r="VRX125" s="3"/>
      <c r="VRY125" s="3"/>
      <c r="VRZ125" s="3"/>
      <c r="VSA125" s="3"/>
      <c r="VSB125" s="3"/>
      <c r="VSC125" s="3"/>
      <c r="VSD125" s="3"/>
      <c r="VSE125" s="3"/>
      <c r="VSF125" s="3"/>
      <c r="VSG125" s="3"/>
      <c r="VSH125" s="3"/>
      <c r="VSI125" s="3"/>
      <c r="VSJ125" s="3"/>
      <c r="VSK125" s="3"/>
      <c r="VSL125" s="3"/>
      <c r="VSM125" s="3"/>
      <c r="VSN125" s="3"/>
      <c r="VSO125" s="3"/>
      <c r="VSP125" s="3"/>
      <c r="VSQ125" s="3"/>
      <c r="VSR125" s="3"/>
      <c r="VSS125" s="3"/>
      <c r="VST125" s="3"/>
      <c r="VSU125" s="3"/>
      <c r="VSV125" s="3"/>
      <c r="VSW125" s="3"/>
      <c r="VSX125" s="3"/>
      <c r="VSY125" s="3"/>
      <c r="VSZ125" s="3"/>
      <c r="VTA125" s="3"/>
      <c r="VTB125" s="3"/>
      <c r="VTC125" s="3"/>
      <c r="VTD125" s="3"/>
      <c r="VTE125" s="3"/>
      <c r="VTF125" s="3"/>
      <c r="VTG125" s="3"/>
      <c r="VTH125" s="3"/>
      <c r="VTI125" s="3"/>
      <c r="VTJ125" s="3"/>
      <c r="VTK125" s="3"/>
      <c r="VTL125" s="3"/>
      <c r="VTM125" s="3"/>
      <c r="VTN125" s="3"/>
      <c r="VTO125" s="3"/>
      <c r="VTP125" s="3"/>
      <c r="VTQ125" s="3"/>
      <c r="VTR125" s="3"/>
      <c r="VTS125" s="3"/>
      <c r="VTT125" s="3"/>
      <c r="VTU125" s="3"/>
      <c r="VTV125" s="3"/>
      <c r="VTW125" s="3"/>
      <c r="VTX125" s="3"/>
      <c r="VTY125" s="3"/>
      <c r="VTZ125" s="3"/>
      <c r="VUA125" s="3"/>
      <c r="VUB125" s="3"/>
      <c r="VUC125" s="3"/>
      <c r="VUD125" s="3"/>
      <c r="VUE125" s="3"/>
      <c r="VUF125" s="3"/>
      <c r="VUG125" s="3"/>
      <c r="VUH125" s="3"/>
      <c r="VUI125" s="3"/>
      <c r="VUJ125" s="3"/>
      <c r="VUK125" s="3"/>
      <c r="VUL125" s="3"/>
      <c r="VUM125" s="3"/>
      <c r="VUN125" s="3"/>
      <c r="VUO125" s="3"/>
      <c r="VUP125" s="3"/>
      <c r="VUQ125" s="3"/>
      <c r="VUR125" s="3"/>
      <c r="VUS125" s="3"/>
      <c r="VUT125" s="3"/>
      <c r="VUU125" s="3"/>
      <c r="VUV125" s="3"/>
      <c r="VUW125" s="3"/>
      <c r="VUX125" s="3"/>
      <c r="VUY125" s="3"/>
      <c r="VUZ125" s="3"/>
      <c r="VVA125" s="3"/>
      <c r="VVB125" s="3"/>
      <c r="VVC125" s="3"/>
      <c r="VVD125" s="3"/>
      <c r="VVE125" s="3"/>
      <c r="VVF125" s="3"/>
      <c r="VVG125" s="3"/>
      <c r="VVH125" s="3"/>
      <c r="VVI125" s="3"/>
      <c r="VVJ125" s="3"/>
      <c r="VVK125" s="3"/>
      <c r="VVL125" s="3"/>
      <c r="VVM125" s="3"/>
      <c r="VVN125" s="3"/>
      <c r="VVO125" s="3"/>
      <c r="VVP125" s="3"/>
      <c r="VVQ125" s="3"/>
      <c r="VVR125" s="3"/>
      <c r="VVS125" s="3"/>
      <c r="VVT125" s="3"/>
      <c r="VVU125" s="3"/>
      <c r="VVV125" s="3"/>
      <c r="VVW125" s="3"/>
      <c r="VVX125" s="3"/>
      <c r="VVY125" s="3"/>
      <c r="VVZ125" s="3"/>
      <c r="VWA125" s="3"/>
      <c r="VWB125" s="3"/>
      <c r="VWC125" s="3"/>
      <c r="VWD125" s="3"/>
      <c r="VWE125" s="3"/>
      <c r="VWF125" s="3"/>
      <c r="VWG125" s="3"/>
      <c r="VWH125" s="3"/>
      <c r="VWI125" s="3"/>
      <c r="VWJ125" s="3"/>
      <c r="VWK125" s="3"/>
      <c r="VWL125" s="3"/>
      <c r="VWM125" s="3"/>
      <c r="VWN125" s="3"/>
      <c r="VWO125" s="3"/>
      <c r="VWP125" s="3"/>
      <c r="VWQ125" s="3"/>
      <c r="VWR125" s="3"/>
      <c r="VWS125" s="3"/>
      <c r="VWT125" s="3"/>
      <c r="VWU125" s="3"/>
      <c r="VWV125" s="3"/>
      <c r="VWW125" s="3"/>
      <c r="VWX125" s="3"/>
      <c r="VWY125" s="3"/>
      <c r="VWZ125" s="3"/>
      <c r="VXA125" s="3"/>
      <c r="VXB125" s="3"/>
      <c r="VXC125" s="3"/>
      <c r="VXD125" s="3"/>
      <c r="VXE125" s="3"/>
      <c r="VXF125" s="3"/>
      <c r="VXG125" s="3"/>
      <c r="VXH125" s="3"/>
      <c r="VXI125" s="3"/>
      <c r="VXJ125" s="3"/>
      <c r="VXK125" s="3"/>
      <c r="VXL125" s="3"/>
      <c r="VXM125" s="3"/>
      <c r="VXN125" s="3"/>
      <c r="VXO125" s="3"/>
      <c r="VXP125" s="3"/>
      <c r="VXQ125" s="3"/>
      <c r="VXR125" s="3"/>
      <c r="VXS125" s="3"/>
      <c r="VXT125" s="3"/>
      <c r="VXU125" s="3"/>
      <c r="VXV125" s="3"/>
      <c r="VXW125" s="3"/>
      <c r="VXX125" s="3"/>
      <c r="VXY125" s="3"/>
      <c r="VXZ125" s="3"/>
      <c r="VYA125" s="3"/>
      <c r="VYB125" s="3"/>
      <c r="VYC125" s="3"/>
      <c r="VYD125" s="3"/>
      <c r="VYE125" s="3"/>
      <c r="VYF125" s="3"/>
      <c r="VYG125" s="3"/>
      <c r="VYH125" s="3"/>
      <c r="VYI125" s="3"/>
      <c r="VYJ125" s="3"/>
      <c r="VYK125" s="3"/>
      <c r="VYL125" s="3"/>
      <c r="VYM125" s="3"/>
      <c r="VYN125" s="3"/>
      <c r="VYO125" s="3"/>
      <c r="VYP125" s="3"/>
      <c r="VYQ125" s="3"/>
      <c r="VYR125" s="3"/>
      <c r="VYS125" s="3"/>
      <c r="VYT125" s="3"/>
      <c r="VYU125" s="3"/>
      <c r="VYV125" s="3"/>
      <c r="VYW125" s="3"/>
      <c r="VYX125" s="3"/>
      <c r="VYY125" s="3"/>
      <c r="VYZ125" s="3"/>
      <c r="VZA125" s="3"/>
      <c r="VZB125" s="3"/>
      <c r="VZC125" s="3"/>
      <c r="VZD125" s="3"/>
      <c r="VZE125" s="3"/>
      <c r="VZF125" s="3"/>
      <c r="VZG125" s="3"/>
      <c r="VZH125" s="3"/>
      <c r="VZI125" s="3"/>
      <c r="VZJ125" s="3"/>
      <c r="VZK125" s="3"/>
      <c r="VZL125" s="3"/>
      <c r="VZM125" s="3"/>
      <c r="VZN125" s="3"/>
      <c r="VZO125" s="3"/>
      <c r="VZP125" s="3"/>
      <c r="VZQ125" s="3"/>
      <c r="VZR125" s="3"/>
      <c r="VZS125" s="3"/>
      <c r="VZT125" s="3"/>
      <c r="VZU125" s="3"/>
      <c r="VZV125" s="3"/>
      <c r="VZW125" s="3"/>
      <c r="VZX125" s="3"/>
      <c r="VZY125" s="3"/>
      <c r="VZZ125" s="3"/>
      <c r="WAA125" s="3"/>
      <c r="WAB125" s="3"/>
      <c r="WAC125" s="3"/>
      <c r="WAD125" s="3"/>
      <c r="WAE125" s="3"/>
      <c r="WAF125" s="3"/>
      <c r="WAG125" s="3"/>
      <c r="WAH125" s="3"/>
      <c r="WAI125" s="3"/>
      <c r="WAJ125" s="3"/>
      <c r="WAK125" s="3"/>
      <c r="WAL125" s="3"/>
      <c r="WAM125" s="3"/>
      <c r="WAN125" s="3"/>
      <c r="WAO125" s="3"/>
      <c r="WAP125" s="3"/>
      <c r="WAQ125" s="3"/>
      <c r="WAR125" s="3"/>
      <c r="WAS125" s="3"/>
      <c r="WAT125" s="3"/>
      <c r="WAU125" s="3"/>
      <c r="WAV125" s="3"/>
      <c r="WAW125" s="3"/>
      <c r="WAX125" s="3"/>
      <c r="WAY125" s="3"/>
      <c r="WAZ125" s="3"/>
      <c r="WBA125" s="3"/>
      <c r="WBB125" s="3"/>
      <c r="WBC125" s="3"/>
      <c r="WBD125" s="3"/>
      <c r="WBE125" s="3"/>
      <c r="WBF125" s="3"/>
      <c r="WBG125" s="3"/>
      <c r="WBH125" s="3"/>
      <c r="WBI125" s="3"/>
      <c r="WBJ125" s="3"/>
      <c r="WBK125" s="3"/>
      <c r="WBL125" s="3"/>
      <c r="WBM125" s="3"/>
      <c r="WBN125" s="3"/>
      <c r="WBO125" s="3"/>
      <c r="WBP125" s="3"/>
      <c r="WBQ125" s="3"/>
      <c r="WBR125" s="3"/>
      <c r="WBS125" s="3"/>
      <c r="WBT125" s="3"/>
      <c r="WBU125" s="3"/>
      <c r="WBV125" s="3"/>
      <c r="WBW125" s="3"/>
      <c r="WBX125" s="3"/>
      <c r="WBY125" s="3"/>
      <c r="WBZ125" s="3"/>
      <c r="WCA125" s="3"/>
      <c r="WCB125" s="3"/>
      <c r="WCC125" s="3"/>
      <c r="WCD125" s="3"/>
      <c r="WCE125" s="3"/>
      <c r="WCF125" s="3"/>
      <c r="WCG125" s="3"/>
      <c r="WCH125" s="3"/>
      <c r="WCI125" s="3"/>
      <c r="WCJ125" s="3"/>
      <c r="WCK125" s="3"/>
      <c r="WCL125" s="3"/>
      <c r="WCM125" s="3"/>
      <c r="WCN125" s="3"/>
      <c r="WCO125" s="3"/>
      <c r="WCP125" s="3"/>
      <c r="WCQ125" s="3"/>
      <c r="WCR125" s="3"/>
      <c r="WCS125" s="3"/>
      <c r="WCT125" s="3"/>
      <c r="WCU125" s="3"/>
      <c r="WCV125" s="3"/>
      <c r="WCW125" s="3"/>
      <c r="WCX125" s="3"/>
      <c r="WCY125" s="3"/>
      <c r="WCZ125" s="3"/>
      <c r="WDA125" s="3"/>
      <c r="WDB125" s="3"/>
      <c r="WDC125" s="3"/>
      <c r="WDD125" s="3"/>
      <c r="WDE125" s="3"/>
      <c r="WDF125" s="3"/>
      <c r="WDG125" s="3"/>
      <c r="WDH125" s="3"/>
      <c r="WDI125" s="3"/>
      <c r="WDJ125" s="3"/>
      <c r="WDK125" s="3"/>
      <c r="WDL125" s="3"/>
      <c r="WDM125" s="3"/>
      <c r="WDN125" s="3"/>
      <c r="WDO125" s="3"/>
      <c r="WDP125" s="3"/>
      <c r="WDQ125" s="3"/>
      <c r="WDR125" s="3"/>
      <c r="WDS125" s="3"/>
      <c r="WDT125" s="3"/>
      <c r="WDU125" s="3"/>
      <c r="WDV125" s="3"/>
      <c r="WDW125" s="3"/>
      <c r="WDX125" s="3"/>
      <c r="WDY125" s="3"/>
      <c r="WDZ125" s="3"/>
      <c r="WEA125" s="3"/>
      <c r="WEB125" s="3"/>
      <c r="WEC125" s="3"/>
      <c r="WED125" s="3"/>
      <c r="WEE125" s="3"/>
      <c r="WEF125" s="3"/>
      <c r="WEG125" s="3"/>
      <c r="WEH125" s="3"/>
      <c r="WEI125" s="3"/>
      <c r="WEJ125" s="3"/>
      <c r="WEK125" s="3"/>
      <c r="WEL125" s="3"/>
      <c r="WEM125" s="3"/>
      <c r="WEN125" s="3"/>
      <c r="WEO125" s="3"/>
      <c r="WEP125" s="3"/>
      <c r="WEQ125" s="3"/>
      <c r="WER125" s="3"/>
      <c r="WES125" s="3"/>
      <c r="WET125" s="3"/>
      <c r="WEU125" s="3"/>
      <c r="WEV125" s="3"/>
      <c r="WEW125" s="3"/>
      <c r="WEX125" s="3"/>
      <c r="WEY125" s="3"/>
      <c r="WEZ125" s="3"/>
      <c r="WFA125" s="3"/>
      <c r="WFB125" s="3"/>
      <c r="WFC125" s="3"/>
      <c r="WFD125" s="3"/>
      <c r="WFE125" s="3"/>
      <c r="WFF125" s="3"/>
      <c r="WFG125" s="3"/>
      <c r="WFH125" s="3"/>
      <c r="WFI125" s="3"/>
      <c r="WFJ125" s="3"/>
      <c r="WFK125" s="3"/>
      <c r="WFL125" s="3"/>
      <c r="WFM125" s="3"/>
      <c r="WFN125" s="3"/>
      <c r="WFO125" s="3"/>
      <c r="WFP125" s="3"/>
      <c r="WFQ125" s="3"/>
      <c r="WFR125" s="3"/>
      <c r="WFS125" s="3"/>
      <c r="WFT125" s="3"/>
      <c r="WFU125" s="3"/>
      <c r="WFV125" s="3"/>
      <c r="WFW125" s="3"/>
      <c r="WFX125" s="3"/>
      <c r="WFY125" s="3"/>
      <c r="WFZ125" s="3"/>
      <c r="WGA125" s="3"/>
      <c r="WGB125" s="3"/>
      <c r="WGC125" s="3"/>
      <c r="WGD125" s="3"/>
      <c r="WGE125" s="3"/>
      <c r="WGF125" s="3"/>
      <c r="WGG125" s="3"/>
      <c r="WGH125" s="3"/>
      <c r="WGI125" s="3"/>
      <c r="WGJ125" s="3"/>
      <c r="WGK125" s="3"/>
      <c r="WGL125" s="3"/>
      <c r="WGM125" s="3"/>
      <c r="WGN125" s="3"/>
      <c r="WGO125" s="3"/>
      <c r="WGP125" s="3"/>
      <c r="WGQ125" s="3"/>
      <c r="WGR125" s="3"/>
      <c r="WGS125" s="3"/>
      <c r="WGT125" s="3"/>
      <c r="WGU125" s="3"/>
      <c r="WGV125" s="3"/>
      <c r="WGW125" s="3"/>
      <c r="WGX125" s="3"/>
      <c r="WGY125" s="3"/>
      <c r="WGZ125" s="3"/>
      <c r="WHA125" s="3"/>
      <c r="WHB125" s="3"/>
      <c r="WHC125" s="3"/>
      <c r="WHD125" s="3"/>
      <c r="WHE125" s="3"/>
      <c r="WHF125" s="3"/>
      <c r="WHG125" s="3"/>
      <c r="WHH125" s="3"/>
      <c r="WHI125" s="3"/>
      <c r="WHJ125" s="3"/>
      <c r="WHK125" s="3"/>
      <c r="WHL125" s="3"/>
      <c r="WHM125" s="3"/>
      <c r="WHN125" s="3"/>
      <c r="WHO125" s="3"/>
      <c r="WHP125" s="3"/>
      <c r="WHQ125" s="3"/>
      <c r="WHR125" s="3"/>
      <c r="WHS125" s="3"/>
      <c r="WHT125" s="3"/>
      <c r="WHU125" s="3"/>
      <c r="WHV125" s="3"/>
      <c r="WHW125" s="3"/>
      <c r="WHX125" s="3"/>
      <c r="WHY125" s="3"/>
      <c r="WHZ125" s="3"/>
      <c r="WIA125" s="3"/>
      <c r="WIB125" s="3"/>
      <c r="WIC125" s="3"/>
      <c r="WID125" s="3"/>
      <c r="WIE125" s="3"/>
      <c r="WIF125" s="3"/>
      <c r="WIG125" s="3"/>
      <c r="WIH125" s="3"/>
      <c r="WII125" s="3"/>
      <c r="WIJ125" s="3"/>
      <c r="WIK125" s="3"/>
      <c r="WIL125" s="3"/>
      <c r="WIM125" s="3"/>
      <c r="WIN125" s="3"/>
      <c r="WIO125" s="3"/>
      <c r="WIP125" s="3"/>
      <c r="WIQ125" s="3"/>
      <c r="WIR125" s="3"/>
      <c r="WIS125" s="3"/>
      <c r="WIT125" s="3"/>
      <c r="WIU125" s="3"/>
      <c r="WIV125" s="3"/>
      <c r="WIW125" s="3"/>
      <c r="WIX125" s="3"/>
      <c r="WIY125" s="3"/>
      <c r="WIZ125" s="3"/>
      <c r="WJA125" s="3"/>
      <c r="WJB125" s="3"/>
      <c r="WJC125" s="3"/>
      <c r="WJD125" s="3"/>
      <c r="WJE125" s="3"/>
      <c r="WJF125" s="3"/>
      <c r="WJG125" s="3"/>
      <c r="WJH125" s="3"/>
      <c r="WJI125" s="3"/>
      <c r="WJJ125" s="3"/>
      <c r="WJK125" s="3"/>
      <c r="WJL125" s="3"/>
      <c r="WJM125" s="3"/>
      <c r="WJN125" s="3"/>
      <c r="WJO125" s="3"/>
      <c r="WJP125" s="3"/>
      <c r="WJQ125" s="3"/>
      <c r="WJR125" s="3"/>
      <c r="WJS125" s="3"/>
      <c r="WJT125" s="3"/>
      <c r="WJU125" s="3"/>
      <c r="WJV125" s="3"/>
      <c r="WJW125" s="3"/>
      <c r="WJX125" s="3"/>
      <c r="WJY125" s="3"/>
      <c r="WJZ125" s="3"/>
      <c r="WKA125" s="3"/>
      <c r="WKB125" s="3"/>
      <c r="WKC125" s="3"/>
      <c r="WKD125" s="3"/>
      <c r="WKE125" s="3"/>
      <c r="WKF125" s="3"/>
      <c r="WKG125" s="3"/>
      <c r="WKH125" s="3"/>
      <c r="WKI125" s="3"/>
      <c r="WKJ125" s="3"/>
      <c r="WKK125" s="3"/>
      <c r="WKL125" s="3"/>
      <c r="WKM125" s="3"/>
      <c r="WKN125" s="3"/>
      <c r="WKO125" s="3"/>
      <c r="WKP125" s="3"/>
      <c r="WKQ125" s="3"/>
      <c r="WKR125" s="3"/>
      <c r="WKS125" s="3"/>
      <c r="WKT125" s="3"/>
      <c r="WKU125" s="3"/>
      <c r="WKV125" s="3"/>
      <c r="WKW125" s="3"/>
      <c r="WKX125" s="3"/>
      <c r="WKY125" s="3"/>
      <c r="WKZ125" s="3"/>
      <c r="WLA125" s="3"/>
      <c r="WLB125" s="3"/>
      <c r="WLC125" s="3"/>
      <c r="WLD125" s="3"/>
      <c r="WLE125" s="3"/>
      <c r="WLF125" s="3"/>
      <c r="WLG125" s="3"/>
      <c r="WLH125" s="3"/>
      <c r="WLI125" s="3"/>
      <c r="WLJ125" s="3"/>
      <c r="WLK125" s="3"/>
      <c r="WLL125" s="3"/>
      <c r="WLM125" s="3"/>
      <c r="WLN125" s="3"/>
      <c r="WLO125" s="3"/>
      <c r="WLP125" s="3"/>
      <c r="WLQ125" s="3"/>
      <c r="WLR125" s="3"/>
      <c r="WLS125" s="3"/>
      <c r="WLT125" s="3"/>
      <c r="WLU125" s="3"/>
      <c r="WLV125" s="3"/>
      <c r="WLW125" s="3"/>
      <c r="WLX125" s="3"/>
      <c r="WLY125" s="3"/>
      <c r="WLZ125" s="3"/>
      <c r="WMA125" s="3"/>
      <c r="WMB125" s="3"/>
      <c r="WMC125" s="3"/>
      <c r="WMD125" s="3"/>
      <c r="WME125" s="3"/>
      <c r="WMF125" s="3"/>
      <c r="WMG125" s="3"/>
      <c r="WMH125" s="3"/>
      <c r="WMI125" s="3"/>
      <c r="WMJ125" s="3"/>
      <c r="WMK125" s="3"/>
      <c r="WML125" s="3"/>
      <c r="WMM125" s="3"/>
      <c r="WMN125" s="3"/>
      <c r="WMO125" s="3"/>
      <c r="WMP125" s="3"/>
      <c r="WMQ125" s="3"/>
      <c r="WMR125" s="3"/>
      <c r="WMS125" s="3"/>
      <c r="WMT125" s="3"/>
      <c r="WMU125" s="3"/>
      <c r="WMV125" s="3"/>
      <c r="WMW125" s="3"/>
      <c r="WMX125" s="3"/>
      <c r="WMY125" s="3"/>
      <c r="WMZ125" s="3"/>
      <c r="WNA125" s="3"/>
      <c r="WNB125" s="3"/>
      <c r="WNC125" s="3"/>
      <c r="WND125" s="3"/>
      <c r="WNE125" s="3"/>
      <c r="WNF125" s="3"/>
      <c r="WNG125" s="3"/>
      <c r="WNH125" s="3"/>
      <c r="WNI125" s="3"/>
      <c r="WNJ125" s="3"/>
      <c r="WNK125" s="3"/>
      <c r="WNL125" s="3"/>
      <c r="WNM125" s="3"/>
      <c r="WNN125" s="3"/>
      <c r="WNO125" s="3"/>
      <c r="WNP125" s="3"/>
      <c r="WNQ125" s="3"/>
      <c r="WNR125" s="3"/>
      <c r="WNS125" s="3"/>
      <c r="WNT125" s="3"/>
      <c r="WNU125" s="3"/>
      <c r="WNV125" s="3"/>
      <c r="WNW125" s="3"/>
      <c r="WNX125" s="3"/>
      <c r="WNY125" s="3"/>
      <c r="WNZ125" s="3"/>
      <c r="WOA125" s="3"/>
      <c r="WOB125" s="3"/>
      <c r="WOC125" s="3"/>
      <c r="WOD125" s="3"/>
      <c r="WOE125" s="3"/>
      <c r="WOF125" s="3"/>
      <c r="WOG125" s="3"/>
      <c r="WOH125" s="3"/>
      <c r="WOI125" s="3"/>
      <c r="WOJ125" s="3"/>
      <c r="WOK125" s="3"/>
      <c r="WOL125" s="3"/>
      <c r="WOM125" s="3"/>
      <c r="WON125" s="3"/>
      <c r="WOO125" s="3"/>
      <c r="WOP125" s="3"/>
      <c r="WOQ125" s="3"/>
      <c r="WOR125" s="3"/>
      <c r="WOS125" s="3"/>
      <c r="WOT125" s="3"/>
      <c r="WOU125" s="3"/>
      <c r="WOV125" s="3"/>
      <c r="WOW125" s="3"/>
      <c r="WOX125" s="3"/>
      <c r="WOY125" s="3"/>
      <c r="WOZ125" s="3"/>
      <c r="WPA125" s="3"/>
      <c r="WPB125" s="3"/>
      <c r="WPC125" s="3"/>
      <c r="WPD125" s="3"/>
      <c r="WPE125" s="3"/>
      <c r="WPF125" s="3"/>
      <c r="WPG125" s="3"/>
      <c r="WPH125" s="3"/>
      <c r="WPI125" s="3"/>
      <c r="WPJ125" s="3"/>
      <c r="WPK125" s="3"/>
      <c r="WPL125" s="3"/>
      <c r="WPM125" s="3"/>
      <c r="WPN125" s="3"/>
      <c r="WPO125" s="3"/>
      <c r="WPP125" s="3"/>
      <c r="WPQ125" s="3"/>
      <c r="WPR125" s="3"/>
      <c r="WPS125" s="3"/>
      <c r="WPT125" s="3"/>
      <c r="WPU125" s="3"/>
      <c r="WPV125" s="3"/>
      <c r="WPW125" s="3"/>
      <c r="WPX125" s="3"/>
      <c r="WPY125" s="3"/>
      <c r="WPZ125" s="3"/>
      <c r="WQA125" s="3"/>
      <c r="WQB125" s="3"/>
      <c r="WQC125" s="3"/>
      <c r="WQD125" s="3"/>
      <c r="WQE125" s="3"/>
      <c r="WQF125" s="3"/>
      <c r="WQG125" s="3"/>
      <c r="WQH125" s="3"/>
      <c r="WQI125" s="3"/>
      <c r="WQJ125" s="3"/>
      <c r="WQK125" s="3"/>
      <c r="WQL125" s="3"/>
      <c r="WQM125" s="3"/>
      <c r="WQN125" s="3"/>
      <c r="WQO125" s="3"/>
      <c r="WQP125" s="3"/>
      <c r="WQQ125" s="3"/>
      <c r="WQR125" s="3"/>
      <c r="WQS125" s="3"/>
      <c r="WQT125" s="3"/>
      <c r="WQU125" s="3"/>
      <c r="WQV125" s="3"/>
      <c r="WQW125" s="3"/>
      <c r="WQX125" s="3"/>
      <c r="WQY125" s="3"/>
      <c r="WQZ125" s="3"/>
      <c r="WRA125" s="3"/>
      <c r="WRB125" s="3"/>
      <c r="WRC125" s="3"/>
      <c r="WRD125" s="3"/>
      <c r="WRE125" s="3"/>
      <c r="WRF125" s="3"/>
      <c r="WRG125" s="3"/>
      <c r="WRH125" s="3"/>
      <c r="WRI125" s="3"/>
      <c r="WRJ125" s="3"/>
      <c r="WRK125" s="3"/>
      <c r="WRL125" s="3"/>
      <c r="WRM125" s="3"/>
      <c r="WRN125" s="3"/>
      <c r="WRO125" s="3"/>
      <c r="WRP125" s="3"/>
      <c r="WRQ125" s="3"/>
      <c r="WRR125" s="3"/>
      <c r="WRS125" s="3"/>
      <c r="WRT125" s="3"/>
      <c r="WRU125" s="3"/>
      <c r="WRV125" s="3"/>
      <c r="WRW125" s="3"/>
      <c r="WRX125" s="3"/>
      <c r="WRY125" s="3"/>
      <c r="WRZ125" s="3"/>
      <c r="WSA125" s="3"/>
      <c r="WSB125" s="3"/>
      <c r="WSC125" s="3"/>
      <c r="WSD125" s="3"/>
      <c r="WSE125" s="3"/>
      <c r="WSF125" s="3"/>
      <c r="WSG125" s="3"/>
      <c r="WSH125" s="3"/>
      <c r="WSI125" s="3"/>
      <c r="WSJ125" s="3"/>
      <c r="WSK125" s="3"/>
      <c r="WSL125" s="3"/>
      <c r="WSM125" s="3"/>
      <c r="WSN125" s="3"/>
      <c r="WSO125" s="3"/>
      <c r="WSP125" s="3"/>
      <c r="WSQ125" s="3"/>
      <c r="WSR125" s="3"/>
      <c r="WSS125" s="3"/>
      <c r="WST125" s="3"/>
      <c r="WSU125" s="3"/>
      <c r="WSV125" s="3"/>
      <c r="WSW125" s="3"/>
      <c r="WSX125" s="3"/>
      <c r="WSY125" s="3"/>
      <c r="WSZ125" s="3"/>
      <c r="WTA125" s="3"/>
      <c r="WTB125" s="3"/>
      <c r="WTC125" s="3"/>
      <c r="WTD125" s="3"/>
      <c r="WTE125" s="3"/>
      <c r="WTF125" s="3"/>
      <c r="WTG125" s="3"/>
      <c r="WTH125" s="3"/>
      <c r="WTI125" s="3"/>
      <c r="WTJ125" s="3"/>
      <c r="WTK125" s="3"/>
      <c r="WTL125" s="3"/>
      <c r="WTM125" s="3"/>
      <c r="WTN125" s="3"/>
      <c r="WTO125" s="3"/>
      <c r="WTP125" s="3"/>
    </row>
    <row r="126" spans="1:16084" hidden="1" x14ac:dyDescent="0.25">
      <c r="A126" s="2" t="s">
        <v>512</v>
      </c>
      <c r="B126" s="2" t="s">
        <v>513</v>
      </c>
      <c r="C126" s="5" t="s">
        <v>514</v>
      </c>
      <c r="D126" s="2" t="s">
        <v>515</v>
      </c>
      <c r="E126" s="1">
        <v>47971</v>
      </c>
      <c r="F126" s="15"/>
      <c r="I126" s="5"/>
    </row>
    <row r="127" spans="1:16084" hidden="1" x14ac:dyDescent="0.25">
      <c r="A127" s="9" t="s">
        <v>516</v>
      </c>
      <c r="B127" s="9" t="s">
        <v>517</v>
      </c>
      <c r="C127" s="10" t="s">
        <v>518</v>
      </c>
      <c r="D127" s="11" t="s">
        <v>519</v>
      </c>
      <c r="E127" s="12">
        <v>56282</v>
      </c>
      <c r="F127" s="16" t="s">
        <v>38</v>
      </c>
      <c r="G127" s="9" t="s">
        <v>520</v>
      </c>
      <c r="H127" s="9" t="s">
        <v>521</v>
      </c>
      <c r="I127" s="10"/>
      <c r="J127" s="11"/>
    </row>
    <row r="128" spans="1:16084" hidden="1" x14ac:dyDescent="0.25">
      <c r="A128" s="2" t="s">
        <v>522</v>
      </c>
      <c r="B128" s="2" t="s">
        <v>523</v>
      </c>
      <c r="C128" s="5" t="s">
        <v>524</v>
      </c>
      <c r="D128" s="2" t="s">
        <v>525</v>
      </c>
      <c r="E128" s="1">
        <v>50362</v>
      </c>
      <c r="F128" s="15" t="s">
        <v>50</v>
      </c>
      <c r="G128" s="2" t="s">
        <v>526</v>
      </c>
      <c r="H128" s="2" t="s">
        <v>527</v>
      </c>
      <c r="I128" s="5"/>
    </row>
    <row r="131" spans="2:2" x14ac:dyDescent="0.25">
      <c r="B131" s="2" t="s">
        <v>641</v>
      </c>
    </row>
  </sheetData>
  <sortState xmlns:xlrd2="http://schemas.microsoft.com/office/spreadsheetml/2017/richdata2" ref="A1:E47">
    <sortCondition ref="B1:B47"/>
  </sortState>
  <hyperlinks>
    <hyperlink ref="C60" r:id="rId1" tooltip="Call via Hangouts" display="https://www.google.com/search?ei=sm-yWs-GFIvSjwStz5SoDw&amp;q=landstar+jacksonville+fl+phone+number&amp;oq=landstar+ranger+phone+number&amp;gs_l=psy-ab.1.1.0i71k1l8.0.0.0.9200.0.0.0.0.0.0.0.0..0.0....0...1c..64.psy-ab..0.0.0....0.WA7KG4T2SWc" xr:uid="{00000000-0004-0000-0100-000000000000}"/>
    <hyperlink ref="C32" r:id="rId2" display="tel:1-866-312-1314" xr:uid="{00000000-0004-0000-0100-000001000000}"/>
    <hyperlink ref="C100" r:id="rId3" tooltip="Call via Hangouts" display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xr:uid="{00000000-0004-0000-0100-000002000000}"/>
    <hyperlink ref="C65" r:id="rId4" tooltip="Call via Hangouts" display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xr:uid="{00000000-0004-0000-0100-000003000000}"/>
    <hyperlink ref="C52" r:id="rId5" display="tel:+1-866-281-1281" xr:uid="{00000000-0004-0000-0100-000004000000}"/>
    <hyperlink ref="C106" r:id="rId6" tooltip="Call via Hangouts" display="https://www.google.com/search?ei=xSm3XLLmKpGWtQX39oPQAw&amp;q=xpo+logistics++llc+chicago&amp;oq=xpo+logistics++llc+chicago&amp;gs_l=psy-ab.3...1646.2561..3260...0.0..0.100.655.6j1......0....1..gws-wiz.......0i71j0i7i30.JgjAgjMYq5g" xr:uid="{00000000-0004-0000-0100-000005000000}"/>
  </hyperlinks>
  <pageMargins left="0.7" right="0.7" top="0.75" bottom="0.75" header="0.3" footer="0.3"/>
  <pageSetup orientation="landscape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zoomScaleNormal="100" workbookViewId="0">
      <selection activeCell="A11" sqref="A11"/>
    </sheetView>
  </sheetViews>
  <sheetFormatPr defaultRowHeight="15" x14ac:dyDescent="0.25"/>
  <cols>
    <col min="1" max="1" width="8.7109375" style="6"/>
    <col min="2" max="2" width="9.5703125" style="6" bestFit="1" customWidth="1"/>
    <col min="3" max="3" width="10.140625" style="6" customWidth="1"/>
    <col min="4" max="4" width="10.5703125" style="6" customWidth="1"/>
    <col min="5" max="5" width="11.140625" customWidth="1"/>
    <col min="6" max="6" width="40.85546875" bestFit="1" customWidth="1"/>
    <col min="7" max="7" width="14.42578125" bestFit="1" customWidth="1"/>
    <col min="8" max="8" width="20.42578125" customWidth="1"/>
    <col min="9" max="9" width="27.140625" style="7" bestFit="1" customWidth="1"/>
    <col min="11" max="11" width="9.140625" customWidth="1"/>
    <col min="12" max="12" width="13.5703125" customWidth="1"/>
    <col min="13" max="15" width="9.140625" customWidth="1"/>
    <col min="16" max="16" width="11.5703125" customWidth="1"/>
    <col min="17" max="17" width="9.140625" customWidth="1"/>
  </cols>
  <sheetData>
    <row r="1" spans="1:17" x14ac:dyDescent="0.25">
      <c r="A1" s="6" t="s">
        <v>528</v>
      </c>
      <c r="B1" s="6" t="s">
        <v>529</v>
      </c>
      <c r="C1" s="6" t="s">
        <v>530</v>
      </c>
      <c r="D1" s="6" t="s">
        <v>531</v>
      </c>
      <c r="H1" t="s">
        <v>575</v>
      </c>
      <c r="I1" s="7" t="s">
        <v>565</v>
      </c>
    </row>
    <row r="2" spans="1:17" x14ac:dyDescent="0.25">
      <c r="A2" s="31"/>
      <c r="B2" s="31">
        <v>32</v>
      </c>
      <c r="C2" s="31">
        <f t="shared" ref="C2:C25" si="0">A2/B2</f>
        <v>0</v>
      </c>
      <c r="D2" s="32">
        <f t="shared" ref="D2:D7" si="1">C2*1824</f>
        <v>0</v>
      </c>
      <c r="E2" t="s">
        <v>550</v>
      </c>
      <c r="F2" t="s">
        <v>549</v>
      </c>
      <c r="H2">
        <v>1864</v>
      </c>
      <c r="K2" s="20"/>
      <c r="L2" s="4">
        <v>1824</v>
      </c>
      <c r="M2">
        <v>32</v>
      </c>
      <c r="O2" s="21"/>
      <c r="P2" s="20"/>
      <c r="Q2" s="21"/>
    </row>
    <row r="3" spans="1:17" x14ac:dyDescent="0.25">
      <c r="A3" s="31"/>
      <c r="B3" s="31">
        <v>32</v>
      </c>
      <c r="C3" s="31">
        <f t="shared" si="0"/>
        <v>0</v>
      </c>
      <c r="D3" s="32">
        <f t="shared" si="1"/>
        <v>0</v>
      </c>
      <c r="E3" t="s">
        <v>550</v>
      </c>
      <c r="F3" s="7" t="s">
        <v>580</v>
      </c>
      <c r="H3">
        <v>1864</v>
      </c>
      <c r="K3" s="22"/>
      <c r="L3" s="4">
        <v>2084</v>
      </c>
      <c r="M3">
        <v>36</v>
      </c>
      <c r="P3" s="20"/>
    </row>
    <row r="4" spans="1:17" x14ac:dyDescent="0.25">
      <c r="A4" s="31"/>
      <c r="B4" s="31">
        <v>32</v>
      </c>
      <c r="C4" s="31">
        <f t="shared" si="0"/>
        <v>0</v>
      </c>
      <c r="D4" s="32">
        <f t="shared" si="1"/>
        <v>0</v>
      </c>
      <c r="E4" t="s">
        <v>550</v>
      </c>
      <c r="F4" t="s">
        <v>579</v>
      </c>
      <c r="H4">
        <v>1864</v>
      </c>
      <c r="K4" s="22"/>
      <c r="L4" s="4">
        <v>2160</v>
      </c>
      <c r="M4">
        <v>60</v>
      </c>
      <c r="O4" s="8"/>
      <c r="P4" s="20"/>
    </row>
    <row r="5" spans="1:17" x14ac:dyDescent="0.25">
      <c r="A5" s="31"/>
      <c r="B5" s="31">
        <v>32</v>
      </c>
      <c r="C5" s="31">
        <f t="shared" si="0"/>
        <v>0</v>
      </c>
      <c r="D5" s="32">
        <f t="shared" si="1"/>
        <v>0</v>
      </c>
      <c r="E5" t="s">
        <v>550</v>
      </c>
      <c r="F5" t="s">
        <v>559</v>
      </c>
      <c r="H5">
        <v>1864</v>
      </c>
      <c r="K5" s="22"/>
      <c r="L5" s="4">
        <v>2160</v>
      </c>
      <c r="M5">
        <v>30</v>
      </c>
      <c r="P5" s="20"/>
    </row>
    <row r="6" spans="1:17" ht="14.25" customHeight="1" x14ac:dyDescent="0.25">
      <c r="A6" s="31"/>
      <c r="B6" s="31">
        <v>32</v>
      </c>
      <c r="C6" s="31">
        <f t="shared" si="0"/>
        <v>0</v>
      </c>
      <c r="D6" s="32">
        <f t="shared" si="1"/>
        <v>0</v>
      </c>
      <c r="E6" t="s">
        <v>550</v>
      </c>
      <c r="F6" t="s">
        <v>560</v>
      </c>
      <c r="H6">
        <v>1864</v>
      </c>
      <c r="K6" s="22"/>
      <c r="L6" s="14">
        <v>960</v>
      </c>
      <c r="M6">
        <v>16</v>
      </c>
      <c r="P6" s="20"/>
    </row>
    <row r="7" spans="1:17" x14ac:dyDescent="0.25">
      <c r="A7" s="31"/>
      <c r="B7" s="31">
        <v>32</v>
      </c>
      <c r="C7" s="31">
        <f t="shared" si="0"/>
        <v>0</v>
      </c>
      <c r="D7" s="32">
        <f t="shared" si="1"/>
        <v>0</v>
      </c>
      <c r="E7" t="s">
        <v>550</v>
      </c>
      <c r="F7" t="s">
        <v>554</v>
      </c>
      <c r="H7">
        <v>1864</v>
      </c>
      <c r="K7" s="22"/>
      <c r="L7" s="4">
        <v>1994</v>
      </c>
      <c r="M7">
        <v>35</v>
      </c>
      <c r="P7" s="20"/>
    </row>
    <row r="8" spans="1:17" x14ac:dyDescent="0.25">
      <c r="A8" s="31"/>
      <c r="B8" s="31">
        <v>32</v>
      </c>
      <c r="C8" s="31">
        <f t="shared" si="0"/>
        <v>0</v>
      </c>
      <c r="D8" s="32">
        <f>C8*1856</f>
        <v>0</v>
      </c>
      <c r="E8" t="s">
        <v>555</v>
      </c>
      <c r="F8" t="s">
        <v>556</v>
      </c>
      <c r="H8">
        <v>1864</v>
      </c>
      <c r="I8" s="23"/>
      <c r="K8" s="22"/>
      <c r="L8" s="6"/>
      <c r="M8" s="14"/>
    </row>
    <row r="9" spans="1:17" x14ac:dyDescent="0.25">
      <c r="A9" s="33"/>
      <c r="B9" s="33">
        <v>16</v>
      </c>
      <c r="C9" s="33">
        <f>A9/B9</f>
        <v>0</v>
      </c>
      <c r="D9" s="34">
        <f>C9*944</f>
        <v>0</v>
      </c>
      <c r="E9" t="s">
        <v>550</v>
      </c>
      <c r="F9" t="s">
        <v>532</v>
      </c>
      <c r="H9">
        <v>1000</v>
      </c>
      <c r="I9" s="23"/>
      <c r="K9" s="22"/>
      <c r="L9" s="6"/>
      <c r="M9" s="14"/>
    </row>
    <row r="10" spans="1:17" x14ac:dyDescent="0.25">
      <c r="A10" s="33"/>
      <c r="B10" s="33">
        <v>16</v>
      </c>
      <c r="C10" s="33">
        <f t="shared" si="0"/>
        <v>0</v>
      </c>
      <c r="D10" s="34">
        <f>C10*960</f>
        <v>0</v>
      </c>
      <c r="E10" t="s">
        <v>550</v>
      </c>
      <c r="F10" t="s">
        <v>534</v>
      </c>
      <c r="H10">
        <v>1000</v>
      </c>
      <c r="P10" s="19"/>
    </row>
    <row r="11" spans="1:17" ht="15.75" customHeight="1" x14ac:dyDescent="0.25">
      <c r="A11" s="35"/>
      <c r="B11" s="35">
        <v>35</v>
      </c>
      <c r="C11" s="35">
        <f t="shared" si="0"/>
        <v>0</v>
      </c>
      <c r="D11" s="36">
        <f>C11*2129</f>
        <v>0</v>
      </c>
      <c r="E11" t="s">
        <v>551</v>
      </c>
      <c r="F11" t="s">
        <v>578</v>
      </c>
      <c r="H11">
        <v>2129</v>
      </c>
      <c r="K11" s="22"/>
      <c r="P11" s="19"/>
    </row>
    <row r="12" spans="1:17" ht="15.75" customHeight="1" x14ac:dyDescent="0.25">
      <c r="A12" s="35"/>
      <c r="B12" s="35">
        <v>35</v>
      </c>
      <c r="C12" s="35">
        <f t="shared" si="0"/>
        <v>0</v>
      </c>
      <c r="D12" s="36">
        <f>C12*2088</f>
        <v>0</v>
      </c>
      <c r="E12" t="s">
        <v>551</v>
      </c>
      <c r="F12" t="s">
        <v>552</v>
      </c>
      <c r="H12">
        <v>2129</v>
      </c>
      <c r="K12" s="22"/>
      <c r="P12" s="19"/>
    </row>
    <row r="13" spans="1:17" ht="15.75" customHeight="1" x14ac:dyDescent="0.25">
      <c r="A13" s="35"/>
      <c r="B13" s="35">
        <v>35</v>
      </c>
      <c r="C13" s="35">
        <f t="shared" si="0"/>
        <v>0</v>
      </c>
      <c r="D13" s="36">
        <f>C13*2088</f>
        <v>0</v>
      </c>
      <c r="E13" t="s">
        <v>551</v>
      </c>
      <c r="F13" t="s">
        <v>553</v>
      </c>
      <c r="H13">
        <v>2129</v>
      </c>
      <c r="K13" s="22"/>
      <c r="P13" s="19"/>
    </row>
    <row r="14" spans="1:17" ht="15.75" customHeight="1" x14ac:dyDescent="0.25">
      <c r="A14" s="35"/>
      <c r="B14" s="35">
        <v>35</v>
      </c>
      <c r="C14" s="35">
        <f t="shared" si="0"/>
        <v>0</v>
      </c>
      <c r="D14" s="36">
        <f>C14*2088</f>
        <v>0</v>
      </c>
      <c r="E14" t="s">
        <v>551</v>
      </c>
      <c r="F14" t="s">
        <v>558</v>
      </c>
      <c r="H14">
        <v>2129</v>
      </c>
      <c r="K14" s="22"/>
      <c r="P14" s="19"/>
    </row>
    <row r="15" spans="1:17" x14ac:dyDescent="0.25">
      <c r="A15" s="37"/>
      <c r="B15" s="37">
        <v>36</v>
      </c>
      <c r="C15" s="37">
        <f>A15/B15</f>
        <v>0</v>
      </c>
      <c r="D15" s="38">
        <f>C15*1942</f>
        <v>0</v>
      </c>
      <c r="E15" t="s">
        <v>557</v>
      </c>
      <c r="F15" t="s">
        <v>533</v>
      </c>
      <c r="H15">
        <v>1982</v>
      </c>
      <c r="I15" s="7">
        <v>1840</v>
      </c>
      <c r="K15" s="19"/>
    </row>
    <row r="16" spans="1:17" x14ac:dyDescent="0.25">
      <c r="A16" s="37"/>
      <c r="B16" s="37">
        <v>36</v>
      </c>
      <c r="C16" s="37">
        <f t="shared" si="0"/>
        <v>0</v>
      </c>
      <c r="D16" s="38">
        <f>C16*1958</f>
        <v>0</v>
      </c>
      <c r="E16" t="s">
        <v>557</v>
      </c>
      <c r="F16" t="s">
        <v>577</v>
      </c>
      <c r="H16">
        <v>1917</v>
      </c>
      <c r="I16" s="7">
        <v>2019</v>
      </c>
      <c r="M16" s="7"/>
    </row>
    <row r="17" spans="1:13" x14ac:dyDescent="0.25">
      <c r="A17" s="39"/>
      <c r="B17" s="39">
        <v>40</v>
      </c>
      <c r="C17" s="39">
        <f t="shared" si="0"/>
        <v>0</v>
      </c>
      <c r="D17" s="40">
        <f>C17*2112</f>
        <v>0</v>
      </c>
      <c r="E17" t="s">
        <v>550</v>
      </c>
      <c r="F17" t="s">
        <v>589</v>
      </c>
      <c r="H17">
        <v>2112</v>
      </c>
      <c r="M17" s="7"/>
    </row>
    <row r="18" spans="1:13" x14ac:dyDescent="0.25">
      <c r="A18" s="41"/>
      <c r="B18" s="41">
        <v>30</v>
      </c>
      <c r="C18" s="41">
        <f>A18/B18</f>
        <v>0</v>
      </c>
      <c r="D18" s="42">
        <f t="shared" ref="D18:D25" si="2">C18*2260</f>
        <v>0</v>
      </c>
      <c r="E18" t="s">
        <v>535</v>
      </c>
      <c r="G18">
        <v>1824</v>
      </c>
      <c r="H18">
        <v>2260</v>
      </c>
    </row>
    <row r="19" spans="1:13" x14ac:dyDescent="0.25">
      <c r="A19" s="41"/>
      <c r="B19" s="41">
        <v>30</v>
      </c>
      <c r="C19" s="41">
        <f t="shared" si="0"/>
        <v>0</v>
      </c>
      <c r="D19" s="42">
        <f t="shared" si="2"/>
        <v>0</v>
      </c>
      <c r="E19" t="s">
        <v>535</v>
      </c>
      <c r="G19">
        <v>1824</v>
      </c>
      <c r="H19" s="22">
        <v>2260</v>
      </c>
      <c r="I19" s="24"/>
    </row>
    <row r="20" spans="1:13" x14ac:dyDescent="0.25">
      <c r="A20" s="43"/>
      <c r="B20" s="43">
        <v>60</v>
      </c>
      <c r="C20" s="43">
        <f t="shared" si="0"/>
        <v>0</v>
      </c>
      <c r="D20" s="44">
        <f t="shared" si="2"/>
        <v>0</v>
      </c>
      <c r="E20" t="s">
        <v>561</v>
      </c>
      <c r="H20" s="22">
        <v>2260</v>
      </c>
      <c r="I20" s="23"/>
    </row>
    <row r="21" spans="1:13" x14ac:dyDescent="0.25">
      <c r="A21" s="43"/>
      <c r="B21" s="43">
        <v>60</v>
      </c>
      <c r="C21" s="43">
        <f t="shared" si="0"/>
        <v>0</v>
      </c>
      <c r="D21" s="44">
        <f t="shared" si="2"/>
        <v>0</v>
      </c>
      <c r="E21" t="s">
        <v>561</v>
      </c>
      <c r="H21" s="22">
        <v>2260</v>
      </c>
    </row>
    <row r="22" spans="1:13" x14ac:dyDescent="0.25">
      <c r="A22" s="43"/>
      <c r="B22" s="43">
        <v>60</v>
      </c>
      <c r="C22" s="43">
        <f t="shared" si="0"/>
        <v>0</v>
      </c>
      <c r="D22" s="44">
        <f t="shared" si="2"/>
        <v>0</v>
      </c>
      <c r="E22" t="s">
        <v>561</v>
      </c>
      <c r="G22" s="7"/>
      <c r="H22" s="22">
        <v>2260</v>
      </c>
    </row>
    <row r="23" spans="1:13" x14ac:dyDescent="0.25">
      <c r="A23" s="43"/>
      <c r="B23" s="43">
        <v>60</v>
      </c>
      <c r="C23" s="43">
        <f t="shared" si="0"/>
        <v>0</v>
      </c>
      <c r="D23" s="44">
        <f t="shared" si="2"/>
        <v>0</v>
      </c>
      <c r="E23" t="s">
        <v>561</v>
      </c>
      <c r="H23" s="22">
        <v>2260</v>
      </c>
    </row>
    <row r="24" spans="1:13" x14ac:dyDescent="0.25">
      <c r="A24" s="43"/>
      <c r="B24" s="43">
        <v>60</v>
      </c>
      <c r="C24" s="43">
        <f t="shared" si="0"/>
        <v>0</v>
      </c>
      <c r="D24" s="44">
        <f t="shared" si="2"/>
        <v>0</v>
      </c>
      <c r="E24" t="s">
        <v>561</v>
      </c>
      <c r="F24" s="4"/>
      <c r="H24" s="22">
        <v>2260</v>
      </c>
    </row>
    <row r="25" spans="1:13" x14ac:dyDescent="0.25">
      <c r="A25" s="43"/>
      <c r="B25" s="43">
        <v>60</v>
      </c>
      <c r="C25" s="43">
        <f t="shared" si="0"/>
        <v>0</v>
      </c>
      <c r="D25" s="44">
        <f t="shared" si="2"/>
        <v>0</v>
      </c>
      <c r="E25" t="s">
        <v>561</v>
      </c>
      <c r="F25" s="4"/>
      <c r="H25" s="22">
        <v>2260</v>
      </c>
    </row>
    <row r="26" spans="1:13" x14ac:dyDescent="0.25">
      <c r="A26" s="29">
        <f>SUM(A2:A25)</f>
        <v>0</v>
      </c>
      <c r="B26" s="29"/>
      <c r="C26" s="29">
        <f>SUM(C2:C25)</f>
        <v>0</v>
      </c>
      <c r="D26" s="29">
        <f>SUM(D2:D25)</f>
        <v>0</v>
      </c>
      <c r="E26" s="8"/>
      <c r="F26" s="4" t="s">
        <v>592</v>
      </c>
      <c r="H26" s="22"/>
    </row>
    <row r="27" spans="1:13" x14ac:dyDescent="0.25">
      <c r="D27" s="30"/>
      <c r="F27" s="4"/>
    </row>
    <row r="28" spans="1:13" x14ac:dyDescent="0.25">
      <c r="D28" s="30"/>
      <c r="H28" s="22"/>
    </row>
    <row r="29" spans="1:13" x14ac:dyDescent="0.25">
      <c r="H29" s="22"/>
    </row>
    <row r="30" spans="1:13" x14ac:dyDescent="0.25">
      <c r="D30" s="30"/>
      <c r="F30" t="s">
        <v>87</v>
      </c>
    </row>
    <row r="33" spans="3:3" x14ac:dyDescent="0.25">
      <c r="C33" s="6" t="s">
        <v>87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04CC-83CD-40E4-88B4-1E95B9790E49}">
  <dimension ref="A1:D32"/>
  <sheetViews>
    <sheetView zoomScale="120" zoomScaleNormal="120" workbookViewId="0">
      <pane ySplit="1" topLeftCell="A8" activePane="bottomLeft" state="frozen"/>
      <selection pane="bottomLeft" activeCell="D35" sqref="D35"/>
    </sheetView>
  </sheetViews>
  <sheetFormatPr defaultColWidth="8.7109375" defaultRowHeight="15" x14ac:dyDescent="0.25"/>
  <cols>
    <col min="1" max="1" width="40.85546875" style="7" bestFit="1" customWidth="1"/>
    <col min="2" max="2" width="9.7109375" style="7" bestFit="1" customWidth="1"/>
    <col min="3" max="3" width="10.28515625" style="7" bestFit="1" customWidth="1"/>
    <col min="4" max="4" width="14.85546875" style="7" bestFit="1" customWidth="1"/>
    <col min="5" max="16384" width="8.7109375" style="7"/>
  </cols>
  <sheetData>
    <row r="1" spans="1:4" x14ac:dyDescent="0.25">
      <c r="B1" s="7" t="s">
        <v>629</v>
      </c>
      <c r="C1" s="7" t="s">
        <v>630</v>
      </c>
      <c r="D1" s="7" t="s">
        <v>631</v>
      </c>
    </row>
    <row r="2" spans="1:4" x14ac:dyDescent="0.25">
      <c r="A2" s="7" t="s">
        <v>620</v>
      </c>
      <c r="B2" s="7">
        <v>1864</v>
      </c>
      <c r="C2" s="7">
        <v>1824</v>
      </c>
      <c r="D2" s="7">
        <v>1864</v>
      </c>
    </row>
    <row r="3" spans="1:4" x14ac:dyDescent="0.25">
      <c r="A3" s="7" t="s">
        <v>621</v>
      </c>
      <c r="B3" s="7">
        <v>1780</v>
      </c>
      <c r="C3" s="7">
        <v>1824</v>
      </c>
      <c r="D3" s="7">
        <v>1864</v>
      </c>
    </row>
    <row r="4" spans="1:4" x14ac:dyDescent="0.25">
      <c r="A4" s="7" t="s">
        <v>602</v>
      </c>
      <c r="C4" s="7">
        <v>1824</v>
      </c>
      <c r="D4" s="7">
        <v>1864</v>
      </c>
    </row>
    <row r="5" spans="1:4" x14ac:dyDescent="0.25">
      <c r="A5" s="7" t="s">
        <v>623</v>
      </c>
      <c r="C5" s="7">
        <v>1824</v>
      </c>
      <c r="D5" s="7">
        <v>1864</v>
      </c>
    </row>
    <row r="6" spans="1:4" x14ac:dyDescent="0.25">
      <c r="A6" s="7" t="s">
        <v>624</v>
      </c>
      <c r="C6" s="7">
        <v>1824</v>
      </c>
      <c r="D6" s="7">
        <v>1864</v>
      </c>
    </row>
    <row r="7" spans="1:4" x14ac:dyDescent="0.25">
      <c r="A7" s="7" t="s">
        <v>625</v>
      </c>
      <c r="C7" s="7">
        <v>1824</v>
      </c>
      <c r="D7" s="7">
        <v>1864</v>
      </c>
    </row>
    <row r="8" spans="1:4" x14ac:dyDescent="0.25">
      <c r="A8" s="7" t="s">
        <v>626</v>
      </c>
      <c r="B8" s="7">
        <v>1864</v>
      </c>
      <c r="C8" s="7">
        <v>1824</v>
      </c>
      <c r="D8" s="7">
        <v>1864</v>
      </c>
    </row>
    <row r="9" spans="1:4" x14ac:dyDescent="0.25">
      <c r="A9" s="7" t="s">
        <v>619</v>
      </c>
      <c r="B9" s="7">
        <v>944</v>
      </c>
      <c r="D9" s="7">
        <v>1000</v>
      </c>
    </row>
    <row r="10" spans="1:4" x14ac:dyDescent="0.25">
      <c r="A10" s="7" t="s">
        <v>618</v>
      </c>
      <c r="B10" s="7">
        <v>960</v>
      </c>
      <c r="D10" s="7">
        <v>1000</v>
      </c>
    </row>
    <row r="11" spans="1:4" x14ac:dyDescent="0.25">
      <c r="A11" s="7" t="s">
        <v>617</v>
      </c>
      <c r="D11" s="7">
        <v>2129</v>
      </c>
    </row>
    <row r="12" spans="1:4" x14ac:dyDescent="0.25">
      <c r="A12" s="7" t="s">
        <v>616</v>
      </c>
      <c r="D12" s="7">
        <v>2129</v>
      </c>
    </row>
    <row r="13" spans="1:4" x14ac:dyDescent="0.25">
      <c r="A13" s="7" t="s">
        <v>615</v>
      </c>
      <c r="D13" s="7">
        <v>2129</v>
      </c>
    </row>
    <row r="14" spans="1:4" x14ac:dyDescent="0.25">
      <c r="A14" s="7" t="s">
        <v>558</v>
      </c>
      <c r="B14" s="7">
        <v>2104</v>
      </c>
      <c r="C14" s="7">
        <v>1960</v>
      </c>
      <c r="D14" s="7">
        <v>2129</v>
      </c>
    </row>
    <row r="15" spans="1:4" x14ac:dyDescent="0.25">
      <c r="A15" s="7" t="s">
        <v>612</v>
      </c>
      <c r="D15" s="7">
        <v>1982</v>
      </c>
    </row>
    <row r="16" spans="1:4" x14ac:dyDescent="0.25">
      <c r="A16" s="7" t="s">
        <v>613</v>
      </c>
      <c r="D16" s="7">
        <v>1917</v>
      </c>
    </row>
    <row r="17" spans="1:4" x14ac:dyDescent="0.25">
      <c r="A17" s="45" t="s">
        <v>603</v>
      </c>
      <c r="D17" s="7">
        <v>2129</v>
      </c>
    </row>
    <row r="18" spans="1:4" x14ac:dyDescent="0.25">
      <c r="A18" s="45" t="s">
        <v>622</v>
      </c>
      <c r="B18" s="7">
        <v>1864</v>
      </c>
      <c r="D18" s="7">
        <v>1864</v>
      </c>
    </row>
    <row r="19" spans="1:4" x14ac:dyDescent="0.25">
      <c r="A19" s="45" t="s">
        <v>601</v>
      </c>
      <c r="B19" s="7">
        <v>1864</v>
      </c>
      <c r="D19" s="7">
        <v>1864</v>
      </c>
    </row>
    <row r="20" spans="1:4" x14ac:dyDescent="0.25">
      <c r="A20" s="45" t="s">
        <v>628</v>
      </c>
      <c r="B20" s="7">
        <v>1864</v>
      </c>
      <c r="D20" s="7">
        <v>1864</v>
      </c>
    </row>
    <row r="21" spans="1:4" x14ac:dyDescent="0.25">
      <c r="A21" s="45" t="s">
        <v>614</v>
      </c>
      <c r="B21" s="7">
        <v>1917</v>
      </c>
      <c r="D21" s="7">
        <v>1917</v>
      </c>
    </row>
    <row r="22" spans="1:4" x14ac:dyDescent="0.25">
      <c r="A22" s="45" t="s">
        <v>611</v>
      </c>
      <c r="B22" s="7">
        <v>2112</v>
      </c>
      <c r="D22" s="7">
        <v>2112</v>
      </c>
    </row>
    <row r="25" spans="1:4" x14ac:dyDescent="0.25">
      <c r="A25" s="46" t="s">
        <v>627</v>
      </c>
      <c r="B25" s="7">
        <v>2260</v>
      </c>
      <c r="D25" s="7">
        <v>2260</v>
      </c>
    </row>
    <row r="26" spans="1:4" x14ac:dyDescent="0.25">
      <c r="A26" s="46" t="s">
        <v>604</v>
      </c>
      <c r="B26" s="7">
        <v>2126</v>
      </c>
      <c r="D26" s="7">
        <v>2260</v>
      </c>
    </row>
    <row r="27" spans="1:4" x14ac:dyDescent="0.25">
      <c r="A27" s="46" t="s">
        <v>605</v>
      </c>
      <c r="D27" s="7">
        <v>2260</v>
      </c>
    </row>
    <row r="28" spans="1:4" x14ac:dyDescent="0.25">
      <c r="A28" s="46" t="s">
        <v>606</v>
      </c>
      <c r="B28" s="7">
        <v>2260</v>
      </c>
      <c r="D28" s="7">
        <v>2260</v>
      </c>
    </row>
    <row r="29" spans="1:4" x14ac:dyDescent="0.25">
      <c r="A29" s="46" t="s">
        <v>607</v>
      </c>
      <c r="B29" s="7">
        <v>2122</v>
      </c>
      <c r="D29" s="7">
        <v>2260</v>
      </c>
    </row>
    <row r="30" spans="1:4" x14ac:dyDescent="0.25">
      <c r="A30" s="46" t="s">
        <v>608</v>
      </c>
      <c r="B30" s="7">
        <v>2260</v>
      </c>
      <c r="D30" s="7">
        <v>2260</v>
      </c>
    </row>
    <row r="31" spans="1:4" x14ac:dyDescent="0.25">
      <c r="A31" s="47" t="s">
        <v>609</v>
      </c>
      <c r="B31" s="7">
        <v>2260</v>
      </c>
      <c r="D31" s="7">
        <v>2260</v>
      </c>
    </row>
    <row r="32" spans="1:4" x14ac:dyDescent="0.25">
      <c r="A32" s="47" t="s">
        <v>610</v>
      </c>
      <c r="B32" s="7">
        <v>2162</v>
      </c>
      <c r="D32" s="7">
        <v>2260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5D05406A3DA44AE2786798D619E3C" ma:contentTypeVersion="12" ma:contentTypeDescription="Create a new document." ma:contentTypeScope="" ma:versionID="7da65a1e0c10505a3998dc76ccb3894d">
  <xsd:schema xmlns:xsd="http://www.w3.org/2001/XMLSchema" xmlns:xs="http://www.w3.org/2001/XMLSchema" xmlns:p="http://schemas.microsoft.com/office/2006/metadata/properties" xmlns:ns2="acb39fbd-1bf3-440b-8c4c-d4dc28c25cfe" xmlns:ns3="223c32a2-ca9d-4b0e-b8bc-b859b2b1f67b" targetNamespace="http://schemas.microsoft.com/office/2006/metadata/properties" ma:root="true" ma:fieldsID="e8ec450ac0d22b892da48cec5e9e5e14" ns2:_="" ns3:_="">
    <xsd:import namespace="acb39fbd-1bf3-440b-8c4c-d4dc28c25cfe"/>
    <xsd:import namespace="223c32a2-ca9d-4b0e-b8bc-b859b2b1f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39fbd-1bf3-440b-8c4c-d4dc28c25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21afdb-c730-4d6b-a27a-ed74e909d6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c32a2-ca9d-4b0e-b8bc-b859b2b1f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b39fbd-1bf3-440b-8c4c-d4dc28c25c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593656-7174-4C37-BBBA-F792ED5D4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39fbd-1bf3-440b-8c4c-d4dc28c25cfe"/>
    <ds:schemaRef ds:uri="223c32a2-ca9d-4b0e-b8bc-b859b2b1f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12546-74DB-494F-9ADB-EA79703127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7D0C2C-47DA-4615-8121-FEF6B7DB76CA}">
  <ds:schemaRefs>
    <ds:schemaRef ds:uri="http://purl.org/dc/elements/1.1/"/>
    <ds:schemaRef ds:uri="http://schemas.microsoft.com/office/2006/documentManagement/types"/>
    <ds:schemaRef ds:uri="http://www.w3.org/XML/1998/namespace"/>
    <ds:schemaRef ds:uri="223c32a2-ca9d-4b0e-b8bc-b859b2b1f67b"/>
    <ds:schemaRef ds:uri="acb39fbd-1bf3-440b-8c4c-d4dc28c25cf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Carrier Codes</vt:lpstr>
      <vt:lpstr>Pallet&amp;Carton count</vt:lpstr>
      <vt:lpstr>Sheet1</vt:lpstr>
      <vt:lpstr>'Carrier Codes'!Print_Area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Counts</dc:creator>
  <cp:keywords/>
  <dc:description/>
  <cp:lastModifiedBy>Laura Close</cp:lastModifiedBy>
  <cp:revision/>
  <dcterms:created xsi:type="dcterms:W3CDTF">2017-01-10T16:26:37Z</dcterms:created>
  <dcterms:modified xsi:type="dcterms:W3CDTF">2026-07-30T14:56:28Z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0x0101007CF5D05406A3DA44AE2786798D619E3C</vt:lpwstr>
  </property>
  <property fmtid="{D5CDD505-2E9C-101B-9397-08002B2CF9AE}" pid="3" name="MediaServiceImageTags">
    <vt:lpwstr/>
  </property>
</Properties>
</file>