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usa-my.sharepoint.com/personal/g_ghedini_atlasconcordeusa_com/Documents/Desktop/AI - Automations/BOL creation/BOL RDC/Data source/"/>
    </mc:Choice>
  </mc:AlternateContent>
  <xr:revisionPtr revIDLastSave="63" documentId="8_{B7661723-F96B-4DAB-8D57-EF351FFAD492}" xr6:coauthVersionLast="47" xr6:coauthVersionMax="47" xr10:uidLastSave="{D1FFEF60-C3D0-461B-8D69-67884B9AD159}"/>
  <bookViews>
    <workbookView xWindow="28680" yWindow="-120" windowWidth="29040" windowHeight="15720" activeTab="1" xr2:uid="{28E08E68-A371-4B29-865C-389C6E8D93F5}"/>
  </bookViews>
  <sheets>
    <sheet name="Sheet1" sheetId="1" r:id="rId1"/>
    <sheet name="Mapp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2" l="1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I24" i="1" l="1"/>
  <c r="G24" i="1"/>
  <c r="E24" i="1"/>
  <c r="K18" i="1"/>
  <c r="K15" i="1"/>
  <c r="K12" i="1"/>
  <c r="K3" i="1"/>
  <c r="K2" i="1"/>
  <c r="E22" i="1" l="1"/>
  <c r="I22" i="1" s="1"/>
  <c r="E2" i="1"/>
  <c r="I2" i="1" s="1"/>
  <c r="E3" i="1"/>
  <c r="E4" i="1"/>
  <c r="G4" i="1" s="1"/>
  <c r="E5" i="1"/>
  <c r="G5" i="1" s="1"/>
  <c r="E21" i="1"/>
  <c r="I21" i="1" s="1"/>
  <c r="E6" i="1"/>
  <c r="G6" i="1" s="1"/>
  <c r="E7" i="1"/>
  <c r="I7" i="1" s="1"/>
  <c r="E8" i="1"/>
  <c r="I8" i="1" s="1"/>
  <c r="E9" i="1"/>
  <c r="I9" i="1" s="1"/>
  <c r="E10" i="1"/>
  <c r="I10" i="1" s="1"/>
  <c r="E11" i="1"/>
  <c r="E12" i="1"/>
  <c r="G12" i="1" s="1"/>
  <c r="E13" i="1"/>
  <c r="G13" i="1" s="1"/>
  <c r="E14" i="1"/>
  <c r="G14" i="1" s="1"/>
  <c r="E15" i="1"/>
  <c r="I15" i="1" s="1"/>
  <c r="I17" i="1"/>
  <c r="E17" i="1"/>
  <c r="G17" i="1" s="1"/>
  <c r="E18" i="1"/>
  <c r="G18" i="1" s="1"/>
  <c r="E19" i="1"/>
  <c r="G19" i="1" s="1"/>
  <c r="E20" i="1"/>
  <c r="I20" i="1" s="1"/>
  <c r="E16" i="1"/>
  <c r="I16" i="1" s="1"/>
  <c r="G7" i="1" l="1"/>
  <c r="G8" i="1"/>
  <c r="I19" i="1"/>
  <c r="G21" i="1"/>
  <c r="I18" i="1"/>
  <c r="G16" i="1"/>
  <c r="G20" i="1"/>
  <c r="G10" i="1"/>
  <c r="I13" i="1"/>
  <c r="G22" i="1"/>
  <c r="I12" i="1"/>
  <c r="G15" i="1"/>
  <c r="G2" i="1"/>
  <c r="I14" i="1"/>
  <c r="I4" i="1"/>
  <c r="I5" i="1"/>
  <c r="I6" i="1"/>
  <c r="G9" i="1"/>
</calcChain>
</file>

<file path=xl/sharedStrings.xml><?xml version="1.0" encoding="utf-8"?>
<sst xmlns="http://schemas.openxmlformats.org/spreadsheetml/2006/main" count="86" uniqueCount="45">
  <si>
    <t>Material</t>
  </si>
  <si>
    <t>Material Description</t>
  </si>
  <si>
    <t>ALPE GRAPHITE 12X24 NR</t>
  </si>
  <si>
    <t>IMPERO BLACK 12X24 16CV</t>
  </si>
  <si>
    <t>BLUESTONE NAT.CLEFT 60SP</t>
  </si>
  <si>
    <t>ALPE IVORY 12X24 NR</t>
  </si>
  <si>
    <t>FLAGSTONE GOLD 24X24 20MM</t>
  </si>
  <si>
    <t>ALPE GRAY 60 SP</t>
  </si>
  <si>
    <t>PIETRA CHROME 60SP</t>
  </si>
  <si>
    <t>IMPERO PRESTIGE WHITE 24X48</t>
  </si>
  <si>
    <t>PIETRA JERUS.60SP</t>
  </si>
  <si>
    <t>UNICO PEARL 12X24</t>
  </si>
  <si>
    <t>SELVA ASH 8X40</t>
  </si>
  <si>
    <t>BLUESTONE NAT.CL.120SP</t>
  </si>
  <si>
    <t>ALPE WHITE 60SP</t>
  </si>
  <si>
    <t>Cube_pallet</t>
  </si>
  <si>
    <t>Weight_pallet</t>
  </si>
  <si>
    <t>SELVA VENICE 8X40</t>
  </si>
  <si>
    <t>Eaches</t>
  </si>
  <si>
    <t>PIETRA LIMESTONE WHITE 12X24</t>
  </si>
  <si>
    <t>Cases/pallet</t>
  </si>
  <si>
    <t>Pallets order</t>
  </si>
  <si>
    <t>Cube order</t>
  </si>
  <si>
    <t>Weight order</t>
  </si>
  <si>
    <t>TRAVERTINE ALMOND 12X24</t>
  </si>
  <si>
    <t>PIETRA DUNE 12X24</t>
  </si>
  <si>
    <t>ALPE GRAY 120SP</t>
  </si>
  <si>
    <t>IMPERO WHITE EVEREST 24X48 SILK</t>
  </si>
  <si>
    <t>URBAN EARTH IVORY 12X24</t>
  </si>
  <si>
    <t>IMPERO TUSCAN GRAY 24X48 SILK</t>
  </si>
  <si>
    <t>TAJ MAHAL IVORY 12X24 SILK</t>
  </si>
  <si>
    <t>TAJ MAHAL IVORY 24X48 SILK</t>
  </si>
  <si>
    <t>x</t>
  </si>
  <si>
    <t>Cubic feet alberto sizes</t>
  </si>
  <si>
    <t>OMSID</t>
  </si>
  <si>
    <t>Cod_articolo</t>
  </si>
  <si>
    <t>Material Desc</t>
  </si>
  <si>
    <t>Desc_formato</t>
  </si>
  <si>
    <t>gross lbs + pallet</t>
  </si>
  <si>
    <t>Cube Vendor PLX</t>
  </si>
  <si>
    <t>60x60 SPS</t>
  </si>
  <si>
    <t>20x100</t>
  </si>
  <si>
    <t>30x60</t>
  </si>
  <si>
    <t>60x120 SPS</t>
  </si>
  <si>
    <t>60x120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</si>
</sst>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444444"/>
      <name val="Arial"/>
      <family val="2"/>
    </font>
    <font>
      <sz val="10"/>
      <color rgb="FF444444"/>
      <name val="Inherit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FF00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4" fillId="3" borderId="0" applyNumberFormat="0" applyBorder="0" applyAlignment="0" applyProtection="0"/>
    <xf numFmtId="0" fontId="7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 applyAlignment="1">
      <alignment horizontal="right" vertical="center"/>
    </xf>
    <xf numFmtId="1" fontId="0" fillId="0" borderId="0" xfId="0" applyNumberFormat="1"/>
    <xf numFmtId="1" fontId="5" fillId="0" borderId="0" xfId="0" applyNumberFormat="1" applyFont="1"/>
    <xf numFmtId="0" fontId="3" fillId="0" borderId="0" xfId="0" applyFont="1"/>
    <xf numFmtId="0" fontId="3" fillId="4" borderId="0" xfId="0" applyFont="1" applyFill="1"/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5" borderId="0" xfId="0" applyFill="1"/>
    <xf numFmtId="0" fontId="0" fillId="6" borderId="0" xfId="0" applyFill="1"/>
    <xf numFmtId="0" fontId="8" fillId="7" borderId="1" xfId="4" applyFont="1" applyFill="1" applyBorder="1" applyAlignment="1">
      <alignment horizontal="center"/>
    </xf>
    <xf numFmtId="0" fontId="4" fillId="3" borderId="2" xfId="3" applyBorder="1" applyAlignment="1">
      <alignment horizontal="center"/>
    </xf>
    <xf numFmtId="0" fontId="8" fillId="8" borderId="0" xfId="4" applyFont="1" applyFill="1" applyAlignment="1">
      <alignment horizontal="center"/>
    </xf>
    <xf numFmtId="0" fontId="8" fillId="0" borderId="3" xfId="4" applyFont="1" applyBorder="1"/>
    <xf numFmtId="1" fontId="8" fillId="0" borderId="3" xfId="4" applyNumberFormat="1" applyFont="1" applyBorder="1"/>
    <xf numFmtId="164" fontId="2" fillId="2" borderId="0" xfId="2" applyNumberFormat="1" applyBorder="1" applyAlignment="1">
      <alignment horizontal="right"/>
    </xf>
    <xf numFmtId="164" fontId="8" fillId="0" borderId="0" xfId="1" applyNumberFormat="1" applyFont="1" applyBorder="1" applyAlignment="1">
      <alignment horizontal="center"/>
    </xf>
  </cellXfs>
  <cellStyles count="5">
    <cellStyle name="Accent3" xfId="3" builtinId="37"/>
    <cellStyle name="Comma" xfId="1" builtinId="3"/>
    <cellStyle name="Good" xfId="2" builtinId="26"/>
    <cellStyle name="Normal" xfId="0" builtinId="0"/>
    <cellStyle name="Normal_Sheet1" xfId="4" xr:uid="{EACD8C50-B6CF-4A32-AD43-DC513B331B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33C38-B68C-40F0-AF25-D34F3211AB40}">
  <dimension ref="A1:O1048576"/>
  <sheetViews>
    <sheetView workbookViewId="0">
      <selection activeCell="G4" sqref="G4"/>
    </sheetView>
  </sheetViews>
  <sheetFormatPr defaultRowHeight="14.4"/>
  <cols>
    <col min="1" max="1" width="13.5546875" customWidth="1"/>
    <col min="2" max="2" width="30.109375" bestFit="1" customWidth="1"/>
    <col min="3" max="4" width="10.5546875" customWidth="1"/>
    <col min="5" max="5" width="11.109375" bestFit="1" customWidth="1"/>
    <col min="6" max="6" width="11.109375" customWidth="1"/>
    <col min="7" max="7" width="11" bestFit="1" customWidth="1"/>
    <col min="8" max="8" width="10.44140625" customWidth="1"/>
    <col min="9" max="9" width="11.77734375" bestFit="1" customWidth="1"/>
    <col min="10" max="10" width="19.6640625" bestFit="1" customWidth="1"/>
    <col min="13" max="13" width="11.21875" bestFit="1" customWidth="1"/>
    <col min="14" max="14" width="11" bestFit="1" customWidth="1"/>
    <col min="15" max="15" width="19.6640625" bestFit="1" customWidth="1"/>
  </cols>
  <sheetData>
    <row r="1" spans="1:15">
      <c r="A1" s="6" t="s">
        <v>0</v>
      </c>
      <c r="B1" s="6" t="s">
        <v>1</v>
      </c>
      <c r="C1" t="s">
        <v>18</v>
      </c>
      <c r="D1" t="s">
        <v>20</v>
      </c>
      <c r="E1" t="s">
        <v>21</v>
      </c>
      <c r="F1" t="s">
        <v>22</v>
      </c>
      <c r="G1" s="7" t="s">
        <v>15</v>
      </c>
      <c r="H1" t="s">
        <v>23</v>
      </c>
      <c r="I1" s="7" t="s">
        <v>16</v>
      </c>
      <c r="J1" s="12" t="s">
        <v>33</v>
      </c>
      <c r="N1" s="7"/>
      <c r="O1" s="12"/>
    </row>
    <row r="2" spans="1:15">
      <c r="A2" s="4">
        <v>610010005234</v>
      </c>
      <c r="B2" s="4" t="s">
        <v>2</v>
      </c>
      <c r="C2">
        <v>32</v>
      </c>
      <c r="D2">
        <v>32</v>
      </c>
      <c r="E2" s="5">
        <f t="shared" ref="E2:E5" si="0">C2/D2</f>
        <v>1</v>
      </c>
      <c r="F2">
        <v>73.78</v>
      </c>
      <c r="G2" s="8">
        <f t="shared" ref="G2" si="1">F2/E2</f>
        <v>73.78</v>
      </c>
      <c r="H2">
        <v>1818</v>
      </c>
      <c r="I2" s="4">
        <f>H2/E2</f>
        <v>1818</v>
      </c>
      <c r="J2">
        <v>22.2</v>
      </c>
      <c r="K2">
        <f>G2/J2</f>
        <v>3.3234234234234235</v>
      </c>
      <c r="N2" s="8"/>
    </row>
    <row r="3" spans="1:15">
      <c r="A3" s="4">
        <v>610010005396</v>
      </c>
      <c r="B3" s="4" t="s">
        <v>3</v>
      </c>
      <c r="D3">
        <v>16</v>
      </c>
      <c r="E3" s="5">
        <f t="shared" si="0"/>
        <v>0</v>
      </c>
      <c r="G3" s="8">
        <v>42.674999999999997</v>
      </c>
      <c r="I3" s="4">
        <v>972.74</v>
      </c>
      <c r="J3">
        <v>13</v>
      </c>
      <c r="K3">
        <f>G3/J3</f>
        <v>3.2826923076923076</v>
      </c>
      <c r="N3" s="8"/>
    </row>
    <row r="4" spans="1:15">
      <c r="A4" s="4">
        <v>610010002317</v>
      </c>
      <c r="B4" s="4" t="s">
        <v>4</v>
      </c>
      <c r="C4">
        <v>240</v>
      </c>
      <c r="D4">
        <v>60</v>
      </c>
      <c r="E4" s="5">
        <f t="shared" si="0"/>
        <v>4</v>
      </c>
      <c r="F4">
        <v>78.97</v>
      </c>
      <c r="G4" s="8">
        <f t="shared" ref="G4:G10" si="2">F4/E4</f>
        <v>19.7425</v>
      </c>
      <c r="H4">
        <v>8776</v>
      </c>
      <c r="I4" s="4">
        <f t="shared" ref="I4:I10" si="3">H4/E4</f>
        <v>2194</v>
      </c>
      <c r="N4" s="8"/>
    </row>
    <row r="5" spans="1:15">
      <c r="A5" s="4">
        <v>610010005236</v>
      </c>
      <c r="B5" s="4" t="s">
        <v>5</v>
      </c>
      <c r="C5">
        <v>32</v>
      </c>
      <c r="D5">
        <v>32</v>
      </c>
      <c r="E5" s="5">
        <f t="shared" si="0"/>
        <v>1</v>
      </c>
      <c r="F5">
        <v>73.8</v>
      </c>
      <c r="G5" s="8">
        <f t="shared" si="2"/>
        <v>73.8</v>
      </c>
      <c r="H5">
        <v>1791</v>
      </c>
      <c r="I5" s="4">
        <f t="shared" si="3"/>
        <v>1791</v>
      </c>
      <c r="N5" s="8"/>
    </row>
    <row r="6" spans="1:15">
      <c r="A6" s="4">
        <v>610010005509</v>
      </c>
      <c r="B6" s="4" t="s">
        <v>6</v>
      </c>
      <c r="C6">
        <v>240</v>
      </c>
      <c r="D6">
        <v>60</v>
      </c>
      <c r="E6" s="5">
        <f t="shared" ref="E6:E14" si="4">C6/D6</f>
        <v>4</v>
      </c>
      <c r="F6">
        <v>79.88</v>
      </c>
      <c r="G6" s="8">
        <f t="shared" si="2"/>
        <v>19.97</v>
      </c>
      <c r="H6">
        <v>8528</v>
      </c>
      <c r="I6" s="4">
        <f t="shared" si="3"/>
        <v>2132</v>
      </c>
      <c r="N6" s="8"/>
    </row>
    <row r="7" spans="1:15">
      <c r="A7" s="4">
        <v>600010000961</v>
      </c>
      <c r="B7" s="4" t="s">
        <v>7</v>
      </c>
      <c r="C7">
        <v>240</v>
      </c>
      <c r="D7">
        <v>60</v>
      </c>
      <c r="E7" s="5">
        <f t="shared" si="4"/>
        <v>4</v>
      </c>
      <c r="F7">
        <v>78.97</v>
      </c>
      <c r="G7" s="8">
        <f t="shared" si="2"/>
        <v>19.7425</v>
      </c>
      <c r="H7">
        <v>8776</v>
      </c>
      <c r="I7" s="4">
        <f t="shared" si="3"/>
        <v>2194</v>
      </c>
    </row>
    <row r="8" spans="1:15">
      <c r="A8" s="4">
        <v>610010002220</v>
      </c>
      <c r="B8" s="4" t="s">
        <v>8</v>
      </c>
      <c r="C8">
        <v>240</v>
      </c>
      <c r="D8">
        <v>60</v>
      </c>
      <c r="E8" s="5">
        <f t="shared" si="4"/>
        <v>4</v>
      </c>
      <c r="F8" s="13">
        <v>261.38</v>
      </c>
      <c r="G8" s="8">
        <f t="shared" si="2"/>
        <v>65.344999999999999</v>
      </c>
      <c r="H8">
        <v>8776</v>
      </c>
      <c r="I8" s="4">
        <f t="shared" si="3"/>
        <v>2194</v>
      </c>
    </row>
    <row r="9" spans="1:15">
      <c r="A9" s="4">
        <v>610010005474</v>
      </c>
      <c r="B9" s="4" t="s">
        <v>9</v>
      </c>
      <c r="C9">
        <v>105</v>
      </c>
      <c r="D9">
        <v>35</v>
      </c>
      <c r="E9" s="5">
        <f t="shared" si="4"/>
        <v>3</v>
      </c>
      <c r="F9">
        <v>264</v>
      </c>
      <c r="G9" s="8">
        <f t="shared" si="2"/>
        <v>88</v>
      </c>
      <c r="H9">
        <v>5976</v>
      </c>
      <c r="I9" s="4">
        <f t="shared" si="3"/>
        <v>1992</v>
      </c>
    </row>
    <row r="10" spans="1:15">
      <c r="A10" s="4">
        <v>600010000959</v>
      </c>
      <c r="B10" s="4" t="s">
        <v>10</v>
      </c>
      <c r="C10">
        <v>240</v>
      </c>
      <c r="D10">
        <v>60</v>
      </c>
      <c r="E10" s="5">
        <f t="shared" si="4"/>
        <v>4</v>
      </c>
      <c r="F10">
        <v>78.97</v>
      </c>
      <c r="G10" s="8">
        <f t="shared" si="2"/>
        <v>19.7425</v>
      </c>
      <c r="H10">
        <v>8776</v>
      </c>
      <c r="I10" s="4">
        <f t="shared" si="3"/>
        <v>2194</v>
      </c>
    </row>
    <row r="11" spans="1:15">
      <c r="A11" s="4">
        <v>610010005394</v>
      </c>
      <c r="B11" s="4" t="s">
        <v>11</v>
      </c>
      <c r="D11">
        <v>16</v>
      </c>
      <c r="E11" s="5">
        <f t="shared" si="4"/>
        <v>0</v>
      </c>
      <c r="G11" s="8">
        <v>70.61</v>
      </c>
      <c r="I11" s="4">
        <v>918</v>
      </c>
    </row>
    <row r="12" spans="1:15">
      <c r="A12" s="4">
        <v>610010002200</v>
      </c>
      <c r="B12" s="4" t="s">
        <v>12</v>
      </c>
      <c r="C12" s="2">
        <v>72</v>
      </c>
      <c r="D12">
        <v>36</v>
      </c>
      <c r="E12" s="5">
        <f t="shared" si="4"/>
        <v>2</v>
      </c>
      <c r="F12">
        <v>145.77000000000001</v>
      </c>
      <c r="G12" s="8">
        <f t="shared" ref="G12:G14" si="5">F12/E12</f>
        <v>72.885000000000005</v>
      </c>
      <c r="H12">
        <v>3760</v>
      </c>
      <c r="I12" s="4">
        <f t="shared" ref="I12:I14" si="6">H12/E12</f>
        <v>1880</v>
      </c>
      <c r="J12">
        <v>22.2</v>
      </c>
      <c r="K12">
        <f>G12/J12</f>
        <v>3.2831081081081086</v>
      </c>
    </row>
    <row r="13" spans="1:15">
      <c r="A13" s="4">
        <v>610010004653</v>
      </c>
      <c r="B13" s="4" t="s">
        <v>13</v>
      </c>
      <c r="C13">
        <v>120</v>
      </c>
      <c r="D13">
        <v>30</v>
      </c>
      <c r="E13" s="5">
        <f t="shared" si="4"/>
        <v>4</v>
      </c>
      <c r="F13">
        <v>78.97</v>
      </c>
      <c r="G13" s="8">
        <f t="shared" si="5"/>
        <v>19.7425</v>
      </c>
      <c r="H13">
        <v>8488</v>
      </c>
      <c r="I13" s="4">
        <f t="shared" si="6"/>
        <v>2122</v>
      </c>
    </row>
    <row r="14" spans="1:15">
      <c r="A14" s="4">
        <v>610010002206</v>
      </c>
      <c r="B14" s="4" t="s">
        <v>14</v>
      </c>
      <c r="C14">
        <v>240</v>
      </c>
      <c r="D14">
        <v>60</v>
      </c>
      <c r="E14" s="5">
        <f t="shared" si="4"/>
        <v>4</v>
      </c>
      <c r="F14">
        <v>78.97</v>
      </c>
      <c r="G14" s="8">
        <f t="shared" si="5"/>
        <v>19.7425</v>
      </c>
      <c r="H14">
        <v>8776</v>
      </c>
      <c r="I14" s="4">
        <f t="shared" si="6"/>
        <v>2194</v>
      </c>
    </row>
    <row r="15" spans="1:15">
      <c r="A15" s="4">
        <v>610010006074</v>
      </c>
      <c r="B15" s="4" t="s">
        <v>17</v>
      </c>
      <c r="C15">
        <v>216</v>
      </c>
      <c r="D15">
        <v>36</v>
      </c>
      <c r="E15" s="5">
        <f>C15/D15</f>
        <v>6</v>
      </c>
      <c r="F15">
        <v>386.69</v>
      </c>
      <c r="G15" s="8">
        <f>F15/E15</f>
        <v>64.448333333333338</v>
      </c>
      <c r="H15">
        <v>12504</v>
      </c>
      <c r="I15" s="4">
        <f>H15/E15</f>
        <v>2084</v>
      </c>
      <c r="J15">
        <v>22.2</v>
      </c>
      <c r="K15">
        <f>G15/J15</f>
        <v>2.9030780780780785</v>
      </c>
    </row>
    <row r="16" spans="1:15">
      <c r="A16" s="4">
        <v>610010006069</v>
      </c>
      <c r="B16" s="4" t="s">
        <v>27</v>
      </c>
      <c r="C16" s="2">
        <v>350</v>
      </c>
      <c r="D16" s="2">
        <v>35</v>
      </c>
      <c r="E16" s="5">
        <f>C16/D16</f>
        <v>10</v>
      </c>
      <c r="F16" s="2">
        <v>773.44</v>
      </c>
      <c r="G16" s="8">
        <f>F16/E16</f>
        <v>77.344000000000008</v>
      </c>
      <c r="H16" s="2">
        <v>21285</v>
      </c>
      <c r="I16" s="4">
        <f>H16/E16</f>
        <v>2128.5</v>
      </c>
    </row>
    <row r="17" spans="1:11">
      <c r="A17" s="4">
        <v>610010006072</v>
      </c>
      <c r="B17" s="4" t="s">
        <v>28</v>
      </c>
      <c r="C17" s="2">
        <v>512</v>
      </c>
      <c r="D17" s="2">
        <v>32</v>
      </c>
      <c r="E17" s="5">
        <f t="shared" ref="E17:E22" si="7">C17/D17</f>
        <v>16</v>
      </c>
      <c r="F17" s="2">
        <v>1106.56</v>
      </c>
      <c r="G17" s="8">
        <f t="shared" ref="G17:G22" si="8">F17/E17</f>
        <v>69.16</v>
      </c>
      <c r="H17" s="2">
        <v>29184</v>
      </c>
      <c r="I17" s="4">
        <f t="shared" ref="I17:I22" si="9">H17/E17</f>
        <v>1824</v>
      </c>
    </row>
    <row r="18" spans="1:11">
      <c r="A18" s="4">
        <v>610010006068</v>
      </c>
      <c r="B18" s="4" t="s">
        <v>29</v>
      </c>
      <c r="C18" s="3">
        <v>315</v>
      </c>
      <c r="D18" s="3">
        <v>35</v>
      </c>
      <c r="E18" s="5">
        <f t="shared" si="7"/>
        <v>9</v>
      </c>
      <c r="F18" s="2">
        <v>792</v>
      </c>
      <c r="G18" s="8">
        <f t="shared" si="8"/>
        <v>88</v>
      </c>
      <c r="H18" s="2">
        <v>17613</v>
      </c>
      <c r="I18" s="4">
        <f t="shared" si="9"/>
        <v>1957</v>
      </c>
      <c r="J18">
        <v>29</v>
      </c>
      <c r="K18">
        <f>G18/J18</f>
        <v>3.0344827586206895</v>
      </c>
    </row>
    <row r="19" spans="1:11">
      <c r="A19" s="4">
        <v>610010006073</v>
      </c>
      <c r="B19" s="4" t="s">
        <v>30</v>
      </c>
      <c r="C19" s="2">
        <v>512</v>
      </c>
      <c r="D19" s="2">
        <v>32</v>
      </c>
      <c r="E19" s="5">
        <f t="shared" si="7"/>
        <v>16</v>
      </c>
      <c r="F19" s="2">
        <v>1161.8900000000001</v>
      </c>
      <c r="G19" s="8">
        <f t="shared" si="8"/>
        <v>72.618125000000006</v>
      </c>
      <c r="H19" s="2">
        <v>27712</v>
      </c>
      <c r="I19" s="4">
        <f t="shared" si="9"/>
        <v>1732</v>
      </c>
    </row>
    <row r="20" spans="1:11">
      <c r="A20" s="4">
        <v>610010006070</v>
      </c>
      <c r="B20" s="4" t="s">
        <v>19</v>
      </c>
      <c r="C20" s="2">
        <v>352</v>
      </c>
      <c r="D20" s="2">
        <v>32</v>
      </c>
      <c r="E20" s="5">
        <f t="shared" si="7"/>
        <v>11</v>
      </c>
      <c r="F20" s="2">
        <v>760.76</v>
      </c>
      <c r="G20" s="8">
        <f t="shared" si="8"/>
        <v>69.16</v>
      </c>
      <c r="H20" s="2">
        <v>20064</v>
      </c>
      <c r="I20" s="4">
        <f t="shared" si="9"/>
        <v>1824</v>
      </c>
    </row>
    <row r="21" spans="1:11">
      <c r="A21" s="4">
        <v>610010005960</v>
      </c>
      <c r="B21" s="4" t="s">
        <v>31</v>
      </c>
      <c r="C21" s="2">
        <v>105</v>
      </c>
      <c r="D21" s="2">
        <v>35</v>
      </c>
      <c r="E21" s="5">
        <f t="shared" si="7"/>
        <v>3</v>
      </c>
      <c r="F21" s="2">
        <v>232.04</v>
      </c>
      <c r="G21" s="8">
        <f t="shared" si="8"/>
        <v>77.346666666666664</v>
      </c>
      <c r="H21" s="2">
        <v>6385.5</v>
      </c>
      <c r="I21" s="4">
        <f t="shared" si="9"/>
        <v>2128.5</v>
      </c>
    </row>
    <row r="22" spans="1:11">
      <c r="A22" s="4">
        <v>610010006071</v>
      </c>
      <c r="B22" s="4" t="s">
        <v>24</v>
      </c>
      <c r="C22" s="2">
        <v>640</v>
      </c>
      <c r="D22" s="2">
        <v>32</v>
      </c>
      <c r="E22" s="5">
        <f t="shared" si="7"/>
        <v>20</v>
      </c>
      <c r="F22" s="2">
        <v>1383.2</v>
      </c>
      <c r="G22" s="8">
        <f t="shared" si="8"/>
        <v>69.16</v>
      </c>
      <c r="H22" s="2">
        <v>36480</v>
      </c>
      <c r="I22" s="4">
        <f t="shared" si="9"/>
        <v>1824</v>
      </c>
    </row>
    <row r="23" spans="1:11">
      <c r="A23" s="4">
        <v>610010002204</v>
      </c>
      <c r="B23" t="s">
        <v>25</v>
      </c>
      <c r="D23" s="2">
        <v>32</v>
      </c>
      <c r="G23" s="8">
        <v>73.78</v>
      </c>
      <c r="I23" s="4">
        <v>1818</v>
      </c>
    </row>
    <row r="24" spans="1:11">
      <c r="A24" s="4">
        <v>610010004651</v>
      </c>
      <c r="B24" t="s">
        <v>26</v>
      </c>
      <c r="C24">
        <v>120</v>
      </c>
      <c r="D24">
        <v>30</v>
      </c>
      <c r="E24" s="5">
        <f t="shared" ref="E24" si="10">C24/D24</f>
        <v>4</v>
      </c>
      <c r="F24">
        <v>78.97</v>
      </c>
      <c r="G24" s="8">
        <f t="shared" ref="G24" si="11">F24/E24</f>
        <v>19.7425</v>
      </c>
      <c r="H24">
        <v>8488</v>
      </c>
      <c r="I24" s="4">
        <f t="shared" ref="I24" si="12">H24/E24</f>
        <v>2122</v>
      </c>
    </row>
    <row r="28" spans="1:11">
      <c r="H28" s="9"/>
      <c r="I28" s="9"/>
      <c r="J28" s="9"/>
    </row>
    <row r="29" spans="1:11">
      <c r="H29" s="10"/>
      <c r="I29" s="10"/>
      <c r="J29" s="11"/>
    </row>
    <row r="30" spans="1:11">
      <c r="H30" s="10"/>
      <c r="I30" s="10"/>
      <c r="J30" s="11"/>
    </row>
    <row r="31" spans="1:11">
      <c r="H31" s="10"/>
      <c r="I31" s="10"/>
      <c r="J31" s="11"/>
    </row>
    <row r="32" spans="1:11">
      <c r="H32" s="10"/>
      <c r="I32" s="10"/>
      <c r="J32" s="11"/>
    </row>
    <row r="33" spans="8:10">
      <c r="H33" s="10"/>
      <c r="I33" s="10"/>
      <c r="J33" s="11"/>
    </row>
    <row r="178" spans="3:6">
      <c r="C178" s="1"/>
      <c r="D178" s="1"/>
      <c r="E178" s="1"/>
      <c r="F178" s="1"/>
    </row>
    <row r="179" spans="3:6">
      <c r="C179" s="1"/>
      <c r="D179" s="1"/>
      <c r="E179" s="1"/>
      <c r="F179" s="1"/>
    </row>
    <row r="180" spans="3:6">
      <c r="C180" s="1"/>
      <c r="D180" s="1"/>
      <c r="E180" s="1"/>
      <c r="F180" s="1"/>
    </row>
    <row r="181" spans="3:6">
      <c r="C181" s="1"/>
      <c r="D181" s="1"/>
      <c r="E181" s="1"/>
      <c r="F181" s="1"/>
    </row>
    <row r="1048576" spans="13:13">
      <c r="M1048576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816D1-29D2-4649-A88A-54BF59F4B3D8}">
  <dimension ref="A1:F24"/>
  <sheetViews>
    <sheetView tabSelected="1" workbookViewId="0">
      <selection activeCell="N16" sqref="N16"/>
    </sheetView>
  </sheetViews>
  <sheetFormatPr defaultRowHeight="14.4"/>
  <cols>
    <col min="1" max="1" width="10" bestFit="1" customWidth="1"/>
    <col min="2" max="2" width="13.109375" bestFit="1" customWidth="1"/>
    <col min="3" max="3" width="31" bestFit="1" customWidth="1"/>
    <col min="4" max="4" width="12.6640625" bestFit="1" customWidth="1"/>
    <col min="5" max="5" width="14.21875" bestFit="1" customWidth="1"/>
    <col min="6" max="6" width="14.88671875" bestFit="1" customWidth="1"/>
  </cols>
  <sheetData>
    <row r="1" spans="1:6">
      <c r="A1" s="14" t="s">
        <v>34</v>
      </c>
      <c r="B1" s="14" t="s">
        <v>35</v>
      </c>
      <c r="C1" s="14" t="s">
        <v>36</v>
      </c>
      <c r="D1" s="14" t="s">
        <v>37</v>
      </c>
      <c r="E1" s="15" t="s">
        <v>38</v>
      </c>
      <c r="F1" s="16" t="s">
        <v>39</v>
      </c>
    </row>
    <row r="2" spans="1:6">
      <c r="A2" s="17">
        <v>206947177</v>
      </c>
      <c r="B2" s="18">
        <v>600010000959</v>
      </c>
      <c r="C2" s="18" t="s">
        <v>10</v>
      </c>
      <c r="D2" s="17" t="s">
        <v>40</v>
      </c>
      <c r="E2" s="19">
        <v>2259.9870832480001</v>
      </c>
      <c r="F2" s="20">
        <f>VLOOKUP(B2,Sheet1!$A$2:$G$24,7,FALSE)</f>
        <v>19.7425</v>
      </c>
    </row>
    <row r="3" spans="1:6">
      <c r="A3" s="17">
        <v>206946576</v>
      </c>
      <c r="B3" s="18">
        <v>600010000961</v>
      </c>
      <c r="C3" s="18" t="s">
        <v>7</v>
      </c>
      <c r="D3" s="17" t="s">
        <v>40</v>
      </c>
      <c r="E3" s="19">
        <v>2259.9870832480001</v>
      </c>
      <c r="F3" s="20">
        <f>VLOOKUP(B3,Sheet1!$A$2:$G$24,7,FALSE)</f>
        <v>19.7425</v>
      </c>
    </row>
    <row r="4" spans="1:6">
      <c r="A4" s="17">
        <v>306863886</v>
      </c>
      <c r="B4" s="18">
        <v>610010002200</v>
      </c>
      <c r="C4" s="18" t="s">
        <v>12</v>
      </c>
      <c r="D4" s="17" t="s">
        <v>41</v>
      </c>
      <c r="E4" s="19">
        <v>1981.6493990080003</v>
      </c>
      <c r="F4" s="20">
        <f>VLOOKUP(B4,Sheet1!$A$2:$G$24,7,FALSE)</f>
        <v>72.885000000000005</v>
      </c>
    </row>
    <row r="5" spans="1:6">
      <c r="A5" s="17">
        <v>306863237</v>
      </c>
      <c r="B5" s="18">
        <v>610010002204</v>
      </c>
      <c r="C5" s="18" t="s">
        <v>25</v>
      </c>
      <c r="D5" s="17" t="s">
        <v>42</v>
      </c>
      <c r="E5" s="19">
        <v>1863.7237460991998</v>
      </c>
      <c r="F5" s="20">
        <f>VLOOKUP(B5,Sheet1!$A$2:$G$24,7,FALSE)</f>
        <v>73.78</v>
      </c>
    </row>
    <row r="6" spans="1:6">
      <c r="A6" s="17">
        <v>307689215</v>
      </c>
      <c r="B6" s="18">
        <v>610010002206</v>
      </c>
      <c r="C6" s="18" t="s">
        <v>14</v>
      </c>
      <c r="D6" s="17" t="s">
        <v>40</v>
      </c>
      <c r="E6" s="19">
        <v>2259.9870832480001</v>
      </c>
      <c r="F6" s="20">
        <f>VLOOKUP(B6,Sheet1!$A$2:$G$24,7,FALSE)</f>
        <v>19.7425</v>
      </c>
    </row>
    <row r="7" spans="1:6">
      <c r="A7" s="17">
        <v>307689927</v>
      </c>
      <c r="B7" s="18">
        <v>610010002220</v>
      </c>
      <c r="C7" s="18" t="s">
        <v>8</v>
      </c>
      <c r="D7" s="17" t="s">
        <v>40</v>
      </c>
      <c r="E7" s="19">
        <v>2259.9870832480001</v>
      </c>
      <c r="F7" s="20">
        <f>VLOOKUP(B7,Sheet1!$A$2:$G$24,7,FALSE)</f>
        <v>65.344999999999999</v>
      </c>
    </row>
    <row r="8" spans="1:6">
      <c r="A8" s="17">
        <v>315040212</v>
      </c>
      <c r="B8" s="18">
        <v>610010002317</v>
      </c>
      <c r="C8" s="18" t="s">
        <v>4</v>
      </c>
      <c r="D8" s="17" t="s">
        <v>40</v>
      </c>
      <c r="E8" s="19">
        <v>2259.9870832480001</v>
      </c>
      <c r="F8" s="20">
        <f>VLOOKUP(B8,Sheet1!$A$2:$G$24,7,FALSE)</f>
        <v>19.7425</v>
      </c>
    </row>
    <row r="9" spans="1:6">
      <c r="A9" s="17">
        <v>317169130</v>
      </c>
      <c r="B9" s="18">
        <v>610010004651</v>
      </c>
      <c r="C9" s="18" t="s">
        <v>26</v>
      </c>
      <c r="D9" s="17" t="s">
        <v>43</v>
      </c>
      <c r="E9" s="19">
        <v>2259.9870832480001</v>
      </c>
      <c r="F9" s="20">
        <f>VLOOKUP(B9,Sheet1!$A$2:$G$24,7,FALSE)</f>
        <v>19.7425</v>
      </c>
    </row>
    <row r="10" spans="1:6">
      <c r="A10" s="17">
        <v>317169303</v>
      </c>
      <c r="B10" s="18">
        <v>610010004653</v>
      </c>
      <c r="C10" s="18" t="s">
        <v>13</v>
      </c>
      <c r="D10" s="17" t="s">
        <v>43</v>
      </c>
      <c r="E10" s="19">
        <v>2259.9870832480001</v>
      </c>
      <c r="F10" s="20">
        <f>VLOOKUP(B10,Sheet1!$A$2:$G$24,7,FALSE)</f>
        <v>19.7425</v>
      </c>
    </row>
    <row r="11" spans="1:6">
      <c r="A11" s="17">
        <v>308736405</v>
      </c>
      <c r="B11" s="18">
        <v>610010005234</v>
      </c>
      <c r="C11" s="18" t="s">
        <v>2</v>
      </c>
      <c r="D11" s="17" t="s">
        <v>42</v>
      </c>
      <c r="E11" s="19">
        <v>1863.7237460991998</v>
      </c>
      <c r="F11" s="20">
        <f>VLOOKUP(B11,Sheet1!$A$2:$G$24,7,FALSE)</f>
        <v>73.78</v>
      </c>
    </row>
    <row r="12" spans="1:6">
      <c r="A12" s="17">
        <v>317382635</v>
      </c>
      <c r="B12" s="18">
        <v>610010005236</v>
      </c>
      <c r="C12" s="18" t="s">
        <v>5</v>
      </c>
      <c r="D12" s="17" t="s">
        <v>42</v>
      </c>
      <c r="E12" s="19">
        <v>1863.7237460991998</v>
      </c>
      <c r="F12" s="20">
        <f>VLOOKUP(B12,Sheet1!$A$2:$G$24,7,FALSE)</f>
        <v>73.8</v>
      </c>
    </row>
    <row r="13" spans="1:6">
      <c r="A13" s="17">
        <v>325193287</v>
      </c>
      <c r="B13" s="18">
        <v>610010005394</v>
      </c>
      <c r="C13" s="18" t="s">
        <v>11</v>
      </c>
      <c r="D13" s="17" t="s">
        <v>42</v>
      </c>
      <c r="E13" s="19">
        <v>999.81182894079984</v>
      </c>
      <c r="F13" s="20">
        <f>VLOOKUP(B13,Sheet1!$A$2:$G$24,7,FALSE)</f>
        <v>70.61</v>
      </c>
    </row>
    <row r="14" spans="1:6">
      <c r="A14" s="17">
        <v>326416620</v>
      </c>
      <c r="B14" s="18">
        <v>610010005396</v>
      </c>
      <c r="C14" s="18" t="s">
        <v>3</v>
      </c>
      <c r="D14" s="17" t="s">
        <v>42</v>
      </c>
      <c r="E14" s="19">
        <v>999.81182894079984</v>
      </c>
      <c r="F14" s="20">
        <f>VLOOKUP(B14,Sheet1!$A$2:$G$24,7,FALSE)</f>
        <v>42.674999999999997</v>
      </c>
    </row>
    <row r="15" spans="1:6">
      <c r="A15" s="17">
        <v>327630130</v>
      </c>
      <c r="B15" s="18">
        <v>610010005474</v>
      </c>
      <c r="C15" s="18" t="s">
        <v>9</v>
      </c>
      <c r="D15" s="17" t="s">
        <v>44</v>
      </c>
      <c r="E15" s="19">
        <v>2128.5882038559998</v>
      </c>
      <c r="F15" s="20">
        <f>VLOOKUP(B15,Sheet1!$A$2:$G$24,7,FALSE)</f>
        <v>88</v>
      </c>
    </row>
    <row r="16" spans="1:6">
      <c r="A16" s="17">
        <v>331871567</v>
      </c>
      <c r="B16" s="18">
        <v>610010005509</v>
      </c>
      <c r="C16" s="18" t="s">
        <v>6</v>
      </c>
      <c r="D16" s="17" t="s">
        <v>40</v>
      </c>
      <c r="E16" s="19">
        <v>2259.9870832480001</v>
      </c>
      <c r="F16" s="20">
        <f>VLOOKUP(B16,Sheet1!$A$2:$G$24,7,FALSE)</f>
        <v>19.97</v>
      </c>
    </row>
    <row r="17" spans="1:6">
      <c r="A17" s="17">
        <v>339927442</v>
      </c>
      <c r="B17" s="18">
        <v>610010005960</v>
      </c>
      <c r="C17" s="18" t="s">
        <v>31</v>
      </c>
      <c r="D17" s="17" t="s">
        <v>44</v>
      </c>
      <c r="E17" s="19">
        <v>2128.5882038559998</v>
      </c>
      <c r="F17" s="20">
        <f>VLOOKUP(B17,Sheet1!$A$2:$G$24,7,FALSE)</f>
        <v>77.346666666666664</v>
      </c>
    </row>
    <row r="18" spans="1:6">
      <c r="A18" s="17">
        <v>339947207</v>
      </c>
      <c r="B18" s="18">
        <v>610010006068</v>
      </c>
      <c r="C18" s="18" t="s">
        <v>29</v>
      </c>
      <c r="D18" s="17" t="s">
        <v>44</v>
      </c>
      <c r="E18" s="19">
        <v>2128.5882038559998</v>
      </c>
      <c r="F18" s="20">
        <f>VLOOKUP(B18,Sheet1!$A$2:$G$24,7,FALSE)</f>
        <v>88</v>
      </c>
    </row>
    <row r="19" spans="1:6">
      <c r="A19" s="17">
        <v>339927439</v>
      </c>
      <c r="B19" s="18">
        <v>610010006069</v>
      </c>
      <c r="C19" s="18" t="s">
        <v>27</v>
      </c>
      <c r="D19" s="17" t="s">
        <v>44</v>
      </c>
      <c r="E19" s="19">
        <v>2128.5882038559998</v>
      </c>
      <c r="F19" s="20">
        <f>VLOOKUP(B19,Sheet1!$A$2:$G$24,7,FALSE)</f>
        <v>77.344000000000008</v>
      </c>
    </row>
    <row r="20" spans="1:6">
      <c r="A20" s="17">
        <v>339927440</v>
      </c>
      <c r="B20" s="18">
        <v>610010006070</v>
      </c>
      <c r="C20" s="18" t="s">
        <v>19</v>
      </c>
      <c r="D20" s="17" t="s">
        <v>42</v>
      </c>
      <c r="E20" s="19">
        <v>1863.7237460991998</v>
      </c>
      <c r="F20" s="20">
        <f>VLOOKUP(B20,Sheet1!$A$2:$G$24,7,FALSE)</f>
        <v>69.16</v>
      </c>
    </row>
    <row r="21" spans="1:6">
      <c r="A21" s="17">
        <v>339947312</v>
      </c>
      <c r="B21" s="18">
        <v>610010006071</v>
      </c>
      <c r="C21" s="18" t="s">
        <v>24</v>
      </c>
      <c r="D21" s="17" t="s">
        <v>42</v>
      </c>
      <c r="E21" s="19">
        <v>1863.7237460991998</v>
      </c>
      <c r="F21" s="20">
        <f>VLOOKUP(B21,Sheet1!$A$2:$G$24,7,FALSE)</f>
        <v>69.16</v>
      </c>
    </row>
    <row r="22" spans="1:6">
      <c r="A22" s="17">
        <v>339927437</v>
      </c>
      <c r="B22" s="18">
        <v>610010006072</v>
      </c>
      <c r="C22" s="18" t="s">
        <v>28</v>
      </c>
      <c r="D22" s="17" t="s">
        <v>42</v>
      </c>
      <c r="E22" s="19">
        <v>1863.7237460991998</v>
      </c>
      <c r="F22" s="20">
        <f>VLOOKUP(B22,Sheet1!$A$2:$G$24,7,FALSE)</f>
        <v>69.16</v>
      </c>
    </row>
    <row r="23" spans="1:6">
      <c r="A23" s="17">
        <v>339927441</v>
      </c>
      <c r="B23" s="18">
        <v>610010006073</v>
      </c>
      <c r="C23" s="18" t="s">
        <v>30</v>
      </c>
      <c r="D23" s="17" t="s">
        <v>42</v>
      </c>
      <c r="E23" s="19">
        <v>1863.7237460991998</v>
      </c>
      <c r="F23" s="20">
        <f>VLOOKUP(B23,Sheet1!$A$2:$G$24,7,FALSE)</f>
        <v>72.618125000000006</v>
      </c>
    </row>
    <row r="24" spans="1:6">
      <c r="A24" s="17">
        <v>339933445</v>
      </c>
      <c r="B24" s="18">
        <v>610010006074</v>
      </c>
      <c r="C24" s="18" t="s">
        <v>17</v>
      </c>
      <c r="D24" s="17" t="s">
        <v>41</v>
      </c>
      <c r="E24" s="19">
        <v>1916.6960027199998</v>
      </c>
      <c r="F24" s="20">
        <f>VLOOKUP(B24,Sheet1!$A$2:$G$24,7,FALSE)</f>
        <v>64.448333333333338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Ghedini</dc:creator>
  <cp:lastModifiedBy>Giovanni Ghedini</cp:lastModifiedBy>
  <dcterms:created xsi:type="dcterms:W3CDTF">2026-03-19T17:47:06Z</dcterms:created>
  <dcterms:modified xsi:type="dcterms:W3CDTF">2026-03-23T20:37:25Z</dcterms:modified>
</cp:coreProperties>
</file>