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BOL RDC/Data source/"/>
    </mc:Choice>
  </mc:AlternateContent>
  <xr:revisionPtr revIDLastSave="20" documentId="8_{0E510905-3190-465C-B36D-B4E2A41B941E}" xr6:coauthVersionLast="47" xr6:coauthVersionMax="47" xr10:uidLastSave="{9E67A672-D375-45A7-945D-40984F76833D}"/>
  <bookViews>
    <workbookView xWindow="-108" yWindow="-108" windowWidth="23256" windowHeight="13896" tabRatio="769" xr2:uid="{00000000-000D-0000-FFFF-FFFF00000000}"/>
  </bookViews>
  <sheets>
    <sheet name="Carrier Codes" sheetId="1" r:id="rId1"/>
    <sheet name="Pallet&amp;Carton count" sheetId="2" state="hidden" r:id="rId2"/>
    <sheet name="Prep sheet for LTLs" sheetId="3" state="hidden" r:id="rId3"/>
  </sheets>
  <definedNames>
    <definedName name="_xlnm._FilterDatabase" localSheetId="0" hidden="1">'Carrier Codes'!$A$1:$J$1</definedName>
    <definedName name="_xlnm._FilterDatabase" localSheetId="1" hidden="1">'Pallet&amp;Carton count'!$A$1:$D$1</definedName>
    <definedName name="_xlnm.Print_Area" localSheetId="0">'Carrier Codes'!$A$1:$E$44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 s="1"/>
  <c r="C12" i="2"/>
  <c r="F19" i="2"/>
  <c r="C10" i="2"/>
  <c r="D10" i="2" s="1"/>
  <c r="F21" i="2" l="1"/>
  <c r="F23" i="2" s="1"/>
  <c r="A23" i="2"/>
  <c r="C15" i="2"/>
  <c r="D15" i="2" s="1"/>
  <c r="C16" i="2" l="1"/>
  <c r="D16" i="2" s="1"/>
  <c r="C18" i="2" l="1"/>
  <c r="D18" i="2" s="1"/>
  <c r="C19" i="2"/>
  <c r="D19" i="2" s="1"/>
  <c r="C14" i="2" l="1"/>
  <c r="D14" i="2" s="1"/>
  <c r="C20" i="2" l="1"/>
  <c r="C5" i="2"/>
  <c r="D5" i="2" s="1"/>
  <c r="C6" i="2"/>
  <c r="D6" i="2" s="1"/>
  <c r="C7" i="2"/>
  <c r="D7" i="2" s="1"/>
  <c r="C13" i="2"/>
  <c r="D13" i="2" s="1"/>
  <c r="C21" i="2"/>
  <c r="D21" i="2" s="1"/>
  <c r="C22" i="2"/>
  <c r="D22" i="2" s="1"/>
  <c r="C8" i="2"/>
  <c r="D8" i="2" s="1"/>
  <c r="C11" i="2"/>
  <c r="D11" i="2" s="1"/>
  <c r="D20" i="2" l="1"/>
  <c r="C17" i="2"/>
  <c r="D17" i="2" s="1"/>
  <c r="C4" i="2"/>
  <c r="D4" i="2" s="1"/>
  <c r="C3" i="2"/>
  <c r="D3" i="2" s="1"/>
  <c r="D12" i="2"/>
  <c r="C2" i="2"/>
  <c r="D2" i="2" s="1"/>
  <c r="D23" i="2" l="1"/>
  <c r="C23" i="2"/>
</calcChain>
</file>

<file path=xl/sharedStrings.xml><?xml version="1.0" encoding="utf-8"?>
<sst xmlns="http://schemas.openxmlformats.org/spreadsheetml/2006/main" count="4183" uniqueCount="994">
  <si>
    <t xml:space="preserve">SCAC Code </t>
  </si>
  <si>
    <t xml:space="preserve">Carrier </t>
  </si>
  <si>
    <t>Contact Number</t>
  </si>
  <si>
    <t>Address</t>
  </si>
  <si>
    <t>Code</t>
  </si>
  <si>
    <t>B&amp;G</t>
  </si>
  <si>
    <t>Emails</t>
  </si>
  <si>
    <t>2nd email</t>
  </si>
  <si>
    <t>3rd email</t>
  </si>
  <si>
    <t xml:space="preserve">AACT </t>
  </si>
  <si>
    <t xml:space="preserve">AAA COOPER TRANSPORTATION </t>
  </si>
  <si>
    <t>800-633-7571</t>
  </si>
  <si>
    <t>1751 Kinsey Road Dothan AL 36303-5877</t>
  </si>
  <si>
    <t>NA</t>
  </si>
  <si>
    <t>Heather.Helton@aaacooper.com</t>
  </si>
  <si>
    <t>WESTON.HUSKEY@aaacooper.com</t>
  </si>
  <si>
    <t>ABFS</t>
  </si>
  <si>
    <t>ABF FREIGHT SYSTEM INC</t>
  </si>
  <si>
    <t>(800) 610-5544</t>
  </si>
  <si>
    <t xml:space="preserve">3801 OLD GREENWOOD ROAD FORT SMITH, AR 72903 </t>
  </si>
  <si>
    <t>homedepotvendorsupport@arcb.com</t>
  </si>
  <si>
    <t>ACRL</t>
  </si>
  <si>
    <t>AMERICAN CENTRAL TRANSPORT </t>
  </si>
  <si>
    <t>(816) 781-9600</t>
  </si>
  <si>
    <t>1700 E. Old State Rt 210 Liberty, MO 64068</t>
  </si>
  <si>
    <t>sent</t>
  </si>
  <si>
    <t>homedepot@americancentral.com</t>
  </si>
  <si>
    <t>ANTT</t>
  </si>
  <si>
    <t>ARNOLD TRANSPORTATION SE</t>
  </si>
  <si>
    <t>(904) 262-4285</t>
  </si>
  <si>
    <t>9523 FLORIDA MINING BLVD JACKSONVILLE,FL32257US</t>
  </si>
  <si>
    <t>44801 </t>
  </si>
  <si>
    <t>ARKY</t>
  </si>
  <si>
    <t>ARKA EXPRESS INC</t>
  </si>
  <si>
    <t>(404) 800-1010 ext. 170</t>
  </si>
  <si>
    <t>2202 W 166TH ST MARKHAM,IL60428US</t>
  </si>
  <si>
    <t>ARVY</t>
  </si>
  <si>
    <t xml:space="preserve">50107  </t>
  </si>
  <si>
    <t>yes</t>
  </si>
  <si>
    <t>homedepot@arrivelogistics.com</t>
  </si>
  <si>
    <t>jgonzalez@arrivelogistics.com</t>
  </si>
  <si>
    <t>ASCR</t>
  </si>
  <si>
    <t>ASCEND LLC</t>
  </si>
  <si>
    <t>(731) 723-3063</t>
  </si>
  <si>
    <t>79 Sand Pebble Drive Jackson, TN 38305</t>
  </si>
  <si>
    <t>homedepot@ascend.net</t>
  </si>
  <si>
    <t>acourtright@ascend.net</t>
  </si>
  <si>
    <t>AVQD</t>
  </si>
  <si>
    <t>DM TRANS LLC - AVQD</t>
  </si>
  <si>
    <t>(888)399-0162</t>
  </si>
  <si>
    <t>7701 METROPOLIS DR BLDG 15 AUSTIN, TX 78744 US</t>
  </si>
  <si>
    <t xml:space="preserve">55897  </t>
  </si>
  <si>
    <t>no</t>
  </si>
  <si>
    <t>mmaass@arrivelogistics.com</t>
  </si>
  <si>
    <t>kbaldwin@arrivelogistics.com</t>
  </si>
  <si>
    <t>BGXP</t>
  </si>
  <si>
    <t>BIG G EXPRESS, INC</t>
  </si>
  <si>
    <t>800-684-9140 - EXT 7014</t>
  </si>
  <si>
    <t>190 HAWKINS DR SHELBYVILLE,TN37160US</t>
  </si>
  <si>
    <t>NO</t>
  </si>
  <si>
    <t>customerservice@biggexpress.com</t>
  </si>
  <si>
    <t>TabiBaker@biggexpress.com</t>
  </si>
  <si>
    <t>BMAV</t>
  </si>
  <si>
    <t>BIG M TRANSPORTATION</t>
  </si>
  <si>
    <t>(662) 815-5000</t>
  </si>
  <si>
    <t>6341 B Highway 15 Blue Mountain, MS 38610</t>
  </si>
  <si>
    <t>homedepot@bigm.com</t>
  </si>
  <si>
    <t>hwhite@bigm.com</t>
  </si>
  <si>
    <t>BNLG</t>
  </si>
  <si>
    <t>BNSF LOGISTICS LLC</t>
  </si>
  <si>
    <t>855-476-9364</t>
  </si>
  <si>
    <t>75 REMITTANCE DRIVE CHICAGO,IL60675US</t>
  </si>
  <si>
    <t xml:space="preserve">  </t>
  </si>
  <si>
    <t>BNLS</t>
  </si>
  <si>
    <t>BNOU</t>
  </si>
  <si>
    <t>BARR-NUNN TRANSPORTATION</t>
  </si>
  <si>
    <t>(515) 999-3204</t>
  </si>
  <si>
    <t>1803 BURR OAK BLVD GRANGER,IA50109</t>
  </si>
  <si>
    <t>BNUN</t>
  </si>
  <si>
    <t>CCNI</t>
  </si>
  <si>
    <t>CARDINAL LOGISTICS MGMT</t>
  </si>
  <si>
    <t>(704) 789-2000</t>
  </si>
  <si>
    <t>5333 Davidson Hwy. Concord,NC28027US</t>
  </si>
  <si>
    <t>CELC</t>
  </si>
  <si>
    <t>CELTIC INTERNATIONAL LLC</t>
  </si>
  <si>
    <t>(708) 532-9200</t>
  </si>
  <si>
    <t>8505 W. 183RD ST STE H TINLEY PARK, IL 60487</t>
  </si>
  <si>
    <t>imdl-homedepot@uberfreight.com</t>
  </si>
  <si>
    <t>kaitlyn.ryske@uberfreight.com</t>
  </si>
  <si>
    <t>koren.kelly@uberfreight.com </t>
  </si>
  <si>
    <t>CLLQ</t>
  </si>
  <si>
    <t>COYOTE LOGISTICS LLC</t>
  </si>
  <si>
    <t>(847) 810-4706</t>
  </si>
  <si>
    <t>4400 ALEXANDER DRIVE ALPHARETTA, GA 30022 US</t>
  </si>
  <si>
    <t xml:space="preserve"> </t>
  </si>
  <si>
    <t>COYY</t>
  </si>
  <si>
    <t>CRCR</t>
  </si>
  <si>
    <t>CRETE CARRIER CORPORATION - TL</t>
  </si>
  <si>
    <t>400 NW 56th Street Lincoln, NE 68528 US</t>
  </si>
  <si>
    <t>sgerrity@cretecarrier.com</t>
  </si>
  <si>
    <t>jschnake@cretecarrier.com</t>
  </si>
  <si>
    <t>podrequest@cretecarrier.com</t>
  </si>
  <si>
    <t>CRPS</t>
  </si>
  <si>
    <t>CRST VAN EXPEDITED</t>
  </si>
  <si>
    <t>info@crst.com</t>
  </si>
  <si>
    <t>1332 EDGEWOOD RD SW CEDAR RAPIDS, IA 52404US</t>
  </si>
  <si>
    <t>CSNY</t>
  </si>
  <si>
    <t>CORNERSTONE SYSTEMS INC</t>
  </si>
  <si>
    <t>800-278-7677</t>
  </si>
  <si>
    <t>3250 Players Club Pkwy Memphis, TN 38125 US</t>
  </si>
  <si>
    <t>CTII</t>
  </si>
  <si>
    <t>CENTRAL TRANSPORT</t>
  </si>
  <si>
    <t>586) 467-1900</t>
  </si>
  <si>
    <t>2464 Couchville Pike, Nashville, TN 37217</t>
  </si>
  <si>
    <t>cs.pickup@centraltransport.com</t>
  </si>
  <si>
    <t>psacha@centraltransport.com</t>
  </si>
  <si>
    <t>CTRQ</t>
  </si>
  <si>
    <t>CONTRACT FREIGHTERS INC</t>
  </si>
  <si>
    <t>800-641-4747</t>
  </si>
  <si>
    <t>4701 EAST 32ND JOPLIN, MO 64803 US</t>
  </si>
  <si>
    <t>Home.depot@cfidrive.com</t>
  </si>
  <si>
    <t>meredith.a.mosley@cfidrive.com</t>
  </si>
  <si>
    <t>becky.ward@cfidrive.com</t>
  </si>
  <si>
    <t>Andrea.Rocha@cfidrive.com</t>
  </si>
  <si>
    <t>lance.long@cfidrive.com</t>
  </si>
  <si>
    <t>CYLI</t>
  </si>
  <si>
    <t>CROWLEY HOLDINGS</t>
  </si>
  <si>
    <t>homedepot@crowley.com</t>
  </si>
  <si>
    <t>crowleythd@crowley.com</t>
  </si>
  <si>
    <t>CVEN</t>
  </si>
  <si>
    <t>COVENANT TRANSPORT INC</t>
  </si>
  <si>
    <t>(423) 821-1212</t>
  </si>
  <si>
    <t>400 BIRMINGHAM HIGHWAY CHATTANOOGA, TN 37419 US</t>
  </si>
  <si>
    <t>CThurman@covenantlogistics.com</t>
  </si>
  <si>
    <t>HomeDepot2@covenanttransport.com</t>
  </si>
  <si>
    <t>CVYI</t>
  </si>
  <si>
    <t>CONVOY, INC</t>
  </si>
  <si>
    <t>(425) 214-1769</t>
  </si>
  <si>
    <t>1700 7th Avenue, Suite 116 SEATTLE, WA  98101</t>
  </si>
  <si>
    <t>homedepot@convoy.com</t>
  </si>
  <si>
    <t>DAFG</t>
  </si>
  <si>
    <t>DAYTON FREIGHT - LTL</t>
  </si>
  <si>
    <t>(972) 880-9859</t>
  </si>
  <si>
    <t>6450 Poe Avenue Ste 311 Dayton OH 45414</t>
  </si>
  <si>
    <t>homedepot@daytonfreight.com</t>
  </si>
  <si>
    <t>DART</t>
  </si>
  <si>
    <t>DART TRANSIT COMPANY</t>
  </si>
  <si>
    <t>(651) 683-1305</t>
  </si>
  <si>
    <t>2820 DANIELDALE ROAD LANCASTER, TX 75134 US</t>
  </si>
  <si>
    <t>DEDX</t>
  </si>
  <si>
    <t>CHAINALYTICS</t>
  </si>
  <si>
    <t>770-433-1566</t>
  </si>
  <si>
    <t>2500 Cumberland Pkwy SE #550, Atlanta, GA 30339</t>
  </si>
  <si>
    <t>DTNF</t>
  </si>
  <si>
    <t>DAVIS TRANSFER COMPANY I</t>
  </si>
  <si>
    <t>(706) 384-2030</t>
  </si>
  <si>
    <t>520 BUSHA RD CARNESVILLE, GA 30521 US</t>
  </si>
  <si>
    <t>EETO</t>
  </si>
  <si>
    <t>ENERGY EXPRESS TRUCKING</t>
  </si>
  <si>
    <t>866-312-1314</t>
  </si>
  <si>
    <t>2555 DOLLARD AVE STE 300 LASALLE,QCH8N 3A9CA</t>
  </si>
  <si>
    <t>YES</t>
  </si>
  <si>
    <t>mkhan@shipenergy.com</t>
  </si>
  <si>
    <t>hdtracking@shipenergy.com</t>
  </si>
  <si>
    <t>dmasson@shipenergy.com</t>
  </si>
  <si>
    <t>gcampbell@shipenergy.com</t>
  </si>
  <si>
    <t>jsingh@shipenergy.com</t>
  </si>
  <si>
    <t>EFW</t>
  </si>
  <si>
    <t>ESTES FORWARDIND WORLDWIDE</t>
  </si>
  <si>
    <t>804-205-5907</t>
  </si>
  <si>
    <t>100 Gateway Centre Parkway, Suite 210</t>
  </si>
  <si>
    <t xml:space="preserve">49423  </t>
  </si>
  <si>
    <t>EPES</t>
  </si>
  <si>
    <t>EPES TRANSPORT</t>
  </si>
  <si>
    <t>800-659-1117</t>
  </si>
  <si>
    <t>3400 Edgefield Ct, Greensboro, NC 27409</t>
  </si>
  <si>
    <t>amy.pearson@epestransport.com</t>
  </si>
  <si>
    <t>EPSG</t>
  </si>
  <si>
    <t>EPES LOGISTICS</t>
  </si>
  <si>
    <t>southot@epeslogistics.com</t>
  </si>
  <si>
    <t>nathaniel.betts@epeslogistics.com</t>
  </si>
  <si>
    <t>kayleigh.parks@epeslogistics.com</t>
  </si>
  <si>
    <t>EXLA</t>
  </si>
  <si>
    <t>EXPRESS LINE (ESTES)</t>
  </si>
  <si>
    <t>866-378-3748</t>
  </si>
  <si>
    <t>510 Plaza Dr #1860, Atlanta, GA 30349</t>
  </si>
  <si>
    <t>Steve.Brannen@estes-express.com</t>
  </si>
  <si>
    <t>cdhuntsvilleal@estes-express.com</t>
  </si>
  <si>
    <t>FCLC</t>
  </si>
  <si>
    <t>CARROLL FULMER LOGISTICS</t>
  </si>
  <si>
    <t>(800) 468-9400 x1001</t>
  </si>
  <si>
    <t>8340 AMERICAN WAY GROVELAND, FL 34736 US</t>
  </si>
  <si>
    <t>FLSJ</t>
  </si>
  <si>
    <t>FLS TRANSPORTATION</t>
  </si>
  <si>
    <t>800-739-0939</t>
  </si>
  <si>
    <t>4480 COTE DE LIESSE SUITE 220 MONT-ROYAL, QCH4N2R1CA</t>
  </si>
  <si>
    <t>FRCI</t>
  </si>
  <si>
    <t>FREMONT CONTRACT CARRIER</t>
  </si>
  <si>
    <t>(866) 946-4322 </t>
  </si>
  <si>
    <t>865 SOUTH BUD BLVD FREMONT, NE 68025 US</t>
  </si>
  <si>
    <t>fcchomedepot@fcc-inc.com</t>
  </si>
  <si>
    <t>tammy.spears@fcc-inc.com</t>
  </si>
  <si>
    <t>cathy.kastanek@fcc-inc.com</t>
  </si>
  <si>
    <t>guy.mumford@fcc-inc.com</t>
  </si>
  <si>
    <t>FZAS</t>
  </si>
  <si>
    <t>FORZA TRANSPORTATION SER</t>
  </si>
  <si>
    <t>(956) 517 2341</t>
  </si>
  <si>
    <t>16360 US-83, Laredo, TX 78045</t>
  </si>
  <si>
    <t>uaguilar@forzatrans.com</t>
  </si>
  <si>
    <t>homedepot@forzatrans.com</t>
  </si>
  <si>
    <t>eberttolini@forzatrans.com</t>
  </si>
  <si>
    <t>GELJ</t>
  </si>
  <si>
    <t>GLOBALTRANZ ENTERPRISES</t>
  </si>
  <si>
    <t>866-275-1407</t>
  </si>
  <si>
    <t>7350 North Dobson Rd, Ste 130 Scottsdale, AZ 85256</t>
  </si>
  <si>
    <t>HAEI</t>
  </si>
  <si>
    <t>HEARTLAND EXPRESS SERVIC</t>
  </si>
  <si>
    <t>(319) 626-3600</t>
  </si>
  <si>
    <t>901 North Kansas Avenue North Liberty, IA 52317 US</t>
  </si>
  <si>
    <t>so'brien@heartlandexpress.com</t>
  </si>
  <si>
    <t>atate@heartlandexpress.com</t>
  </si>
  <si>
    <t>sherdliska@heartlandexpress.com</t>
  </si>
  <si>
    <t>HCOH</t>
  </si>
  <si>
    <t>HUB GROUP</t>
  </si>
  <si>
    <t>404-267-2166</t>
  </si>
  <si>
    <t>2987 Clairmont Rd #500, Atlanta, GA 30329</t>
  </si>
  <si>
    <t xml:space="preserve">43887  </t>
  </si>
  <si>
    <t>thdsoutheast@hubgroup.com</t>
  </si>
  <si>
    <t>diedreyoung@hubgroup.com</t>
  </si>
  <si>
    <t>HHWY</t>
  </si>
  <si>
    <t>DIEDREYOUNG@hubgroup.com</t>
  </si>
  <si>
    <t>HJBL</t>
  </si>
  <si>
    <t>JB HUNT</t>
  </si>
  <si>
    <t>800-452-4868</t>
  </si>
  <si>
    <t>615 J B Hunt Corporate Dr, Lowell, AR 72745</t>
  </si>
  <si>
    <t>HJBT</t>
  </si>
  <si>
    <t>43884 </t>
  </si>
  <si>
    <t>thd_jbh_hsappts@jbhunt.com</t>
  </si>
  <si>
    <t>HJCS</t>
  </si>
  <si>
    <t xml:space="preserve">Hd_ohio@jbhunt.com  </t>
  </si>
  <si>
    <t>Nathan.McElwee@jbhunt.com</t>
  </si>
  <si>
    <t>Ian.Barton@jbhunt.com</t>
  </si>
  <si>
    <t>justin.smith@jbhunt.com</t>
  </si>
  <si>
    <t>HMES</t>
  </si>
  <si>
    <t>USF HOLLAND</t>
  </si>
  <si>
    <t>866-465-5263</t>
  </si>
  <si>
    <t>700 S Waverly Rd, Holland, MI 49423</t>
  </si>
  <si>
    <t>HRMN</t>
  </si>
  <si>
    <t>Hermann Services Inc</t>
  </si>
  <si>
    <t>800-524-0067</t>
  </si>
  <si>
    <t>83 Stults Road Dayton, NJ 08810</t>
  </si>
  <si>
    <t>HUBO</t>
  </si>
  <si>
    <t>TeamOrange@hubgroup.com</t>
  </si>
  <si>
    <t>ASTIGALL@hubgroup.com</t>
  </si>
  <si>
    <t>(EmilyFerrell@HubGroup.com)</t>
  </si>
  <si>
    <t>IPNS</t>
  </si>
  <si>
    <t>INTERSTATE TRANSPORT</t>
  </si>
  <si>
    <t>866-281-1281</t>
  </si>
  <si>
    <t>324 1st Avenue North</t>
  </si>
  <si>
    <t>48041 </t>
  </si>
  <si>
    <t>KNIG</t>
  </si>
  <si>
    <t>KNIGHT TRANSPORTATION</t>
  </si>
  <si>
    <t>(901) 483-0252</t>
  </si>
  <si>
    <t>23623 COLONIAL PARKWAY KATY, TX 77492 US</t>
  </si>
  <si>
    <t>45999 </t>
  </si>
  <si>
    <t>new</t>
  </si>
  <si>
    <t>HomeDepotAM@knighttrans.com</t>
  </si>
  <si>
    <t>Alex.Dezember@knighttrans.com</t>
  </si>
  <si>
    <t>KTSW</t>
  </si>
  <si>
    <t>KIRSCH TRANSPORTATION SE</t>
  </si>
  <si>
    <t>(712) 396-2117</t>
  </si>
  <si>
    <t>25 Main Place Ste 300 Council Bluffs, IA  51503</t>
  </si>
  <si>
    <t>grantm@kirschtrans.com</t>
  </si>
  <si>
    <t>homedepot@kirschtrans.com&gt;</t>
  </si>
  <si>
    <t xml:space="preserve"> donnab@kirschtrans.com</t>
  </si>
  <si>
    <t>KYSO</t>
  </si>
  <si>
    <t>KEYSTONE FREIGHT CORP - TL</t>
  </si>
  <si>
    <t>(201) 330-1900</t>
  </si>
  <si>
    <t xml:space="preserve">PO BOX 2697,  SECAUCUS,NJ 07096 </t>
  </si>
  <si>
    <t>KCSCustomer@nrsonline.com</t>
  </si>
  <si>
    <t>Taylor.Sattler@nrsonline.com</t>
  </si>
  <si>
    <t>Tiffany.Hogle@nrsonline.com</t>
  </si>
  <si>
    <t>LIBA</t>
  </si>
  <si>
    <t>LOADSMART INC</t>
  </si>
  <si>
    <t>HOME.DEPOT@LOADSMART.COM</t>
  </si>
  <si>
    <t>150 N Michigan Ave Ste 1900 Chicago, IL 60601</t>
  </si>
  <si>
    <t>LLWL</t>
  </si>
  <si>
    <t>LIPSEY LOGISTICS WORLDWIDE - TL</t>
  </si>
  <si>
    <t>1701 OAKBROOK DRIVE, SUITE D NORCROSS, GA 30093 US</t>
  </si>
  <si>
    <t>LOAA</t>
  </si>
  <si>
    <t>(646) 887-6278</t>
  </si>
  <si>
    <t>39 WOOSTER ST 3RD FL NEW YORK, NY 10013</t>
  </si>
  <si>
    <t>home.depot@loadsmart.com</t>
  </si>
  <si>
    <t>angie.diaz@loadsmart.com</t>
  </si>
  <si>
    <t>LPYK</t>
  </si>
  <si>
    <t>5600 BRAINERD RD STE E-2 CHATTANOOGA, TN 37411 US</t>
  </si>
  <si>
    <t>LRGR - JBX</t>
  </si>
  <si>
    <t>LANDSTAR RANGER</t>
  </si>
  <si>
    <t>anthony.lemay@landstarmail.com</t>
  </si>
  <si>
    <t>HOMEDEPOT.JBX@LANDSTARMAIL.COM</t>
  </si>
  <si>
    <t>LRGR - Shasko</t>
  </si>
  <si>
    <t>(904) 398-9400</t>
  </si>
  <si>
    <t>13410 Sutton Park Dr. South Jacksonville, FL 32224 US</t>
  </si>
  <si>
    <t>Chelsey Beere &lt;chelsey@shasko.com&gt;</t>
  </si>
  <si>
    <t>elizabeth@shasko.com</t>
  </si>
  <si>
    <t>homedepot@shasko.com</t>
  </si>
  <si>
    <t>MOLY</t>
  </si>
  <si>
    <t>MOLO SOLUTIONS - TL</t>
  </si>
  <si>
    <t>847-306-3557</t>
  </si>
  <si>
    <t>120 N RACINE ST CHICAGO, IL 60607</t>
  </si>
  <si>
    <t>HomeDepot@shipmolo.com</t>
  </si>
  <si>
    <t>DJM LOGISTICS, LLC</t>
  </si>
  <si>
    <t>MTLE</t>
  </si>
  <si>
    <t>MODE TRANSPORTATION</t>
  </si>
  <si>
    <t>800-434-8881</t>
  </si>
  <si>
    <t>14785 Preston Road, Suite 850, Dallas, TX 75254</t>
  </si>
  <si>
    <t>thd@modetransportation.com</t>
  </si>
  <si>
    <t>NEMF</t>
  </si>
  <si>
    <t>NEW ENGLAND MOTOR FREIGHT</t>
  </si>
  <si>
    <t>(908) 965-0100 x221</t>
  </si>
  <si>
    <t>1-71 NORTH AVENUE ELIZABETH, NJ  07206</t>
  </si>
  <si>
    <t>NPME</t>
  </si>
  <si>
    <t>NEW PENN</t>
  </si>
  <si>
    <t>(717) 274-2521</t>
  </si>
  <si>
    <t>625 S 5th Ave, Lebanon, PA 17042</t>
  </si>
  <si>
    <t>NTGO</t>
  </si>
  <si>
    <t>NOLAN TRANSPORTATION GRO</t>
  </si>
  <si>
    <t>(770) 509-9611</t>
  </si>
  <si>
    <t>365 NORTHRIDGE RD STE 100 ATLANTA, GA 30350</t>
  </si>
  <si>
    <t>HOMEDEPOT@NTGFREIGHT.COM</t>
  </si>
  <si>
    <t>Andrea.Navarro@ntgfreight.com</t>
  </si>
  <si>
    <t>Amira.Legesse@ntgfreight.com</t>
  </si>
  <si>
    <t>NTVY</t>
  </si>
  <si>
    <t>NORMANDIN TRANSPORTATION</t>
  </si>
  <si>
    <t>(508) 278-6579</t>
  </si>
  <si>
    <t xml:space="preserve"> 148 IRONSTONE ST UXBRIDGE, MA 01569 US</t>
  </si>
  <si>
    <t>PAMT</t>
  </si>
  <si>
    <t>PAM TRANSPORT, INC</t>
  </si>
  <si>
    <t>(800) 283-5113</t>
  </si>
  <si>
    <t>297 West Henri de Tonti Blvd Tontitown, AR 72770</t>
  </si>
  <si>
    <t>homedepot@pamt.com</t>
  </si>
  <si>
    <t>AVERS@pamt.com</t>
  </si>
  <si>
    <t>PASC</t>
  </si>
  <si>
    <t>homedepot@ptl-inc.com</t>
  </si>
  <si>
    <t>jordunez@ptl-inc.com</t>
  </si>
  <si>
    <t>PASCHALL TRUCK LINES INC</t>
  </si>
  <si>
    <t>(800) 785-0374</t>
  </si>
  <si>
    <t>3443 H. 641 SOUTH, MURRAY, KY</t>
  </si>
  <si>
    <t>mnavan@ptl-inc.com</t>
  </si>
  <si>
    <t>PAYL</t>
  </si>
  <si>
    <t>PAYSTAR LOGISTICS INC</t>
  </si>
  <si>
    <t>800-393-2902</t>
  </si>
  <si>
    <t>9300 STATESVILLE RD STE 202 CORNELIUS, NC 28031 US</t>
  </si>
  <si>
    <t xml:space="preserve">49967  </t>
  </si>
  <si>
    <t>PESD</t>
  </si>
  <si>
    <t>PANTHER EXPEDITED</t>
  </si>
  <si>
    <t>(678) 836-4209</t>
  </si>
  <si>
    <t>4940 PANTHER PARKWAY SEVILLE, OH 44273 US</t>
  </si>
  <si>
    <t>PITD</t>
  </si>
  <si>
    <t>PITT-OHIO EXPRESS</t>
  </si>
  <si>
    <t>(800) 366-7488</t>
  </si>
  <si>
    <t>15 27th St, Pittsburgh, PA 15222</t>
  </si>
  <si>
    <t>PLCY</t>
  </si>
  <si>
    <t>PEPSI LOGISTICS COMPANY</t>
  </si>
  <si>
    <t>(972) 963-1920</t>
  </si>
  <si>
    <t xml:space="preserve">5600 HEADQUARTERS DR PLANO, TX 75024 </t>
  </si>
  <si>
    <t xml:space="preserve">50366  </t>
  </si>
  <si>
    <t>PTWT</t>
  </si>
  <si>
    <t>4940 PANTHER PARKWAY SEVILLE, OH 44273</t>
  </si>
  <si>
    <t>QPMT</t>
  </si>
  <si>
    <t>jbh_thd_team@jbhunt.com</t>
  </si>
  <si>
    <t>RBCH</t>
  </si>
  <si>
    <t>C.H. ROBINSON</t>
  </si>
  <si>
    <t>(952) 683-2800</t>
  </si>
  <si>
    <t>14701 Charlson Road Eden Prairie, MN 55347</t>
  </si>
  <si>
    <t>HOMEDEPOT@CHROBINSON.COM</t>
  </si>
  <si>
    <t>HomeDepotInbox@chrobinson.com</t>
  </si>
  <si>
    <t>RCXB</t>
  </si>
  <si>
    <t>RED CLASSIC TRANSPORTATION</t>
  </si>
  <si>
    <t>(866) 768-8809</t>
  </si>
  <si>
    <t>1800 CONTINENTAL BLVD STE 400 CHARLOTTE,NC28273U</t>
  </si>
  <si>
    <t xml:space="preserve">49478  </t>
  </si>
  <si>
    <t>ROEV</t>
  </si>
  <si>
    <t>ROEHL TRANSPORT INC</t>
  </si>
  <si>
    <t>866-516-1992</t>
  </si>
  <si>
    <t>1916 East 29th St. MARSHFIELD, WI 54449</t>
  </si>
  <si>
    <t>kim.chaltry@roehl.net</t>
  </si>
  <si>
    <t>Danielle.Zabel@roehl.net</t>
  </si>
  <si>
    <t>HomeDepotReports@Roehl.net</t>
  </si>
  <si>
    <t>SAIA</t>
  </si>
  <si>
    <t>SAIA MOTOR FREIGHT LINE</t>
  </si>
  <si>
    <t>800-765-7242</t>
  </si>
  <si>
    <t>11465 JOHNS CREEK PARKWAY, SUITE 400 JOHNS CREEK, GA 30097 US</t>
  </si>
  <si>
    <t>SCIG</t>
  </si>
  <si>
    <t>Schneider National Carriers</t>
  </si>
  <si>
    <t>800-558-6767</t>
  </si>
  <si>
    <t>2841 Charles City Rd, Henrico, VA 23231</t>
  </si>
  <si>
    <t>SCNN</t>
  </si>
  <si>
    <t>SCHNEIDER NATIONAL CARRIERS</t>
  </si>
  <si>
    <t>csretailresponse@schneider.com</t>
  </si>
  <si>
    <t>SEFL</t>
  </si>
  <si>
    <t>SCHNEIDER NATIONAL</t>
  </si>
  <si>
    <t>972-579-9955</t>
  </si>
  <si>
    <t>4149 EAST STAMFORD STREET ABILENE, TX 79601</t>
  </si>
  <si>
    <t xml:space="preserve">SELJ </t>
  </si>
  <si>
    <t>615.590.8744</t>
  </si>
  <si>
    <t>111 BOLAND ST FORT WORTH, TX 76107</t>
  </si>
  <si>
    <t>homedepot@smitheagle.com</t>
  </si>
  <si>
    <t>SFQL</t>
  </si>
  <si>
    <t>SAFER LOGISTICS, LLC - TL</t>
  </si>
  <si>
    <t>Kelly.White@saferlogistics.com</t>
  </si>
  <si>
    <t>SaferHDAppointments@saferlogistics.com</t>
  </si>
  <si>
    <t>SLCY</t>
  </si>
  <si>
    <t>SMTA</t>
  </si>
  <si>
    <t>(904) 261-5007</t>
  </si>
  <si>
    <t>331 E. Closson Rd. Roaring Spring, PA 16673 US</t>
  </si>
  <si>
    <t>SNCF</t>
  </si>
  <si>
    <t>SNCK</t>
  </si>
  <si>
    <t>SNCY</t>
  </si>
  <si>
    <t>3101 Packerland Dr. Green Bay, Wisconsin 54313-6187.</t>
  </si>
  <si>
    <t>SNNE</t>
  </si>
  <si>
    <t>SRKD</t>
  </si>
  <si>
    <t>STL TRUCKERS</t>
  </si>
  <si>
    <t>(314) 396-6922</t>
  </si>
  <si>
    <t>3088 ELM PT INDUSTRIAL DR SAINT CHARLES, MO 63301</t>
  </si>
  <si>
    <t>HOMEDEPOT@STLTRUCKERS.COM</t>
  </si>
  <si>
    <t>david@stltruckers.com</t>
  </si>
  <si>
    <t>SUSE</t>
  </si>
  <si>
    <t>Super Service</t>
  </si>
  <si>
    <t>800-669-8658</t>
  </si>
  <si>
    <t>2665 Campbell Blvd, Ellenwood, GA 30294</t>
  </si>
  <si>
    <t>SWFC</t>
  </si>
  <si>
    <t>SWIFT TRANSPORTATION CO</t>
  </si>
  <si>
    <t>(901) 355-7186</t>
  </si>
  <si>
    <t>2200 S. 75th AVENUE PHOENIX, AZ 85043 US</t>
  </si>
  <si>
    <t>CSRetailResponse@schneider.com</t>
  </si>
  <si>
    <t>lundt@schneider.com</t>
  </si>
  <si>
    <t>BostedtJ@schneider.com</t>
  </si>
  <si>
    <t>SNYC</t>
  </si>
  <si>
    <t>SCHNEIDER NATIONAL cARRIERS</t>
  </si>
  <si>
    <t xml:space="preserve">SWFT </t>
  </si>
  <si>
    <t xml:space="preserve">SWIFT TRANSPORTATION </t>
  </si>
  <si>
    <t>800-800-2200</t>
  </si>
  <si>
    <t>centralacct5@swifttrans.com</t>
  </si>
  <si>
    <t>HDCSR@swifttrans.com</t>
  </si>
  <si>
    <t>amy_norton@swifttrans.com</t>
  </si>
  <si>
    <t>Erin_Pugh@Swifttrans.com</t>
  </si>
  <si>
    <t>Timothy_Oleson@Swifttrans.com</t>
  </si>
  <si>
    <t>SWIF</t>
  </si>
  <si>
    <t>2200 S. 75TH AVENUE PHOENIX, AZ 85043</t>
  </si>
  <si>
    <t>homedepotimc@swifttrans.com</t>
  </si>
  <si>
    <t>TCWI</t>
  </si>
  <si>
    <t>TCW, INC</t>
  </si>
  <si>
    <t>(615) 742-6126</t>
  </si>
  <si>
    <t>22 STANLEY ST NASHVILLE, TN 37210 US</t>
  </si>
  <si>
    <t>thehomedepot@tcwonline.com</t>
  </si>
  <si>
    <t>nmount@tcwonline.com</t>
  </si>
  <si>
    <t>TDDS</t>
  </si>
  <si>
    <t>TEST DRIVE LLC</t>
  </si>
  <si>
    <t>(616)551-3061</t>
  </si>
  <si>
    <t>6310 FULTON ST E ADA, MI 49301</t>
  </si>
  <si>
    <t>KatieS@tdusa.us</t>
  </si>
  <si>
    <t>HomeDepot@tdusa.us</t>
  </si>
  <si>
    <t>TXOK</t>
  </si>
  <si>
    <t>TRANSPORTATION ONE LLC</t>
  </si>
  <si>
    <t>HOMEDEPOT@TRANSPORTATIONONE.COM</t>
  </si>
  <si>
    <t>212 W SUPERIOR ST STE 204 CHICAGO, IL 60654 US</t>
  </si>
  <si>
    <t>kreader@transportationone.com</t>
  </si>
  <si>
    <t>tmueller@transportationone.com</t>
  </si>
  <si>
    <t>TFXH</t>
  </si>
  <si>
    <t>TRANSFIX, INC - TL</t>
  </si>
  <si>
    <t>(646) 844-2200</t>
  </si>
  <si>
    <t>498 7th AVE 19th FL NEW YORK, NY 10018</t>
  </si>
  <si>
    <t>kevinbrijlall@transfix.io</t>
  </si>
  <si>
    <t>almirabanabana@transfix.io</t>
  </si>
  <si>
    <t>TQYL</t>
  </si>
  <si>
    <t>TOTAL QUALITY LOGISTICS</t>
  </si>
  <si>
    <t>(800) 580-3101</t>
  </si>
  <si>
    <t>4289 IVY POINTE BLVD CINCINNATI, OH 45245 US</t>
  </si>
  <si>
    <t>THDAsset@tql.com</t>
  </si>
  <si>
    <t>BMillette@tql.com</t>
  </si>
  <si>
    <t>TTMS</t>
  </si>
  <si>
    <t xml:space="preserve">TOTAL TRANSPORTATION </t>
  </si>
  <si>
    <t>TUBG</t>
  </si>
  <si>
    <t>RXO CAPACITY SOLUTIONS</t>
  </si>
  <si>
    <t>(312) 854-1390</t>
  </si>
  <si>
    <t>27724 NETWORK PLACE CHICAGO, IL 60673 US</t>
  </si>
  <si>
    <t>48105 </t>
  </si>
  <si>
    <t>homedepot@rxo.com</t>
  </si>
  <si>
    <t>christian.winne@rxo.com</t>
  </si>
  <si>
    <t>UFLB</t>
  </si>
  <si>
    <t>UBER FREIGHT LLC</t>
  </si>
  <si>
    <t>(877) 289-8237</t>
  </si>
  <si>
    <t>1455 MARKET ST 4TH FL SAN FRANCISCO,CA 94103</t>
  </si>
  <si>
    <t>homedepot@totalms.com</t>
  </si>
  <si>
    <t>ULIQ</t>
  </si>
  <si>
    <t>UNITEDLINK, INC</t>
  </si>
  <si>
    <t>(972) 200-0606</t>
  </si>
  <si>
    <t>16414 SAN PEDRO AVE # 635 SAN ANTONIO, TX 78232 US</t>
  </si>
  <si>
    <t>homedepot@unilinktransportation.com</t>
  </si>
  <si>
    <t>dcastro@unilinktransportation.com</t>
  </si>
  <si>
    <t>dfw4@unilinktransportation.com</t>
  </si>
  <si>
    <t>isanchez@unilinktransportation.com</t>
  </si>
  <si>
    <t>dduran@unilinktransportation.com</t>
  </si>
  <si>
    <t>UPGF</t>
  </si>
  <si>
    <t>UPS FREIGHT</t>
  </si>
  <si>
    <t>800-333-7400</t>
  </si>
  <si>
    <t>2427 Moreland Ave SE, Atlanta, GA 30315</t>
  </si>
  <si>
    <t>USIL</t>
  </si>
  <si>
    <t>USA Truck</t>
  </si>
  <si>
    <t>800-251-6291</t>
  </si>
  <si>
    <t>4080 Jenkins Road, Chattanooga, TN 37421</t>
  </si>
  <si>
    <t>USIT</t>
  </si>
  <si>
    <t>USA TRUCK</t>
  </si>
  <si>
    <t>USLand.HomeDepot@dbschenker.com</t>
  </si>
  <si>
    <t>lourdes.amaya@usa-truck.com</t>
  </si>
  <si>
    <t>tiffany.nelson@usa-truck.com</t>
  </si>
  <si>
    <t>mark.fergeson@usa-truck.com</t>
  </si>
  <si>
    <t>USXD</t>
  </si>
  <si>
    <t>US Xpress</t>
  </si>
  <si>
    <t>USXF</t>
  </si>
  <si>
    <t>USXI</t>
  </si>
  <si>
    <t>US EXPRESS</t>
  </si>
  <si>
    <t>bhuff@usxpress.com</t>
  </si>
  <si>
    <t>mnewberry@usxpress.com</t>
  </si>
  <si>
    <t>usxischeduling@usxpress.com</t>
  </si>
  <si>
    <t>USXR</t>
  </si>
  <si>
    <t>US XPRESS</t>
  </si>
  <si>
    <t>USXRSCHEDULING@USXPRESS.COM</t>
  </si>
  <si>
    <t>VLLQ</t>
  </si>
  <si>
    <t>VERDE LOGISTICS LLC</t>
  </si>
  <si>
    <t>(915) 791-4034</t>
  </si>
  <si>
    <t>9525 Escobar Drive EL PASO,TX 79907 US</t>
  </si>
  <si>
    <t>MVTVERDE@M-V-T.COM</t>
  </si>
  <si>
    <t>WRBH</t>
  </si>
  <si>
    <t>WERNER ENTERPRISES</t>
  </si>
  <si>
    <t>HDIntermodal@werner.com</t>
  </si>
  <si>
    <t>WENP</t>
  </si>
  <si>
    <t>(770) 739-3600</t>
  </si>
  <si>
    <t>14507 FRONTIER ROAD OMAHA, NE68138 US</t>
  </si>
  <si>
    <t>sent 2</t>
  </si>
  <si>
    <t>homedepotob@werner.com</t>
  </si>
  <si>
    <t>bbrooks@werner.com</t>
  </si>
  <si>
    <t>KyMorris@werner.com</t>
  </si>
  <si>
    <t>Braulio.Arenas@werner.com</t>
  </si>
  <si>
    <t>WFLY</t>
  </si>
  <si>
    <t>WESTERN FLYER EXPRESS</t>
  </si>
  <si>
    <t>(405) 946-7289</t>
  </si>
  <si>
    <t>4050 W I-40 SERVICE RD OKLAHOMA CITY, OK 73108</t>
  </si>
  <si>
    <t>HOMEDEPOT@WESTERNFLYEREXPRESS.COM</t>
  </si>
  <si>
    <t>gaspeitia@westernflyerexpress.com</t>
  </si>
  <si>
    <t>KEades@westernflyerexpress.com</t>
  </si>
  <si>
    <t>WSXI</t>
  </si>
  <si>
    <t xml:space="preserve">WESTERN EXPRESS </t>
  </si>
  <si>
    <t>(615) 720-6170</t>
  </si>
  <si>
    <t>7135 Centennial Place Nashville, TN 37209 US</t>
  </si>
  <si>
    <t>HomeDepot@westernexp.com</t>
  </si>
  <si>
    <t>jramusovic@westernexp.com</t>
  </si>
  <si>
    <t>tvail@westernexp.com</t>
  </si>
  <si>
    <t>XDIR</t>
  </si>
  <si>
    <t>US XPRESS ENTERPRISES IN</t>
  </si>
  <si>
    <t>(423) 510-3202</t>
  </si>
  <si>
    <t>4080 JENKINS ROAD CHATTANOOGA TN 37421</t>
  </si>
  <si>
    <t>xdirscheduling@usxpress.com</t>
  </si>
  <si>
    <t>amcwilliam@usxpress.com</t>
  </si>
  <si>
    <t>XONE</t>
  </si>
  <si>
    <t>(800)-251-6291</t>
  </si>
  <si>
    <t>XPO</t>
  </si>
  <si>
    <t>XPO LOGISTICS</t>
  </si>
  <si>
    <t>(800) 755-2728</t>
  </si>
  <si>
    <t>2211 Old Earhart Road, Ann Arbor, MI 48105-2751</t>
  </si>
  <si>
    <t>XPOG</t>
  </si>
  <si>
    <t>STG INTERMODAL SOLUTIONS</t>
  </si>
  <si>
    <t>(614) 923-1400</t>
  </si>
  <si>
    <t>5165 EMERALD PKWY DUBLIN, OH 43017 US</t>
  </si>
  <si>
    <t>railcustomerservice@stgusa.com</t>
  </si>
  <si>
    <t>Andres.Higuera.EXT@stgusa.com</t>
  </si>
  <si>
    <t>ZUUM</t>
  </si>
  <si>
    <t>ZUUM TRANSPORTATION INC</t>
  </si>
  <si>
    <t>(800) 410-1563</t>
  </si>
  <si>
    <t>18100 VON KARMAN AVE STE 100 IRVINE, CA 92612 US</t>
  </si>
  <si>
    <t>Homedepot@zuumapp.com</t>
  </si>
  <si>
    <t>mmeneses@zuumapp.com</t>
  </si>
  <si>
    <t>acarlos@zuumapp.com</t>
  </si>
  <si>
    <t>nthomas@zummapp.com</t>
  </si>
  <si>
    <t>DO NOT USE</t>
  </si>
  <si>
    <t>adam@stltruckers.com</t>
  </si>
  <si>
    <t># cartons</t>
  </si>
  <si>
    <t>pallet size</t>
  </si>
  <si>
    <t>pallet #</t>
  </si>
  <si>
    <t>weight</t>
  </si>
  <si>
    <t>12x24</t>
  </si>
  <si>
    <t>Unico and Imp Black</t>
  </si>
  <si>
    <t>F3</t>
  </si>
  <si>
    <t>Impero Black</t>
  </si>
  <si>
    <t>8x40</t>
  </si>
  <si>
    <t>Selva Ash</t>
  </si>
  <si>
    <t>22 pallets</t>
  </si>
  <si>
    <t>21 pallets</t>
  </si>
  <si>
    <t>20 pallets</t>
  </si>
  <si>
    <t>19 pallets</t>
  </si>
  <si>
    <t>18 pallets</t>
  </si>
  <si>
    <t>17 pallets</t>
  </si>
  <si>
    <t>16 pallets</t>
  </si>
  <si>
    <t>Unico Pearl</t>
  </si>
  <si>
    <t>15 pallets</t>
  </si>
  <si>
    <t>Impero White</t>
  </si>
  <si>
    <t>14 pallets</t>
  </si>
  <si>
    <t>85.35 per pallet</t>
  </si>
  <si>
    <t>Sums</t>
  </si>
  <si>
    <t>13 pallets</t>
  </si>
  <si>
    <t>12 pallets</t>
  </si>
  <si>
    <t>Impero Prestige</t>
  </si>
  <si>
    <t>11 pallets</t>
  </si>
  <si>
    <t>2089 lbs.</t>
  </si>
  <si>
    <t>1 pallet</t>
  </si>
  <si>
    <t>120sp</t>
  </si>
  <si>
    <t>10 pallets</t>
  </si>
  <si>
    <t>9 pallets</t>
  </si>
  <si>
    <t>8 pallets</t>
  </si>
  <si>
    <t>7 pallets</t>
  </si>
  <si>
    <t>6 pallets</t>
  </si>
  <si>
    <t>5 pallets</t>
  </si>
  <si>
    <t>4 pallets</t>
  </si>
  <si>
    <t>3 pallets</t>
  </si>
  <si>
    <t>2 pallets</t>
  </si>
  <si>
    <t>66.87 per pallet</t>
  </si>
  <si>
    <t>Delivery #</t>
  </si>
  <si>
    <t>PO#</t>
  </si>
  <si>
    <t>Date of BOL</t>
  </si>
  <si>
    <t>Weight</t>
  </si>
  <si>
    <t>LxWxH (Per Plt)</t>
  </si>
  <si>
    <t>Pallet Count</t>
  </si>
  <si>
    <t>Carrier</t>
  </si>
  <si>
    <t>Date sent</t>
  </si>
  <si>
    <t>PU number</t>
  </si>
  <si>
    <t>41.5"x47"x20"</t>
  </si>
  <si>
    <t>AACT</t>
  </si>
  <si>
    <t>32"x48"x30"</t>
  </si>
  <si>
    <t>RDWY</t>
  </si>
  <si>
    <t>03_80533541</t>
  </si>
  <si>
    <t>03_80533542</t>
  </si>
  <si>
    <t>07932042</t>
  </si>
  <si>
    <t>none</t>
  </si>
  <si>
    <t>sample pc</t>
  </si>
  <si>
    <t>46_26523640</t>
  </si>
  <si>
    <t>46_38505099</t>
  </si>
  <si>
    <t>62_33539261</t>
  </si>
  <si>
    <t>29_07546663</t>
  </si>
  <si>
    <t>09_17502670</t>
  </si>
  <si>
    <t>41_08544714</t>
  </si>
  <si>
    <t>27_21524034</t>
  </si>
  <si>
    <t>09_22511115</t>
  </si>
  <si>
    <t>deleted</t>
  </si>
  <si>
    <t>44_12549524</t>
  </si>
  <si>
    <t>09_27519652</t>
  </si>
  <si>
    <t>34_05533694</t>
  </si>
  <si>
    <t>04_14506707</t>
  </si>
  <si>
    <t>30_27543527</t>
  </si>
  <si>
    <t>cancelled</t>
  </si>
  <si>
    <t>27_37514459</t>
  </si>
  <si>
    <t>16_04518339</t>
  </si>
  <si>
    <t>24_06523815</t>
  </si>
  <si>
    <t>27_44504493</t>
  </si>
  <si>
    <t>CTII states too big, sent email to B&amp;D</t>
  </si>
  <si>
    <t>1222000095 </t>
  </si>
  <si>
    <t>36_48526328</t>
  </si>
  <si>
    <t>27_65533825</t>
  </si>
  <si>
    <t>30_27543916</t>
  </si>
  <si>
    <t>09_40505188</t>
  </si>
  <si>
    <t>1222000099 </t>
  </si>
  <si>
    <t>1222000126 </t>
  </si>
  <si>
    <t>1222000069 </t>
  </si>
  <si>
    <t>24_05518146</t>
  </si>
  <si>
    <t>1222000108 </t>
  </si>
  <si>
    <t>PU-372-0498775</t>
  </si>
  <si>
    <t>PU-372-0598334</t>
  </si>
  <si>
    <t>PU-372-0598500</t>
  </si>
  <si>
    <t>PU-372-0598500 RDC</t>
  </si>
  <si>
    <t>PU-372-0624082</t>
  </si>
  <si>
    <t>PU-372-0606383</t>
  </si>
  <si>
    <t>27_37514960</t>
  </si>
  <si>
    <t>30_01500663</t>
  </si>
  <si>
    <t>PU-372-0709276</t>
  </si>
  <si>
    <t>PU-372-0642942</t>
  </si>
  <si>
    <t>no response</t>
  </si>
  <si>
    <t>PU-372-0709277</t>
  </si>
  <si>
    <t>25_04540807</t>
  </si>
  <si>
    <t>PU-372-0709278</t>
  </si>
  <si>
    <t>25_87513224</t>
  </si>
  <si>
    <t>PU-372-0709279</t>
  </si>
  <si>
    <t>PU-372-0709280</t>
  </si>
  <si>
    <t>PU-372-0709281</t>
  </si>
  <si>
    <t>PU-372-0729029</t>
  </si>
  <si>
    <t>PU-372-0743611</t>
  </si>
  <si>
    <t>PU-372-0759939</t>
  </si>
  <si>
    <t>missed 3x</t>
  </si>
  <si>
    <t>PU-372-0832659</t>
  </si>
  <si>
    <t>PU-372-0812140</t>
  </si>
  <si>
    <t>missed</t>
  </si>
  <si>
    <t>47_08500920</t>
  </si>
  <si>
    <t>PU-372-0842012</t>
  </si>
  <si>
    <t xml:space="preserve">PU-372-0882710 </t>
  </si>
  <si>
    <t>not ready</t>
  </si>
  <si>
    <t>PU-372-0956548</t>
  </si>
  <si>
    <t>PU-372-0979129</t>
  </si>
  <si>
    <t>PU-372-0967120</t>
  </si>
  <si>
    <t>scheduled 2/14</t>
  </si>
  <si>
    <t>04_69537791</t>
  </si>
  <si>
    <t>PU-372-1016063</t>
  </si>
  <si>
    <t>21_09528034</t>
  </si>
  <si>
    <t>PU-372-1023500</t>
  </si>
  <si>
    <t xml:space="preserve">PU-372-1074260 </t>
  </si>
  <si>
    <t>PU-372-1189789</t>
  </si>
  <si>
    <t>3.267.50</t>
  </si>
  <si>
    <t>PU-372-1189896</t>
  </si>
  <si>
    <t>PU-372-1287756</t>
  </si>
  <si>
    <t>PU-372-1288428</t>
  </si>
  <si>
    <t>PU-372-1341604</t>
  </si>
  <si>
    <t>PU-372-1383023</t>
  </si>
  <si>
    <t>PU-372-1399276</t>
  </si>
  <si>
    <t>PU-372-1399892</t>
  </si>
  <si>
    <t>27_40518113</t>
  </si>
  <si>
    <t>PU-372-1440508</t>
  </si>
  <si>
    <t>PU-372-1458544</t>
  </si>
  <si>
    <t>PU-372-1475979</t>
  </si>
  <si>
    <t>PU-372-1556011</t>
  </si>
  <si>
    <t>PU-372-1669500</t>
  </si>
  <si>
    <t>PU-372-2647783</t>
  </si>
  <si>
    <t>PU-372-2727577 - 6/20</t>
  </si>
  <si>
    <t>PU-372-2728248</t>
  </si>
  <si>
    <t>PU-372-2778939</t>
  </si>
  <si>
    <t>PU-372-2865049</t>
  </si>
  <si>
    <t>sent 6/28 for 6/29 PU</t>
  </si>
  <si>
    <t>09_09549719</t>
  </si>
  <si>
    <t>41_01520534</t>
  </si>
  <si>
    <t>47_03523163</t>
  </si>
  <si>
    <t>44_15533450</t>
  </si>
  <si>
    <t>47_02530478</t>
  </si>
  <si>
    <t>resubmitted 6/29</t>
  </si>
  <si>
    <t>PU-372-2883908</t>
  </si>
  <si>
    <t>resubmitted for 7/1</t>
  </si>
  <si>
    <t>04_10517578</t>
  </si>
  <si>
    <t>61_77528742</t>
  </si>
  <si>
    <t>41_18534796</t>
  </si>
  <si>
    <t>PU-372-2897540</t>
  </si>
  <si>
    <t>19_50504338</t>
  </si>
  <si>
    <t>04_10518543</t>
  </si>
  <si>
    <t>84_08539487</t>
  </si>
  <si>
    <t>85_71517583</t>
  </si>
  <si>
    <t>66_52532219</t>
  </si>
  <si>
    <t>06_41542118</t>
  </si>
  <si>
    <t>PU-372-4451262</t>
  </si>
  <si>
    <t>PU-372-4472632</t>
  </si>
  <si>
    <t>PU-372-4330061</t>
  </si>
  <si>
    <t>PU-372-4388131</t>
  </si>
  <si>
    <t>PU-372-4439223</t>
  </si>
  <si>
    <t>PU-372-4369564</t>
  </si>
  <si>
    <t>PU-372-4370172</t>
  </si>
  <si>
    <t>PU-372-4388112</t>
  </si>
  <si>
    <t>47_48547941</t>
  </si>
  <si>
    <t>PU-372-4451863</t>
  </si>
  <si>
    <t>PU-372-4511493</t>
  </si>
  <si>
    <t>PU-372-4472551</t>
  </si>
  <si>
    <t>89_96517890</t>
  </si>
  <si>
    <t>PU-372-4536549</t>
  </si>
  <si>
    <t>PU-372-4554715</t>
  </si>
  <si>
    <t>PU-372-4574249</t>
  </si>
  <si>
    <t>PU-372-4574927</t>
  </si>
  <si>
    <t>PU-372-4598434</t>
  </si>
  <si>
    <t>41_20515857</t>
  </si>
  <si>
    <t>  1222117606</t>
  </si>
  <si>
    <t>  1222117613</t>
  </si>
  <si>
    <t>  1222118130</t>
  </si>
  <si>
    <t>  1222118145</t>
  </si>
  <si>
    <t>  1222118156</t>
  </si>
  <si>
    <t>  1222118158</t>
  </si>
  <si>
    <t>  1222118176</t>
  </si>
  <si>
    <t>  1222118187</t>
  </si>
  <si>
    <t>  1222118194</t>
  </si>
  <si>
    <t>  1222118202</t>
  </si>
  <si>
    <t>27_26513349</t>
  </si>
  <si>
    <t xml:space="preserve">PU-372-4634685. </t>
  </si>
  <si>
    <t>41_25510980</t>
  </si>
  <si>
    <t>41_60533164</t>
  </si>
  <si>
    <t>cancelled order</t>
  </si>
  <si>
    <t>PU-372-4554848</t>
  </si>
  <si>
    <t>HD.com</t>
  </si>
  <si>
    <t>PU-372-4649988</t>
  </si>
  <si>
    <t>PU-372-4660500</t>
  </si>
  <si>
    <t>RDC</t>
  </si>
  <si>
    <t>PU-372-4660501</t>
  </si>
  <si>
    <t>PU-372-4661948</t>
  </si>
  <si>
    <t>PU-372-4670638</t>
  </si>
  <si>
    <t>27_59504866</t>
  </si>
  <si>
    <t>need BOL</t>
  </si>
  <si>
    <t>41_25511239</t>
  </si>
  <si>
    <t>PU-372-4730932</t>
  </si>
  <si>
    <t>27_39523519</t>
  </si>
  <si>
    <t>PU-372-4848740</t>
  </si>
  <si>
    <t>41_10521745</t>
  </si>
  <si>
    <t>PU-372-4861672</t>
  </si>
  <si>
    <t>41_16511791</t>
  </si>
  <si>
    <t>PU-372-4903754</t>
  </si>
  <si>
    <t>PU-372-4946338</t>
  </si>
  <si>
    <t>PU-372-4946930</t>
  </si>
  <si>
    <t>PU-372-5018966</t>
  </si>
  <si>
    <t>27_54549890</t>
  </si>
  <si>
    <t>PU-372-5008964</t>
  </si>
  <si>
    <t>PU-372-5039779</t>
  </si>
  <si>
    <t>41_16512296</t>
  </si>
  <si>
    <t>PU-372-5046468</t>
  </si>
  <si>
    <t>PU-372-5117964</t>
  </si>
  <si>
    <t xml:space="preserve">PU-372-5118320 </t>
  </si>
  <si>
    <t>PU-372-5199823</t>
  </si>
  <si>
    <t>PU-372-5252332</t>
  </si>
  <si>
    <t>PU-372-5252361</t>
  </si>
  <si>
    <t>27_11522071</t>
  </si>
  <si>
    <t>41_80504270</t>
  </si>
  <si>
    <t>PU-372-5283106</t>
  </si>
  <si>
    <t>41_18541395</t>
  </si>
  <si>
    <t>PU-372-5365301</t>
  </si>
  <si>
    <t>27_03512306</t>
  </si>
  <si>
    <t>PU-372-5364917</t>
  </si>
  <si>
    <t>PU-372-5384447</t>
  </si>
  <si>
    <t>PU-372-5403263</t>
  </si>
  <si>
    <t>41_31503357</t>
  </si>
  <si>
    <t>PU-372-5461966</t>
  </si>
  <si>
    <t>PU-372-5462086</t>
  </si>
  <si>
    <t>27_33503107</t>
  </si>
  <si>
    <t>PU-372-5496829</t>
  </si>
  <si>
    <t>07739949</t>
  </si>
  <si>
    <t>PU-372-5533852</t>
  </si>
  <si>
    <t>27_39524286</t>
  </si>
  <si>
    <t>PU-372-5554316</t>
  </si>
  <si>
    <t>PU-372-5553923</t>
  </si>
  <si>
    <t>PU-372-5570720</t>
  </si>
  <si>
    <t>41_78548720</t>
  </si>
  <si>
    <t>PU-372-5589310</t>
  </si>
  <si>
    <t>PU-372-5589415</t>
  </si>
  <si>
    <t>PU-372-5620072</t>
  </si>
  <si>
    <t>PU-372-5620396</t>
  </si>
  <si>
    <t>07913063</t>
  </si>
  <si>
    <t>PU-372-5714512</t>
  </si>
  <si>
    <t>05924193</t>
  </si>
  <si>
    <t>PU-372-5714180</t>
  </si>
  <si>
    <t>PU-372-5714283</t>
  </si>
  <si>
    <t>  1232006122</t>
  </si>
  <si>
    <t>  1232007004</t>
  </si>
  <si>
    <t>  1232007016</t>
  </si>
  <si>
    <t>  1232007025</t>
  </si>
  <si>
    <t>  1232007043</t>
  </si>
  <si>
    <t>  1232007051</t>
  </si>
  <si>
    <t>  1232007071</t>
  </si>
  <si>
    <t>30_26514310</t>
  </si>
  <si>
    <t>39_02511005</t>
  </si>
  <si>
    <t>PU-372-5730908</t>
  </si>
  <si>
    <t>27_59506072</t>
  </si>
  <si>
    <t>08559735</t>
  </si>
  <si>
    <t>PU-372-5767492</t>
  </si>
  <si>
    <t>27_55506647</t>
  </si>
  <si>
    <t>PU-372-5767380</t>
  </si>
  <si>
    <t>PU-372-5823320</t>
  </si>
  <si>
    <t>PU-372-5823674</t>
  </si>
  <si>
    <t>01556341</t>
  </si>
  <si>
    <t>PU-372-5823663</t>
  </si>
  <si>
    <t>89_22526102</t>
  </si>
  <si>
    <t>PU-372-5843841</t>
  </si>
  <si>
    <t>07555219</t>
  </si>
  <si>
    <t xml:space="preserve">PU-372-5880434 </t>
  </si>
  <si>
    <t>41_88539258</t>
  </si>
  <si>
    <t>PU-372-5901763</t>
  </si>
  <si>
    <t>30_12514878</t>
  </si>
  <si>
    <t>PU-372-5902124</t>
  </si>
  <si>
    <t>PU-372-5919682</t>
  </si>
  <si>
    <t>PU-372-5920065</t>
  </si>
  <si>
    <t>PU-372-5939803</t>
  </si>
  <si>
    <t>PU-372-5940423</t>
  </si>
  <si>
    <t>07934547</t>
  </si>
  <si>
    <t>PU-372-5998553</t>
  </si>
  <si>
    <t>38_46546579</t>
  </si>
  <si>
    <t>PU-372-5998586</t>
  </si>
  <si>
    <t>27_55506926</t>
  </si>
  <si>
    <t>PU-372-6017718</t>
  </si>
  <si>
    <t>PU-372-6067309</t>
  </si>
  <si>
    <t>PU-372-6067253</t>
  </si>
  <si>
    <t>PU-372-6143935</t>
  </si>
  <si>
    <t>PU-372-6143947</t>
  </si>
  <si>
    <t>07945408</t>
  </si>
  <si>
    <t>PU-372-6256237</t>
  </si>
  <si>
    <t>PU-372-6254596</t>
  </si>
  <si>
    <t>PU-372-6346865</t>
  </si>
  <si>
    <t>PU-372-6436460</t>
  </si>
  <si>
    <t>PU-372-6436684</t>
  </si>
  <si>
    <t>PU-372-6448662</t>
  </si>
  <si>
    <t>PU-372-6991028</t>
  </si>
  <si>
    <t>PU-372-7001049</t>
  </si>
  <si>
    <t>23_06549338</t>
  </si>
  <si>
    <t>PU-372-7016825</t>
  </si>
  <si>
    <t>PU-372-7229999</t>
  </si>
  <si>
    <t> 1232041414</t>
  </si>
  <si>
    <t>PU-372-7230779</t>
  </si>
  <si>
    <t> 1232041424</t>
  </si>
  <si>
    <t>PU-372-7230798</t>
  </si>
  <si>
    <t>PU-372-7267311</t>
  </si>
  <si>
    <t>PU-372-7267477</t>
  </si>
  <si>
    <t>PU-372-7230731</t>
  </si>
  <si>
    <t>PU-372-7316103</t>
  </si>
  <si>
    <t xml:space="preserve">PU-372-7316340 </t>
  </si>
  <si>
    <t>PU-372-7363273</t>
  </si>
  <si>
    <t>PU-372-7534530</t>
  </si>
  <si>
    <t>PU-372-7692393</t>
  </si>
  <si>
    <t>1232051070 </t>
  </si>
  <si>
    <t>1232051075 </t>
  </si>
  <si>
    <t>1232051089 </t>
  </si>
  <si>
    <t>1232051094 </t>
  </si>
  <si>
    <t>1232051591 </t>
  </si>
  <si>
    <t>1232052466 </t>
  </si>
  <si>
    <t>PU-372-7717750</t>
  </si>
  <si>
    <t xml:space="preserve">PU-372-7788196 </t>
  </si>
  <si>
    <t>PU-372-7952824</t>
  </si>
  <si>
    <t>PU-372-8152940</t>
  </si>
  <si>
    <t>PU-372-8173295</t>
  </si>
  <si>
    <t>PU-372-8172991</t>
  </si>
  <si>
    <t>PU-372-8256777</t>
  </si>
  <si>
    <t>PU-372-8284038</t>
  </si>
  <si>
    <t>PU-372-8329132</t>
  </si>
  <si>
    <t>27_31522955</t>
  </si>
  <si>
    <t>PU-372-8428465</t>
  </si>
  <si>
    <t>PU-372-8483464</t>
  </si>
  <si>
    <t>PU-372-8499233</t>
  </si>
  <si>
    <t>PU-372-8606779</t>
  </si>
  <si>
    <t>PU-372-8629072</t>
  </si>
  <si>
    <t>PU-372-8632195</t>
  </si>
  <si>
    <t>PU-372-8865548</t>
  </si>
  <si>
    <t>PU-372-8887741</t>
  </si>
  <si>
    <t>PU-372-8910855</t>
  </si>
  <si>
    <t>PU-372-8887768</t>
  </si>
  <si>
    <t>PU-372-8997962</t>
  </si>
  <si>
    <t>PU-372-9066498</t>
  </si>
  <si>
    <t>PU-372-9159272</t>
  </si>
  <si>
    <t>PU-372-9193321</t>
  </si>
  <si>
    <t>PU-372-9193322</t>
  </si>
  <si>
    <t>PU-372-9257129</t>
  </si>
  <si>
    <t>PU-372-9257124</t>
  </si>
  <si>
    <t>PU-372-9486091</t>
  </si>
  <si>
    <t>PU-372-9547265</t>
  </si>
  <si>
    <t>PU-372-9563087</t>
  </si>
  <si>
    <t>PU-372-9627118</t>
  </si>
  <si>
    <t>PU-372-9693948</t>
  </si>
  <si>
    <t>PU-372-9723479</t>
  </si>
  <si>
    <t>PU-372-9743242</t>
  </si>
  <si>
    <t>PU-372-9914245</t>
  </si>
  <si>
    <t>PU-372-9946883</t>
  </si>
  <si>
    <t>PU-372-9946898</t>
  </si>
  <si>
    <t>PU-372-9971846</t>
  </si>
  <si>
    <t>PU-372-0002578</t>
  </si>
  <si>
    <t>03943994</t>
  </si>
  <si>
    <t>03943988</t>
  </si>
  <si>
    <t>PU-372-0030272</t>
  </si>
  <si>
    <t>PU-372-0030746</t>
  </si>
  <si>
    <t>03943992</t>
  </si>
  <si>
    <t>PU-372-0057052</t>
  </si>
  <si>
    <t>PU-372-0092641</t>
  </si>
  <si>
    <t>PU-372-0117137</t>
  </si>
  <si>
    <t>PU-372-0154646</t>
  </si>
  <si>
    <t>PU-372-0162168</t>
  </si>
  <si>
    <t>PU-372-0192529</t>
  </si>
  <si>
    <t>PU-372-0268605</t>
  </si>
  <si>
    <t>PU-372-0291818</t>
  </si>
  <si>
    <t>refusing</t>
  </si>
  <si>
    <t>PU-372-0323634</t>
  </si>
  <si>
    <t>01085</t>
  </si>
  <si>
    <t>PU-372-0432606</t>
  </si>
  <si>
    <t>PU-372-0491347</t>
  </si>
  <si>
    <t>PU-372-0520155</t>
  </si>
  <si>
    <t>PU-372-0544345</t>
  </si>
  <si>
    <t>PU-372-0647840</t>
  </si>
  <si>
    <t>PU-372-0672408</t>
  </si>
  <si>
    <t>PU-372-0699345</t>
  </si>
  <si>
    <t>PU-372-0770795</t>
  </si>
  <si>
    <t>resent</t>
  </si>
  <si>
    <t>PU-372-0829926</t>
  </si>
  <si>
    <t>PU-372-0803329</t>
  </si>
  <si>
    <t>PU-372-0896331</t>
  </si>
  <si>
    <t>PU-372-0930192</t>
  </si>
  <si>
    <t>PU-372-0954321</t>
  </si>
  <si>
    <t>PU-372-0953678</t>
  </si>
  <si>
    <t>PU-372-0977198</t>
  </si>
  <si>
    <t>PU-372-1019309</t>
  </si>
  <si>
    <t>PU-372-1169638</t>
  </si>
  <si>
    <t>PU-372-1252858</t>
  </si>
  <si>
    <t>PU-372-1378852</t>
  </si>
  <si>
    <t>ARRIVE LOGISTICS -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</si>
</sst>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lt;=9999999]###\-####;\(###\)\ ###\-####"/>
    <numFmt numFmtId="165" formatCode="mm/dd/yy;@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0"/>
      <color rgb="FF000000"/>
      <name val="Segoe U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Segoe UI"/>
      <family val="2"/>
    </font>
    <font>
      <sz val="10"/>
      <color rgb="FF000000"/>
      <name val="Segoe UI"/>
      <family val="2"/>
    </font>
    <font>
      <b/>
      <sz val="11"/>
      <color rgb="FFFF0000"/>
      <name val="Calibri"/>
      <family val="2"/>
    </font>
    <font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1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B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C5F0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99FF"/>
      </left>
      <right style="medium">
        <color rgb="FFCC99FF"/>
      </right>
      <top style="medium">
        <color rgb="FFCC99FF"/>
      </top>
      <bottom style="medium">
        <color rgb="FFCC99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/>
    <xf numFmtId="4" fontId="0" fillId="0" borderId="0" xfId="0" applyNumberFormat="1"/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1" fontId="0" fillId="5" borderId="0" xfId="0" applyNumberFormat="1" applyFill="1" applyAlignment="1">
      <alignment horizontal="left"/>
    </xf>
    <xf numFmtId="0" fontId="0" fillId="0" borderId="3" xfId="0" applyBorder="1"/>
    <xf numFmtId="4" fontId="0" fillId="0" borderId="3" xfId="0" applyNumberFormat="1" applyBorder="1"/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7" borderId="0" xfId="0" applyFill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5" borderId="4" xfId="0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0" fillId="9" borderId="4" xfId="0" applyFill="1" applyBorder="1" applyAlignment="1">
      <alignment horizontal="center"/>
    </xf>
    <xf numFmtId="165" fontId="0" fillId="9" borderId="5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center"/>
    </xf>
    <xf numFmtId="165" fontId="0" fillId="13" borderId="1" xfId="0" applyNumberForma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3" fontId="0" fillId="0" borderId="0" xfId="0" applyNumberFormat="1"/>
    <xf numFmtId="0" fontId="0" fillId="13" borderId="0" xfId="0" applyFill="1" applyAlignment="1">
      <alignment horizontal="left"/>
    </xf>
    <xf numFmtId="0" fontId="0" fillId="11" borderId="1" xfId="0" applyFill="1" applyBorder="1" applyAlignment="1">
      <alignment horizontal="center"/>
    </xf>
    <xf numFmtId="166" fontId="0" fillId="0" borderId="0" xfId="0" applyNumberFormat="1"/>
    <xf numFmtId="0" fontId="0" fillId="14" borderId="1" xfId="0" applyFill="1" applyBorder="1" applyAlignment="1">
      <alignment horizontal="left"/>
    </xf>
    <xf numFmtId="0" fontId="0" fillId="14" borderId="1" xfId="0" applyFill="1" applyBorder="1" applyAlignment="1">
      <alignment horizontal="center"/>
    </xf>
    <xf numFmtId="165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right"/>
    </xf>
    <xf numFmtId="0" fontId="0" fillId="15" borderId="1" xfId="0" applyFill="1" applyBorder="1" applyAlignment="1">
      <alignment horizontal="left"/>
    </xf>
    <xf numFmtId="0" fontId="0" fillId="15" borderId="1" xfId="0" applyFill="1" applyBorder="1" applyAlignment="1">
      <alignment horizontal="center"/>
    </xf>
    <xf numFmtId="165" fontId="0" fillId="15" borderId="1" xfId="0" applyNumberForma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6" borderId="1" xfId="0" applyFill="1" applyBorder="1" applyAlignment="1">
      <alignment horizontal="left"/>
    </xf>
    <xf numFmtId="0" fontId="0" fillId="9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5" borderId="8" xfId="0" applyFill="1" applyBorder="1" applyAlignment="1">
      <alignment horizontal="left"/>
    </xf>
    <xf numFmtId="0" fontId="0" fillId="15" borderId="8" xfId="0" applyFill="1" applyBorder="1" applyAlignment="1">
      <alignment horizontal="center"/>
    </xf>
    <xf numFmtId="165" fontId="0" fillId="15" borderId="8" xfId="0" applyNumberFormat="1" applyFill="1" applyBorder="1" applyAlignment="1">
      <alignment horizontal="center"/>
    </xf>
    <xf numFmtId="0" fontId="1" fillId="17" borderId="1" xfId="0" applyFont="1" applyFill="1" applyBorder="1" applyAlignment="1">
      <alignment horizontal="left" vertical="center"/>
    </xf>
    <xf numFmtId="164" fontId="3" fillId="17" borderId="1" xfId="0" applyNumberFormat="1" applyFont="1" applyFill="1" applyBorder="1" applyAlignment="1">
      <alignment vertical="center"/>
    </xf>
    <xf numFmtId="0" fontId="5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1" fillId="17" borderId="1" xfId="0" applyFont="1" applyFill="1" applyBorder="1"/>
    <xf numFmtId="164" fontId="1" fillId="17" borderId="1" xfId="0" applyNumberFormat="1" applyFont="1" applyFill="1" applyBorder="1"/>
    <xf numFmtId="0" fontId="0" fillId="15" borderId="0" xfId="0" applyFill="1"/>
    <xf numFmtId="0" fontId="0" fillId="18" borderId="1" xfId="0" applyFill="1" applyBorder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1" fillId="0" borderId="0" xfId="0" applyFont="1"/>
    <xf numFmtId="0" fontId="1" fillId="0" borderId="1" xfId="0" applyFont="1" applyBorder="1"/>
    <xf numFmtId="0" fontId="0" fillId="14" borderId="4" xfId="0" applyFill="1" applyBorder="1" applyAlignment="1">
      <alignment horizontal="center"/>
    </xf>
    <xf numFmtId="49" fontId="0" fillId="14" borderId="1" xfId="0" applyNumberFormat="1" applyFill="1" applyBorder="1" applyAlignment="1">
      <alignment horizontal="center"/>
    </xf>
    <xf numFmtId="0" fontId="3" fillId="17" borderId="1" xfId="0" applyFont="1" applyFill="1" applyBorder="1" applyAlignment="1">
      <alignment horizontal="left" vertical="center"/>
    </xf>
    <xf numFmtId="2" fontId="0" fillId="0" borderId="0" xfId="0" applyNumberFormat="1"/>
    <xf numFmtId="0" fontId="0" fillId="11" borderId="0" xfId="0" applyFill="1"/>
    <xf numFmtId="1" fontId="0" fillId="0" borderId="0" xfId="0" applyNumberFormat="1"/>
    <xf numFmtId="2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17" borderId="1" xfId="0" applyFont="1" applyFill="1" applyBorder="1"/>
    <xf numFmtId="164" fontId="3" fillId="17" borderId="1" xfId="1" applyNumberFormat="1" applyFont="1" applyFill="1" applyBorder="1" applyAlignment="1">
      <alignment vertical="center" wrapText="1"/>
    </xf>
    <xf numFmtId="0" fontId="5" fillId="0" borderId="0" xfId="0" applyFont="1"/>
    <xf numFmtId="0" fontId="10" fillId="17" borderId="1" xfId="0" applyFont="1" applyFill="1" applyBorder="1"/>
    <xf numFmtId="2" fontId="0" fillId="0" borderId="1" xfId="0" applyNumberFormat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5" borderId="0" xfId="0" applyNumberFormat="1" applyFill="1"/>
    <xf numFmtId="2" fontId="0" fillId="6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0" fillId="15" borderId="8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3" fillId="17" borderId="1" xfId="1" applyNumberFormat="1" applyFont="1" applyFill="1" applyBorder="1" applyAlignment="1">
      <alignment vertical="center"/>
    </xf>
    <xf numFmtId="0" fontId="0" fillId="19" borderId="1" xfId="0" applyFill="1" applyBorder="1" applyAlignment="1">
      <alignment horizontal="center"/>
    </xf>
    <xf numFmtId="165" fontId="8" fillId="5" borderId="0" xfId="0" applyNumberFormat="1" applyFont="1" applyFill="1" applyAlignment="1">
      <alignment horizontal="center"/>
    </xf>
    <xf numFmtId="165" fontId="0" fillId="14" borderId="0" xfId="0" applyNumberFormat="1" applyFill="1" applyAlignment="1">
      <alignment horizontal="center"/>
    </xf>
    <xf numFmtId="0" fontId="0" fillId="20" borderId="0" xfId="0" applyFill="1"/>
    <xf numFmtId="164" fontId="1" fillId="0" borderId="1" xfId="0" applyNumberFormat="1" applyFont="1" applyBorder="1"/>
    <xf numFmtId="0" fontId="7" fillId="0" borderId="1" xfId="0" applyFont="1" applyBorder="1"/>
    <xf numFmtId="166" fontId="0" fillId="11" borderId="0" xfId="0" applyNumberFormat="1" applyFill="1"/>
    <xf numFmtId="0" fontId="0" fillId="11" borderId="6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left"/>
    </xf>
    <xf numFmtId="0" fontId="0" fillId="22" borderId="1" xfId="0" applyFill="1" applyBorder="1" applyAlignment="1">
      <alignment horizontal="center"/>
    </xf>
    <xf numFmtId="165" fontId="0" fillId="22" borderId="1" xfId="0" applyNumberFormat="1" applyFill="1" applyBorder="1" applyAlignment="1">
      <alignment horizontal="center"/>
    </xf>
    <xf numFmtId="2" fontId="0" fillId="22" borderId="1" xfId="0" applyNumberFormat="1" applyFill="1" applyBorder="1" applyAlignment="1">
      <alignment horizontal="center"/>
    </xf>
    <xf numFmtId="0" fontId="0" fillId="11" borderId="0" xfId="0" applyFill="1" applyAlignment="1">
      <alignment horizontal="left"/>
    </xf>
    <xf numFmtId="2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20" borderId="0" xfId="0" applyFill="1" applyAlignment="1">
      <alignment horizontal="left"/>
    </xf>
    <xf numFmtId="3" fontId="0" fillId="11" borderId="0" xfId="0" applyNumberFormat="1" applyFill="1"/>
    <xf numFmtId="3" fontId="0" fillId="20" borderId="0" xfId="0" applyNumberFormat="1" applyFill="1"/>
    <xf numFmtId="3" fontId="0" fillId="7" borderId="0" xfId="0" applyNumberFormat="1" applyFill="1"/>
    <xf numFmtId="0" fontId="4" fillId="0" borderId="1" xfId="1" applyBorder="1" applyAlignment="1">
      <alignment horizontal="left" vertical="center"/>
    </xf>
    <xf numFmtId="0" fontId="4" fillId="0" borderId="0" xfId="1"/>
    <xf numFmtId="164" fontId="4" fillId="0" borderId="1" xfId="1" applyNumberFormat="1" applyBorder="1" applyAlignment="1">
      <alignment vertical="center"/>
    </xf>
    <xf numFmtId="0" fontId="4" fillId="0" borderId="0" xfId="1" applyAlignment="1">
      <alignment vertical="center"/>
    </xf>
    <xf numFmtId="0" fontId="7" fillId="0" borderId="0" xfId="0" applyFont="1"/>
    <xf numFmtId="0" fontId="11" fillId="0" borderId="0" xfId="0" applyFont="1"/>
    <xf numFmtId="0" fontId="1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164" fontId="3" fillId="23" borderId="1" xfId="0" applyNumberFormat="1" applyFont="1" applyFill="1" applyBorder="1" applyAlignment="1">
      <alignment vertical="center"/>
    </xf>
    <xf numFmtId="0" fontId="1" fillId="23" borderId="1" xfId="0" applyFont="1" applyFill="1" applyBorder="1" applyAlignment="1">
      <alignment horizontal="center" vertical="center" wrapText="1"/>
    </xf>
    <xf numFmtId="0" fontId="12" fillId="2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164" fontId="3" fillId="16" borderId="1" xfId="0" applyNumberFormat="1" applyFont="1" applyFill="1" applyBorder="1" applyAlignment="1">
      <alignment vertical="center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164" fontId="1" fillId="16" borderId="1" xfId="0" applyNumberFormat="1" applyFont="1" applyFill="1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0" fontId="13" fillId="16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23" borderId="1" xfId="0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4" fillId="0" borderId="0" xfId="1" applyFont="1"/>
    <xf numFmtId="0" fontId="14" fillId="0" borderId="1" xfId="1" applyFont="1" applyBorder="1"/>
    <xf numFmtId="0" fontId="15" fillId="16" borderId="1" xfId="1" applyFont="1" applyFill="1" applyBorder="1" applyAlignment="1">
      <alignment horizontal="left" vertical="center"/>
    </xf>
    <xf numFmtId="0" fontId="4" fillId="23" borderId="0" xfId="1" applyFill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1" applyAlignment="1">
      <alignment vertical="center" wrapText="1"/>
    </xf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6699"/>
      <color rgb="FFFFE5FF"/>
      <color rgb="FFC5F0FF"/>
      <color rgb="FFEAF3FA"/>
      <color rgb="FFFFFF99"/>
      <color rgb="FFCCFF99"/>
      <color rgb="FFFFFFCC"/>
      <color rgb="FFA3E7FF"/>
      <color rgb="FFFFB3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entralacct5@swifttrans.com" TargetMode="External"/><Relationship Id="rId18" Type="http://schemas.openxmlformats.org/officeDocument/2006/relationships/hyperlink" Target="mailto:BostedtJ@schneider.com" TargetMode="External"/><Relationship Id="rId26" Type="http://schemas.openxmlformats.org/officeDocument/2006/relationships/hyperlink" Target="mailto:kreader@transportationone.com" TargetMode="External"/><Relationship Id="rId21" Type="http://schemas.openxmlformats.org/officeDocument/2006/relationships/hyperlink" Target="mailto:acarlos@zuumapp.com" TargetMode="External"/><Relationship Id="rId34" Type="http://schemas.openxmlformats.org/officeDocument/2006/relationships/hyperlink" Target="mailto:Andrea.Rocha@cfidrive.com" TargetMode="External"/><Relationship Id="rId7" Type="http://schemas.openxmlformats.org/officeDocument/2006/relationships/hyperlink" Target="mailto:hdtracking@shipenergy.com" TargetMode="External"/><Relationship Id="rId12" Type="http://schemas.openxmlformats.org/officeDocument/2006/relationships/hyperlink" Target="mailto:atate@heartlandexpress.com" TargetMode="External"/><Relationship Id="rId17" Type="http://schemas.openxmlformats.org/officeDocument/2006/relationships/hyperlink" Target="mailto:Timothy_Oleson@Swifttrans.com" TargetMode="External"/><Relationship Id="rId25" Type="http://schemas.openxmlformats.org/officeDocument/2006/relationships/hyperlink" Target="mailto:HOMEDEPOT@TRANSPORTATIONONE.COM" TargetMode="External"/><Relationship Id="rId33" Type="http://schemas.openxmlformats.org/officeDocument/2006/relationships/hyperlink" Target="mailto:donnab@kirschtrans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tel:1-866-312-1314" TargetMode="External"/><Relationship Id="rId16" Type="http://schemas.openxmlformats.org/officeDocument/2006/relationships/hyperlink" Target="mailto:Erin_Pugh@Swifttrans.com" TargetMode="External"/><Relationship Id="rId20" Type="http://schemas.openxmlformats.org/officeDocument/2006/relationships/hyperlink" Target="mailto:EmilyFerrell@HubGroup.com" TargetMode="External"/><Relationship Id="rId29" Type="http://schemas.openxmlformats.org/officeDocument/2006/relationships/hyperlink" Target="mailto:mmaass@arrivelogistics.com" TargetMode="External"/><Relationship Id="rId1" Type="http://schemas.openxmlformats.org/officeDocument/2006/relationships/hyperlink" Target="https://www.google.com/search?ei=sm-yWs-GFIvSjwStz5SoDw&amp;q=landstar+jacksonville+fl+phone+number&amp;oq=landstar+ranger+phone+number&amp;gs_l=psy-ab.1.1.0i71k1l8.0.0.0.9200.0.0.0.0.0.0.0.0..0.0....0...1c..64.psy-ab..0.0.0....0.WA7KG4T2SWc" TargetMode="External"/><Relationship Id="rId6" Type="http://schemas.openxmlformats.org/officeDocument/2006/relationships/hyperlink" Target="https://www.google.com/search?ei=xSm3XLLmKpGWtQX39oPQAw&amp;q=xpo+logistics++llc+chicago&amp;oq=xpo+logistics++llc+chicago&amp;gs_l=psy-ab.3...1646.2561..3260...0.0..0.100.655.6j1......0....1..gws-wiz.......0i71j0i7i30.JgjAgjMYq5g" TargetMode="External"/><Relationship Id="rId11" Type="http://schemas.openxmlformats.org/officeDocument/2006/relationships/hyperlink" Target="mailto:CSRetailResponse@schneider.com" TargetMode="External"/><Relationship Id="rId24" Type="http://schemas.openxmlformats.org/officeDocument/2006/relationships/hyperlink" Target="mailto:HOMEDEPOT@TRANSPORTATIONONE.COM" TargetMode="External"/><Relationship Id="rId32" Type="http://schemas.openxmlformats.org/officeDocument/2006/relationships/hyperlink" Target="mailto:homedepot@kirschtrans.com" TargetMode="External"/><Relationship Id="rId37" Type="http://schemas.openxmlformats.org/officeDocument/2006/relationships/hyperlink" Target="mailto:Danielle.Zabel@roehl.net" TargetMode="External"/><Relationship Id="rId5" Type="http://schemas.openxmlformats.org/officeDocument/2006/relationships/hyperlink" Target="tel:+1-866-281-1281" TargetMode="External"/><Relationship Id="rId15" Type="http://schemas.openxmlformats.org/officeDocument/2006/relationships/hyperlink" Target="mailto:gaspeitia@westernflyerexpress.com" TargetMode="External"/><Relationship Id="rId23" Type="http://schemas.openxmlformats.org/officeDocument/2006/relationships/hyperlink" Target="mailto:thdsoutheast@hubgroup.com" TargetMode="External"/><Relationship Id="rId28" Type="http://schemas.openxmlformats.org/officeDocument/2006/relationships/hyperlink" Target="mailto:david@stltruckers.com" TargetMode="External"/><Relationship Id="rId36" Type="http://schemas.openxmlformats.org/officeDocument/2006/relationships/hyperlink" Target="mailto:kayleigh.parks@epeslogistics.com" TargetMode="External"/><Relationship Id="rId10" Type="http://schemas.openxmlformats.org/officeDocument/2006/relationships/hyperlink" Target="mailto:homedepot@unilinktransportation.com" TargetMode="External"/><Relationship Id="rId19" Type="http://schemas.openxmlformats.org/officeDocument/2006/relationships/hyperlink" Target="mailto:ASTIGALL@hubgroup.com" TargetMode="External"/><Relationship Id="rId31" Type="http://schemas.openxmlformats.org/officeDocument/2006/relationships/hyperlink" Target="mailto:grantm@kirschtrans.com" TargetMode="External"/><Relationship Id="rId4" Type="http://schemas.openxmlformats.org/officeDocument/2006/relationships/hyperlink" Target="https://www.google.com/search?ei=PTyVXMnmDsKusAWt-LjgBA&amp;q=new%20penn%20LTL%20LOCATION&amp;oq=new+penn+LTL+LOCATION&amp;gs_l=psy-ab.3..33i299.5970.9152..9506...0.0..0.111.1315.12j3......0....1..gws-wiz.......0i71j33i160j0j0i22i30.9z0J6fso7UI&amp;npsic=0&amp;rflfq=1&amp;rlha=0&amp;rllag=39851326,-78250946,173919&amp;tbm=lcl&amp;rldimm=2487421160854447867&amp;lqi=ChVuZXcgcGVubiBMVEwgTE9DQVRJT04iA4gBAQ&amp;ved=2ahUKEwj33ZPBwpbhAhVRiqwKHU6FAZsQvS4wBHoECAoQFw&amp;rldoc=1&amp;tbs=lrf:!2m1!1e3!3sIAE,lf:1,lf_ui:4" TargetMode="External"/><Relationship Id="rId9" Type="http://schemas.openxmlformats.org/officeDocument/2006/relationships/hyperlink" Target="mailto:centralacct5@swifttrans.com" TargetMode="External"/><Relationship Id="rId14" Type="http://schemas.openxmlformats.org/officeDocument/2006/relationships/hyperlink" Target="mailto:TeamOrange@hubgroup.com" TargetMode="External"/><Relationship Id="rId22" Type="http://schemas.openxmlformats.org/officeDocument/2006/relationships/hyperlink" Target="mailto:nthomas@zummapp.com" TargetMode="External"/><Relationship Id="rId27" Type="http://schemas.openxmlformats.org/officeDocument/2006/relationships/hyperlink" Target="mailto:HOMEDEPOT@STLTRUCKERS.COM" TargetMode="External"/><Relationship Id="rId30" Type="http://schemas.openxmlformats.org/officeDocument/2006/relationships/hyperlink" Target="mailto:kbaldwin@arrivelogistics.com" TargetMode="External"/><Relationship Id="rId35" Type="http://schemas.openxmlformats.org/officeDocument/2006/relationships/hyperlink" Target="mailto:adam@stltruckers.com" TargetMode="External"/><Relationship Id="rId8" Type="http://schemas.openxmlformats.org/officeDocument/2006/relationships/hyperlink" Target="mailto:homedepotimc@swifttrans.com" TargetMode="External"/><Relationship Id="rId3" Type="http://schemas.openxmlformats.org/officeDocument/2006/relationships/hyperlink" Target="https://www.google.com/search?q=TCW+Nashville&amp;stick=H4sIAAAAAAAAAONgecSYyy3w8sc9YamUSWtOXmOM4-IKzsgvd80rySypFArgYoOyVLgEpXj10_UNDZPMCg2zjbMLNBik-LlQhaQUlLh4A_x6RUXlmLzPaAlx_rRfma-cltIhyD_h9oeP3q-VeQC8m_N9cgAAAA&amp;sa=X&amp;ved=2ahUKEwi3k9rQ2o3dAhUKPa0KHTRNDQQQ6RMwC3oECAYQBA&amp;biw=1920&amp;bih=93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TP129"/>
  <sheetViews>
    <sheetView tabSelected="1" topLeftCell="A38" zoomScaleNormal="100" workbookViewId="0">
      <selection activeCell="A2" sqref="A2:A121"/>
    </sheetView>
  </sheetViews>
  <sheetFormatPr defaultRowHeight="14.4" x14ac:dyDescent="0.3"/>
  <cols>
    <col min="1" max="1" width="10.33203125" style="2" customWidth="1"/>
    <col min="2" max="2" width="28" style="2" customWidth="1"/>
    <col min="3" max="3" width="14.6640625" style="15" hidden="1" customWidth="1"/>
    <col min="4" max="4" width="60.33203125" style="2" hidden="1" customWidth="1"/>
    <col min="5" max="5" width="6.88671875" style="1" customWidth="1"/>
    <col min="6" max="6" width="5.6640625" style="126" bestFit="1" customWidth="1"/>
    <col min="7" max="7" width="43.88671875" style="2" customWidth="1"/>
    <col min="8" max="8" width="34.6640625" style="187" bestFit="1" customWidth="1"/>
    <col min="9" max="9" width="31.5546875" style="2" bestFit="1" customWidth="1"/>
    <col min="10" max="10" width="33.88671875" style="2" customWidth="1"/>
    <col min="11" max="11" width="29.5546875" style="2" bestFit="1" customWidth="1"/>
    <col min="12" max="525" width="8.6640625" style="2" customWidth="1"/>
    <col min="526" max="12282" width="8.6640625" style="2"/>
    <col min="12283" max="16084" width="0" style="2" hidden="1" customWidth="1"/>
    <col min="16085" max="16383" width="8.6640625" style="2"/>
    <col min="16384" max="16384" width="8.6640625" style="2" customWidth="1"/>
  </cols>
  <sheetData>
    <row r="1" spans="1:11" x14ac:dyDescent="0.3">
      <c r="A1" s="2" t="s">
        <v>0</v>
      </c>
      <c r="B1" s="2" t="s">
        <v>1</v>
      </c>
      <c r="C1" s="15" t="s">
        <v>2</v>
      </c>
      <c r="D1" s="2" t="s">
        <v>3</v>
      </c>
      <c r="E1" s="1" t="s">
        <v>4</v>
      </c>
      <c r="F1" s="122" t="s">
        <v>5</v>
      </c>
      <c r="G1" s="2" t="s">
        <v>6</v>
      </c>
      <c r="H1" s="187" t="s">
        <v>7</v>
      </c>
      <c r="I1" s="2" t="s">
        <v>8</v>
      </c>
    </row>
    <row r="2" spans="1:11" x14ac:dyDescent="0.3">
      <c r="A2" s="102" t="s">
        <v>9</v>
      </c>
      <c r="B2" s="102" t="s">
        <v>10</v>
      </c>
      <c r="C2" s="103" t="s">
        <v>11</v>
      </c>
      <c r="D2" s="104" t="s">
        <v>12</v>
      </c>
      <c r="E2" s="105">
        <v>43564</v>
      </c>
      <c r="F2" s="123" t="s">
        <v>13</v>
      </c>
      <c r="G2" s="114" t="s">
        <v>14</v>
      </c>
      <c r="H2" s="188" t="s">
        <v>15</v>
      </c>
    </row>
    <row r="3" spans="1:11" x14ac:dyDescent="0.3">
      <c r="A3" s="102" t="s">
        <v>16</v>
      </c>
      <c r="B3" s="102" t="s">
        <v>17</v>
      </c>
      <c r="C3" s="103" t="s">
        <v>18</v>
      </c>
      <c r="D3" s="102" t="s">
        <v>19</v>
      </c>
      <c r="E3" s="105">
        <v>55153</v>
      </c>
      <c r="F3" s="123" t="s">
        <v>13</v>
      </c>
      <c r="G3" s="2" t="s">
        <v>20</v>
      </c>
    </row>
    <row r="4" spans="1:11" x14ac:dyDescent="0.3">
      <c r="A4" s="2" t="s">
        <v>21</v>
      </c>
      <c r="B4" s="2" t="s">
        <v>22</v>
      </c>
      <c r="C4" s="15" t="s">
        <v>23</v>
      </c>
      <c r="D4" s="2" t="s">
        <v>24</v>
      </c>
      <c r="E4" s="1">
        <v>43559</v>
      </c>
      <c r="F4" s="126" t="s">
        <v>25</v>
      </c>
      <c r="G4" s="113" t="s">
        <v>26</v>
      </c>
    </row>
    <row r="5" spans="1:11" x14ac:dyDescent="0.3">
      <c r="A5" s="2" t="s">
        <v>27</v>
      </c>
      <c r="B5" s="3" t="s">
        <v>28</v>
      </c>
      <c r="C5" s="15" t="s">
        <v>29</v>
      </c>
      <c r="D5" s="3" t="s">
        <v>30</v>
      </c>
      <c r="E5" s="1" t="s">
        <v>31</v>
      </c>
      <c r="F5" s="122"/>
    </row>
    <row r="6" spans="1:11" x14ac:dyDescent="0.3">
      <c r="A6" s="2" t="s">
        <v>32</v>
      </c>
      <c r="B6" s="3" t="s">
        <v>33</v>
      </c>
      <c r="C6" s="15" t="s">
        <v>34</v>
      </c>
      <c r="D6" s="2" t="s">
        <v>35</v>
      </c>
      <c r="E6" s="1">
        <v>49297</v>
      </c>
      <c r="F6" s="122"/>
    </row>
    <row r="7" spans="1:11" x14ac:dyDescent="0.3">
      <c r="A7" s="102" t="s">
        <v>36</v>
      </c>
      <c r="B7" s="102" t="s">
        <v>993</v>
      </c>
      <c r="C7" s="103"/>
      <c r="D7" s="102"/>
      <c r="E7" s="105" t="s">
        <v>37</v>
      </c>
      <c r="F7" s="123" t="s">
        <v>38</v>
      </c>
      <c r="G7" s="114" t="s">
        <v>39</v>
      </c>
      <c r="H7" s="187" t="s">
        <v>40</v>
      </c>
    </row>
    <row r="8" spans="1:11" x14ac:dyDescent="0.3">
      <c r="A8" s="2" t="s">
        <v>41</v>
      </c>
      <c r="B8" s="131" t="s">
        <v>42</v>
      </c>
      <c r="C8" s="15" t="s">
        <v>43</v>
      </c>
      <c r="D8" s="2" t="s">
        <v>44</v>
      </c>
      <c r="E8" s="1">
        <v>53231</v>
      </c>
      <c r="F8" s="122"/>
      <c r="G8" s="114" t="s">
        <v>45</v>
      </c>
      <c r="H8" s="187" t="s">
        <v>46</v>
      </c>
    </row>
    <row r="9" spans="1:11" x14ac:dyDescent="0.3">
      <c r="A9" s="102" t="s">
        <v>47</v>
      </c>
      <c r="B9" s="102" t="s">
        <v>48</v>
      </c>
      <c r="C9" s="103" t="s">
        <v>49</v>
      </c>
      <c r="D9" s="102" t="s">
        <v>50</v>
      </c>
      <c r="E9" s="105" t="s">
        <v>51</v>
      </c>
      <c r="F9" s="123" t="s">
        <v>52</v>
      </c>
      <c r="G9" s="199" t="s">
        <v>39</v>
      </c>
      <c r="H9" s="168" t="s">
        <v>53</v>
      </c>
      <c r="I9" s="168" t="s">
        <v>54</v>
      </c>
      <c r="K9" s="114"/>
    </row>
    <row r="10" spans="1:11" ht="20.25" customHeight="1" x14ac:dyDescent="0.35">
      <c r="A10" s="2" t="s">
        <v>55</v>
      </c>
      <c r="B10" s="3" t="s">
        <v>56</v>
      </c>
      <c r="C10" s="15" t="s">
        <v>57</v>
      </c>
      <c r="D10" s="3" t="s">
        <v>58</v>
      </c>
      <c r="E10" s="1">
        <v>44946</v>
      </c>
      <c r="F10" s="122" t="s">
        <v>59</v>
      </c>
      <c r="G10" s="153" t="s">
        <v>60</v>
      </c>
      <c r="H10" s="187" t="s">
        <v>61</v>
      </c>
    </row>
    <row r="11" spans="1:11" x14ac:dyDescent="0.3">
      <c r="A11" s="102" t="s">
        <v>62</v>
      </c>
      <c r="B11" s="103" t="s">
        <v>63</v>
      </c>
      <c r="C11" s="103" t="s">
        <v>64</v>
      </c>
      <c r="D11" s="102" t="s">
        <v>65</v>
      </c>
      <c r="E11" s="105">
        <v>55350</v>
      </c>
      <c r="F11" s="123" t="s">
        <v>52</v>
      </c>
      <c r="G11" s="2" t="s">
        <v>66</v>
      </c>
      <c r="H11" s="169" t="s">
        <v>67</v>
      </c>
    </row>
    <row r="12" spans="1:11" x14ac:dyDescent="0.3">
      <c r="A12" s="2" t="s">
        <v>68</v>
      </c>
      <c r="B12" s="3" t="s">
        <v>69</v>
      </c>
      <c r="C12" s="15" t="s">
        <v>70</v>
      </c>
      <c r="D12" s="3" t="s">
        <v>71</v>
      </c>
      <c r="E12" s="5">
        <v>46759</v>
      </c>
      <c r="F12" s="124"/>
      <c r="I12" s="2" t="s">
        <v>72</v>
      </c>
    </row>
    <row r="13" spans="1:11" x14ac:dyDescent="0.3">
      <c r="A13" s="2" t="s">
        <v>73</v>
      </c>
      <c r="B13" s="3" t="s">
        <v>69</v>
      </c>
      <c r="C13" s="15" t="s">
        <v>70</v>
      </c>
      <c r="D13" s="2" t="s">
        <v>71</v>
      </c>
      <c r="E13" s="1">
        <v>50106</v>
      </c>
      <c r="F13" s="122"/>
    </row>
    <row r="14" spans="1:11" x14ac:dyDescent="0.3">
      <c r="A14" s="2" t="s">
        <v>74</v>
      </c>
      <c r="B14" s="2" t="s">
        <v>75</v>
      </c>
      <c r="C14" s="15" t="s">
        <v>76</v>
      </c>
      <c r="D14" s="2" t="s">
        <v>77</v>
      </c>
      <c r="E14" s="1">
        <v>49327</v>
      </c>
      <c r="F14" s="122"/>
    </row>
    <row r="15" spans="1:11" x14ac:dyDescent="0.3">
      <c r="A15" s="2" t="s">
        <v>78</v>
      </c>
      <c r="B15" s="2" t="s">
        <v>75</v>
      </c>
      <c r="C15" s="15" t="s">
        <v>76</v>
      </c>
      <c r="D15" s="2" t="s">
        <v>77</v>
      </c>
      <c r="E15" s="1">
        <v>52602</v>
      </c>
      <c r="F15" s="122"/>
    </row>
    <row r="16" spans="1:11" x14ac:dyDescent="0.3">
      <c r="A16" s="2" t="s">
        <v>79</v>
      </c>
      <c r="B16" s="3" t="s">
        <v>80</v>
      </c>
      <c r="C16" s="15" t="s">
        <v>81</v>
      </c>
      <c r="D16" s="3" t="s">
        <v>82</v>
      </c>
      <c r="E16" s="1">
        <v>44113</v>
      </c>
      <c r="F16" s="122"/>
    </row>
    <row r="17" spans="1:11" ht="15" x14ac:dyDescent="0.35">
      <c r="A17" s="102" t="s">
        <v>83</v>
      </c>
      <c r="B17" s="132" t="s">
        <v>84</v>
      </c>
      <c r="C17" s="108" t="s">
        <v>85</v>
      </c>
      <c r="D17" s="129" t="s">
        <v>86</v>
      </c>
      <c r="E17" s="105">
        <v>55068</v>
      </c>
      <c r="F17" s="123" t="s">
        <v>38</v>
      </c>
      <c r="G17" s="171" t="s">
        <v>87</v>
      </c>
      <c r="H17" s="187" t="s">
        <v>88</v>
      </c>
      <c r="I17" s="2" t="s">
        <v>89</v>
      </c>
      <c r="K17" s="169"/>
    </row>
    <row r="18" spans="1:11" x14ac:dyDescent="0.3">
      <c r="A18" s="2" t="s">
        <v>90</v>
      </c>
      <c r="B18" s="2" t="s">
        <v>91</v>
      </c>
      <c r="C18" s="15" t="s">
        <v>92</v>
      </c>
      <c r="D18" s="2" t="s">
        <v>93</v>
      </c>
      <c r="E18" s="1">
        <v>43864</v>
      </c>
      <c r="F18" s="122"/>
      <c r="H18" s="187" t="s">
        <v>94</v>
      </c>
    </row>
    <row r="19" spans="1:11" x14ac:dyDescent="0.3">
      <c r="A19" s="2" t="s">
        <v>95</v>
      </c>
      <c r="B19" s="3" t="s">
        <v>91</v>
      </c>
      <c r="D19" s="3" t="s">
        <v>93</v>
      </c>
      <c r="E19" s="1">
        <v>44014</v>
      </c>
      <c r="F19" s="122"/>
    </row>
    <row r="20" spans="1:11" x14ac:dyDescent="0.3">
      <c r="A20" s="3" t="s">
        <v>96</v>
      </c>
      <c r="B20" s="3" t="s">
        <v>97</v>
      </c>
      <c r="D20" s="3" t="s">
        <v>98</v>
      </c>
      <c r="E20" s="1">
        <v>43857</v>
      </c>
      <c r="F20" s="122" t="s">
        <v>38</v>
      </c>
      <c r="G20" s="2" t="s">
        <v>99</v>
      </c>
      <c r="H20" s="187" t="s">
        <v>100</v>
      </c>
      <c r="J20" s="2" t="s">
        <v>101</v>
      </c>
    </row>
    <row r="21" spans="1:11" ht="16.5" customHeight="1" x14ac:dyDescent="0.3">
      <c r="A21" s="2" t="s">
        <v>102</v>
      </c>
      <c r="B21" s="2" t="s">
        <v>103</v>
      </c>
      <c r="C21" s="15" t="s">
        <v>104</v>
      </c>
      <c r="D21" s="2" t="s">
        <v>105</v>
      </c>
      <c r="E21" s="1">
        <v>50950</v>
      </c>
      <c r="F21" s="122"/>
      <c r="G21" s="15" t="s">
        <v>104</v>
      </c>
    </row>
    <row r="22" spans="1:11" ht="14.25" customHeight="1" x14ac:dyDescent="0.3">
      <c r="A22" s="2" t="s">
        <v>106</v>
      </c>
      <c r="B22" s="2" t="s">
        <v>107</v>
      </c>
      <c r="C22" s="15" t="s">
        <v>108</v>
      </c>
      <c r="D22" s="2" t="s">
        <v>109</v>
      </c>
      <c r="E22" s="1">
        <v>50186</v>
      </c>
      <c r="F22" s="122"/>
    </row>
    <row r="23" spans="1:11" x14ac:dyDescent="0.3">
      <c r="A23" s="102" t="s">
        <v>110</v>
      </c>
      <c r="B23" s="102" t="s">
        <v>111</v>
      </c>
      <c r="C23" s="103" t="s">
        <v>112</v>
      </c>
      <c r="D23" s="102" t="s">
        <v>113</v>
      </c>
      <c r="E23" s="105">
        <v>48617</v>
      </c>
      <c r="F23" s="123" t="s">
        <v>13</v>
      </c>
      <c r="G23" s="2" t="s">
        <v>114</v>
      </c>
      <c r="H23" s="187" t="s">
        <v>115</v>
      </c>
    </row>
    <row r="24" spans="1:11" ht="17.25" customHeight="1" x14ac:dyDescent="0.3">
      <c r="A24" s="2" t="s">
        <v>116</v>
      </c>
      <c r="B24" s="3" t="s">
        <v>117</v>
      </c>
      <c r="C24" s="15" t="s">
        <v>118</v>
      </c>
      <c r="D24" s="3" t="s">
        <v>119</v>
      </c>
      <c r="E24" s="5">
        <v>46760</v>
      </c>
      <c r="F24" s="124"/>
      <c r="G24" s="179" t="s">
        <v>120</v>
      </c>
      <c r="H24" s="189" t="s">
        <v>121</v>
      </c>
      <c r="I24" s="2" t="s">
        <v>122</v>
      </c>
      <c r="J24" s="168" t="s">
        <v>123</v>
      </c>
      <c r="K24" s="2" t="s">
        <v>124</v>
      </c>
    </row>
    <row r="25" spans="1:11" s="174" customFormat="1" ht="17.25" customHeight="1" x14ac:dyDescent="0.3">
      <c r="A25" s="174" t="s">
        <v>125</v>
      </c>
      <c r="B25" s="175" t="s">
        <v>126</v>
      </c>
      <c r="C25" s="176"/>
      <c r="D25" s="175"/>
      <c r="E25" s="178">
        <v>58773</v>
      </c>
      <c r="F25" s="177"/>
      <c r="G25" s="174" t="s">
        <v>127</v>
      </c>
      <c r="H25" s="189" t="s">
        <v>128</v>
      </c>
    </row>
    <row r="26" spans="1:11" x14ac:dyDescent="0.3">
      <c r="A26" s="2" t="s">
        <v>129</v>
      </c>
      <c r="B26" s="3" t="s">
        <v>130</v>
      </c>
      <c r="C26" s="15" t="s">
        <v>131</v>
      </c>
      <c r="D26" s="2" t="s">
        <v>132</v>
      </c>
      <c r="E26" s="1">
        <v>49009</v>
      </c>
      <c r="F26" s="122" t="s">
        <v>52</v>
      </c>
      <c r="G26" s="2" t="s">
        <v>133</v>
      </c>
      <c r="H26" s="187" t="s">
        <v>134</v>
      </c>
    </row>
    <row r="27" spans="1:11" x14ac:dyDescent="0.3">
      <c r="A27" s="2" t="s">
        <v>135</v>
      </c>
      <c r="B27" s="2" t="s">
        <v>136</v>
      </c>
      <c r="C27" s="15" t="s">
        <v>137</v>
      </c>
      <c r="D27" s="2" t="s">
        <v>138</v>
      </c>
      <c r="E27" s="1">
        <v>52923</v>
      </c>
      <c r="F27" s="122"/>
      <c r="G27" s="2" t="s">
        <v>139</v>
      </c>
    </row>
    <row r="28" spans="1:11" x14ac:dyDescent="0.3">
      <c r="A28" s="2" t="s">
        <v>140</v>
      </c>
      <c r="B28" s="2" t="s">
        <v>141</v>
      </c>
      <c r="C28" s="15" t="s">
        <v>142</v>
      </c>
      <c r="D28" s="2" t="s">
        <v>143</v>
      </c>
      <c r="E28" s="1">
        <v>52371</v>
      </c>
      <c r="F28" s="122"/>
      <c r="G28" s="2" t="s">
        <v>144</v>
      </c>
    </row>
    <row r="29" spans="1:11" x14ac:dyDescent="0.3">
      <c r="A29" s="2" t="s">
        <v>145</v>
      </c>
      <c r="B29" s="3" t="s">
        <v>146</v>
      </c>
      <c r="C29" s="15" t="s">
        <v>147</v>
      </c>
      <c r="D29" s="3" t="s">
        <v>148</v>
      </c>
      <c r="E29" s="1">
        <v>46319</v>
      </c>
      <c r="F29" s="122"/>
    </row>
    <row r="30" spans="1:11" x14ac:dyDescent="0.3">
      <c r="A30" s="2" t="s">
        <v>149</v>
      </c>
      <c r="B30" s="2" t="s">
        <v>150</v>
      </c>
      <c r="C30" s="15" t="s">
        <v>151</v>
      </c>
      <c r="D30" s="2" t="s">
        <v>152</v>
      </c>
      <c r="E30" s="1">
        <v>51389</v>
      </c>
      <c r="F30" s="122"/>
      <c r="J30" s="2" t="s">
        <v>94</v>
      </c>
    </row>
    <row r="31" spans="1:11" ht="15.75" customHeight="1" x14ac:dyDescent="0.3">
      <c r="A31" s="2" t="s">
        <v>153</v>
      </c>
      <c r="B31" s="2" t="s">
        <v>154</v>
      </c>
      <c r="C31" s="15" t="s">
        <v>155</v>
      </c>
      <c r="D31" s="2" t="s">
        <v>156</v>
      </c>
      <c r="E31" s="1">
        <v>48616</v>
      </c>
      <c r="F31" s="122"/>
    </row>
    <row r="32" spans="1:11" x14ac:dyDescent="0.3">
      <c r="A32" s="102" t="s">
        <v>157</v>
      </c>
      <c r="B32" s="104" t="s">
        <v>158</v>
      </c>
      <c r="C32" s="130" t="s">
        <v>159</v>
      </c>
      <c r="D32" s="104" t="s">
        <v>160</v>
      </c>
      <c r="E32" s="105">
        <v>46641</v>
      </c>
      <c r="F32" s="123" t="s">
        <v>161</v>
      </c>
      <c r="G32" s="2" t="s">
        <v>162</v>
      </c>
      <c r="H32" s="168" t="s">
        <v>163</v>
      </c>
      <c r="I32" s="2" t="s">
        <v>164</v>
      </c>
      <c r="J32" s="2" t="s">
        <v>165</v>
      </c>
      <c r="K32" s="168" t="s">
        <v>166</v>
      </c>
    </row>
    <row r="33" spans="1:10" x14ac:dyDescent="0.3">
      <c r="A33" s="2" t="s">
        <v>167</v>
      </c>
      <c r="B33" s="2" t="s">
        <v>168</v>
      </c>
      <c r="C33" s="15" t="s">
        <v>169</v>
      </c>
      <c r="D33" s="2" t="s">
        <v>170</v>
      </c>
      <c r="E33" s="1" t="s">
        <v>171</v>
      </c>
      <c r="F33" s="122"/>
    </row>
    <row r="34" spans="1:10" ht="13.35" customHeight="1" x14ac:dyDescent="0.3">
      <c r="A34" s="2" t="s">
        <v>172</v>
      </c>
      <c r="B34" s="2" t="s">
        <v>173</v>
      </c>
      <c r="C34" s="15" t="s">
        <v>174</v>
      </c>
      <c r="D34" s="4" t="s">
        <v>175</v>
      </c>
      <c r="E34" s="1">
        <v>43707</v>
      </c>
      <c r="F34" s="122" t="s">
        <v>38</v>
      </c>
      <c r="G34" s="2" t="s">
        <v>176</v>
      </c>
    </row>
    <row r="35" spans="1:10" x14ac:dyDescent="0.3">
      <c r="A35" s="102" t="s">
        <v>177</v>
      </c>
      <c r="B35" s="102" t="s">
        <v>178</v>
      </c>
      <c r="C35" s="103" t="s">
        <v>174</v>
      </c>
      <c r="D35" s="106" t="s">
        <v>175</v>
      </c>
      <c r="E35" s="105">
        <v>43706</v>
      </c>
      <c r="F35" s="123" t="s">
        <v>38</v>
      </c>
      <c r="G35" s="113" t="s">
        <v>179</v>
      </c>
      <c r="H35" s="187" t="s">
        <v>180</v>
      </c>
      <c r="I35" s="169" t="s">
        <v>181</v>
      </c>
    </row>
    <row r="36" spans="1:10" x14ac:dyDescent="0.3">
      <c r="A36" s="102" t="s">
        <v>182</v>
      </c>
      <c r="B36" s="102" t="s">
        <v>183</v>
      </c>
      <c r="C36" s="103" t="s">
        <v>184</v>
      </c>
      <c r="D36" s="106" t="s">
        <v>185</v>
      </c>
      <c r="E36" s="105">
        <v>43558</v>
      </c>
      <c r="F36" s="123" t="s">
        <v>13</v>
      </c>
      <c r="G36" s="2" t="s">
        <v>186</v>
      </c>
      <c r="H36" s="187" t="s">
        <v>187</v>
      </c>
      <c r="J36" s="105"/>
    </row>
    <row r="37" spans="1:10" x14ac:dyDescent="0.3">
      <c r="A37" s="2" t="s">
        <v>188</v>
      </c>
      <c r="B37" s="3" t="s">
        <v>189</v>
      </c>
      <c r="C37" s="15" t="s">
        <v>190</v>
      </c>
      <c r="D37" s="3" t="s">
        <v>191</v>
      </c>
      <c r="E37" s="1">
        <v>44800</v>
      </c>
      <c r="F37" s="122"/>
      <c r="J37" s="105">
        <v>43709</v>
      </c>
    </row>
    <row r="38" spans="1:10" x14ac:dyDescent="0.3">
      <c r="A38" s="6" t="s">
        <v>192</v>
      </c>
      <c r="B38" s="6" t="s">
        <v>193</v>
      </c>
      <c r="C38" s="15" t="s">
        <v>194</v>
      </c>
      <c r="D38" s="6" t="s">
        <v>195</v>
      </c>
      <c r="E38" s="1">
        <v>43849</v>
      </c>
      <c r="F38" s="122"/>
      <c r="J38" s="105">
        <v>43709</v>
      </c>
    </row>
    <row r="39" spans="1:10" ht="15" x14ac:dyDescent="0.35">
      <c r="A39" s="102" t="s">
        <v>196</v>
      </c>
      <c r="B39" s="102" t="s">
        <v>197</v>
      </c>
      <c r="C39" s="103" t="s">
        <v>198</v>
      </c>
      <c r="D39" s="102" t="s">
        <v>199</v>
      </c>
      <c r="E39" s="105">
        <v>50190</v>
      </c>
      <c r="F39" s="123" t="s">
        <v>52</v>
      </c>
      <c r="G39" s="172" t="s">
        <v>200</v>
      </c>
      <c r="H39" s="187" t="s">
        <v>201</v>
      </c>
      <c r="I39" s="2" t="s">
        <v>202</v>
      </c>
      <c r="J39" s="105" t="s">
        <v>203</v>
      </c>
    </row>
    <row r="40" spans="1:10" x14ac:dyDescent="0.3">
      <c r="A40" s="102" t="s">
        <v>204</v>
      </c>
      <c r="B40" s="102" t="s">
        <v>205</v>
      </c>
      <c r="C40" s="103" t="s">
        <v>206</v>
      </c>
      <c r="D40" s="102" t="s">
        <v>207</v>
      </c>
      <c r="E40" s="105">
        <v>55056</v>
      </c>
      <c r="F40" s="123" t="s">
        <v>38</v>
      </c>
      <c r="G40" s="2" t="s">
        <v>208</v>
      </c>
      <c r="H40" s="187" t="s">
        <v>209</v>
      </c>
      <c r="I40" s="2" t="s">
        <v>210</v>
      </c>
    </row>
    <row r="41" spans="1:10" x14ac:dyDescent="0.3">
      <c r="A41" s="2" t="s">
        <v>211</v>
      </c>
      <c r="B41" s="2" t="s">
        <v>212</v>
      </c>
      <c r="C41" s="15" t="s">
        <v>213</v>
      </c>
      <c r="D41" s="2" t="s">
        <v>214</v>
      </c>
      <c r="E41" s="1">
        <v>52061</v>
      </c>
      <c r="F41" s="122"/>
    </row>
    <row r="42" spans="1:10" x14ac:dyDescent="0.3">
      <c r="A42" s="2" t="s">
        <v>215</v>
      </c>
      <c r="B42" s="3" t="s">
        <v>216</v>
      </c>
      <c r="C42" s="15" t="s">
        <v>217</v>
      </c>
      <c r="D42" s="3" t="s">
        <v>218</v>
      </c>
      <c r="E42" s="1">
        <v>44923</v>
      </c>
      <c r="F42" s="122" t="s">
        <v>38</v>
      </c>
      <c r="G42" s="2" t="s">
        <v>219</v>
      </c>
      <c r="H42" s="168" t="s">
        <v>220</v>
      </c>
      <c r="I42" s="2" t="s">
        <v>221</v>
      </c>
    </row>
    <row r="43" spans="1:10" x14ac:dyDescent="0.3">
      <c r="A43" s="2" t="s">
        <v>222</v>
      </c>
      <c r="B43" s="2" t="s">
        <v>223</v>
      </c>
      <c r="C43" s="15" t="s">
        <v>224</v>
      </c>
      <c r="D43" s="2" t="s">
        <v>225</v>
      </c>
      <c r="E43" s="1" t="s">
        <v>226</v>
      </c>
      <c r="F43" s="122" t="s">
        <v>38</v>
      </c>
      <c r="G43" s="2" t="s">
        <v>227</v>
      </c>
      <c r="H43" s="187" t="s">
        <v>228</v>
      </c>
    </row>
    <row r="44" spans="1:10" x14ac:dyDescent="0.3">
      <c r="A44" s="102" t="s">
        <v>229</v>
      </c>
      <c r="B44" s="102" t="s">
        <v>223</v>
      </c>
      <c r="C44" s="103" t="s">
        <v>224</v>
      </c>
      <c r="D44" s="102" t="s">
        <v>225</v>
      </c>
      <c r="E44" s="105">
        <v>43883</v>
      </c>
      <c r="F44" s="123" t="s">
        <v>38</v>
      </c>
      <c r="G44" s="2" t="s">
        <v>227</v>
      </c>
      <c r="H44" s="187" t="s">
        <v>230</v>
      </c>
    </row>
    <row r="45" spans="1:10" x14ac:dyDescent="0.3">
      <c r="A45" s="2" t="s">
        <v>231</v>
      </c>
      <c r="B45" s="2" t="s">
        <v>232</v>
      </c>
      <c r="C45" s="15" t="s">
        <v>233</v>
      </c>
      <c r="D45" s="2" t="s">
        <v>234</v>
      </c>
      <c r="E45" s="1">
        <v>48280</v>
      </c>
      <c r="F45" s="122" t="s">
        <v>38</v>
      </c>
    </row>
    <row r="46" spans="1:10" ht="15" x14ac:dyDescent="0.35">
      <c r="A46" s="102" t="s">
        <v>235</v>
      </c>
      <c r="B46" s="102" t="s">
        <v>232</v>
      </c>
      <c r="C46" s="103" t="s">
        <v>233</v>
      </c>
      <c r="D46" s="102" t="s">
        <v>234</v>
      </c>
      <c r="E46" s="105" t="s">
        <v>236</v>
      </c>
      <c r="F46" s="123" t="s">
        <v>38</v>
      </c>
      <c r="G46" s="2" t="s">
        <v>237</v>
      </c>
      <c r="H46" s="173"/>
    </row>
    <row r="47" spans="1:10" x14ac:dyDescent="0.3">
      <c r="A47" s="2" t="s">
        <v>238</v>
      </c>
      <c r="B47" s="2" t="s">
        <v>232</v>
      </c>
      <c r="C47" s="15" t="s">
        <v>233</v>
      </c>
      <c r="D47" s="2" t="s">
        <v>234</v>
      </c>
      <c r="E47" s="1">
        <v>43710</v>
      </c>
      <c r="F47" s="122" t="s">
        <v>38</v>
      </c>
      <c r="G47" s="2" t="s">
        <v>239</v>
      </c>
      <c r="H47" s="187" t="s">
        <v>240</v>
      </c>
      <c r="I47" s="113" t="s">
        <v>241</v>
      </c>
      <c r="J47" s="2" t="s">
        <v>242</v>
      </c>
    </row>
    <row r="48" spans="1:10" x14ac:dyDescent="0.3">
      <c r="A48" s="2" t="s">
        <v>243</v>
      </c>
      <c r="B48" s="2" t="s">
        <v>244</v>
      </c>
      <c r="C48" s="15" t="s">
        <v>245</v>
      </c>
      <c r="D48" s="4" t="s">
        <v>246</v>
      </c>
      <c r="E48" s="1">
        <v>43553</v>
      </c>
      <c r="F48" s="122"/>
    </row>
    <row r="49" spans="1:16084" x14ac:dyDescent="0.3">
      <c r="A49" s="2" t="s">
        <v>247</v>
      </c>
      <c r="B49" s="2" t="s">
        <v>248</v>
      </c>
      <c r="C49" s="15" t="s">
        <v>249</v>
      </c>
      <c r="D49" s="4" t="s">
        <v>250</v>
      </c>
      <c r="E49" s="1">
        <v>43705</v>
      </c>
      <c r="F49" s="122"/>
    </row>
    <row r="50" spans="1:16084" x14ac:dyDescent="0.3">
      <c r="A50" s="102" t="s">
        <v>251</v>
      </c>
      <c r="B50" s="102" t="s">
        <v>223</v>
      </c>
      <c r="C50" s="103" t="s">
        <v>224</v>
      </c>
      <c r="D50" s="106" t="s">
        <v>225</v>
      </c>
      <c r="E50" s="105">
        <v>43709</v>
      </c>
      <c r="F50" s="123" t="s">
        <v>38</v>
      </c>
      <c r="G50" s="192" t="s">
        <v>227</v>
      </c>
      <c r="H50" s="187" t="s">
        <v>230</v>
      </c>
      <c r="I50" s="169" t="s">
        <v>252</v>
      </c>
      <c r="K50" s="169" t="s">
        <v>253</v>
      </c>
      <c r="L50" s="169" t="s">
        <v>254</v>
      </c>
    </row>
    <row r="51" spans="1:16084" s="6" customFormat="1" x14ac:dyDescent="0.3">
      <c r="A51" s="2" t="s">
        <v>255</v>
      </c>
      <c r="B51" s="3" t="s">
        <v>256</v>
      </c>
      <c r="C51" s="16" t="s">
        <v>257</v>
      </c>
      <c r="D51" s="2" t="s">
        <v>258</v>
      </c>
      <c r="E51" s="1" t="s">
        <v>259</v>
      </c>
      <c r="F51" s="122"/>
      <c r="G51" s="2"/>
      <c r="H51" s="18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  <c r="AML51" s="2"/>
      <c r="AMM51" s="2"/>
      <c r="AMN51" s="2"/>
      <c r="AMO51" s="2"/>
      <c r="AMP51" s="2"/>
      <c r="AMQ51" s="2"/>
      <c r="AMR51" s="2"/>
      <c r="AMS51" s="2"/>
      <c r="AMT51" s="2"/>
      <c r="AMU51" s="2"/>
      <c r="AMV51" s="2"/>
      <c r="AMW51" s="2"/>
      <c r="AMX51" s="2"/>
      <c r="AMY51" s="2"/>
      <c r="AMZ51" s="2"/>
      <c r="ANA51" s="2"/>
      <c r="ANB51" s="2"/>
      <c r="ANC51" s="2"/>
      <c r="AND51" s="2"/>
      <c r="ANE51" s="2"/>
      <c r="ANF51" s="2"/>
      <c r="ANG51" s="2"/>
      <c r="ANH51" s="2"/>
      <c r="ANI51" s="2"/>
      <c r="ANJ51" s="2"/>
      <c r="ANK51" s="2"/>
      <c r="ANL51" s="2"/>
      <c r="ANM51" s="2"/>
      <c r="ANN51" s="2"/>
      <c r="ANO51" s="2"/>
      <c r="ANP51" s="2"/>
      <c r="ANQ51" s="2"/>
      <c r="ANR51" s="2"/>
      <c r="ANS51" s="2"/>
      <c r="ANT51" s="2"/>
      <c r="ANU51" s="2"/>
      <c r="ANV51" s="2"/>
      <c r="ANW51" s="2"/>
      <c r="ANX51" s="2"/>
      <c r="ANY51" s="2"/>
      <c r="ANZ51" s="2"/>
      <c r="AOA51" s="2"/>
      <c r="AOB51" s="2"/>
      <c r="AOC51" s="2"/>
      <c r="AOD51" s="2"/>
      <c r="AOE51" s="2"/>
      <c r="AOF51" s="2"/>
      <c r="AOG51" s="2"/>
      <c r="AOH51" s="2"/>
      <c r="AOI51" s="2"/>
      <c r="AOJ51" s="2"/>
      <c r="AOK51" s="2"/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/>
      <c r="APG51" s="2"/>
      <c r="APH51" s="2"/>
      <c r="API51" s="2"/>
      <c r="APJ51" s="2"/>
      <c r="APK51" s="2"/>
      <c r="APL51" s="2"/>
      <c r="APM51" s="2"/>
      <c r="APN51" s="2"/>
      <c r="APO51" s="2"/>
      <c r="APP51" s="2"/>
      <c r="APQ51" s="2"/>
      <c r="APR51" s="2"/>
      <c r="APS51" s="2"/>
      <c r="APT51" s="2"/>
      <c r="APU51" s="2"/>
      <c r="APV51" s="2"/>
      <c r="APW51" s="2"/>
      <c r="APX51" s="2"/>
      <c r="APY51" s="2"/>
      <c r="APZ51" s="2"/>
      <c r="AQA51" s="2"/>
      <c r="AQB51" s="2"/>
      <c r="AQC51" s="2"/>
      <c r="AQD51" s="2"/>
      <c r="AQE51" s="2"/>
      <c r="AQF51" s="2"/>
      <c r="AQG51" s="2"/>
      <c r="AQH51" s="2"/>
      <c r="AQI51" s="2"/>
      <c r="AQJ51" s="2"/>
      <c r="AQK51" s="2"/>
      <c r="AQL51" s="2"/>
      <c r="AQM51" s="2"/>
      <c r="AQN51" s="2"/>
      <c r="AQO51" s="2"/>
      <c r="AQP51" s="2"/>
      <c r="AQQ51" s="2"/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/>
      <c r="ARM51" s="2"/>
      <c r="ARN51" s="2"/>
      <c r="ARO51" s="2"/>
      <c r="ARP51" s="2"/>
      <c r="ARQ51" s="2"/>
      <c r="ARR51" s="2"/>
      <c r="ARS51" s="2"/>
      <c r="ART51" s="2"/>
      <c r="ARU51" s="2"/>
      <c r="ARV51" s="2"/>
      <c r="ARW51" s="2"/>
      <c r="ARX51" s="2"/>
      <c r="ARY51" s="2"/>
      <c r="ARZ51" s="2"/>
      <c r="ASA51" s="2"/>
      <c r="ASB51" s="2"/>
      <c r="ASC51" s="2"/>
      <c r="ASD51" s="2"/>
      <c r="ASE51" s="2"/>
      <c r="ASF51" s="2"/>
      <c r="ASG51" s="2"/>
      <c r="ASH51" s="2"/>
      <c r="ASI51" s="2"/>
      <c r="ASJ51" s="2"/>
      <c r="ASK51" s="2"/>
      <c r="ASL51" s="2"/>
      <c r="ASM51" s="2"/>
      <c r="ASN51" s="2"/>
      <c r="ASO51" s="2"/>
      <c r="ASP51" s="2"/>
      <c r="ASQ51" s="2"/>
      <c r="ASR51" s="2"/>
      <c r="ASS51" s="2"/>
      <c r="AST51" s="2"/>
      <c r="ASU51" s="2"/>
      <c r="ASV51" s="2"/>
      <c r="ASW51" s="2"/>
      <c r="ASX51" s="2"/>
      <c r="ASY51" s="2"/>
      <c r="ASZ51" s="2"/>
      <c r="ATA51" s="2"/>
      <c r="ATB51" s="2"/>
      <c r="ATC51" s="2"/>
      <c r="ATD51" s="2"/>
      <c r="ATE51" s="2"/>
      <c r="ATF51" s="2"/>
      <c r="ATG51" s="2"/>
      <c r="ATH51" s="2"/>
      <c r="ATI51" s="2"/>
      <c r="ATJ51" s="2"/>
      <c r="ATK51" s="2"/>
      <c r="ATL51" s="2"/>
      <c r="ATM51" s="2"/>
      <c r="ATN51" s="2"/>
      <c r="ATO51" s="2"/>
      <c r="ATP51" s="2"/>
      <c r="ATQ51" s="2"/>
      <c r="ATR51" s="2"/>
      <c r="ATS51" s="2"/>
      <c r="ATT51" s="2"/>
      <c r="ATU51" s="2"/>
      <c r="ATV51" s="2"/>
      <c r="ATW51" s="2"/>
      <c r="ATX51" s="2"/>
      <c r="ATY51" s="2"/>
      <c r="ATZ51" s="2"/>
      <c r="AUA51" s="2"/>
      <c r="AUB51" s="2"/>
      <c r="AUC51" s="2"/>
      <c r="AUD51" s="2"/>
      <c r="AUE51" s="2"/>
      <c r="AUF51" s="2"/>
      <c r="AUG51" s="2"/>
      <c r="AUH51" s="2"/>
      <c r="AUI51" s="2"/>
      <c r="AUJ51" s="2"/>
      <c r="AUK51" s="2"/>
      <c r="AUL51" s="2"/>
      <c r="AUM51" s="2"/>
      <c r="AUN51" s="2"/>
      <c r="AUO51" s="2"/>
      <c r="AUP51" s="2"/>
      <c r="AUQ51" s="2"/>
      <c r="AUR51" s="2"/>
      <c r="AUS51" s="2"/>
      <c r="AUT51" s="2"/>
      <c r="AUU51" s="2"/>
      <c r="AUV51" s="2"/>
      <c r="AUW51" s="2"/>
      <c r="AUX51" s="2"/>
      <c r="AUY51" s="2"/>
      <c r="AUZ51" s="2"/>
      <c r="AVA51" s="2"/>
      <c r="AVB51" s="2"/>
      <c r="AVC51" s="2"/>
      <c r="AVD51" s="2"/>
      <c r="AVE51" s="2"/>
      <c r="AVF51" s="2"/>
      <c r="AVG51" s="2"/>
      <c r="AVH51" s="2"/>
      <c r="AVI51" s="2"/>
      <c r="AVJ51" s="2"/>
      <c r="AVK51" s="2"/>
      <c r="AVL51" s="2"/>
      <c r="AVM51" s="2"/>
      <c r="AVN51" s="2"/>
      <c r="AVO51" s="2"/>
      <c r="AVP51" s="2"/>
      <c r="AVQ51" s="2"/>
      <c r="AVR51" s="2"/>
      <c r="AVS51" s="2"/>
      <c r="AVT51" s="2"/>
      <c r="AVU51" s="2"/>
      <c r="AVV51" s="2"/>
      <c r="AVW51" s="2"/>
      <c r="AVX51" s="2"/>
      <c r="AVY51" s="2"/>
      <c r="AVZ51" s="2"/>
      <c r="AWA51" s="2"/>
      <c r="AWB51" s="2"/>
      <c r="AWC51" s="2"/>
      <c r="AWD51" s="2"/>
      <c r="AWE51" s="2"/>
      <c r="AWF51" s="2"/>
      <c r="AWG51" s="2"/>
      <c r="AWH51" s="2"/>
      <c r="AWI51" s="2"/>
      <c r="AWJ51" s="2"/>
      <c r="AWK51" s="2"/>
      <c r="AWL51" s="2"/>
      <c r="AWM51" s="2"/>
      <c r="AWN51" s="2"/>
      <c r="AWO51" s="2"/>
      <c r="AWP51" s="2"/>
      <c r="AWQ51" s="2"/>
      <c r="AWR51" s="2"/>
      <c r="AWS51" s="2"/>
      <c r="AWT51" s="2"/>
      <c r="AWU51" s="2"/>
      <c r="AWV51" s="2"/>
      <c r="AWW51" s="2"/>
      <c r="AWX51" s="2"/>
      <c r="AWY51" s="2"/>
      <c r="AWZ51" s="2"/>
      <c r="AXA51" s="2"/>
      <c r="AXB51" s="2"/>
      <c r="AXC51" s="2"/>
      <c r="AXD51" s="2"/>
      <c r="AXE51" s="2"/>
      <c r="AXF51" s="2"/>
      <c r="AXG51" s="2"/>
      <c r="AXH51" s="2"/>
      <c r="AXI51" s="2"/>
      <c r="AXJ51" s="2"/>
      <c r="AXK51" s="2"/>
      <c r="AXL51" s="2"/>
      <c r="AXM51" s="2"/>
      <c r="AXN51" s="2"/>
      <c r="AXO51" s="2"/>
      <c r="AXP51" s="2"/>
      <c r="AXQ51" s="2"/>
      <c r="AXR51" s="2"/>
      <c r="AXS51" s="2"/>
      <c r="AXT51" s="2"/>
      <c r="AXU51" s="2"/>
      <c r="AXV51" s="2"/>
      <c r="AXW51" s="2"/>
      <c r="AXX51" s="2"/>
      <c r="AXY51" s="2"/>
      <c r="AXZ51" s="2"/>
      <c r="AYA51" s="2"/>
      <c r="AYB51" s="2"/>
      <c r="AYC51" s="2"/>
      <c r="AYD51" s="2"/>
      <c r="AYE51" s="2"/>
      <c r="AYF51" s="2"/>
      <c r="AYG51" s="2"/>
      <c r="AYH51" s="2"/>
      <c r="AYI51" s="2"/>
      <c r="AYJ51" s="2"/>
      <c r="AYK51" s="2"/>
      <c r="AYL51" s="2"/>
      <c r="AYM51" s="2"/>
      <c r="AYN51" s="2"/>
      <c r="AYO51" s="2"/>
      <c r="AYP51" s="2"/>
      <c r="AYQ51" s="2"/>
      <c r="AYR51" s="2"/>
      <c r="AYS51" s="2"/>
      <c r="AYT51" s="2"/>
      <c r="AYU51" s="2"/>
      <c r="AYV51" s="2"/>
      <c r="AYW51" s="2"/>
      <c r="AYX51" s="2"/>
      <c r="AYY51" s="2"/>
      <c r="AYZ51" s="2"/>
      <c r="AZA51" s="2"/>
      <c r="AZB51" s="2"/>
      <c r="AZC51" s="2"/>
      <c r="AZD51" s="2"/>
      <c r="AZE51" s="2"/>
      <c r="AZF51" s="2"/>
      <c r="AZG51" s="2"/>
      <c r="AZH51" s="2"/>
      <c r="AZI51" s="2"/>
      <c r="AZJ51" s="2"/>
      <c r="AZK51" s="2"/>
      <c r="AZL51" s="2"/>
      <c r="AZM51" s="2"/>
      <c r="AZN51" s="2"/>
      <c r="AZO51" s="2"/>
      <c r="AZP51" s="2"/>
      <c r="AZQ51" s="2"/>
      <c r="AZR51" s="2"/>
      <c r="AZS51" s="2"/>
      <c r="AZT51" s="2"/>
      <c r="AZU51" s="2"/>
      <c r="AZV51" s="2"/>
      <c r="AZW51" s="2"/>
      <c r="AZX51" s="2"/>
      <c r="AZY51" s="2"/>
      <c r="AZZ51" s="2"/>
      <c r="BAA51" s="2"/>
      <c r="BAB51" s="2"/>
      <c r="BAC51" s="2"/>
      <c r="BAD51" s="2"/>
      <c r="BAE51" s="2"/>
      <c r="BAF51" s="2"/>
      <c r="BAG51" s="2"/>
      <c r="BAH51" s="2"/>
      <c r="BAI51" s="2"/>
      <c r="BAJ51" s="2"/>
      <c r="BAK51" s="2"/>
      <c r="BAL51" s="2"/>
      <c r="BAM51" s="2"/>
      <c r="BAN51" s="2"/>
      <c r="BAO51" s="2"/>
      <c r="BAP51" s="2"/>
      <c r="BAQ51" s="2"/>
      <c r="BAR51" s="2"/>
      <c r="BAS51" s="2"/>
      <c r="BAT51" s="2"/>
      <c r="BAU51" s="2"/>
      <c r="BAV51" s="2"/>
      <c r="BAW51" s="2"/>
      <c r="BAX51" s="2"/>
      <c r="BAY51" s="2"/>
      <c r="BAZ51" s="2"/>
      <c r="BBA51" s="2"/>
      <c r="BBB51" s="2"/>
      <c r="BBC51" s="2"/>
      <c r="BBD51" s="2"/>
      <c r="BBE51" s="2"/>
      <c r="BBF51" s="2"/>
      <c r="BBG51" s="2"/>
      <c r="BBH51" s="2"/>
      <c r="BBI51" s="2"/>
      <c r="BBJ51" s="2"/>
      <c r="BBK51" s="2"/>
      <c r="BBL51" s="2"/>
      <c r="BBM51" s="2"/>
      <c r="BBN51" s="2"/>
      <c r="BBO51" s="2"/>
      <c r="BBP51" s="2"/>
      <c r="BBQ51" s="2"/>
      <c r="BBR51" s="2"/>
      <c r="BBS51" s="2"/>
      <c r="BBT51" s="2"/>
      <c r="BBU51" s="2"/>
      <c r="BBV51" s="2"/>
      <c r="BBW51" s="2"/>
      <c r="BBX51" s="2"/>
      <c r="BBY51" s="2"/>
      <c r="BBZ51" s="2"/>
      <c r="BCA51" s="2"/>
      <c r="BCB51" s="2"/>
      <c r="BCC51" s="2"/>
      <c r="BCD51" s="2"/>
      <c r="BCE51" s="2"/>
      <c r="BCF51" s="2"/>
      <c r="BCG51" s="2"/>
      <c r="BCH51" s="2"/>
      <c r="BCI51" s="2"/>
      <c r="BCJ51" s="2"/>
      <c r="BCK51" s="2"/>
      <c r="BCL51" s="2"/>
      <c r="BCM51" s="2"/>
      <c r="BCN51" s="2"/>
      <c r="BCO51" s="2"/>
      <c r="BCP51" s="2"/>
      <c r="BCQ51" s="2"/>
      <c r="BCR51" s="2"/>
      <c r="BCS51" s="2"/>
      <c r="BCT51" s="2"/>
      <c r="BCU51" s="2"/>
      <c r="BCV51" s="2"/>
      <c r="BCW51" s="2"/>
      <c r="BCX51" s="2"/>
      <c r="BCY51" s="2"/>
      <c r="BCZ51" s="2"/>
      <c r="BDA51" s="2"/>
      <c r="BDB51" s="2"/>
      <c r="BDC51" s="2"/>
      <c r="BDD51" s="2"/>
      <c r="BDE51" s="2"/>
      <c r="BDF51" s="2"/>
      <c r="BDG51" s="2"/>
      <c r="BDH51" s="2"/>
      <c r="BDI51" s="2"/>
      <c r="BDJ51" s="2"/>
      <c r="BDK51" s="2"/>
      <c r="BDL51" s="2"/>
      <c r="BDM51" s="2"/>
      <c r="BDN51" s="2"/>
      <c r="BDO51" s="2"/>
      <c r="BDP51" s="2"/>
      <c r="BDQ51" s="2"/>
      <c r="BDR51" s="2"/>
      <c r="BDS51" s="2"/>
      <c r="BDT51" s="2"/>
      <c r="BDU51" s="2"/>
      <c r="BDV51" s="2"/>
      <c r="BDW51" s="2"/>
      <c r="BDX51" s="2"/>
      <c r="BDY51" s="2"/>
      <c r="BDZ51" s="2"/>
      <c r="BEA51" s="2"/>
      <c r="BEB51" s="2"/>
      <c r="BEC51" s="2"/>
      <c r="BED51" s="2"/>
      <c r="BEE51" s="2"/>
      <c r="BEF51" s="2"/>
      <c r="BEG51" s="2"/>
      <c r="BEH51" s="2"/>
      <c r="BEI51" s="2"/>
      <c r="BEJ51" s="2"/>
      <c r="BEK51" s="2"/>
      <c r="BEL51" s="2"/>
      <c r="BEM51" s="2"/>
      <c r="BEN51" s="2"/>
      <c r="BEO51" s="2"/>
      <c r="BEP51" s="2"/>
      <c r="BEQ51" s="2"/>
      <c r="BER51" s="2"/>
      <c r="BES51" s="2"/>
      <c r="BET51" s="2"/>
      <c r="BEU51" s="2"/>
      <c r="BEV51" s="2"/>
      <c r="BEW51" s="2"/>
      <c r="BEX51" s="2"/>
      <c r="BEY51" s="2"/>
      <c r="BEZ51" s="2"/>
      <c r="BFA51" s="2"/>
      <c r="BFB51" s="2"/>
      <c r="BFC51" s="2"/>
      <c r="BFD51" s="2"/>
      <c r="BFE51" s="2"/>
      <c r="BFF51" s="2"/>
      <c r="BFG51" s="2"/>
      <c r="BFH51" s="2"/>
      <c r="BFI51" s="2"/>
      <c r="BFJ51" s="2"/>
      <c r="BFK51" s="2"/>
      <c r="BFL51" s="2"/>
      <c r="BFM51" s="2"/>
      <c r="BFN51" s="2"/>
      <c r="BFO51" s="2"/>
      <c r="BFP51" s="2"/>
      <c r="BFQ51" s="2"/>
      <c r="BFR51" s="2"/>
      <c r="BFS51" s="2"/>
      <c r="BFT51" s="2"/>
      <c r="BFU51" s="2"/>
      <c r="BFV51" s="2"/>
      <c r="BFW51" s="2"/>
      <c r="BFX51" s="2"/>
      <c r="BFY51" s="2"/>
      <c r="BFZ51" s="2"/>
      <c r="BGA51" s="2"/>
      <c r="BGB51" s="2"/>
      <c r="BGC51" s="2"/>
      <c r="BGD51" s="2"/>
      <c r="BGE51" s="2"/>
      <c r="BGF51" s="2"/>
      <c r="BGG51" s="2"/>
      <c r="BGH51" s="2"/>
      <c r="BGI51" s="2"/>
      <c r="BGJ51" s="2"/>
      <c r="BGK51" s="2"/>
      <c r="BGL51" s="2"/>
      <c r="BGM51" s="2"/>
      <c r="BGN51" s="2"/>
      <c r="BGO51" s="2"/>
      <c r="BGP51" s="2"/>
      <c r="BGQ51" s="2"/>
      <c r="BGR51" s="2"/>
      <c r="BGS51" s="2"/>
      <c r="BGT51" s="2"/>
      <c r="BGU51" s="2"/>
      <c r="BGV51" s="2"/>
      <c r="BGW51" s="2"/>
      <c r="BGX51" s="2"/>
      <c r="BGY51" s="2"/>
      <c r="BGZ51" s="2"/>
      <c r="BHA51" s="2"/>
      <c r="BHB51" s="2"/>
      <c r="BHC51" s="2"/>
      <c r="BHD51" s="2"/>
      <c r="BHE51" s="2"/>
      <c r="BHF51" s="2"/>
      <c r="BHG51" s="2"/>
      <c r="BHH51" s="2"/>
      <c r="BHI51" s="2"/>
      <c r="BHJ51" s="2"/>
      <c r="BHK51" s="2"/>
      <c r="BHL51" s="2"/>
      <c r="BHM51" s="2"/>
      <c r="BHN51" s="2"/>
      <c r="BHO51" s="2"/>
      <c r="BHP51" s="2"/>
      <c r="BHQ51" s="2"/>
      <c r="BHR51" s="2"/>
      <c r="BHS51" s="2"/>
      <c r="BHT51" s="2"/>
      <c r="BHU51" s="2"/>
      <c r="BHV51" s="2"/>
      <c r="BHW51" s="2"/>
      <c r="BHX51" s="2"/>
      <c r="BHY51" s="2"/>
      <c r="BHZ51" s="2"/>
      <c r="BIA51" s="2"/>
      <c r="BIB51" s="2"/>
      <c r="BIC51" s="2"/>
      <c r="BID51" s="2"/>
      <c r="BIE51" s="2"/>
      <c r="BIF51" s="2"/>
      <c r="BIG51" s="2"/>
      <c r="BIH51" s="2"/>
      <c r="BII51" s="2"/>
      <c r="BIJ51" s="2"/>
      <c r="BIK51" s="2"/>
      <c r="BIL51" s="2"/>
      <c r="BIM51" s="2"/>
      <c r="BIN51" s="2"/>
      <c r="BIO51" s="2"/>
      <c r="BIP51" s="2"/>
      <c r="BIQ51" s="2"/>
      <c r="BIR51" s="2"/>
      <c r="BIS51" s="2"/>
      <c r="BIT51" s="2"/>
      <c r="BIU51" s="2"/>
      <c r="BIV51" s="2"/>
      <c r="BIW51" s="2"/>
      <c r="BIX51" s="2"/>
      <c r="BIY51" s="2"/>
      <c r="BIZ51" s="2"/>
      <c r="BJA51" s="2"/>
      <c r="BJB51" s="2"/>
      <c r="BJC51" s="2"/>
      <c r="BJD51" s="2"/>
      <c r="BJE51" s="2"/>
      <c r="BJF51" s="2"/>
      <c r="BJG51" s="2"/>
      <c r="BJH51" s="2"/>
      <c r="BJI51" s="2"/>
      <c r="BJJ51" s="2"/>
      <c r="BJK51" s="2"/>
      <c r="BJL51" s="2"/>
      <c r="BJM51" s="2"/>
      <c r="BJN51" s="2"/>
      <c r="BJO51" s="2"/>
      <c r="BJP51" s="2"/>
      <c r="BJQ51" s="2"/>
      <c r="BJR51" s="2"/>
      <c r="BJS51" s="2"/>
      <c r="BJT51" s="2"/>
      <c r="BJU51" s="2"/>
      <c r="BJV51" s="2"/>
      <c r="BJW51" s="2"/>
      <c r="BJX51" s="2"/>
      <c r="BJY51" s="2"/>
      <c r="BJZ51" s="2"/>
      <c r="BKA51" s="2"/>
      <c r="BKB51" s="2"/>
      <c r="BKC51" s="2"/>
      <c r="BKD51" s="2"/>
      <c r="BKE51" s="2"/>
      <c r="BKF51" s="2"/>
      <c r="BKG51" s="2"/>
      <c r="BKH51" s="2"/>
      <c r="BKI51" s="2"/>
      <c r="BKJ51" s="2"/>
      <c r="BKK51" s="2"/>
      <c r="BKL51" s="2"/>
      <c r="BKM51" s="2"/>
      <c r="BKN51" s="2"/>
      <c r="BKO51" s="2"/>
      <c r="BKP51" s="2"/>
      <c r="BKQ51" s="2"/>
      <c r="BKR51" s="2"/>
      <c r="BKS51" s="2"/>
      <c r="BKT51" s="2"/>
      <c r="BKU51" s="2"/>
      <c r="BKV51" s="2"/>
      <c r="BKW51" s="2"/>
      <c r="BKX51" s="2"/>
      <c r="BKY51" s="2"/>
      <c r="BKZ51" s="2"/>
      <c r="BLA51" s="2"/>
      <c r="BLB51" s="2"/>
      <c r="BLC51" s="2"/>
      <c r="BLD51" s="2"/>
      <c r="BLE51" s="2"/>
      <c r="BLF51" s="2"/>
      <c r="BLG51" s="2"/>
      <c r="BLH51" s="2"/>
      <c r="BLI51" s="2"/>
      <c r="BLJ51" s="2"/>
      <c r="BLK51" s="2"/>
      <c r="BLL51" s="2"/>
      <c r="BLM51" s="2"/>
      <c r="BLN51" s="2"/>
      <c r="BLO51" s="2"/>
      <c r="BLP51" s="2"/>
      <c r="BLQ51" s="2"/>
      <c r="BLR51" s="2"/>
      <c r="BLS51" s="2"/>
      <c r="BLT51" s="2"/>
      <c r="BLU51" s="2"/>
      <c r="BLV51" s="2"/>
      <c r="BLW51" s="2"/>
      <c r="BLX51" s="2"/>
      <c r="BLY51" s="2"/>
      <c r="BLZ51" s="2"/>
      <c r="BMA51" s="2"/>
      <c r="BMB51" s="2"/>
      <c r="BMC51" s="2"/>
      <c r="BMD51" s="2"/>
      <c r="BME51" s="2"/>
      <c r="BMF51" s="2"/>
      <c r="BMG51" s="2"/>
      <c r="BMH51" s="2"/>
      <c r="BMI51" s="2"/>
      <c r="BMJ51" s="2"/>
      <c r="BMK51" s="2"/>
      <c r="BML51" s="2"/>
      <c r="BMM51" s="2"/>
      <c r="BMN51" s="2"/>
      <c r="BMO51" s="2"/>
      <c r="BMP51" s="2"/>
      <c r="BMQ51" s="2"/>
      <c r="BMR51" s="2"/>
      <c r="BMS51" s="2"/>
      <c r="BMT51" s="2"/>
      <c r="BMU51" s="2"/>
      <c r="BMV51" s="2"/>
      <c r="BMW51" s="2"/>
      <c r="BMX51" s="2"/>
      <c r="BMY51" s="2"/>
      <c r="BMZ51" s="2"/>
      <c r="BNA51" s="2"/>
      <c r="BNB51" s="2"/>
      <c r="BNC51" s="2"/>
      <c r="BND51" s="2"/>
      <c r="BNE51" s="2"/>
      <c r="BNF51" s="2"/>
      <c r="BNG51" s="2"/>
      <c r="BNH51" s="2"/>
      <c r="BNI51" s="2"/>
      <c r="BNJ51" s="2"/>
      <c r="BNK51" s="2"/>
      <c r="BNL51" s="2"/>
      <c r="BNM51" s="2"/>
      <c r="BNN51" s="2"/>
      <c r="BNO51" s="2"/>
      <c r="BNP51" s="2"/>
      <c r="BNQ51" s="2"/>
      <c r="BNR51" s="2"/>
      <c r="BNS51" s="2"/>
      <c r="BNT51" s="2"/>
      <c r="BNU51" s="2"/>
      <c r="BNV51" s="2"/>
      <c r="BNW51" s="2"/>
      <c r="BNX51" s="2"/>
      <c r="BNY51" s="2"/>
      <c r="BNZ51" s="2"/>
      <c r="BOA51" s="2"/>
      <c r="BOB51" s="2"/>
      <c r="BOC51" s="2"/>
      <c r="BOD51" s="2"/>
      <c r="BOE51" s="2"/>
      <c r="BOF51" s="2"/>
      <c r="BOG51" s="2"/>
      <c r="BOH51" s="2"/>
      <c r="BOI51" s="2"/>
      <c r="BOJ51" s="2"/>
      <c r="BOK51" s="2"/>
      <c r="BOL51" s="2"/>
      <c r="BOM51" s="2"/>
      <c r="BON51" s="2"/>
      <c r="BOO51" s="2"/>
      <c r="BOP51" s="2"/>
      <c r="BOQ51" s="2"/>
      <c r="BOR51" s="2"/>
      <c r="BOS51" s="2"/>
      <c r="BOT51" s="2"/>
      <c r="BOU51" s="2"/>
      <c r="BOV51" s="2"/>
      <c r="BOW51" s="2"/>
      <c r="BOX51" s="2"/>
      <c r="BOY51" s="2"/>
      <c r="BOZ51" s="2"/>
      <c r="BPA51" s="2"/>
      <c r="BPB51" s="2"/>
      <c r="BPC51" s="2"/>
      <c r="BPD51" s="2"/>
      <c r="BPE51" s="2"/>
      <c r="BPF51" s="2"/>
      <c r="BPG51" s="2"/>
      <c r="BPH51" s="2"/>
      <c r="BPI51" s="2"/>
      <c r="BPJ51" s="2"/>
      <c r="BPK51" s="2"/>
      <c r="BPL51" s="2"/>
      <c r="BPM51" s="2"/>
      <c r="BPN51" s="2"/>
      <c r="BPO51" s="2"/>
      <c r="BPP51" s="2"/>
      <c r="BPQ51" s="2"/>
      <c r="BPR51" s="2"/>
      <c r="BPS51" s="2"/>
      <c r="BPT51" s="2"/>
      <c r="BPU51" s="2"/>
      <c r="BPV51" s="2"/>
      <c r="BPW51" s="2"/>
      <c r="BPX51" s="2"/>
      <c r="BPY51" s="2"/>
      <c r="BPZ51" s="2"/>
      <c r="BQA51" s="2"/>
      <c r="BQB51" s="2"/>
      <c r="BQC51" s="2"/>
      <c r="BQD51" s="2"/>
      <c r="BQE51" s="2"/>
      <c r="BQF51" s="2"/>
      <c r="BQG51" s="2"/>
      <c r="BQH51" s="2"/>
      <c r="BQI51" s="2"/>
      <c r="BQJ51" s="2"/>
      <c r="BQK51" s="2"/>
      <c r="BQL51" s="2"/>
      <c r="BQM51" s="2"/>
      <c r="BQN51" s="2"/>
      <c r="BQO51" s="2"/>
      <c r="BQP51" s="2"/>
      <c r="BQQ51" s="2"/>
      <c r="BQR51" s="2"/>
      <c r="BQS51" s="2"/>
      <c r="BQT51" s="2"/>
      <c r="BQU51" s="2"/>
      <c r="BQV51" s="2"/>
      <c r="BQW51" s="2"/>
      <c r="BQX51" s="2"/>
      <c r="BQY51" s="2"/>
      <c r="BQZ51" s="2"/>
      <c r="BRA51" s="2"/>
      <c r="BRB51" s="2"/>
      <c r="BRC51" s="2"/>
      <c r="BRD51" s="2"/>
      <c r="BRE51" s="2"/>
      <c r="BRF51" s="2"/>
      <c r="BRG51" s="2"/>
      <c r="BRH51" s="2"/>
      <c r="BRI51" s="2"/>
      <c r="BRJ51" s="2"/>
      <c r="BRK51" s="2"/>
      <c r="BRL51" s="2"/>
      <c r="BRM51" s="2"/>
      <c r="BRN51" s="2"/>
      <c r="BRO51" s="2"/>
      <c r="BRP51" s="2"/>
      <c r="BRQ51" s="2"/>
      <c r="BRR51" s="2"/>
      <c r="BRS51" s="2"/>
      <c r="BRT51" s="2"/>
      <c r="BRU51" s="2"/>
      <c r="BRV51" s="2"/>
      <c r="BRW51" s="2"/>
      <c r="BRX51" s="2"/>
      <c r="BRY51" s="2"/>
      <c r="BRZ51" s="2"/>
      <c r="BSA51" s="2"/>
      <c r="BSB51" s="2"/>
      <c r="BSC51" s="2"/>
      <c r="BSD51" s="2"/>
      <c r="BSE51" s="2"/>
      <c r="BSF51" s="2"/>
      <c r="BSG51" s="2"/>
      <c r="BSH51" s="2"/>
      <c r="BSI51" s="2"/>
      <c r="BSJ51" s="2"/>
      <c r="BSK51" s="2"/>
      <c r="BSL51" s="2"/>
      <c r="BSM51" s="2"/>
      <c r="BSN51" s="2"/>
      <c r="BSO51" s="2"/>
      <c r="BSP51" s="2"/>
      <c r="BSQ51" s="2"/>
      <c r="BSR51" s="2"/>
      <c r="BSS51" s="2"/>
      <c r="BST51" s="2"/>
      <c r="BSU51" s="2"/>
      <c r="BSV51" s="2"/>
      <c r="BSW51" s="2"/>
      <c r="BSX51" s="2"/>
      <c r="BSY51" s="2"/>
      <c r="BSZ51" s="2"/>
      <c r="BTA51" s="2"/>
      <c r="BTB51" s="2"/>
      <c r="BTC51" s="2"/>
      <c r="BTD51" s="2"/>
      <c r="BTE51" s="2"/>
      <c r="BTF51" s="2"/>
      <c r="BTG51" s="2"/>
      <c r="BTH51" s="2"/>
      <c r="BTI51" s="2"/>
      <c r="BTJ51" s="2"/>
      <c r="BTK51" s="2"/>
      <c r="BTL51" s="2"/>
      <c r="BTM51" s="2"/>
      <c r="BTN51" s="2"/>
      <c r="BTO51" s="2"/>
      <c r="BTP51" s="2"/>
      <c r="BTQ51" s="2"/>
      <c r="BTR51" s="2"/>
      <c r="BTS51" s="2"/>
      <c r="BTT51" s="2"/>
      <c r="BTU51" s="2"/>
      <c r="BTV51" s="2"/>
      <c r="BTW51" s="2"/>
      <c r="BTX51" s="2"/>
      <c r="BTY51" s="2"/>
      <c r="BTZ51" s="2"/>
      <c r="BUA51" s="2"/>
      <c r="BUB51" s="2"/>
      <c r="BUC51" s="2"/>
      <c r="BUD51" s="2"/>
      <c r="BUE51" s="2"/>
      <c r="BUF51" s="2"/>
      <c r="BUG51" s="2"/>
      <c r="BUH51" s="2"/>
      <c r="BUI51" s="2"/>
      <c r="BUJ51" s="2"/>
      <c r="BUK51" s="2"/>
      <c r="BUL51" s="2"/>
      <c r="BUM51" s="2"/>
      <c r="BUN51" s="2"/>
      <c r="BUO51" s="2"/>
      <c r="BUP51" s="2"/>
      <c r="BUQ51" s="2"/>
      <c r="BUR51" s="2"/>
      <c r="BUS51" s="2"/>
      <c r="BUT51" s="2"/>
      <c r="BUU51" s="2"/>
      <c r="BUV51" s="2"/>
      <c r="BUW51" s="2"/>
      <c r="BUX51" s="2"/>
      <c r="BUY51" s="2"/>
      <c r="BUZ51" s="2"/>
      <c r="BVA51" s="2"/>
      <c r="BVB51" s="2"/>
      <c r="BVC51" s="2"/>
      <c r="BVD51" s="2"/>
      <c r="BVE51" s="2"/>
      <c r="BVF51" s="2"/>
      <c r="BVG51" s="2"/>
      <c r="BVH51" s="2"/>
      <c r="BVI51" s="2"/>
      <c r="BVJ51" s="2"/>
      <c r="BVK51" s="2"/>
      <c r="BVL51" s="2"/>
      <c r="BVM51" s="2"/>
      <c r="BVN51" s="2"/>
      <c r="BVO51" s="2"/>
      <c r="BVP51" s="2"/>
      <c r="BVQ51" s="2"/>
      <c r="BVR51" s="2"/>
      <c r="BVS51" s="2"/>
      <c r="BVT51" s="2"/>
      <c r="BVU51" s="2"/>
      <c r="BVV51" s="2"/>
      <c r="BVW51" s="2"/>
      <c r="BVX51" s="2"/>
      <c r="BVY51" s="2"/>
      <c r="BVZ51" s="2"/>
      <c r="BWA51" s="2"/>
      <c r="BWB51" s="2"/>
      <c r="BWC51" s="2"/>
      <c r="BWD51" s="2"/>
      <c r="BWE51" s="2"/>
      <c r="BWF51" s="2"/>
      <c r="BWG51" s="2"/>
      <c r="BWH51" s="2"/>
      <c r="BWI51" s="2"/>
      <c r="BWJ51" s="2"/>
      <c r="BWK51" s="2"/>
      <c r="BWL51" s="2"/>
      <c r="BWM51" s="2"/>
      <c r="BWN51" s="2"/>
      <c r="BWO51" s="2"/>
      <c r="BWP51" s="2"/>
      <c r="BWQ51" s="2"/>
      <c r="BWR51" s="2"/>
      <c r="BWS51" s="2"/>
      <c r="BWT51" s="2"/>
      <c r="BWU51" s="2"/>
      <c r="BWV51" s="2"/>
      <c r="BWW51" s="2"/>
      <c r="BWX51" s="2"/>
      <c r="BWY51" s="2"/>
      <c r="BWZ51" s="2"/>
      <c r="BXA51" s="2"/>
      <c r="BXB51" s="2"/>
      <c r="BXC51" s="2"/>
      <c r="BXD51" s="2"/>
      <c r="BXE51" s="2"/>
      <c r="BXF51" s="2"/>
      <c r="BXG51" s="2"/>
      <c r="BXH51" s="2"/>
      <c r="BXI51" s="2"/>
      <c r="BXJ51" s="2"/>
      <c r="BXK51" s="2"/>
      <c r="BXL51" s="2"/>
      <c r="BXM51" s="2"/>
      <c r="BXN51" s="2"/>
      <c r="BXO51" s="2"/>
      <c r="BXP51" s="2"/>
      <c r="BXQ51" s="2"/>
      <c r="BXR51" s="2"/>
      <c r="BXS51" s="2"/>
      <c r="BXT51" s="2"/>
      <c r="BXU51" s="2"/>
      <c r="BXV51" s="2"/>
      <c r="BXW51" s="2"/>
      <c r="BXX51" s="2"/>
      <c r="BXY51" s="2"/>
      <c r="BXZ51" s="2"/>
      <c r="BYA51" s="2"/>
      <c r="BYB51" s="2"/>
      <c r="BYC51" s="2"/>
      <c r="BYD51" s="2"/>
      <c r="BYE51" s="2"/>
      <c r="BYF51" s="2"/>
      <c r="BYG51" s="2"/>
      <c r="BYH51" s="2"/>
      <c r="BYI51" s="2"/>
      <c r="BYJ51" s="2"/>
      <c r="BYK51" s="2"/>
      <c r="BYL51" s="2"/>
      <c r="BYM51" s="2"/>
      <c r="BYN51" s="2"/>
      <c r="BYO51" s="2"/>
      <c r="BYP51" s="2"/>
      <c r="BYQ51" s="2"/>
      <c r="BYR51" s="2"/>
      <c r="BYS51" s="2"/>
      <c r="BYT51" s="2"/>
      <c r="BYU51" s="2"/>
      <c r="BYV51" s="2"/>
      <c r="BYW51" s="2"/>
      <c r="BYX51" s="2"/>
      <c r="BYY51" s="2"/>
      <c r="BYZ51" s="2"/>
      <c r="BZA51" s="2"/>
      <c r="BZB51" s="2"/>
      <c r="BZC51" s="2"/>
      <c r="BZD51" s="2"/>
      <c r="BZE51" s="2"/>
      <c r="BZF51" s="2"/>
      <c r="BZG51" s="2"/>
      <c r="BZH51" s="2"/>
      <c r="BZI51" s="2"/>
      <c r="BZJ51" s="2"/>
      <c r="BZK51" s="2"/>
      <c r="BZL51" s="2"/>
      <c r="BZM51" s="2"/>
      <c r="BZN51" s="2"/>
      <c r="BZO51" s="2"/>
      <c r="BZP51" s="2"/>
      <c r="BZQ51" s="2"/>
      <c r="BZR51" s="2"/>
      <c r="BZS51" s="2"/>
      <c r="BZT51" s="2"/>
      <c r="BZU51" s="2"/>
      <c r="BZV51" s="2"/>
      <c r="BZW51" s="2"/>
      <c r="BZX51" s="2"/>
      <c r="BZY51" s="2"/>
      <c r="BZZ51" s="2"/>
      <c r="CAA51" s="2"/>
      <c r="CAB51" s="2"/>
      <c r="CAC51" s="2"/>
      <c r="CAD51" s="2"/>
      <c r="CAE51" s="2"/>
      <c r="CAF51" s="2"/>
      <c r="CAG51" s="2"/>
      <c r="CAH51" s="2"/>
      <c r="CAI51" s="2"/>
      <c r="CAJ51" s="2"/>
      <c r="CAK51" s="2"/>
      <c r="CAL51" s="2"/>
      <c r="CAM51" s="2"/>
      <c r="CAN51" s="2"/>
      <c r="CAO51" s="2"/>
      <c r="CAP51" s="2"/>
      <c r="CAQ51" s="2"/>
      <c r="CAR51" s="2"/>
      <c r="CAS51" s="2"/>
      <c r="CAT51" s="2"/>
      <c r="CAU51" s="2"/>
      <c r="CAV51" s="2"/>
      <c r="CAW51" s="2"/>
      <c r="CAX51" s="2"/>
      <c r="CAY51" s="2"/>
      <c r="CAZ51" s="2"/>
      <c r="CBA51" s="2"/>
      <c r="CBB51" s="2"/>
      <c r="CBC51" s="2"/>
      <c r="CBD51" s="2"/>
      <c r="CBE51" s="2"/>
      <c r="CBF51" s="2"/>
      <c r="CBG51" s="2"/>
      <c r="CBH51" s="2"/>
      <c r="CBI51" s="2"/>
      <c r="CBJ51" s="2"/>
      <c r="CBK51" s="2"/>
      <c r="CBL51" s="2"/>
      <c r="CBM51" s="2"/>
      <c r="CBN51" s="2"/>
      <c r="CBO51" s="2"/>
      <c r="CBP51" s="2"/>
      <c r="CBQ51" s="2"/>
      <c r="CBR51" s="2"/>
      <c r="CBS51" s="2"/>
      <c r="CBT51" s="2"/>
      <c r="CBU51" s="2"/>
      <c r="CBV51" s="2"/>
      <c r="CBW51" s="2"/>
      <c r="CBX51" s="2"/>
      <c r="CBY51" s="2"/>
      <c r="CBZ51" s="2"/>
      <c r="CCA51" s="2"/>
      <c r="CCB51" s="2"/>
      <c r="CCC51" s="2"/>
      <c r="CCD51" s="2"/>
      <c r="CCE51" s="2"/>
      <c r="CCF51" s="2"/>
      <c r="CCG51" s="2"/>
      <c r="CCH51" s="2"/>
      <c r="CCI51" s="2"/>
      <c r="CCJ51" s="2"/>
      <c r="CCK51" s="2"/>
      <c r="CCL51" s="2"/>
      <c r="CCM51" s="2"/>
      <c r="CCN51" s="2"/>
      <c r="CCO51" s="2"/>
      <c r="CCP51" s="2"/>
      <c r="CCQ51" s="2"/>
      <c r="CCR51" s="2"/>
      <c r="CCS51" s="2"/>
      <c r="CCT51" s="2"/>
      <c r="CCU51" s="2"/>
      <c r="CCV51" s="2"/>
      <c r="CCW51" s="2"/>
      <c r="CCX51" s="2"/>
      <c r="CCY51" s="2"/>
      <c r="CCZ51" s="2"/>
      <c r="CDA51" s="2"/>
      <c r="CDB51" s="2"/>
      <c r="CDC51" s="2"/>
      <c r="CDD51" s="2"/>
      <c r="CDE51" s="2"/>
      <c r="CDF51" s="2"/>
      <c r="CDG51" s="2"/>
      <c r="CDH51" s="2"/>
      <c r="CDI51" s="2"/>
      <c r="CDJ51" s="2"/>
      <c r="CDK51" s="2"/>
      <c r="CDL51" s="2"/>
      <c r="CDM51" s="2"/>
      <c r="CDN51" s="2"/>
      <c r="CDO51" s="2"/>
      <c r="CDP51" s="2"/>
      <c r="CDQ51" s="2"/>
      <c r="CDR51" s="2"/>
      <c r="CDS51" s="2"/>
      <c r="CDT51" s="2"/>
      <c r="CDU51" s="2"/>
      <c r="CDV51" s="2"/>
      <c r="CDW51" s="2"/>
      <c r="CDX51" s="2"/>
      <c r="CDY51" s="2"/>
      <c r="CDZ51" s="2"/>
      <c r="CEA51" s="2"/>
      <c r="CEB51" s="2"/>
      <c r="CEC51" s="2"/>
      <c r="CED51" s="2"/>
      <c r="CEE51" s="2"/>
      <c r="CEF51" s="2"/>
      <c r="CEG51" s="2"/>
      <c r="CEH51" s="2"/>
      <c r="CEI51" s="2"/>
      <c r="CEJ51" s="2"/>
      <c r="CEK51" s="2"/>
      <c r="CEL51" s="2"/>
      <c r="CEM51" s="2"/>
      <c r="CEN51" s="2"/>
      <c r="CEO51" s="2"/>
      <c r="CEP51" s="2"/>
      <c r="CEQ51" s="2"/>
      <c r="CER51" s="2"/>
      <c r="CES51" s="2"/>
      <c r="CET51" s="2"/>
      <c r="CEU51" s="2"/>
      <c r="CEV51" s="2"/>
      <c r="CEW51" s="2"/>
      <c r="CEX51" s="2"/>
      <c r="CEY51" s="2"/>
      <c r="CEZ51" s="2"/>
      <c r="CFA51" s="2"/>
      <c r="CFB51" s="2"/>
      <c r="CFC51" s="2"/>
      <c r="CFD51" s="2"/>
      <c r="CFE51" s="2"/>
      <c r="CFF51" s="2"/>
      <c r="CFG51" s="2"/>
      <c r="CFH51" s="2"/>
      <c r="CFI51" s="2"/>
      <c r="CFJ51" s="2"/>
      <c r="CFK51" s="2"/>
      <c r="CFL51" s="2"/>
      <c r="CFM51" s="2"/>
      <c r="CFN51" s="2"/>
      <c r="CFO51" s="2"/>
      <c r="CFP51" s="2"/>
      <c r="CFQ51" s="2"/>
      <c r="CFR51" s="2"/>
      <c r="CFS51" s="2"/>
      <c r="CFT51" s="2"/>
      <c r="CFU51" s="2"/>
      <c r="CFV51" s="2"/>
      <c r="CFW51" s="2"/>
      <c r="CFX51" s="2"/>
      <c r="CFY51" s="2"/>
      <c r="CFZ51" s="2"/>
      <c r="CGA51" s="2"/>
      <c r="CGB51" s="2"/>
      <c r="CGC51" s="2"/>
      <c r="CGD51" s="2"/>
      <c r="CGE51" s="2"/>
      <c r="CGF51" s="2"/>
      <c r="CGG51" s="2"/>
      <c r="CGH51" s="2"/>
      <c r="CGI51" s="2"/>
      <c r="CGJ51" s="2"/>
      <c r="CGK51" s="2"/>
      <c r="CGL51" s="2"/>
      <c r="CGM51" s="2"/>
      <c r="CGN51" s="2"/>
      <c r="CGO51" s="2"/>
      <c r="CGP51" s="2"/>
      <c r="CGQ51" s="2"/>
      <c r="CGR51" s="2"/>
      <c r="CGS51" s="2"/>
      <c r="CGT51" s="2"/>
      <c r="CGU51" s="2"/>
      <c r="CGV51" s="2"/>
      <c r="CGW51" s="2"/>
      <c r="CGX51" s="2"/>
      <c r="CGY51" s="2"/>
      <c r="CGZ51" s="2"/>
      <c r="CHA51" s="2"/>
      <c r="CHB51" s="2"/>
      <c r="CHC51" s="2"/>
      <c r="CHD51" s="2"/>
      <c r="CHE51" s="2"/>
      <c r="CHF51" s="2"/>
      <c r="CHG51" s="2"/>
      <c r="CHH51" s="2"/>
      <c r="CHI51" s="2"/>
      <c r="CHJ51" s="2"/>
      <c r="CHK51" s="2"/>
      <c r="CHL51" s="2"/>
      <c r="CHM51" s="2"/>
      <c r="CHN51" s="2"/>
      <c r="CHO51" s="2"/>
      <c r="CHP51" s="2"/>
      <c r="CHQ51" s="2"/>
      <c r="CHR51" s="2"/>
      <c r="CHS51" s="2"/>
      <c r="CHT51" s="2"/>
      <c r="CHU51" s="2"/>
      <c r="CHV51" s="2"/>
      <c r="CHW51" s="2"/>
      <c r="CHX51" s="2"/>
      <c r="CHY51" s="2"/>
      <c r="CHZ51" s="2"/>
      <c r="CIA51" s="2"/>
      <c r="CIB51" s="2"/>
      <c r="CIC51" s="2"/>
      <c r="CID51" s="2"/>
      <c r="CIE51" s="2"/>
      <c r="CIF51" s="2"/>
      <c r="CIG51" s="2"/>
      <c r="CIH51" s="2"/>
      <c r="CII51" s="2"/>
      <c r="CIJ51" s="2"/>
      <c r="CIK51" s="2"/>
      <c r="CIL51" s="2"/>
      <c r="CIM51" s="2"/>
      <c r="CIN51" s="2"/>
      <c r="CIO51" s="2"/>
      <c r="CIP51" s="2"/>
      <c r="CIQ51" s="2"/>
      <c r="CIR51" s="2"/>
      <c r="CIS51" s="2"/>
      <c r="CIT51" s="2"/>
      <c r="CIU51" s="2"/>
      <c r="CIV51" s="2"/>
      <c r="CIW51" s="2"/>
      <c r="CIX51" s="2"/>
      <c r="CIY51" s="2"/>
      <c r="CIZ51" s="2"/>
      <c r="CJA51" s="2"/>
      <c r="CJB51" s="2"/>
      <c r="CJC51" s="2"/>
      <c r="CJD51" s="2"/>
      <c r="CJE51" s="2"/>
      <c r="CJF51" s="2"/>
      <c r="CJG51" s="2"/>
      <c r="CJH51" s="2"/>
      <c r="CJI51" s="2"/>
      <c r="CJJ51" s="2"/>
      <c r="CJK51" s="2"/>
      <c r="CJL51" s="2"/>
      <c r="CJM51" s="2"/>
      <c r="CJN51" s="2"/>
      <c r="CJO51" s="2"/>
      <c r="CJP51" s="2"/>
      <c r="CJQ51" s="2"/>
      <c r="CJR51" s="2"/>
      <c r="CJS51" s="2"/>
      <c r="CJT51" s="2"/>
      <c r="CJU51" s="2"/>
      <c r="CJV51" s="2"/>
      <c r="CJW51" s="2"/>
      <c r="CJX51" s="2"/>
      <c r="CJY51" s="2"/>
      <c r="CJZ51" s="2"/>
      <c r="CKA51" s="2"/>
      <c r="CKB51" s="2"/>
      <c r="CKC51" s="2"/>
      <c r="CKD51" s="2"/>
      <c r="CKE51" s="2"/>
      <c r="CKF51" s="2"/>
      <c r="CKG51" s="2"/>
      <c r="CKH51" s="2"/>
      <c r="CKI51" s="2"/>
      <c r="CKJ51" s="2"/>
      <c r="CKK51" s="2"/>
      <c r="CKL51" s="2"/>
      <c r="CKM51" s="2"/>
      <c r="CKN51" s="2"/>
      <c r="CKO51" s="2"/>
      <c r="CKP51" s="2"/>
      <c r="CKQ51" s="2"/>
      <c r="CKR51" s="2"/>
      <c r="CKS51" s="2"/>
      <c r="CKT51" s="2"/>
      <c r="CKU51" s="2"/>
      <c r="CKV51" s="2"/>
      <c r="CKW51" s="2"/>
      <c r="CKX51" s="2"/>
      <c r="CKY51" s="2"/>
      <c r="CKZ51" s="2"/>
      <c r="CLA51" s="2"/>
      <c r="CLB51" s="2"/>
      <c r="CLC51" s="2"/>
      <c r="CLD51" s="2"/>
      <c r="CLE51" s="2"/>
      <c r="CLF51" s="2"/>
      <c r="CLG51" s="2"/>
      <c r="CLH51" s="2"/>
      <c r="CLI51" s="2"/>
      <c r="CLJ51" s="2"/>
      <c r="CLK51" s="2"/>
      <c r="CLL51" s="2"/>
      <c r="CLM51" s="2"/>
      <c r="CLN51" s="2"/>
      <c r="CLO51" s="2"/>
      <c r="CLP51" s="2"/>
      <c r="CLQ51" s="2"/>
      <c r="CLR51" s="2"/>
      <c r="CLS51" s="2"/>
      <c r="CLT51" s="2"/>
      <c r="CLU51" s="2"/>
      <c r="CLV51" s="2"/>
      <c r="CLW51" s="2"/>
      <c r="CLX51" s="2"/>
      <c r="CLY51" s="2"/>
      <c r="CLZ51" s="2"/>
      <c r="CMA51" s="2"/>
      <c r="CMB51" s="2"/>
      <c r="CMC51" s="2"/>
      <c r="CMD51" s="2"/>
      <c r="CME51" s="2"/>
      <c r="CMF51" s="2"/>
      <c r="CMG51" s="2"/>
      <c r="CMH51" s="2"/>
      <c r="CMI51" s="2"/>
      <c r="CMJ51" s="2"/>
      <c r="CMK51" s="2"/>
      <c r="CML51" s="2"/>
      <c r="CMM51" s="2"/>
      <c r="CMN51" s="2"/>
      <c r="CMO51" s="2"/>
      <c r="CMP51" s="2"/>
      <c r="CMQ51" s="2"/>
      <c r="CMR51" s="2"/>
      <c r="CMS51" s="2"/>
      <c r="CMT51" s="2"/>
      <c r="CMU51" s="2"/>
      <c r="CMV51" s="2"/>
      <c r="CMW51" s="2"/>
      <c r="CMX51" s="2"/>
      <c r="CMY51" s="2"/>
      <c r="CMZ51" s="2"/>
      <c r="CNA51" s="2"/>
      <c r="CNB51" s="2"/>
      <c r="CNC51" s="2"/>
      <c r="CND51" s="2"/>
      <c r="CNE51" s="2"/>
      <c r="CNF51" s="2"/>
      <c r="CNG51" s="2"/>
      <c r="CNH51" s="2"/>
      <c r="CNI51" s="2"/>
      <c r="CNJ51" s="2"/>
      <c r="CNK51" s="2"/>
      <c r="CNL51" s="2"/>
      <c r="CNM51" s="2"/>
      <c r="CNN51" s="2"/>
      <c r="CNO51" s="2"/>
      <c r="CNP51" s="2"/>
      <c r="CNQ51" s="2"/>
      <c r="CNR51" s="2"/>
      <c r="CNS51" s="2"/>
      <c r="CNT51" s="2"/>
      <c r="CNU51" s="2"/>
      <c r="CNV51" s="2"/>
      <c r="CNW51" s="2"/>
      <c r="CNX51" s="2"/>
      <c r="CNY51" s="2"/>
      <c r="CNZ51" s="2"/>
      <c r="COA51" s="2"/>
      <c r="COB51" s="2"/>
      <c r="COC51" s="2"/>
      <c r="COD51" s="2"/>
      <c r="COE51" s="2"/>
      <c r="COF51" s="2"/>
      <c r="COG51" s="2"/>
      <c r="COH51" s="2"/>
      <c r="COI51" s="2"/>
      <c r="COJ51" s="2"/>
      <c r="COK51" s="2"/>
      <c r="COL51" s="2"/>
      <c r="COM51" s="2"/>
      <c r="CON51" s="2"/>
      <c r="COO51" s="2"/>
      <c r="COP51" s="2"/>
      <c r="COQ51" s="2"/>
      <c r="COR51" s="2"/>
      <c r="COS51" s="2"/>
      <c r="COT51" s="2"/>
      <c r="COU51" s="2"/>
      <c r="COV51" s="2"/>
      <c r="COW51" s="2"/>
      <c r="COX51" s="2"/>
      <c r="COY51" s="2"/>
      <c r="COZ51" s="2"/>
      <c r="CPA51" s="2"/>
      <c r="CPB51" s="2"/>
      <c r="CPC51" s="2"/>
      <c r="CPD51" s="2"/>
      <c r="CPE51" s="2"/>
      <c r="CPF51" s="2"/>
      <c r="CPG51" s="2"/>
      <c r="CPH51" s="2"/>
      <c r="CPI51" s="2"/>
      <c r="CPJ51" s="2"/>
      <c r="CPK51" s="2"/>
      <c r="CPL51" s="2"/>
      <c r="CPM51" s="2"/>
      <c r="CPN51" s="2"/>
      <c r="CPO51" s="2"/>
      <c r="CPP51" s="2"/>
      <c r="CPQ51" s="2"/>
      <c r="CPR51" s="2"/>
      <c r="CPS51" s="2"/>
      <c r="CPT51" s="2"/>
      <c r="CPU51" s="2"/>
      <c r="CPV51" s="2"/>
      <c r="CPW51" s="2"/>
      <c r="CPX51" s="2"/>
      <c r="CPY51" s="2"/>
      <c r="CPZ51" s="2"/>
      <c r="CQA51" s="2"/>
      <c r="CQB51" s="2"/>
      <c r="CQC51" s="2"/>
      <c r="CQD51" s="2"/>
      <c r="CQE51" s="2"/>
      <c r="CQF51" s="2"/>
      <c r="CQG51" s="2"/>
      <c r="CQH51" s="2"/>
      <c r="CQI51" s="2"/>
      <c r="CQJ51" s="2"/>
      <c r="CQK51" s="2"/>
      <c r="CQL51" s="2"/>
      <c r="CQM51" s="2"/>
      <c r="CQN51" s="2"/>
      <c r="CQO51" s="2"/>
      <c r="CQP51" s="2"/>
      <c r="CQQ51" s="2"/>
      <c r="CQR51" s="2"/>
      <c r="CQS51" s="2"/>
      <c r="CQT51" s="2"/>
      <c r="CQU51" s="2"/>
      <c r="CQV51" s="2"/>
      <c r="CQW51" s="2"/>
      <c r="CQX51" s="2"/>
      <c r="CQY51" s="2"/>
      <c r="CQZ51" s="2"/>
      <c r="CRA51" s="2"/>
      <c r="CRB51" s="2"/>
      <c r="CRC51" s="2"/>
      <c r="CRD51" s="2"/>
      <c r="CRE51" s="2"/>
      <c r="CRF51" s="2"/>
      <c r="CRG51" s="2"/>
      <c r="CRH51" s="2"/>
      <c r="CRI51" s="2"/>
      <c r="CRJ51" s="2"/>
      <c r="CRK51" s="2"/>
      <c r="CRL51" s="2"/>
      <c r="CRM51" s="2"/>
      <c r="CRN51" s="2"/>
      <c r="CRO51" s="2"/>
      <c r="CRP51" s="2"/>
      <c r="CRQ51" s="2"/>
      <c r="CRR51" s="2"/>
      <c r="CRS51" s="2"/>
      <c r="CRT51" s="2"/>
      <c r="CRU51" s="2"/>
      <c r="CRV51" s="2"/>
      <c r="CRW51" s="2"/>
      <c r="CRX51" s="2"/>
      <c r="CRY51" s="2"/>
      <c r="CRZ51" s="2"/>
      <c r="CSA51" s="2"/>
      <c r="CSB51" s="2"/>
      <c r="CSC51" s="2"/>
      <c r="CSD51" s="2"/>
      <c r="CSE51" s="2"/>
      <c r="CSF51" s="2"/>
      <c r="CSG51" s="2"/>
      <c r="CSH51" s="2"/>
      <c r="CSI51" s="2"/>
      <c r="CSJ51" s="2"/>
      <c r="CSK51" s="2"/>
      <c r="CSL51" s="2"/>
      <c r="CSM51" s="2"/>
      <c r="CSN51" s="2"/>
      <c r="CSO51" s="2"/>
      <c r="CSP51" s="2"/>
      <c r="CSQ51" s="2"/>
      <c r="CSR51" s="2"/>
      <c r="CSS51" s="2"/>
      <c r="CST51" s="2"/>
      <c r="CSU51" s="2"/>
      <c r="CSV51" s="2"/>
      <c r="CSW51" s="2"/>
      <c r="CSX51" s="2"/>
      <c r="CSY51" s="2"/>
      <c r="CSZ51" s="2"/>
      <c r="CTA51" s="2"/>
      <c r="CTB51" s="2"/>
      <c r="CTC51" s="2"/>
      <c r="CTD51" s="2"/>
      <c r="CTE51" s="2"/>
      <c r="CTF51" s="2"/>
      <c r="CTG51" s="2"/>
      <c r="CTH51" s="2"/>
      <c r="CTI51" s="2"/>
      <c r="CTJ51" s="2"/>
      <c r="CTK51" s="2"/>
      <c r="CTL51" s="2"/>
      <c r="CTM51" s="2"/>
      <c r="CTN51" s="2"/>
      <c r="CTO51" s="2"/>
      <c r="CTP51" s="2"/>
      <c r="CTQ51" s="2"/>
      <c r="CTR51" s="2"/>
      <c r="CTS51" s="2"/>
      <c r="CTT51" s="2"/>
      <c r="CTU51" s="2"/>
      <c r="CTV51" s="2"/>
      <c r="CTW51" s="2"/>
      <c r="CTX51" s="2"/>
      <c r="CTY51" s="2"/>
      <c r="CTZ51" s="2"/>
      <c r="CUA51" s="2"/>
      <c r="CUB51" s="2"/>
      <c r="CUC51" s="2"/>
      <c r="CUD51" s="2"/>
      <c r="CUE51" s="2"/>
      <c r="CUF51" s="2"/>
      <c r="CUG51" s="2"/>
      <c r="CUH51" s="2"/>
      <c r="CUI51" s="2"/>
      <c r="CUJ51" s="2"/>
      <c r="CUK51" s="2"/>
      <c r="CUL51" s="2"/>
      <c r="CUM51" s="2"/>
      <c r="CUN51" s="2"/>
      <c r="CUO51" s="2"/>
      <c r="CUP51" s="2"/>
      <c r="CUQ51" s="2"/>
      <c r="CUR51" s="2"/>
      <c r="CUS51" s="2"/>
      <c r="CUT51" s="2"/>
      <c r="CUU51" s="2"/>
      <c r="CUV51" s="2"/>
      <c r="CUW51" s="2"/>
      <c r="CUX51" s="2"/>
      <c r="CUY51" s="2"/>
      <c r="CUZ51" s="2"/>
      <c r="CVA51" s="2"/>
      <c r="CVB51" s="2"/>
      <c r="CVC51" s="2"/>
      <c r="CVD51" s="2"/>
      <c r="CVE51" s="2"/>
      <c r="CVF51" s="2"/>
      <c r="CVG51" s="2"/>
      <c r="CVH51" s="2"/>
      <c r="CVI51" s="2"/>
      <c r="CVJ51" s="2"/>
      <c r="CVK51" s="2"/>
      <c r="CVL51" s="2"/>
      <c r="CVM51" s="2"/>
      <c r="CVN51" s="2"/>
      <c r="CVO51" s="2"/>
      <c r="CVP51" s="2"/>
      <c r="CVQ51" s="2"/>
      <c r="CVR51" s="2"/>
      <c r="CVS51" s="2"/>
      <c r="CVT51" s="2"/>
      <c r="CVU51" s="2"/>
      <c r="CVV51" s="2"/>
      <c r="CVW51" s="2"/>
      <c r="CVX51" s="2"/>
      <c r="CVY51" s="2"/>
      <c r="CVZ51" s="2"/>
      <c r="CWA51" s="2"/>
      <c r="CWB51" s="2"/>
      <c r="CWC51" s="2"/>
      <c r="CWD51" s="2"/>
      <c r="CWE51" s="2"/>
      <c r="CWF51" s="2"/>
      <c r="CWG51" s="2"/>
      <c r="CWH51" s="2"/>
      <c r="CWI51" s="2"/>
      <c r="CWJ51" s="2"/>
      <c r="CWK51" s="2"/>
      <c r="CWL51" s="2"/>
      <c r="CWM51" s="2"/>
      <c r="CWN51" s="2"/>
      <c r="CWO51" s="2"/>
      <c r="CWP51" s="2"/>
      <c r="CWQ51" s="2"/>
      <c r="CWR51" s="2"/>
      <c r="CWS51" s="2"/>
      <c r="CWT51" s="2"/>
      <c r="CWU51" s="2"/>
      <c r="CWV51" s="2"/>
      <c r="CWW51" s="2"/>
      <c r="CWX51" s="2"/>
      <c r="CWY51" s="2"/>
      <c r="CWZ51" s="2"/>
      <c r="CXA51" s="2"/>
      <c r="CXB51" s="2"/>
      <c r="CXC51" s="2"/>
      <c r="CXD51" s="2"/>
      <c r="CXE51" s="2"/>
      <c r="CXF51" s="2"/>
      <c r="CXG51" s="2"/>
      <c r="CXH51" s="2"/>
      <c r="CXI51" s="2"/>
      <c r="CXJ51" s="2"/>
      <c r="CXK51" s="2"/>
      <c r="CXL51" s="2"/>
      <c r="CXM51" s="2"/>
      <c r="CXN51" s="2"/>
      <c r="CXO51" s="2"/>
      <c r="CXP51" s="2"/>
      <c r="CXQ51" s="2"/>
      <c r="CXR51" s="2"/>
      <c r="CXS51" s="2"/>
      <c r="CXT51" s="2"/>
      <c r="CXU51" s="2"/>
      <c r="CXV51" s="2"/>
      <c r="CXW51" s="2"/>
      <c r="CXX51" s="2"/>
      <c r="CXY51" s="2"/>
      <c r="CXZ51" s="2"/>
      <c r="CYA51" s="2"/>
      <c r="CYB51" s="2"/>
      <c r="CYC51" s="2"/>
      <c r="CYD51" s="2"/>
      <c r="CYE51" s="2"/>
      <c r="CYF51" s="2"/>
      <c r="CYG51" s="2"/>
      <c r="CYH51" s="2"/>
      <c r="CYI51" s="2"/>
      <c r="CYJ51" s="2"/>
      <c r="CYK51" s="2"/>
      <c r="CYL51" s="2"/>
      <c r="CYM51" s="2"/>
      <c r="CYN51" s="2"/>
      <c r="CYO51" s="2"/>
      <c r="CYP51" s="2"/>
      <c r="CYQ51" s="2"/>
      <c r="CYR51" s="2"/>
      <c r="CYS51" s="2"/>
      <c r="CYT51" s="2"/>
      <c r="CYU51" s="2"/>
      <c r="CYV51" s="2"/>
      <c r="CYW51" s="2"/>
      <c r="CYX51" s="2"/>
      <c r="CYY51" s="2"/>
      <c r="CYZ51" s="2"/>
      <c r="CZA51" s="2"/>
      <c r="CZB51" s="2"/>
      <c r="CZC51" s="2"/>
      <c r="CZD51" s="2"/>
      <c r="CZE51" s="2"/>
      <c r="CZF51" s="2"/>
      <c r="CZG51" s="2"/>
      <c r="CZH51" s="2"/>
      <c r="CZI51" s="2"/>
      <c r="CZJ51" s="2"/>
      <c r="CZK51" s="2"/>
      <c r="CZL51" s="2"/>
      <c r="CZM51" s="2"/>
      <c r="CZN51" s="2"/>
      <c r="CZO51" s="2"/>
      <c r="CZP51" s="2"/>
      <c r="CZQ51" s="2"/>
      <c r="CZR51" s="2"/>
      <c r="CZS51" s="2"/>
      <c r="CZT51" s="2"/>
      <c r="CZU51" s="2"/>
      <c r="CZV51" s="2"/>
      <c r="CZW51" s="2"/>
      <c r="CZX51" s="2"/>
      <c r="CZY51" s="2"/>
      <c r="CZZ51" s="2"/>
      <c r="DAA51" s="2"/>
      <c r="DAB51" s="2"/>
      <c r="DAC51" s="2"/>
      <c r="DAD51" s="2"/>
      <c r="DAE51" s="2"/>
      <c r="DAF51" s="2"/>
      <c r="DAG51" s="2"/>
      <c r="DAH51" s="2"/>
      <c r="DAI51" s="2"/>
      <c r="DAJ51" s="2"/>
      <c r="DAK51" s="2"/>
      <c r="DAL51" s="2"/>
      <c r="DAM51" s="2"/>
      <c r="DAN51" s="2"/>
      <c r="DAO51" s="2"/>
      <c r="DAP51" s="2"/>
      <c r="DAQ51" s="2"/>
      <c r="DAR51" s="2"/>
      <c r="DAS51" s="2"/>
      <c r="DAT51" s="2"/>
      <c r="DAU51" s="2"/>
      <c r="DAV51" s="2"/>
      <c r="DAW51" s="2"/>
      <c r="DAX51" s="2"/>
      <c r="DAY51" s="2"/>
      <c r="DAZ51" s="2"/>
      <c r="DBA51" s="2"/>
      <c r="DBB51" s="2"/>
      <c r="DBC51" s="2"/>
      <c r="DBD51" s="2"/>
      <c r="DBE51" s="2"/>
      <c r="DBF51" s="2"/>
      <c r="DBG51" s="2"/>
      <c r="DBH51" s="2"/>
      <c r="DBI51" s="2"/>
      <c r="DBJ51" s="2"/>
      <c r="DBK51" s="2"/>
      <c r="DBL51" s="2"/>
      <c r="DBM51" s="2"/>
      <c r="DBN51" s="2"/>
      <c r="DBO51" s="2"/>
      <c r="DBP51" s="2"/>
      <c r="DBQ51" s="2"/>
      <c r="DBR51" s="2"/>
      <c r="DBS51" s="2"/>
      <c r="DBT51" s="2"/>
      <c r="DBU51" s="2"/>
      <c r="DBV51" s="2"/>
      <c r="DBW51" s="2"/>
      <c r="DBX51" s="2"/>
      <c r="DBY51" s="2"/>
      <c r="DBZ51" s="2"/>
      <c r="DCA51" s="2"/>
      <c r="DCB51" s="2"/>
      <c r="DCC51" s="2"/>
      <c r="DCD51" s="2"/>
      <c r="DCE51" s="2"/>
      <c r="DCF51" s="2"/>
      <c r="DCG51" s="2"/>
      <c r="DCH51" s="2"/>
      <c r="DCI51" s="2"/>
      <c r="DCJ51" s="2"/>
      <c r="DCK51" s="2"/>
      <c r="DCL51" s="2"/>
      <c r="DCM51" s="2"/>
      <c r="DCN51" s="2"/>
      <c r="DCO51" s="2"/>
      <c r="DCP51" s="2"/>
      <c r="DCQ51" s="2"/>
      <c r="DCR51" s="2"/>
      <c r="DCS51" s="2"/>
      <c r="DCT51" s="2"/>
      <c r="DCU51" s="2"/>
      <c r="DCV51" s="2"/>
      <c r="DCW51" s="2"/>
      <c r="DCX51" s="2"/>
      <c r="DCY51" s="2"/>
      <c r="DCZ51" s="2"/>
      <c r="DDA51" s="2"/>
      <c r="DDB51" s="2"/>
      <c r="DDC51" s="2"/>
      <c r="DDD51" s="2"/>
      <c r="DDE51" s="2"/>
      <c r="DDF51" s="2"/>
      <c r="DDG51" s="2"/>
      <c r="DDH51" s="2"/>
      <c r="DDI51" s="2"/>
      <c r="DDJ51" s="2"/>
      <c r="DDK51" s="2"/>
      <c r="DDL51" s="2"/>
      <c r="DDM51" s="2"/>
      <c r="DDN51" s="2"/>
      <c r="DDO51" s="2"/>
      <c r="DDP51" s="2"/>
      <c r="DDQ51" s="2"/>
      <c r="DDR51" s="2"/>
      <c r="DDS51" s="2"/>
      <c r="DDT51" s="2"/>
      <c r="DDU51" s="2"/>
      <c r="DDV51" s="2"/>
      <c r="DDW51" s="2"/>
      <c r="DDX51" s="2"/>
      <c r="DDY51" s="2"/>
      <c r="DDZ51" s="2"/>
      <c r="DEA51" s="2"/>
      <c r="DEB51" s="2"/>
      <c r="DEC51" s="2"/>
      <c r="DED51" s="2"/>
      <c r="DEE51" s="2"/>
      <c r="DEF51" s="2"/>
      <c r="DEG51" s="2"/>
      <c r="DEH51" s="2"/>
      <c r="DEI51" s="2"/>
      <c r="DEJ51" s="2"/>
      <c r="DEK51" s="2"/>
      <c r="DEL51" s="2"/>
      <c r="DEM51" s="2"/>
      <c r="DEN51" s="2"/>
      <c r="DEO51" s="2"/>
      <c r="DEP51" s="2"/>
      <c r="DEQ51" s="2"/>
      <c r="DER51" s="2"/>
      <c r="DES51" s="2"/>
      <c r="DET51" s="2"/>
      <c r="DEU51" s="2"/>
      <c r="DEV51" s="2"/>
      <c r="DEW51" s="2"/>
      <c r="DEX51" s="2"/>
      <c r="DEY51" s="2"/>
      <c r="DEZ51" s="2"/>
      <c r="DFA51" s="2"/>
      <c r="DFB51" s="2"/>
      <c r="DFC51" s="2"/>
      <c r="DFD51" s="2"/>
      <c r="DFE51" s="2"/>
      <c r="DFF51" s="2"/>
      <c r="DFG51" s="2"/>
      <c r="DFH51" s="2"/>
      <c r="DFI51" s="2"/>
      <c r="DFJ51" s="2"/>
      <c r="DFK51" s="2"/>
      <c r="DFL51" s="2"/>
      <c r="DFM51" s="2"/>
      <c r="DFN51" s="2"/>
      <c r="DFO51" s="2"/>
      <c r="DFP51" s="2"/>
      <c r="DFQ51" s="2"/>
      <c r="DFR51" s="2"/>
      <c r="DFS51" s="2"/>
      <c r="DFT51" s="2"/>
      <c r="DFU51" s="2"/>
      <c r="DFV51" s="2"/>
      <c r="DFW51" s="2"/>
      <c r="DFX51" s="2"/>
      <c r="DFY51" s="2"/>
      <c r="DFZ51" s="2"/>
      <c r="DGA51" s="2"/>
      <c r="DGB51" s="2"/>
      <c r="DGC51" s="2"/>
      <c r="DGD51" s="2"/>
      <c r="DGE51" s="2"/>
      <c r="DGF51" s="2"/>
      <c r="DGG51" s="2"/>
      <c r="DGH51" s="2"/>
      <c r="DGI51" s="2"/>
      <c r="DGJ51" s="2"/>
      <c r="DGK51" s="2"/>
      <c r="DGL51" s="2"/>
      <c r="DGM51" s="2"/>
      <c r="DGN51" s="2"/>
      <c r="DGO51" s="2"/>
      <c r="DGP51" s="2"/>
      <c r="DGQ51" s="2"/>
      <c r="DGR51" s="2"/>
      <c r="DGS51" s="2"/>
      <c r="DGT51" s="2"/>
      <c r="DGU51" s="2"/>
      <c r="DGV51" s="2"/>
      <c r="DGW51" s="2"/>
      <c r="DGX51" s="2"/>
      <c r="DGY51" s="2"/>
      <c r="DGZ51" s="2"/>
      <c r="DHA51" s="2"/>
      <c r="DHB51" s="2"/>
      <c r="DHC51" s="2"/>
      <c r="DHD51" s="2"/>
      <c r="DHE51" s="2"/>
      <c r="DHF51" s="2"/>
      <c r="DHG51" s="2"/>
      <c r="DHH51" s="2"/>
      <c r="DHI51" s="2"/>
      <c r="DHJ51" s="2"/>
      <c r="DHK51" s="2"/>
      <c r="DHL51" s="2"/>
      <c r="DHM51" s="2"/>
      <c r="DHN51" s="2"/>
      <c r="DHO51" s="2"/>
      <c r="DHP51" s="2"/>
      <c r="DHQ51" s="2"/>
      <c r="DHR51" s="2"/>
      <c r="DHS51" s="2"/>
      <c r="DHT51" s="2"/>
      <c r="DHU51" s="2"/>
      <c r="DHV51" s="2"/>
      <c r="DHW51" s="2"/>
      <c r="DHX51" s="2"/>
      <c r="DHY51" s="2"/>
      <c r="DHZ51" s="2"/>
      <c r="DIA51" s="2"/>
      <c r="DIB51" s="2"/>
      <c r="DIC51" s="2"/>
      <c r="DID51" s="2"/>
      <c r="DIE51" s="2"/>
      <c r="DIF51" s="2"/>
      <c r="DIG51" s="2"/>
      <c r="DIH51" s="2"/>
      <c r="DII51" s="2"/>
      <c r="DIJ51" s="2"/>
      <c r="DIK51" s="2"/>
      <c r="DIL51" s="2"/>
      <c r="DIM51" s="2"/>
      <c r="DIN51" s="2"/>
      <c r="DIO51" s="2"/>
      <c r="DIP51" s="2"/>
      <c r="DIQ51" s="2"/>
      <c r="DIR51" s="2"/>
      <c r="DIS51" s="2"/>
      <c r="DIT51" s="2"/>
      <c r="DIU51" s="2"/>
      <c r="DIV51" s="2"/>
      <c r="DIW51" s="2"/>
      <c r="DIX51" s="2"/>
      <c r="DIY51" s="2"/>
      <c r="DIZ51" s="2"/>
      <c r="DJA51" s="2"/>
      <c r="DJB51" s="2"/>
      <c r="DJC51" s="2"/>
      <c r="DJD51" s="2"/>
      <c r="DJE51" s="2"/>
      <c r="DJF51" s="2"/>
      <c r="DJG51" s="2"/>
      <c r="DJH51" s="2"/>
      <c r="DJI51" s="2"/>
      <c r="DJJ51" s="2"/>
      <c r="DJK51" s="2"/>
      <c r="DJL51" s="2"/>
      <c r="DJM51" s="2"/>
      <c r="DJN51" s="2"/>
      <c r="DJO51" s="2"/>
      <c r="DJP51" s="2"/>
      <c r="DJQ51" s="2"/>
      <c r="DJR51" s="2"/>
      <c r="DJS51" s="2"/>
      <c r="DJT51" s="2"/>
      <c r="DJU51" s="2"/>
      <c r="DJV51" s="2"/>
      <c r="DJW51" s="2"/>
      <c r="DJX51" s="2"/>
      <c r="DJY51" s="2"/>
      <c r="DJZ51" s="2"/>
      <c r="DKA51" s="2"/>
      <c r="DKB51" s="2"/>
      <c r="DKC51" s="2"/>
      <c r="DKD51" s="2"/>
      <c r="DKE51" s="2"/>
      <c r="DKF51" s="2"/>
      <c r="DKG51" s="2"/>
      <c r="DKH51" s="2"/>
      <c r="DKI51" s="2"/>
      <c r="DKJ51" s="2"/>
      <c r="DKK51" s="2"/>
      <c r="DKL51" s="2"/>
      <c r="DKM51" s="2"/>
      <c r="DKN51" s="2"/>
      <c r="DKO51" s="2"/>
      <c r="DKP51" s="2"/>
      <c r="DKQ51" s="2"/>
      <c r="DKR51" s="2"/>
      <c r="DKS51" s="2"/>
      <c r="DKT51" s="2"/>
      <c r="DKU51" s="2"/>
      <c r="DKV51" s="2"/>
      <c r="DKW51" s="2"/>
      <c r="DKX51" s="2"/>
      <c r="DKY51" s="2"/>
      <c r="DKZ51" s="2"/>
      <c r="DLA51" s="2"/>
      <c r="DLB51" s="2"/>
      <c r="DLC51" s="2"/>
      <c r="DLD51" s="2"/>
      <c r="DLE51" s="2"/>
      <c r="DLF51" s="2"/>
      <c r="DLG51" s="2"/>
      <c r="DLH51" s="2"/>
      <c r="DLI51" s="2"/>
      <c r="DLJ51" s="2"/>
      <c r="DLK51" s="2"/>
      <c r="DLL51" s="2"/>
      <c r="DLM51" s="2"/>
      <c r="DLN51" s="2"/>
      <c r="DLO51" s="2"/>
      <c r="DLP51" s="2"/>
      <c r="DLQ51" s="2"/>
      <c r="DLR51" s="2"/>
      <c r="DLS51" s="2"/>
      <c r="DLT51" s="2"/>
      <c r="DLU51" s="2"/>
      <c r="DLV51" s="2"/>
      <c r="DLW51" s="2"/>
      <c r="DLX51" s="2"/>
      <c r="DLY51" s="2"/>
      <c r="DLZ51" s="2"/>
      <c r="DMA51" s="2"/>
      <c r="DMB51" s="2"/>
      <c r="DMC51" s="2"/>
      <c r="DMD51" s="2"/>
      <c r="DME51" s="2"/>
      <c r="DMF51" s="2"/>
      <c r="DMG51" s="2"/>
      <c r="DMH51" s="2"/>
      <c r="DMI51" s="2"/>
      <c r="DMJ51" s="2"/>
      <c r="DMK51" s="2"/>
      <c r="DML51" s="2"/>
      <c r="DMM51" s="2"/>
      <c r="DMN51" s="2"/>
      <c r="DMO51" s="2"/>
      <c r="DMP51" s="2"/>
      <c r="DMQ51" s="2"/>
      <c r="DMR51" s="2"/>
      <c r="DMS51" s="2"/>
      <c r="DMT51" s="2"/>
      <c r="DMU51" s="2"/>
      <c r="DMV51" s="2"/>
      <c r="DMW51" s="2"/>
      <c r="DMX51" s="2"/>
      <c r="DMY51" s="2"/>
      <c r="DMZ51" s="2"/>
      <c r="DNA51" s="2"/>
      <c r="DNB51" s="2"/>
      <c r="DNC51" s="2"/>
      <c r="DND51" s="2"/>
      <c r="DNE51" s="2"/>
      <c r="DNF51" s="2"/>
      <c r="DNG51" s="2"/>
      <c r="DNH51" s="2"/>
      <c r="DNI51" s="2"/>
      <c r="DNJ51" s="2"/>
      <c r="DNK51" s="2"/>
      <c r="DNL51" s="2"/>
      <c r="DNM51" s="2"/>
      <c r="DNN51" s="2"/>
      <c r="DNO51" s="2"/>
      <c r="DNP51" s="2"/>
      <c r="DNQ51" s="2"/>
      <c r="DNR51" s="2"/>
      <c r="DNS51" s="2"/>
      <c r="DNT51" s="2"/>
      <c r="DNU51" s="2"/>
      <c r="DNV51" s="2"/>
      <c r="DNW51" s="2"/>
      <c r="DNX51" s="2"/>
      <c r="DNY51" s="2"/>
      <c r="DNZ51" s="2"/>
      <c r="DOA51" s="2"/>
      <c r="DOB51" s="2"/>
      <c r="DOC51" s="2"/>
      <c r="DOD51" s="2"/>
      <c r="DOE51" s="2"/>
      <c r="DOF51" s="2"/>
      <c r="DOG51" s="2"/>
      <c r="DOH51" s="2"/>
      <c r="DOI51" s="2"/>
      <c r="DOJ51" s="2"/>
      <c r="DOK51" s="2"/>
      <c r="DOL51" s="2"/>
      <c r="DOM51" s="2"/>
      <c r="DON51" s="2"/>
      <c r="DOO51" s="2"/>
      <c r="DOP51" s="2"/>
      <c r="DOQ51" s="2"/>
      <c r="DOR51" s="2"/>
      <c r="DOS51" s="2"/>
      <c r="DOT51" s="2"/>
      <c r="DOU51" s="2"/>
      <c r="DOV51" s="2"/>
      <c r="DOW51" s="2"/>
      <c r="DOX51" s="2"/>
      <c r="DOY51" s="2"/>
      <c r="DOZ51" s="2"/>
      <c r="DPA51" s="2"/>
      <c r="DPB51" s="2"/>
      <c r="DPC51" s="2"/>
      <c r="DPD51" s="2"/>
      <c r="DPE51" s="2"/>
      <c r="DPF51" s="2"/>
      <c r="DPG51" s="2"/>
      <c r="DPH51" s="2"/>
      <c r="DPI51" s="2"/>
      <c r="DPJ51" s="2"/>
      <c r="DPK51" s="2"/>
      <c r="DPL51" s="2"/>
      <c r="DPM51" s="2"/>
      <c r="DPN51" s="2"/>
      <c r="DPO51" s="2"/>
      <c r="DPP51" s="2"/>
      <c r="DPQ51" s="2"/>
      <c r="DPR51" s="2"/>
      <c r="DPS51" s="2"/>
      <c r="DPT51" s="2"/>
      <c r="DPU51" s="2"/>
      <c r="DPV51" s="2"/>
      <c r="DPW51" s="2"/>
      <c r="DPX51" s="2"/>
      <c r="DPY51" s="2"/>
      <c r="DPZ51" s="2"/>
      <c r="DQA51" s="2"/>
      <c r="DQB51" s="2"/>
      <c r="DQC51" s="2"/>
      <c r="DQD51" s="2"/>
      <c r="DQE51" s="2"/>
      <c r="DQF51" s="2"/>
      <c r="DQG51" s="2"/>
      <c r="DQH51" s="2"/>
      <c r="DQI51" s="2"/>
      <c r="DQJ51" s="2"/>
      <c r="DQK51" s="2"/>
      <c r="DQL51" s="2"/>
      <c r="DQM51" s="2"/>
      <c r="DQN51" s="2"/>
      <c r="DQO51" s="2"/>
      <c r="DQP51" s="2"/>
      <c r="DQQ51" s="2"/>
      <c r="DQR51" s="2"/>
      <c r="DQS51" s="2"/>
      <c r="DQT51" s="2"/>
      <c r="DQU51" s="2"/>
      <c r="DQV51" s="2"/>
      <c r="DQW51" s="2"/>
      <c r="DQX51" s="2"/>
      <c r="DQY51" s="2"/>
      <c r="DQZ51" s="2"/>
      <c r="DRA51" s="2"/>
      <c r="DRB51" s="2"/>
      <c r="DRC51" s="2"/>
      <c r="DRD51" s="2"/>
      <c r="DRE51" s="2"/>
      <c r="DRF51" s="2"/>
      <c r="DRG51" s="2"/>
      <c r="DRH51" s="2"/>
      <c r="DRI51" s="2"/>
      <c r="DRJ51" s="2"/>
      <c r="DRK51" s="2"/>
      <c r="DRL51" s="2"/>
      <c r="DRM51" s="2"/>
      <c r="DRN51" s="2"/>
      <c r="DRO51" s="2"/>
      <c r="DRP51" s="2"/>
      <c r="DRQ51" s="2"/>
      <c r="DRR51" s="2"/>
      <c r="DRS51" s="2"/>
      <c r="DRT51" s="2"/>
      <c r="DRU51" s="2"/>
      <c r="DRV51" s="2"/>
      <c r="DRW51" s="2"/>
      <c r="DRX51" s="2"/>
      <c r="DRY51" s="2"/>
      <c r="DRZ51" s="2"/>
      <c r="DSA51" s="2"/>
      <c r="DSB51" s="2"/>
      <c r="DSC51" s="2"/>
      <c r="DSD51" s="2"/>
      <c r="DSE51" s="2"/>
      <c r="DSF51" s="2"/>
      <c r="DSG51" s="2"/>
      <c r="DSH51" s="2"/>
      <c r="DSI51" s="2"/>
      <c r="DSJ51" s="2"/>
      <c r="DSK51" s="2"/>
      <c r="DSL51" s="2"/>
      <c r="DSM51" s="2"/>
      <c r="DSN51" s="2"/>
      <c r="DSO51" s="2"/>
      <c r="DSP51" s="2"/>
      <c r="DSQ51" s="2"/>
      <c r="DSR51" s="2"/>
      <c r="DSS51" s="2"/>
      <c r="DST51" s="2"/>
      <c r="DSU51" s="2"/>
      <c r="DSV51" s="2"/>
      <c r="DSW51" s="2"/>
      <c r="DSX51" s="2"/>
      <c r="DSY51" s="2"/>
      <c r="DSZ51" s="2"/>
      <c r="DTA51" s="2"/>
      <c r="DTB51" s="2"/>
      <c r="DTC51" s="2"/>
      <c r="DTD51" s="2"/>
      <c r="DTE51" s="2"/>
      <c r="DTF51" s="2"/>
      <c r="DTG51" s="2"/>
      <c r="DTH51" s="2"/>
      <c r="DTI51" s="2"/>
      <c r="DTJ51" s="2"/>
      <c r="DTK51" s="2"/>
      <c r="DTL51" s="2"/>
      <c r="DTM51" s="2"/>
      <c r="DTN51" s="2"/>
      <c r="DTO51" s="2"/>
      <c r="DTP51" s="2"/>
      <c r="DTQ51" s="2"/>
      <c r="DTR51" s="2"/>
      <c r="DTS51" s="2"/>
      <c r="DTT51" s="2"/>
      <c r="DTU51" s="2"/>
      <c r="DTV51" s="2"/>
      <c r="DTW51" s="2"/>
      <c r="DTX51" s="2"/>
      <c r="DTY51" s="2"/>
      <c r="DTZ51" s="2"/>
      <c r="DUA51" s="2"/>
      <c r="DUB51" s="2"/>
      <c r="DUC51" s="2"/>
      <c r="DUD51" s="2"/>
      <c r="DUE51" s="2"/>
      <c r="DUF51" s="2"/>
      <c r="DUG51" s="2"/>
      <c r="DUH51" s="2"/>
      <c r="DUI51" s="2"/>
      <c r="DUJ51" s="2"/>
      <c r="DUK51" s="2"/>
      <c r="DUL51" s="2"/>
      <c r="DUM51" s="2"/>
      <c r="DUN51" s="2"/>
      <c r="DUO51" s="2"/>
      <c r="DUP51" s="2"/>
      <c r="DUQ51" s="2"/>
      <c r="DUR51" s="2"/>
      <c r="DUS51" s="2"/>
      <c r="DUT51" s="2"/>
      <c r="DUU51" s="2"/>
      <c r="DUV51" s="2"/>
      <c r="DUW51" s="2"/>
      <c r="DUX51" s="2"/>
      <c r="DUY51" s="2"/>
      <c r="DUZ51" s="2"/>
      <c r="DVA51" s="2"/>
      <c r="DVB51" s="2"/>
      <c r="DVC51" s="2"/>
      <c r="DVD51" s="2"/>
      <c r="DVE51" s="2"/>
      <c r="DVF51" s="2"/>
      <c r="DVG51" s="2"/>
      <c r="DVH51" s="2"/>
      <c r="DVI51" s="2"/>
      <c r="DVJ51" s="2"/>
      <c r="DVK51" s="2"/>
      <c r="DVL51" s="2"/>
      <c r="DVM51" s="2"/>
      <c r="DVN51" s="2"/>
      <c r="DVO51" s="2"/>
      <c r="DVP51" s="2"/>
      <c r="DVQ51" s="2"/>
      <c r="DVR51" s="2"/>
      <c r="DVS51" s="2"/>
      <c r="DVT51" s="2"/>
      <c r="DVU51" s="2"/>
      <c r="DVV51" s="2"/>
      <c r="DVW51" s="2"/>
      <c r="DVX51" s="2"/>
      <c r="DVY51" s="2"/>
      <c r="DVZ51" s="2"/>
      <c r="DWA51" s="2"/>
      <c r="DWB51" s="2"/>
      <c r="DWC51" s="2"/>
      <c r="DWD51" s="2"/>
      <c r="DWE51" s="2"/>
      <c r="DWF51" s="2"/>
      <c r="DWG51" s="2"/>
      <c r="DWH51" s="2"/>
      <c r="DWI51" s="2"/>
      <c r="DWJ51" s="2"/>
      <c r="DWK51" s="2"/>
      <c r="DWL51" s="2"/>
      <c r="DWM51" s="2"/>
      <c r="DWN51" s="2"/>
      <c r="DWO51" s="2"/>
      <c r="DWP51" s="2"/>
      <c r="DWQ51" s="2"/>
      <c r="DWR51" s="2"/>
      <c r="DWS51" s="2"/>
      <c r="DWT51" s="2"/>
      <c r="DWU51" s="2"/>
      <c r="DWV51" s="2"/>
      <c r="DWW51" s="2"/>
      <c r="DWX51" s="2"/>
      <c r="DWY51" s="2"/>
      <c r="DWZ51" s="2"/>
      <c r="DXA51" s="2"/>
      <c r="DXB51" s="2"/>
      <c r="DXC51" s="2"/>
      <c r="DXD51" s="2"/>
      <c r="DXE51" s="2"/>
      <c r="DXF51" s="2"/>
      <c r="DXG51" s="2"/>
      <c r="DXH51" s="2"/>
      <c r="DXI51" s="2"/>
      <c r="DXJ51" s="2"/>
      <c r="DXK51" s="2"/>
      <c r="DXL51" s="2"/>
      <c r="DXM51" s="2"/>
      <c r="DXN51" s="2"/>
      <c r="DXO51" s="2"/>
      <c r="DXP51" s="2"/>
      <c r="DXQ51" s="2"/>
      <c r="DXR51" s="2"/>
      <c r="DXS51" s="2"/>
      <c r="DXT51" s="2"/>
      <c r="DXU51" s="2"/>
      <c r="DXV51" s="2"/>
      <c r="DXW51" s="2"/>
      <c r="DXX51" s="2"/>
      <c r="DXY51" s="2"/>
      <c r="DXZ51" s="2"/>
      <c r="DYA51" s="2"/>
      <c r="DYB51" s="2"/>
      <c r="DYC51" s="2"/>
      <c r="DYD51" s="2"/>
      <c r="DYE51" s="2"/>
      <c r="DYF51" s="2"/>
      <c r="DYG51" s="2"/>
      <c r="DYH51" s="2"/>
      <c r="DYI51" s="2"/>
      <c r="DYJ51" s="2"/>
      <c r="DYK51" s="2"/>
      <c r="DYL51" s="2"/>
      <c r="DYM51" s="2"/>
      <c r="DYN51" s="2"/>
      <c r="DYO51" s="2"/>
      <c r="DYP51" s="2"/>
      <c r="DYQ51" s="2"/>
      <c r="DYR51" s="2"/>
      <c r="DYS51" s="2"/>
      <c r="DYT51" s="2"/>
      <c r="DYU51" s="2"/>
      <c r="DYV51" s="2"/>
      <c r="DYW51" s="2"/>
      <c r="DYX51" s="2"/>
      <c r="DYY51" s="2"/>
      <c r="DYZ51" s="2"/>
      <c r="DZA51" s="2"/>
      <c r="DZB51" s="2"/>
      <c r="DZC51" s="2"/>
      <c r="DZD51" s="2"/>
      <c r="DZE51" s="2"/>
      <c r="DZF51" s="2"/>
      <c r="DZG51" s="2"/>
      <c r="DZH51" s="2"/>
      <c r="DZI51" s="2"/>
      <c r="DZJ51" s="2"/>
      <c r="DZK51" s="2"/>
      <c r="DZL51" s="2"/>
      <c r="DZM51" s="2"/>
      <c r="DZN51" s="2"/>
      <c r="DZO51" s="2"/>
      <c r="DZP51" s="2"/>
      <c r="DZQ51" s="2"/>
      <c r="DZR51" s="2"/>
      <c r="DZS51" s="2"/>
      <c r="DZT51" s="2"/>
      <c r="DZU51" s="2"/>
      <c r="DZV51" s="2"/>
      <c r="DZW51" s="2"/>
      <c r="DZX51" s="2"/>
      <c r="DZY51" s="2"/>
      <c r="DZZ51" s="2"/>
      <c r="EAA51" s="2"/>
      <c r="EAB51" s="2"/>
      <c r="EAC51" s="2"/>
      <c r="EAD51" s="2"/>
      <c r="EAE51" s="2"/>
      <c r="EAF51" s="2"/>
      <c r="EAG51" s="2"/>
      <c r="EAH51" s="2"/>
      <c r="EAI51" s="2"/>
      <c r="EAJ51" s="2"/>
      <c r="EAK51" s="2"/>
      <c r="EAL51" s="2"/>
      <c r="EAM51" s="2"/>
      <c r="EAN51" s="2"/>
      <c r="EAO51" s="2"/>
      <c r="EAP51" s="2"/>
      <c r="EAQ51" s="2"/>
      <c r="EAR51" s="2"/>
      <c r="EAS51" s="2"/>
      <c r="EAT51" s="2"/>
      <c r="EAU51" s="2"/>
      <c r="EAV51" s="2"/>
      <c r="EAW51" s="2"/>
      <c r="EAX51" s="2"/>
      <c r="EAY51" s="2"/>
      <c r="EAZ51" s="2"/>
      <c r="EBA51" s="2"/>
      <c r="EBB51" s="2"/>
      <c r="EBC51" s="2"/>
      <c r="EBD51" s="2"/>
      <c r="EBE51" s="2"/>
      <c r="EBF51" s="2"/>
      <c r="EBG51" s="2"/>
      <c r="EBH51" s="2"/>
      <c r="EBI51" s="2"/>
      <c r="EBJ51" s="2"/>
      <c r="EBK51" s="2"/>
      <c r="EBL51" s="2"/>
      <c r="EBM51" s="2"/>
      <c r="EBN51" s="2"/>
      <c r="EBO51" s="2"/>
      <c r="EBP51" s="2"/>
      <c r="EBQ51" s="2"/>
      <c r="EBR51" s="2"/>
      <c r="EBS51" s="2"/>
      <c r="EBT51" s="2"/>
      <c r="EBU51" s="2"/>
      <c r="EBV51" s="2"/>
      <c r="EBW51" s="2"/>
      <c r="EBX51" s="2"/>
      <c r="EBY51" s="2"/>
      <c r="EBZ51" s="2"/>
      <c r="ECA51" s="2"/>
      <c r="ECB51" s="2"/>
      <c r="ECC51" s="2"/>
      <c r="ECD51" s="2"/>
      <c r="ECE51" s="2"/>
      <c r="ECF51" s="2"/>
      <c r="ECG51" s="2"/>
      <c r="ECH51" s="2"/>
      <c r="ECI51" s="2"/>
      <c r="ECJ51" s="2"/>
      <c r="ECK51" s="2"/>
      <c r="ECL51" s="2"/>
      <c r="ECM51" s="2"/>
      <c r="ECN51" s="2"/>
      <c r="ECO51" s="2"/>
      <c r="ECP51" s="2"/>
      <c r="ECQ51" s="2"/>
      <c r="ECR51" s="2"/>
      <c r="ECS51" s="2"/>
      <c r="ECT51" s="2"/>
      <c r="ECU51" s="2"/>
      <c r="ECV51" s="2"/>
      <c r="ECW51" s="2"/>
      <c r="ECX51" s="2"/>
      <c r="ECY51" s="2"/>
      <c r="ECZ51" s="2"/>
      <c r="EDA51" s="2"/>
      <c r="EDB51" s="2"/>
      <c r="EDC51" s="2"/>
      <c r="EDD51" s="2"/>
      <c r="EDE51" s="2"/>
      <c r="EDF51" s="2"/>
      <c r="EDG51" s="2"/>
      <c r="EDH51" s="2"/>
      <c r="EDI51" s="2"/>
      <c r="EDJ51" s="2"/>
      <c r="EDK51" s="2"/>
      <c r="EDL51" s="2"/>
      <c r="EDM51" s="2"/>
      <c r="EDN51" s="2"/>
      <c r="EDO51" s="2"/>
      <c r="EDP51" s="2"/>
      <c r="EDQ51" s="2"/>
      <c r="EDR51" s="2"/>
      <c r="EDS51" s="2"/>
      <c r="EDT51" s="2"/>
      <c r="EDU51" s="2"/>
      <c r="EDV51" s="2"/>
      <c r="EDW51" s="2"/>
      <c r="EDX51" s="2"/>
      <c r="EDY51" s="2"/>
      <c r="EDZ51" s="2"/>
      <c r="EEA51" s="2"/>
      <c r="EEB51" s="2"/>
      <c r="EEC51" s="2"/>
      <c r="EED51" s="2"/>
      <c r="EEE51" s="2"/>
      <c r="EEF51" s="2"/>
      <c r="EEG51" s="2"/>
      <c r="EEH51" s="2"/>
      <c r="EEI51" s="2"/>
      <c r="EEJ51" s="2"/>
      <c r="EEK51" s="2"/>
      <c r="EEL51" s="2"/>
      <c r="EEM51" s="2"/>
      <c r="EEN51" s="2"/>
      <c r="EEO51" s="2"/>
      <c r="EEP51" s="2"/>
      <c r="EEQ51" s="2"/>
      <c r="EER51" s="2"/>
      <c r="EES51" s="2"/>
      <c r="EET51" s="2"/>
      <c r="EEU51" s="2"/>
      <c r="EEV51" s="2"/>
      <c r="EEW51" s="2"/>
      <c r="EEX51" s="2"/>
      <c r="EEY51" s="2"/>
      <c r="EEZ51" s="2"/>
      <c r="EFA51" s="2"/>
      <c r="EFB51" s="2"/>
      <c r="EFC51" s="2"/>
      <c r="EFD51" s="2"/>
      <c r="EFE51" s="2"/>
      <c r="EFF51" s="2"/>
      <c r="EFG51" s="2"/>
      <c r="EFH51" s="2"/>
      <c r="EFI51" s="2"/>
      <c r="EFJ51" s="2"/>
      <c r="EFK51" s="2"/>
      <c r="EFL51" s="2"/>
      <c r="EFM51" s="2"/>
      <c r="EFN51" s="2"/>
      <c r="EFO51" s="2"/>
      <c r="EFP51" s="2"/>
      <c r="EFQ51" s="2"/>
      <c r="EFR51" s="2"/>
      <c r="EFS51" s="2"/>
      <c r="EFT51" s="2"/>
      <c r="EFU51" s="2"/>
      <c r="EFV51" s="2"/>
      <c r="EFW51" s="2"/>
      <c r="EFX51" s="2"/>
      <c r="EFY51" s="2"/>
      <c r="EFZ51" s="2"/>
      <c r="EGA51" s="2"/>
      <c r="EGB51" s="2"/>
      <c r="EGC51" s="2"/>
      <c r="EGD51" s="2"/>
      <c r="EGE51" s="2"/>
      <c r="EGF51" s="2"/>
      <c r="EGG51" s="2"/>
      <c r="EGH51" s="2"/>
      <c r="EGI51" s="2"/>
      <c r="EGJ51" s="2"/>
      <c r="EGK51" s="2"/>
      <c r="EGL51" s="2"/>
      <c r="EGM51" s="2"/>
      <c r="EGN51" s="2"/>
      <c r="EGO51" s="2"/>
      <c r="EGP51" s="2"/>
      <c r="EGQ51" s="2"/>
      <c r="EGR51" s="2"/>
      <c r="EGS51" s="2"/>
      <c r="EGT51" s="2"/>
      <c r="EGU51" s="2"/>
      <c r="EGV51" s="2"/>
      <c r="EGW51" s="2"/>
      <c r="EGX51" s="2"/>
      <c r="EGY51" s="2"/>
      <c r="EGZ51" s="2"/>
      <c r="EHA51" s="2"/>
      <c r="EHB51" s="2"/>
      <c r="EHC51" s="2"/>
      <c r="EHD51" s="2"/>
      <c r="EHE51" s="2"/>
      <c r="EHF51" s="2"/>
      <c r="EHG51" s="2"/>
      <c r="EHH51" s="2"/>
      <c r="EHI51" s="2"/>
      <c r="EHJ51" s="2"/>
      <c r="EHK51" s="2"/>
      <c r="EHL51" s="2"/>
      <c r="EHM51" s="2"/>
      <c r="EHN51" s="2"/>
      <c r="EHO51" s="2"/>
      <c r="EHP51" s="2"/>
      <c r="EHQ51" s="2"/>
      <c r="EHR51" s="2"/>
      <c r="EHS51" s="2"/>
      <c r="EHT51" s="2"/>
      <c r="EHU51" s="2"/>
      <c r="EHV51" s="2"/>
      <c r="EHW51" s="2"/>
      <c r="EHX51" s="2"/>
      <c r="EHY51" s="2"/>
      <c r="EHZ51" s="2"/>
      <c r="EIA51" s="2"/>
      <c r="EIB51" s="2"/>
      <c r="EIC51" s="2"/>
      <c r="EID51" s="2"/>
      <c r="EIE51" s="2"/>
      <c r="EIF51" s="2"/>
      <c r="EIG51" s="2"/>
      <c r="EIH51" s="2"/>
      <c r="EII51" s="2"/>
      <c r="EIJ51" s="2"/>
      <c r="EIK51" s="2"/>
      <c r="EIL51" s="2"/>
      <c r="EIM51" s="2"/>
      <c r="EIN51" s="2"/>
      <c r="EIO51" s="2"/>
      <c r="EIP51" s="2"/>
      <c r="EIQ51" s="2"/>
      <c r="EIR51" s="2"/>
      <c r="EIS51" s="2"/>
      <c r="EIT51" s="2"/>
      <c r="EIU51" s="2"/>
      <c r="EIV51" s="2"/>
      <c r="EIW51" s="2"/>
      <c r="EIX51" s="2"/>
      <c r="EIY51" s="2"/>
      <c r="EIZ51" s="2"/>
      <c r="EJA51" s="2"/>
      <c r="EJB51" s="2"/>
      <c r="EJC51" s="2"/>
      <c r="EJD51" s="2"/>
      <c r="EJE51" s="2"/>
      <c r="EJF51" s="2"/>
      <c r="EJG51" s="2"/>
      <c r="EJH51" s="2"/>
      <c r="EJI51" s="2"/>
      <c r="EJJ51" s="2"/>
      <c r="EJK51" s="2"/>
      <c r="EJL51" s="2"/>
      <c r="EJM51" s="2"/>
      <c r="EJN51" s="2"/>
      <c r="EJO51" s="2"/>
      <c r="EJP51" s="2"/>
      <c r="EJQ51" s="2"/>
      <c r="EJR51" s="2"/>
      <c r="EJS51" s="2"/>
      <c r="EJT51" s="2"/>
      <c r="EJU51" s="2"/>
      <c r="EJV51" s="2"/>
      <c r="EJW51" s="2"/>
      <c r="EJX51" s="2"/>
      <c r="EJY51" s="2"/>
      <c r="EJZ51" s="2"/>
      <c r="EKA51" s="2"/>
      <c r="EKB51" s="2"/>
      <c r="EKC51" s="2"/>
      <c r="EKD51" s="2"/>
      <c r="EKE51" s="2"/>
      <c r="EKF51" s="2"/>
      <c r="EKG51" s="2"/>
      <c r="EKH51" s="2"/>
      <c r="EKI51" s="2"/>
      <c r="EKJ51" s="2"/>
      <c r="EKK51" s="2"/>
      <c r="EKL51" s="2"/>
      <c r="EKM51" s="2"/>
      <c r="EKN51" s="2"/>
      <c r="EKO51" s="2"/>
      <c r="EKP51" s="2"/>
      <c r="EKQ51" s="2"/>
      <c r="EKR51" s="2"/>
      <c r="EKS51" s="2"/>
      <c r="EKT51" s="2"/>
      <c r="EKU51" s="2"/>
      <c r="EKV51" s="2"/>
      <c r="EKW51" s="2"/>
      <c r="EKX51" s="2"/>
      <c r="EKY51" s="2"/>
      <c r="EKZ51" s="2"/>
      <c r="ELA51" s="2"/>
      <c r="ELB51" s="2"/>
      <c r="ELC51" s="2"/>
      <c r="ELD51" s="2"/>
      <c r="ELE51" s="2"/>
      <c r="ELF51" s="2"/>
      <c r="ELG51" s="2"/>
      <c r="ELH51" s="2"/>
      <c r="ELI51" s="2"/>
      <c r="ELJ51" s="2"/>
      <c r="ELK51" s="2"/>
      <c r="ELL51" s="2"/>
      <c r="ELM51" s="2"/>
      <c r="ELN51" s="2"/>
      <c r="ELO51" s="2"/>
      <c r="ELP51" s="2"/>
      <c r="ELQ51" s="2"/>
      <c r="ELR51" s="2"/>
      <c r="ELS51" s="2"/>
      <c r="ELT51" s="2"/>
      <c r="ELU51" s="2"/>
      <c r="ELV51" s="2"/>
      <c r="ELW51" s="2"/>
      <c r="ELX51" s="2"/>
      <c r="ELY51" s="2"/>
      <c r="ELZ51" s="2"/>
      <c r="EMA51" s="2"/>
      <c r="EMB51" s="2"/>
      <c r="EMC51" s="2"/>
      <c r="EMD51" s="2"/>
      <c r="EME51" s="2"/>
      <c r="EMF51" s="2"/>
      <c r="EMG51" s="2"/>
      <c r="EMH51" s="2"/>
      <c r="EMI51" s="2"/>
      <c r="EMJ51" s="2"/>
      <c r="EMK51" s="2"/>
      <c r="EML51" s="2"/>
      <c r="EMM51" s="2"/>
      <c r="EMN51" s="2"/>
      <c r="EMO51" s="2"/>
      <c r="EMP51" s="2"/>
      <c r="EMQ51" s="2"/>
      <c r="EMR51" s="2"/>
      <c r="EMS51" s="2"/>
      <c r="EMT51" s="2"/>
      <c r="EMU51" s="2"/>
      <c r="EMV51" s="2"/>
      <c r="EMW51" s="2"/>
      <c r="EMX51" s="2"/>
      <c r="EMY51" s="2"/>
      <c r="EMZ51" s="2"/>
      <c r="ENA51" s="2"/>
      <c r="ENB51" s="2"/>
      <c r="ENC51" s="2"/>
      <c r="END51" s="2"/>
      <c r="ENE51" s="2"/>
      <c r="ENF51" s="2"/>
      <c r="ENG51" s="2"/>
      <c r="ENH51" s="2"/>
      <c r="ENI51" s="2"/>
      <c r="ENJ51" s="2"/>
      <c r="ENK51" s="2"/>
      <c r="ENL51" s="2"/>
      <c r="ENM51" s="2"/>
      <c r="ENN51" s="2"/>
      <c r="ENO51" s="2"/>
      <c r="ENP51" s="2"/>
      <c r="ENQ51" s="2"/>
      <c r="ENR51" s="2"/>
      <c r="ENS51" s="2"/>
      <c r="ENT51" s="2"/>
      <c r="ENU51" s="2"/>
      <c r="ENV51" s="2"/>
      <c r="ENW51" s="2"/>
      <c r="ENX51" s="2"/>
      <c r="ENY51" s="2"/>
      <c r="ENZ51" s="2"/>
      <c r="EOA51" s="2"/>
      <c r="EOB51" s="2"/>
      <c r="EOC51" s="2"/>
      <c r="EOD51" s="2"/>
      <c r="EOE51" s="2"/>
      <c r="EOF51" s="2"/>
      <c r="EOG51" s="2"/>
      <c r="EOH51" s="2"/>
      <c r="EOI51" s="2"/>
      <c r="EOJ51" s="2"/>
      <c r="EOK51" s="2"/>
      <c r="EOL51" s="2"/>
      <c r="EOM51" s="2"/>
      <c r="EON51" s="2"/>
      <c r="EOO51" s="2"/>
      <c r="EOP51" s="2"/>
      <c r="EOQ51" s="2"/>
      <c r="EOR51" s="2"/>
      <c r="EOS51" s="2"/>
      <c r="EOT51" s="2"/>
      <c r="EOU51" s="2"/>
      <c r="EOV51" s="2"/>
      <c r="EOW51" s="2"/>
      <c r="EOX51" s="2"/>
      <c r="EOY51" s="2"/>
      <c r="EOZ51" s="2"/>
      <c r="EPA51" s="2"/>
      <c r="EPB51" s="2"/>
      <c r="EPC51" s="2"/>
      <c r="EPD51" s="2"/>
      <c r="EPE51" s="2"/>
      <c r="EPF51" s="2"/>
      <c r="EPG51" s="2"/>
      <c r="EPH51" s="2"/>
      <c r="EPI51" s="2"/>
      <c r="EPJ51" s="2"/>
      <c r="EPK51" s="2"/>
      <c r="EPL51" s="2"/>
      <c r="EPM51" s="2"/>
      <c r="EPN51" s="2"/>
      <c r="EPO51" s="2"/>
      <c r="EPP51" s="2"/>
      <c r="EPQ51" s="2"/>
      <c r="EPR51" s="2"/>
      <c r="EPS51" s="2"/>
      <c r="EPT51" s="2"/>
      <c r="EPU51" s="2"/>
      <c r="EPV51" s="2"/>
      <c r="EPW51" s="2"/>
      <c r="EPX51" s="2"/>
      <c r="EPY51" s="2"/>
      <c r="EPZ51" s="2"/>
      <c r="EQA51" s="2"/>
      <c r="EQB51" s="2"/>
      <c r="EQC51" s="2"/>
      <c r="EQD51" s="2"/>
      <c r="EQE51" s="2"/>
      <c r="EQF51" s="2"/>
      <c r="EQG51" s="2"/>
      <c r="EQH51" s="2"/>
      <c r="EQI51" s="2"/>
      <c r="EQJ51" s="2"/>
      <c r="EQK51" s="2"/>
      <c r="EQL51" s="2"/>
      <c r="EQM51" s="2"/>
      <c r="EQN51" s="2"/>
      <c r="EQO51" s="2"/>
      <c r="EQP51" s="2"/>
      <c r="EQQ51" s="2"/>
      <c r="EQR51" s="2"/>
      <c r="EQS51" s="2"/>
      <c r="EQT51" s="2"/>
      <c r="EQU51" s="2"/>
      <c r="EQV51" s="2"/>
      <c r="EQW51" s="2"/>
      <c r="EQX51" s="2"/>
      <c r="EQY51" s="2"/>
      <c r="EQZ51" s="2"/>
      <c r="ERA51" s="2"/>
      <c r="ERB51" s="2"/>
      <c r="ERC51" s="2"/>
      <c r="ERD51" s="2"/>
      <c r="ERE51" s="2"/>
      <c r="ERF51" s="2"/>
      <c r="ERG51" s="2"/>
      <c r="ERH51" s="2"/>
      <c r="ERI51" s="2"/>
      <c r="ERJ51" s="2"/>
      <c r="ERK51" s="2"/>
      <c r="ERL51" s="2"/>
      <c r="ERM51" s="2"/>
      <c r="ERN51" s="2"/>
      <c r="ERO51" s="2"/>
      <c r="ERP51" s="2"/>
      <c r="ERQ51" s="2"/>
      <c r="ERR51" s="2"/>
      <c r="ERS51" s="2"/>
      <c r="ERT51" s="2"/>
      <c r="ERU51" s="2"/>
      <c r="ERV51" s="2"/>
      <c r="ERW51" s="2"/>
      <c r="ERX51" s="2"/>
      <c r="ERY51" s="2"/>
      <c r="ERZ51" s="2"/>
      <c r="ESA51" s="2"/>
      <c r="ESB51" s="2"/>
      <c r="ESC51" s="2"/>
      <c r="ESD51" s="2"/>
      <c r="ESE51" s="2"/>
      <c r="ESF51" s="2"/>
      <c r="ESG51" s="2"/>
      <c r="ESH51" s="2"/>
      <c r="ESI51" s="2"/>
      <c r="ESJ51" s="2"/>
      <c r="ESK51" s="2"/>
      <c r="ESL51" s="2"/>
      <c r="ESM51" s="2"/>
      <c r="ESN51" s="2"/>
      <c r="ESO51" s="2"/>
      <c r="ESP51" s="2"/>
      <c r="ESQ51" s="2"/>
      <c r="ESR51" s="2"/>
      <c r="ESS51" s="2"/>
      <c r="EST51" s="2"/>
      <c r="ESU51" s="2"/>
      <c r="ESV51" s="2"/>
      <c r="ESW51" s="2"/>
      <c r="ESX51" s="2"/>
      <c r="ESY51" s="2"/>
      <c r="ESZ51" s="2"/>
      <c r="ETA51" s="2"/>
      <c r="ETB51" s="2"/>
      <c r="ETC51" s="2"/>
      <c r="ETD51" s="2"/>
      <c r="ETE51" s="2"/>
      <c r="ETF51" s="2"/>
      <c r="ETG51" s="2"/>
      <c r="ETH51" s="2"/>
      <c r="ETI51" s="2"/>
      <c r="ETJ51" s="2"/>
      <c r="ETK51" s="2"/>
      <c r="ETL51" s="2"/>
      <c r="ETM51" s="2"/>
      <c r="ETN51" s="2"/>
      <c r="ETO51" s="2"/>
      <c r="ETP51" s="2"/>
      <c r="ETQ51" s="2"/>
      <c r="ETR51" s="2"/>
      <c r="ETS51" s="2"/>
      <c r="ETT51" s="2"/>
      <c r="ETU51" s="2"/>
      <c r="ETV51" s="2"/>
      <c r="ETW51" s="2"/>
      <c r="ETX51" s="2"/>
      <c r="ETY51" s="2"/>
      <c r="ETZ51" s="2"/>
      <c r="EUA51" s="2"/>
      <c r="EUB51" s="2"/>
      <c r="EUC51" s="2"/>
      <c r="EUD51" s="2"/>
      <c r="EUE51" s="2"/>
      <c r="EUF51" s="2"/>
      <c r="EUG51" s="2"/>
      <c r="EUH51" s="2"/>
      <c r="EUI51" s="2"/>
      <c r="EUJ51" s="2"/>
      <c r="EUK51" s="2"/>
      <c r="EUL51" s="2"/>
      <c r="EUM51" s="2"/>
      <c r="EUN51" s="2"/>
      <c r="EUO51" s="2"/>
      <c r="EUP51" s="2"/>
      <c r="EUQ51" s="2"/>
      <c r="EUR51" s="2"/>
      <c r="EUS51" s="2"/>
      <c r="EUT51" s="2"/>
      <c r="EUU51" s="2"/>
      <c r="EUV51" s="2"/>
      <c r="EUW51" s="2"/>
      <c r="EUX51" s="2"/>
      <c r="EUY51" s="2"/>
      <c r="EUZ51" s="2"/>
      <c r="EVA51" s="2"/>
      <c r="EVB51" s="2"/>
      <c r="EVC51" s="2"/>
      <c r="EVD51" s="2"/>
      <c r="EVE51" s="2"/>
      <c r="EVF51" s="2"/>
      <c r="EVG51" s="2"/>
      <c r="EVH51" s="2"/>
      <c r="EVI51" s="2"/>
      <c r="EVJ51" s="2"/>
      <c r="EVK51" s="2"/>
      <c r="EVL51" s="2"/>
      <c r="EVM51" s="2"/>
      <c r="EVN51" s="2"/>
      <c r="EVO51" s="2"/>
      <c r="EVP51" s="2"/>
      <c r="EVQ51" s="2"/>
      <c r="EVR51" s="2"/>
      <c r="EVS51" s="2"/>
      <c r="EVT51" s="2"/>
      <c r="EVU51" s="2"/>
      <c r="EVV51" s="2"/>
      <c r="EVW51" s="2"/>
      <c r="EVX51" s="2"/>
      <c r="EVY51" s="2"/>
      <c r="EVZ51" s="2"/>
      <c r="EWA51" s="2"/>
      <c r="EWB51" s="2"/>
      <c r="EWC51" s="2"/>
      <c r="EWD51" s="2"/>
      <c r="EWE51" s="2"/>
      <c r="EWF51" s="2"/>
      <c r="EWG51" s="2"/>
      <c r="EWH51" s="2"/>
      <c r="EWI51" s="2"/>
      <c r="EWJ51" s="2"/>
      <c r="EWK51" s="2"/>
      <c r="EWL51" s="2"/>
      <c r="EWM51" s="2"/>
      <c r="EWN51" s="2"/>
      <c r="EWO51" s="2"/>
      <c r="EWP51" s="2"/>
      <c r="EWQ51" s="2"/>
      <c r="EWR51" s="2"/>
      <c r="EWS51" s="2"/>
      <c r="EWT51" s="2"/>
      <c r="EWU51" s="2"/>
      <c r="EWV51" s="2"/>
      <c r="EWW51" s="2"/>
      <c r="EWX51" s="2"/>
      <c r="EWY51" s="2"/>
      <c r="EWZ51" s="2"/>
      <c r="EXA51" s="2"/>
      <c r="EXB51" s="2"/>
      <c r="EXC51" s="2"/>
      <c r="EXD51" s="2"/>
      <c r="EXE51" s="2"/>
      <c r="EXF51" s="2"/>
      <c r="EXG51" s="2"/>
      <c r="EXH51" s="2"/>
      <c r="EXI51" s="2"/>
      <c r="EXJ51" s="2"/>
      <c r="EXK51" s="2"/>
      <c r="EXL51" s="2"/>
      <c r="EXM51" s="2"/>
      <c r="EXN51" s="2"/>
      <c r="EXO51" s="2"/>
      <c r="EXP51" s="2"/>
      <c r="EXQ51" s="2"/>
      <c r="EXR51" s="2"/>
      <c r="EXS51" s="2"/>
      <c r="EXT51" s="2"/>
      <c r="EXU51" s="2"/>
      <c r="EXV51" s="2"/>
      <c r="EXW51" s="2"/>
      <c r="EXX51" s="2"/>
      <c r="EXY51" s="2"/>
      <c r="EXZ51" s="2"/>
      <c r="EYA51" s="2"/>
      <c r="EYB51" s="2"/>
      <c r="EYC51" s="2"/>
      <c r="EYD51" s="2"/>
      <c r="EYE51" s="2"/>
      <c r="EYF51" s="2"/>
      <c r="EYG51" s="2"/>
      <c r="EYH51" s="2"/>
      <c r="EYI51" s="2"/>
      <c r="EYJ51" s="2"/>
      <c r="EYK51" s="2"/>
      <c r="EYL51" s="2"/>
      <c r="EYM51" s="2"/>
      <c r="EYN51" s="2"/>
      <c r="EYO51" s="2"/>
      <c r="EYP51" s="2"/>
      <c r="EYQ51" s="2"/>
      <c r="EYR51" s="2"/>
      <c r="EYS51" s="2"/>
      <c r="EYT51" s="2"/>
      <c r="EYU51" s="2"/>
      <c r="EYV51" s="2"/>
      <c r="EYW51" s="2"/>
      <c r="EYX51" s="2"/>
      <c r="EYY51" s="2"/>
      <c r="EYZ51" s="2"/>
      <c r="EZA51" s="2"/>
      <c r="EZB51" s="2"/>
      <c r="EZC51" s="2"/>
      <c r="EZD51" s="2"/>
      <c r="EZE51" s="2"/>
      <c r="EZF51" s="2"/>
      <c r="EZG51" s="2"/>
      <c r="EZH51" s="2"/>
      <c r="EZI51" s="2"/>
      <c r="EZJ51" s="2"/>
      <c r="EZK51" s="2"/>
      <c r="EZL51" s="2"/>
      <c r="EZM51" s="2"/>
      <c r="EZN51" s="2"/>
      <c r="EZO51" s="2"/>
      <c r="EZP51" s="2"/>
      <c r="EZQ51" s="2"/>
      <c r="EZR51" s="2"/>
      <c r="EZS51" s="2"/>
      <c r="EZT51" s="2"/>
      <c r="EZU51" s="2"/>
      <c r="EZV51" s="2"/>
      <c r="EZW51" s="2"/>
      <c r="EZX51" s="2"/>
      <c r="EZY51" s="2"/>
      <c r="EZZ51" s="2"/>
      <c r="FAA51" s="2"/>
      <c r="FAB51" s="2"/>
      <c r="FAC51" s="2"/>
      <c r="FAD51" s="2"/>
      <c r="FAE51" s="2"/>
      <c r="FAF51" s="2"/>
      <c r="FAG51" s="2"/>
      <c r="FAH51" s="2"/>
      <c r="FAI51" s="2"/>
      <c r="FAJ51" s="2"/>
      <c r="FAK51" s="2"/>
      <c r="FAL51" s="2"/>
      <c r="FAM51" s="2"/>
      <c r="FAN51" s="2"/>
      <c r="FAO51" s="2"/>
      <c r="FAP51" s="2"/>
      <c r="FAQ51" s="2"/>
      <c r="FAR51" s="2"/>
      <c r="FAS51" s="2"/>
      <c r="FAT51" s="2"/>
      <c r="FAU51" s="2"/>
      <c r="FAV51" s="2"/>
      <c r="FAW51" s="2"/>
      <c r="FAX51" s="2"/>
      <c r="FAY51" s="2"/>
      <c r="FAZ51" s="2"/>
      <c r="FBA51" s="2"/>
      <c r="FBB51" s="2"/>
      <c r="FBC51" s="2"/>
      <c r="FBD51" s="2"/>
      <c r="FBE51" s="2"/>
      <c r="FBF51" s="2"/>
      <c r="FBG51" s="2"/>
      <c r="FBH51" s="2"/>
      <c r="FBI51" s="2"/>
      <c r="FBJ51" s="2"/>
      <c r="FBK51" s="2"/>
      <c r="FBL51" s="2"/>
      <c r="FBM51" s="2"/>
      <c r="FBN51" s="2"/>
      <c r="FBO51" s="2"/>
      <c r="FBP51" s="2"/>
      <c r="FBQ51" s="2"/>
      <c r="FBR51" s="2"/>
      <c r="FBS51" s="2"/>
      <c r="FBT51" s="2"/>
      <c r="FBU51" s="2"/>
      <c r="FBV51" s="2"/>
      <c r="FBW51" s="2"/>
      <c r="FBX51" s="2"/>
      <c r="FBY51" s="2"/>
      <c r="FBZ51" s="2"/>
      <c r="FCA51" s="2"/>
      <c r="FCB51" s="2"/>
      <c r="FCC51" s="2"/>
      <c r="FCD51" s="2"/>
      <c r="FCE51" s="2"/>
      <c r="FCF51" s="2"/>
      <c r="FCG51" s="2"/>
      <c r="FCH51" s="2"/>
      <c r="FCI51" s="2"/>
      <c r="FCJ51" s="2"/>
      <c r="FCK51" s="2"/>
      <c r="FCL51" s="2"/>
      <c r="FCM51" s="2"/>
      <c r="FCN51" s="2"/>
      <c r="FCO51" s="2"/>
      <c r="FCP51" s="2"/>
      <c r="FCQ51" s="2"/>
      <c r="FCR51" s="2"/>
      <c r="FCS51" s="2"/>
      <c r="FCT51" s="2"/>
      <c r="FCU51" s="2"/>
      <c r="FCV51" s="2"/>
      <c r="FCW51" s="2"/>
      <c r="FCX51" s="2"/>
      <c r="FCY51" s="2"/>
      <c r="FCZ51" s="2"/>
      <c r="FDA51" s="2"/>
      <c r="FDB51" s="2"/>
      <c r="FDC51" s="2"/>
      <c r="FDD51" s="2"/>
      <c r="FDE51" s="2"/>
      <c r="FDF51" s="2"/>
      <c r="FDG51" s="2"/>
      <c r="FDH51" s="2"/>
      <c r="FDI51" s="2"/>
      <c r="FDJ51" s="2"/>
      <c r="FDK51" s="2"/>
      <c r="FDL51" s="2"/>
      <c r="FDM51" s="2"/>
      <c r="FDN51" s="2"/>
      <c r="FDO51" s="2"/>
      <c r="FDP51" s="2"/>
      <c r="FDQ51" s="2"/>
      <c r="FDR51" s="2"/>
      <c r="FDS51" s="2"/>
      <c r="FDT51" s="2"/>
      <c r="FDU51" s="2"/>
      <c r="FDV51" s="2"/>
      <c r="FDW51" s="2"/>
      <c r="FDX51" s="2"/>
      <c r="FDY51" s="2"/>
      <c r="FDZ51" s="2"/>
      <c r="FEA51" s="2"/>
      <c r="FEB51" s="2"/>
      <c r="FEC51" s="2"/>
      <c r="FED51" s="2"/>
      <c r="FEE51" s="2"/>
      <c r="FEF51" s="2"/>
      <c r="FEG51" s="2"/>
      <c r="FEH51" s="2"/>
      <c r="FEI51" s="2"/>
      <c r="FEJ51" s="2"/>
      <c r="FEK51" s="2"/>
      <c r="FEL51" s="2"/>
      <c r="FEM51" s="2"/>
      <c r="FEN51" s="2"/>
      <c r="FEO51" s="2"/>
      <c r="FEP51" s="2"/>
      <c r="FEQ51" s="2"/>
      <c r="FER51" s="2"/>
      <c r="FES51" s="2"/>
      <c r="FET51" s="2"/>
      <c r="FEU51" s="2"/>
      <c r="FEV51" s="2"/>
      <c r="FEW51" s="2"/>
      <c r="FEX51" s="2"/>
      <c r="FEY51" s="2"/>
      <c r="FEZ51" s="2"/>
      <c r="FFA51" s="2"/>
      <c r="FFB51" s="2"/>
      <c r="FFC51" s="2"/>
      <c r="FFD51" s="2"/>
      <c r="FFE51" s="2"/>
      <c r="FFF51" s="2"/>
      <c r="FFG51" s="2"/>
      <c r="FFH51" s="2"/>
      <c r="FFI51" s="2"/>
      <c r="FFJ51" s="2"/>
      <c r="FFK51" s="2"/>
      <c r="FFL51" s="2"/>
      <c r="FFM51" s="2"/>
      <c r="FFN51" s="2"/>
      <c r="FFO51" s="2"/>
      <c r="FFP51" s="2"/>
      <c r="FFQ51" s="2"/>
      <c r="FFR51" s="2"/>
      <c r="FFS51" s="2"/>
      <c r="FFT51" s="2"/>
      <c r="FFU51" s="2"/>
      <c r="FFV51" s="2"/>
      <c r="FFW51" s="2"/>
      <c r="FFX51" s="2"/>
      <c r="FFY51" s="2"/>
      <c r="FFZ51" s="2"/>
      <c r="FGA51" s="2"/>
      <c r="FGB51" s="2"/>
      <c r="FGC51" s="2"/>
      <c r="FGD51" s="2"/>
      <c r="FGE51" s="2"/>
      <c r="FGF51" s="2"/>
      <c r="FGG51" s="2"/>
      <c r="FGH51" s="2"/>
      <c r="FGI51" s="2"/>
      <c r="FGJ51" s="2"/>
      <c r="FGK51" s="2"/>
      <c r="FGL51" s="2"/>
      <c r="FGM51" s="2"/>
      <c r="FGN51" s="2"/>
      <c r="FGO51" s="2"/>
      <c r="FGP51" s="2"/>
      <c r="FGQ51" s="2"/>
      <c r="FGR51" s="2"/>
      <c r="FGS51" s="2"/>
      <c r="FGT51" s="2"/>
      <c r="FGU51" s="2"/>
      <c r="FGV51" s="2"/>
      <c r="FGW51" s="2"/>
      <c r="FGX51" s="2"/>
      <c r="FGY51" s="2"/>
      <c r="FGZ51" s="2"/>
      <c r="FHA51" s="2"/>
      <c r="FHB51" s="2"/>
      <c r="FHC51" s="2"/>
      <c r="FHD51" s="2"/>
      <c r="FHE51" s="2"/>
      <c r="FHF51" s="2"/>
      <c r="FHG51" s="2"/>
      <c r="FHH51" s="2"/>
      <c r="FHI51" s="2"/>
      <c r="FHJ51" s="2"/>
      <c r="FHK51" s="2"/>
      <c r="FHL51" s="2"/>
      <c r="FHM51" s="2"/>
      <c r="FHN51" s="2"/>
      <c r="FHO51" s="2"/>
      <c r="FHP51" s="2"/>
      <c r="FHQ51" s="2"/>
      <c r="FHR51" s="2"/>
      <c r="FHS51" s="2"/>
      <c r="FHT51" s="2"/>
      <c r="FHU51" s="2"/>
      <c r="FHV51" s="2"/>
      <c r="FHW51" s="2"/>
      <c r="FHX51" s="2"/>
      <c r="FHY51" s="2"/>
      <c r="FHZ51" s="2"/>
      <c r="FIA51" s="2"/>
      <c r="FIB51" s="2"/>
      <c r="FIC51" s="2"/>
      <c r="FID51" s="2"/>
      <c r="FIE51" s="2"/>
      <c r="FIF51" s="2"/>
      <c r="FIG51" s="2"/>
      <c r="FIH51" s="2"/>
      <c r="FII51" s="2"/>
      <c r="FIJ51" s="2"/>
      <c r="FIK51" s="2"/>
      <c r="FIL51" s="2"/>
      <c r="FIM51" s="2"/>
      <c r="FIN51" s="2"/>
      <c r="FIO51" s="2"/>
      <c r="FIP51" s="2"/>
      <c r="FIQ51" s="2"/>
      <c r="FIR51" s="2"/>
      <c r="FIS51" s="2"/>
      <c r="FIT51" s="2"/>
      <c r="FIU51" s="2"/>
      <c r="FIV51" s="2"/>
      <c r="FIW51" s="2"/>
      <c r="FIX51" s="2"/>
      <c r="FIY51" s="2"/>
      <c r="FIZ51" s="2"/>
      <c r="FJA51" s="2"/>
      <c r="FJB51" s="2"/>
      <c r="FJC51" s="2"/>
      <c r="FJD51" s="2"/>
      <c r="FJE51" s="2"/>
      <c r="FJF51" s="2"/>
      <c r="FJG51" s="2"/>
      <c r="FJH51" s="2"/>
      <c r="FJI51" s="2"/>
      <c r="FJJ51" s="2"/>
      <c r="FJK51" s="2"/>
      <c r="FJL51" s="2"/>
      <c r="FJM51" s="2"/>
      <c r="FJN51" s="2"/>
      <c r="FJO51" s="2"/>
      <c r="FJP51" s="2"/>
      <c r="FJQ51" s="2"/>
      <c r="FJR51" s="2"/>
      <c r="FJS51" s="2"/>
      <c r="FJT51" s="2"/>
      <c r="FJU51" s="2"/>
      <c r="FJV51" s="2"/>
      <c r="FJW51" s="2"/>
      <c r="FJX51" s="2"/>
      <c r="FJY51" s="2"/>
      <c r="FJZ51" s="2"/>
      <c r="FKA51" s="2"/>
      <c r="FKB51" s="2"/>
      <c r="FKC51" s="2"/>
      <c r="FKD51" s="2"/>
      <c r="FKE51" s="2"/>
      <c r="FKF51" s="2"/>
      <c r="FKG51" s="2"/>
      <c r="FKH51" s="2"/>
      <c r="FKI51" s="2"/>
      <c r="FKJ51" s="2"/>
      <c r="FKK51" s="2"/>
      <c r="FKL51" s="2"/>
      <c r="FKM51" s="2"/>
      <c r="FKN51" s="2"/>
      <c r="FKO51" s="2"/>
      <c r="FKP51" s="2"/>
      <c r="FKQ51" s="2"/>
      <c r="FKR51" s="2"/>
      <c r="FKS51" s="2"/>
      <c r="FKT51" s="2"/>
      <c r="FKU51" s="2"/>
      <c r="FKV51" s="2"/>
      <c r="FKW51" s="2"/>
      <c r="FKX51" s="2"/>
      <c r="FKY51" s="2"/>
      <c r="FKZ51" s="2"/>
      <c r="FLA51" s="2"/>
      <c r="FLB51" s="2"/>
      <c r="FLC51" s="2"/>
      <c r="FLD51" s="2"/>
      <c r="FLE51" s="2"/>
      <c r="FLF51" s="2"/>
      <c r="FLG51" s="2"/>
      <c r="FLH51" s="2"/>
      <c r="FLI51" s="2"/>
      <c r="FLJ51" s="2"/>
      <c r="FLK51" s="2"/>
      <c r="FLL51" s="2"/>
      <c r="FLM51" s="2"/>
      <c r="FLN51" s="2"/>
      <c r="FLO51" s="2"/>
      <c r="FLP51" s="2"/>
      <c r="FLQ51" s="2"/>
      <c r="FLR51" s="2"/>
      <c r="FLS51" s="2"/>
      <c r="FLT51" s="2"/>
      <c r="FLU51" s="2"/>
      <c r="FLV51" s="2"/>
      <c r="FLW51" s="2"/>
      <c r="FLX51" s="2"/>
      <c r="FLY51" s="2"/>
      <c r="FLZ51" s="2"/>
      <c r="FMA51" s="2"/>
      <c r="FMB51" s="2"/>
      <c r="FMC51" s="2"/>
      <c r="FMD51" s="2"/>
      <c r="FME51" s="2"/>
      <c r="FMF51" s="2"/>
      <c r="FMG51" s="2"/>
      <c r="FMH51" s="2"/>
      <c r="FMI51" s="2"/>
      <c r="FMJ51" s="2"/>
      <c r="FMK51" s="2"/>
      <c r="FML51" s="2"/>
      <c r="FMM51" s="2"/>
      <c r="FMN51" s="2"/>
      <c r="FMO51" s="2"/>
      <c r="FMP51" s="2"/>
      <c r="FMQ51" s="2"/>
      <c r="FMR51" s="2"/>
      <c r="FMS51" s="2"/>
      <c r="FMT51" s="2"/>
      <c r="FMU51" s="2"/>
      <c r="FMV51" s="2"/>
      <c r="FMW51" s="2"/>
      <c r="FMX51" s="2"/>
      <c r="FMY51" s="2"/>
      <c r="FMZ51" s="2"/>
      <c r="FNA51" s="2"/>
      <c r="FNB51" s="2"/>
      <c r="FNC51" s="2"/>
      <c r="FND51" s="2"/>
      <c r="FNE51" s="2"/>
      <c r="FNF51" s="2"/>
      <c r="FNG51" s="2"/>
      <c r="FNH51" s="2"/>
      <c r="FNI51" s="2"/>
      <c r="FNJ51" s="2"/>
      <c r="FNK51" s="2"/>
      <c r="FNL51" s="2"/>
      <c r="FNM51" s="2"/>
      <c r="FNN51" s="2"/>
      <c r="FNO51" s="2"/>
      <c r="FNP51" s="2"/>
      <c r="FNQ51" s="2"/>
      <c r="FNR51" s="2"/>
      <c r="FNS51" s="2"/>
      <c r="FNT51" s="2"/>
      <c r="FNU51" s="2"/>
      <c r="FNV51" s="2"/>
      <c r="FNW51" s="2"/>
      <c r="FNX51" s="2"/>
      <c r="FNY51" s="2"/>
      <c r="FNZ51" s="2"/>
      <c r="FOA51" s="2"/>
      <c r="FOB51" s="2"/>
      <c r="FOC51" s="2"/>
      <c r="FOD51" s="2"/>
      <c r="FOE51" s="2"/>
      <c r="FOF51" s="2"/>
      <c r="FOG51" s="2"/>
      <c r="FOH51" s="2"/>
      <c r="FOI51" s="2"/>
      <c r="FOJ51" s="2"/>
      <c r="FOK51" s="2"/>
      <c r="FOL51" s="2"/>
      <c r="FOM51" s="2"/>
      <c r="FON51" s="2"/>
      <c r="FOO51" s="2"/>
      <c r="FOP51" s="2"/>
      <c r="FOQ51" s="2"/>
      <c r="FOR51" s="2"/>
      <c r="FOS51" s="2"/>
      <c r="FOT51" s="2"/>
      <c r="FOU51" s="2"/>
      <c r="FOV51" s="2"/>
      <c r="FOW51" s="2"/>
      <c r="FOX51" s="2"/>
      <c r="FOY51" s="2"/>
      <c r="FOZ51" s="2"/>
      <c r="FPA51" s="2"/>
      <c r="FPB51" s="2"/>
      <c r="FPC51" s="2"/>
      <c r="FPD51" s="2"/>
      <c r="FPE51" s="2"/>
      <c r="FPF51" s="2"/>
      <c r="FPG51" s="2"/>
      <c r="FPH51" s="2"/>
      <c r="FPI51" s="2"/>
      <c r="FPJ51" s="2"/>
      <c r="FPK51" s="2"/>
      <c r="FPL51" s="2"/>
      <c r="FPM51" s="2"/>
      <c r="FPN51" s="2"/>
      <c r="FPO51" s="2"/>
      <c r="FPP51" s="2"/>
      <c r="FPQ51" s="2"/>
      <c r="FPR51" s="2"/>
      <c r="FPS51" s="2"/>
      <c r="FPT51" s="2"/>
      <c r="FPU51" s="2"/>
      <c r="FPV51" s="2"/>
      <c r="FPW51" s="2"/>
      <c r="FPX51" s="2"/>
      <c r="FPY51" s="2"/>
      <c r="FPZ51" s="2"/>
      <c r="FQA51" s="2"/>
      <c r="FQB51" s="2"/>
      <c r="FQC51" s="2"/>
      <c r="FQD51" s="2"/>
      <c r="FQE51" s="2"/>
      <c r="FQF51" s="2"/>
      <c r="FQG51" s="2"/>
      <c r="FQH51" s="2"/>
      <c r="FQI51" s="2"/>
      <c r="FQJ51" s="2"/>
      <c r="FQK51" s="2"/>
      <c r="FQL51" s="2"/>
      <c r="FQM51" s="2"/>
      <c r="FQN51" s="2"/>
      <c r="FQO51" s="2"/>
      <c r="FQP51" s="2"/>
      <c r="FQQ51" s="2"/>
      <c r="FQR51" s="2"/>
      <c r="FQS51" s="2"/>
      <c r="FQT51" s="2"/>
      <c r="FQU51" s="2"/>
      <c r="FQV51" s="2"/>
      <c r="FQW51" s="2"/>
      <c r="FQX51" s="2"/>
      <c r="FQY51" s="2"/>
      <c r="FQZ51" s="2"/>
      <c r="FRA51" s="2"/>
      <c r="FRB51" s="2"/>
      <c r="FRC51" s="2"/>
      <c r="FRD51" s="2"/>
      <c r="FRE51" s="2"/>
      <c r="FRF51" s="2"/>
      <c r="FRG51" s="2"/>
      <c r="FRH51" s="2"/>
      <c r="FRI51" s="2"/>
      <c r="FRJ51" s="2"/>
      <c r="FRK51" s="2"/>
      <c r="FRL51" s="2"/>
      <c r="FRM51" s="2"/>
      <c r="FRN51" s="2"/>
      <c r="FRO51" s="2"/>
      <c r="FRP51" s="2"/>
      <c r="FRQ51" s="2"/>
      <c r="FRR51" s="2"/>
      <c r="FRS51" s="2"/>
      <c r="FRT51" s="2"/>
      <c r="FRU51" s="2"/>
      <c r="FRV51" s="2"/>
      <c r="FRW51" s="2"/>
      <c r="FRX51" s="2"/>
      <c r="FRY51" s="2"/>
      <c r="FRZ51" s="2"/>
      <c r="FSA51" s="2"/>
      <c r="FSB51" s="2"/>
      <c r="FSC51" s="2"/>
      <c r="FSD51" s="2"/>
      <c r="FSE51" s="2"/>
      <c r="FSF51" s="2"/>
      <c r="FSG51" s="2"/>
      <c r="FSH51" s="2"/>
      <c r="FSI51" s="2"/>
      <c r="FSJ51" s="2"/>
      <c r="FSK51" s="2"/>
      <c r="FSL51" s="2"/>
      <c r="FSM51" s="2"/>
      <c r="FSN51" s="2"/>
      <c r="FSO51" s="2"/>
      <c r="FSP51" s="2"/>
      <c r="FSQ51" s="2"/>
      <c r="FSR51" s="2"/>
      <c r="FSS51" s="2"/>
      <c r="FST51" s="2"/>
      <c r="FSU51" s="2"/>
      <c r="FSV51" s="2"/>
      <c r="FSW51" s="2"/>
      <c r="FSX51" s="2"/>
      <c r="FSY51" s="2"/>
      <c r="FSZ51" s="2"/>
      <c r="FTA51" s="2"/>
      <c r="FTB51" s="2"/>
      <c r="FTC51" s="2"/>
      <c r="FTD51" s="2"/>
      <c r="FTE51" s="2"/>
      <c r="FTF51" s="2"/>
      <c r="FTG51" s="2"/>
      <c r="FTH51" s="2"/>
      <c r="FTI51" s="2"/>
      <c r="FTJ51" s="2"/>
      <c r="FTK51" s="2"/>
      <c r="FTL51" s="2"/>
      <c r="FTM51" s="2"/>
      <c r="FTN51" s="2"/>
      <c r="FTO51" s="2"/>
      <c r="FTP51" s="2"/>
      <c r="FTQ51" s="2"/>
      <c r="FTR51" s="2"/>
      <c r="FTS51" s="2"/>
      <c r="FTT51" s="2"/>
      <c r="FTU51" s="2"/>
      <c r="FTV51" s="2"/>
      <c r="FTW51" s="2"/>
      <c r="FTX51" s="2"/>
      <c r="FTY51" s="2"/>
      <c r="FTZ51" s="2"/>
      <c r="FUA51" s="2"/>
      <c r="FUB51" s="2"/>
      <c r="FUC51" s="2"/>
      <c r="FUD51" s="2"/>
      <c r="FUE51" s="2"/>
      <c r="FUF51" s="2"/>
      <c r="FUG51" s="2"/>
      <c r="FUH51" s="2"/>
      <c r="FUI51" s="2"/>
      <c r="FUJ51" s="2"/>
      <c r="FUK51" s="2"/>
      <c r="FUL51" s="2"/>
      <c r="FUM51" s="2"/>
      <c r="FUN51" s="2"/>
      <c r="FUO51" s="2"/>
      <c r="FUP51" s="2"/>
      <c r="FUQ51" s="2"/>
      <c r="FUR51" s="2"/>
      <c r="FUS51" s="2"/>
      <c r="FUT51" s="2"/>
      <c r="FUU51" s="2"/>
      <c r="FUV51" s="2"/>
      <c r="FUW51" s="2"/>
      <c r="FUX51" s="2"/>
      <c r="FUY51" s="2"/>
      <c r="FUZ51" s="2"/>
      <c r="FVA51" s="2"/>
      <c r="FVB51" s="2"/>
      <c r="FVC51" s="2"/>
      <c r="FVD51" s="2"/>
      <c r="FVE51" s="2"/>
      <c r="FVF51" s="2"/>
      <c r="FVG51" s="2"/>
      <c r="FVH51" s="2"/>
      <c r="FVI51" s="2"/>
      <c r="FVJ51" s="2"/>
      <c r="FVK51" s="2"/>
      <c r="FVL51" s="2"/>
      <c r="FVM51" s="2"/>
      <c r="FVN51" s="2"/>
      <c r="FVO51" s="2"/>
      <c r="FVP51" s="2"/>
      <c r="FVQ51" s="2"/>
      <c r="FVR51" s="2"/>
      <c r="FVS51" s="2"/>
      <c r="FVT51" s="2"/>
      <c r="FVU51" s="2"/>
      <c r="FVV51" s="2"/>
      <c r="FVW51" s="2"/>
      <c r="FVX51" s="2"/>
      <c r="FVY51" s="2"/>
      <c r="FVZ51" s="2"/>
      <c r="FWA51" s="2"/>
      <c r="FWB51" s="2"/>
      <c r="FWC51" s="2"/>
      <c r="FWD51" s="2"/>
      <c r="FWE51" s="2"/>
      <c r="FWF51" s="2"/>
      <c r="FWG51" s="2"/>
      <c r="FWH51" s="2"/>
      <c r="FWI51" s="2"/>
      <c r="FWJ51" s="2"/>
      <c r="FWK51" s="2"/>
      <c r="FWL51" s="2"/>
      <c r="FWM51" s="2"/>
      <c r="FWN51" s="2"/>
      <c r="FWO51" s="2"/>
      <c r="FWP51" s="2"/>
      <c r="FWQ51" s="2"/>
      <c r="FWR51" s="2"/>
      <c r="FWS51" s="2"/>
      <c r="FWT51" s="2"/>
      <c r="FWU51" s="2"/>
      <c r="FWV51" s="2"/>
      <c r="FWW51" s="2"/>
      <c r="FWX51" s="2"/>
      <c r="FWY51" s="2"/>
      <c r="FWZ51" s="2"/>
      <c r="FXA51" s="2"/>
      <c r="FXB51" s="2"/>
      <c r="FXC51" s="2"/>
      <c r="FXD51" s="2"/>
      <c r="FXE51" s="2"/>
      <c r="FXF51" s="2"/>
      <c r="FXG51" s="2"/>
      <c r="FXH51" s="2"/>
      <c r="FXI51" s="2"/>
      <c r="FXJ51" s="2"/>
      <c r="FXK51" s="2"/>
      <c r="FXL51" s="2"/>
      <c r="FXM51" s="2"/>
      <c r="FXN51" s="2"/>
      <c r="FXO51" s="2"/>
      <c r="FXP51" s="2"/>
      <c r="FXQ51" s="2"/>
      <c r="FXR51" s="2"/>
      <c r="FXS51" s="2"/>
      <c r="FXT51" s="2"/>
      <c r="FXU51" s="2"/>
      <c r="FXV51" s="2"/>
      <c r="FXW51" s="2"/>
      <c r="FXX51" s="2"/>
      <c r="FXY51" s="2"/>
      <c r="FXZ51" s="2"/>
      <c r="FYA51" s="2"/>
      <c r="FYB51" s="2"/>
      <c r="FYC51" s="2"/>
      <c r="FYD51" s="2"/>
      <c r="FYE51" s="2"/>
      <c r="FYF51" s="2"/>
      <c r="FYG51" s="2"/>
      <c r="FYH51" s="2"/>
      <c r="FYI51" s="2"/>
      <c r="FYJ51" s="2"/>
      <c r="FYK51" s="2"/>
      <c r="FYL51" s="2"/>
      <c r="FYM51" s="2"/>
      <c r="FYN51" s="2"/>
      <c r="FYO51" s="2"/>
      <c r="FYP51" s="2"/>
      <c r="FYQ51" s="2"/>
      <c r="FYR51" s="2"/>
      <c r="FYS51" s="2"/>
      <c r="FYT51" s="2"/>
      <c r="FYU51" s="2"/>
      <c r="FYV51" s="2"/>
      <c r="FYW51" s="2"/>
      <c r="FYX51" s="2"/>
      <c r="FYY51" s="2"/>
      <c r="FYZ51" s="2"/>
      <c r="FZA51" s="2"/>
      <c r="FZB51" s="2"/>
      <c r="FZC51" s="2"/>
      <c r="FZD51" s="2"/>
      <c r="FZE51" s="2"/>
      <c r="FZF51" s="2"/>
      <c r="FZG51" s="2"/>
      <c r="FZH51" s="2"/>
      <c r="FZI51" s="2"/>
      <c r="FZJ51" s="2"/>
      <c r="FZK51" s="2"/>
      <c r="FZL51" s="2"/>
      <c r="FZM51" s="2"/>
      <c r="FZN51" s="2"/>
      <c r="FZO51" s="2"/>
      <c r="FZP51" s="2"/>
      <c r="FZQ51" s="2"/>
      <c r="FZR51" s="2"/>
      <c r="FZS51" s="2"/>
      <c r="FZT51" s="2"/>
      <c r="FZU51" s="2"/>
      <c r="FZV51" s="2"/>
      <c r="FZW51" s="2"/>
      <c r="FZX51" s="2"/>
      <c r="FZY51" s="2"/>
      <c r="FZZ51" s="2"/>
      <c r="GAA51" s="2"/>
      <c r="GAB51" s="2"/>
      <c r="GAC51" s="2"/>
      <c r="GAD51" s="2"/>
      <c r="GAE51" s="2"/>
      <c r="GAF51" s="2"/>
      <c r="GAG51" s="2"/>
      <c r="GAH51" s="2"/>
      <c r="GAI51" s="2"/>
      <c r="GAJ51" s="2"/>
      <c r="GAK51" s="2"/>
      <c r="GAL51" s="2"/>
      <c r="GAM51" s="2"/>
      <c r="GAN51" s="2"/>
      <c r="GAO51" s="2"/>
      <c r="GAP51" s="2"/>
      <c r="GAQ51" s="2"/>
      <c r="GAR51" s="2"/>
      <c r="GAS51" s="2"/>
      <c r="GAT51" s="2"/>
      <c r="GAU51" s="2"/>
      <c r="GAV51" s="2"/>
      <c r="GAW51" s="2"/>
      <c r="GAX51" s="2"/>
      <c r="GAY51" s="2"/>
      <c r="GAZ51" s="2"/>
      <c r="GBA51" s="2"/>
      <c r="GBB51" s="2"/>
      <c r="GBC51" s="2"/>
      <c r="GBD51" s="2"/>
      <c r="GBE51" s="2"/>
      <c r="GBF51" s="2"/>
      <c r="GBG51" s="2"/>
      <c r="GBH51" s="2"/>
      <c r="GBI51" s="2"/>
      <c r="GBJ51" s="2"/>
      <c r="GBK51" s="2"/>
      <c r="GBL51" s="2"/>
      <c r="GBM51" s="2"/>
      <c r="GBN51" s="2"/>
      <c r="GBO51" s="2"/>
      <c r="GBP51" s="2"/>
      <c r="GBQ51" s="2"/>
      <c r="GBR51" s="2"/>
      <c r="GBS51" s="2"/>
      <c r="GBT51" s="2"/>
      <c r="GBU51" s="2"/>
      <c r="GBV51" s="2"/>
      <c r="GBW51" s="2"/>
      <c r="GBX51" s="2"/>
      <c r="GBY51" s="2"/>
      <c r="GBZ51" s="2"/>
      <c r="GCA51" s="2"/>
      <c r="GCB51" s="2"/>
      <c r="GCC51" s="2"/>
      <c r="GCD51" s="2"/>
      <c r="GCE51" s="2"/>
      <c r="GCF51" s="2"/>
      <c r="GCG51" s="2"/>
      <c r="GCH51" s="2"/>
      <c r="GCI51" s="2"/>
      <c r="GCJ51" s="2"/>
      <c r="GCK51" s="2"/>
      <c r="GCL51" s="2"/>
      <c r="GCM51" s="2"/>
      <c r="GCN51" s="2"/>
      <c r="GCO51" s="2"/>
      <c r="GCP51" s="2"/>
      <c r="GCQ51" s="2"/>
      <c r="GCR51" s="2"/>
      <c r="GCS51" s="2"/>
      <c r="GCT51" s="2"/>
      <c r="GCU51" s="2"/>
      <c r="GCV51" s="2"/>
      <c r="GCW51" s="2"/>
      <c r="GCX51" s="2"/>
      <c r="GCY51" s="2"/>
      <c r="GCZ51" s="2"/>
      <c r="GDA51" s="2"/>
      <c r="GDB51" s="2"/>
      <c r="GDC51" s="2"/>
      <c r="GDD51" s="2"/>
      <c r="GDE51" s="2"/>
      <c r="GDF51" s="2"/>
      <c r="GDG51" s="2"/>
      <c r="GDH51" s="2"/>
      <c r="GDI51" s="2"/>
      <c r="GDJ51" s="2"/>
      <c r="GDK51" s="2"/>
      <c r="GDL51" s="2"/>
      <c r="GDM51" s="2"/>
      <c r="GDN51" s="2"/>
      <c r="GDO51" s="2"/>
      <c r="GDP51" s="2"/>
      <c r="GDQ51" s="2"/>
      <c r="GDR51" s="2"/>
      <c r="GDS51" s="2"/>
      <c r="GDT51" s="2"/>
      <c r="GDU51" s="2"/>
      <c r="GDV51" s="2"/>
      <c r="GDW51" s="2"/>
      <c r="GDX51" s="2"/>
      <c r="GDY51" s="2"/>
      <c r="GDZ51" s="2"/>
      <c r="GEA51" s="2"/>
      <c r="GEB51" s="2"/>
      <c r="GEC51" s="2"/>
      <c r="GED51" s="2"/>
      <c r="GEE51" s="2"/>
      <c r="GEF51" s="2"/>
      <c r="GEG51" s="2"/>
      <c r="GEH51" s="2"/>
      <c r="GEI51" s="2"/>
      <c r="GEJ51" s="2"/>
      <c r="GEK51" s="2"/>
      <c r="GEL51" s="2"/>
      <c r="GEM51" s="2"/>
      <c r="GEN51" s="2"/>
      <c r="GEO51" s="2"/>
      <c r="GEP51" s="2"/>
      <c r="GEQ51" s="2"/>
      <c r="GER51" s="2"/>
      <c r="GES51" s="2"/>
      <c r="GET51" s="2"/>
      <c r="GEU51" s="2"/>
      <c r="GEV51" s="2"/>
      <c r="GEW51" s="2"/>
      <c r="GEX51" s="2"/>
      <c r="GEY51" s="2"/>
      <c r="GEZ51" s="2"/>
      <c r="GFA51" s="2"/>
      <c r="GFB51" s="2"/>
      <c r="GFC51" s="2"/>
      <c r="GFD51" s="2"/>
      <c r="GFE51" s="2"/>
      <c r="GFF51" s="2"/>
      <c r="GFG51" s="2"/>
      <c r="GFH51" s="2"/>
      <c r="GFI51" s="2"/>
      <c r="GFJ51" s="2"/>
      <c r="GFK51" s="2"/>
      <c r="GFL51" s="2"/>
      <c r="GFM51" s="2"/>
      <c r="GFN51" s="2"/>
      <c r="GFO51" s="2"/>
      <c r="GFP51" s="2"/>
      <c r="GFQ51" s="2"/>
      <c r="GFR51" s="2"/>
      <c r="GFS51" s="2"/>
      <c r="GFT51" s="2"/>
      <c r="GFU51" s="2"/>
      <c r="GFV51" s="2"/>
      <c r="GFW51" s="2"/>
      <c r="GFX51" s="2"/>
      <c r="GFY51" s="2"/>
      <c r="GFZ51" s="2"/>
      <c r="GGA51" s="2"/>
      <c r="GGB51" s="2"/>
      <c r="GGC51" s="2"/>
      <c r="GGD51" s="2"/>
      <c r="GGE51" s="2"/>
      <c r="GGF51" s="2"/>
      <c r="GGG51" s="2"/>
      <c r="GGH51" s="2"/>
      <c r="GGI51" s="2"/>
      <c r="GGJ51" s="2"/>
      <c r="GGK51" s="2"/>
      <c r="GGL51" s="2"/>
      <c r="GGM51" s="2"/>
      <c r="GGN51" s="2"/>
      <c r="GGO51" s="2"/>
      <c r="GGP51" s="2"/>
      <c r="GGQ51" s="2"/>
      <c r="GGR51" s="2"/>
      <c r="GGS51" s="2"/>
      <c r="GGT51" s="2"/>
      <c r="GGU51" s="2"/>
      <c r="GGV51" s="2"/>
      <c r="GGW51" s="2"/>
      <c r="GGX51" s="2"/>
      <c r="GGY51" s="2"/>
      <c r="GGZ51" s="2"/>
      <c r="GHA51" s="2"/>
      <c r="GHB51" s="2"/>
      <c r="GHC51" s="2"/>
      <c r="GHD51" s="2"/>
      <c r="GHE51" s="2"/>
      <c r="GHF51" s="2"/>
      <c r="GHG51" s="2"/>
      <c r="GHH51" s="2"/>
      <c r="GHI51" s="2"/>
      <c r="GHJ51" s="2"/>
      <c r="GHK51" s="2"/>
      <c r="GHL51" s="2"/>
      <c r="GHM51" s="2"/>
      <c r="GHN51" s="2"/>
      <c r="GHO51" s="2"/>
      <c r="GHP51" s="2"/>
      <c r="GHQ51" s="2"/>
      <c r="GHR51" s="2"/>
      <c r="GHS51" s="2"/>
      <c r="GHT51" s="2"/>
      <c r="GHU51" s="2"/>
      <c r="GHV51" s="2"/>
      <c r="GHW51" s="2"/>
      <c r="GHX51" s="2"/>
      <c r="GHY51" s="2"/>
      <c r="GHZ51" s="2"/>
      <c r="GIA51" s="2"/>
      <c r="GIB51" s="2"/>
      <c r="GIC51" s="2"/>
      <c r="GID51" s="2"/>
      <c r="GIE51" s="2"/>
      <c r="GIF51" s="2"/>
      <c r="GIG51" s="2"/>
      <c r="GIH51" s="2"/>
      <c r="GII51" s="2"/>
      <c r="GIJ51" s="2"/>
      <c r="GIK51" s="2"/>
      <c r="GIL51" s="2"/>
      <c r="GIM51" s="2"/>
      <c r="GIN51" s="2"/>
      <c r="GIO51" s="2"/>
      <c r="GIP51" s="2"/>
      <c r="GIQ51" s="2"/>
      <c r="GIR51" s="2"/>
      <c r="GIS51" s="2"/>
      <c r="GIT51" s="2"/>
      <c r="GIU51" s="2"/>
      <c r="GIV51" s="2"/>
      <c r="GIW51" s="2"/>
      <c r="GIX51" s="2"/>
      <c r="GIY51" s="2"/>
      <c r="GIZ51" s="2"/>
      <c r="GJA51" s="2"/>
      <c r="GJB51" s="2"/>
      <c r="GJC51" s="2"/>
      <c r="GJD51" s="2"/>
      <c r="GJE51" s="2"/>
      <c r="GJF51" s="2"/>
      <c r="GJG51" s="2"/>
      <c r="GJH51" s="2"/>
      <c r="GJI51" s="2"/>
      <c r="GJJ51" s="2"/>
      <c r="GJK51" s="2"/>
      <c r="GJL51" s="2"/>
      <c r="GJM51" s="2"/>
      <c r="GJN51" s="2"/>
      <c r="GJO51" s="2"/>
      <c r="GJP51" s="2"/>
      <c r="GJQ51" s="2"/>
      <c r="GJR51" s="2"/>
      <c r="GJS51" s="2"/>
      <c r="GJT51" s="2"/>
      <c r="GJU51" s="2"/>
      <c r="GJV51" s="2"/>
      <c r="GJW51" s="2"/>
      <c r="GJX51" s="2"/>
      <c r="GJY51" s="2"/>
      <c r="GJZ51" s="2"/>
      <c r="GKA51" s="2"/>
      <c r="GKB51" s="2"/>
      <c r="GKC51" s="2"/>
      <c r="GKD51" s="2"/>
      <c r="GKE51" s="2"/>
      <c r="GKF51" s="2"/>
      <c r="GKG51" s="2"/>
      <c r="GKH51" s="2"/>
      <c r="GKI51" s="2"/>
      <c r="GKJ51" s="2"/>
      <c r="GKK51" s="2"/>
      <c r="GKL51" s="2"/>
      <c r="GKM51" s="2"/>
      <c r="GKN51" s="2"/>
      <c r="GKO51" s="2"/>
      <c r="GKP51" s="2"/>
      <c r="GKQ51" s="2"/>
      <c r="GKR51" s="2"/>
      <c r="GKS51" s="2"/>
      <c r="GKT51" s="2"/>
      <c r="GKU51" s="2"/>
      <c r="GKV51" s="2"/>
      <c r="GKW51" s="2"/>
      <c r="GKX51" s="2"/>
      <c r="GKY51" s="2"/>
      <c r="GKZ51" s="2"/>
      <c r="GLA51" s="2"/>
      <c r="GLB51" s="2"/>
      <c r="GLC51" s="2"/>
      <c r="GLD51" s="2"/>
      <c r="GLE51" s="2"/>
      <c r="GLF51" s="2"/>
      <c r="GLG51" s="2"/>
      <c r="GLH51" s="2"/>
      <c r="GLI51" s="2"/>
      <c r="GLJ51" s="2"/>
      <c r="GLK51" s="2"/>
      <c r="GLL51" s="2"/>
      <c r="GLM51" s="2"/>
      <c r="GLN51" s="2"/>
      <c r="GLO51" s="2"/>
      <c r="GLP51" s="2"/>
      <c r="GLQ51" s="2"/>
      <c r="GLR51" s="2"/>
      <c r="GLS51" s="2"/>
      <c r="GLT51" s="2"/>
      <c r="GLU51" s="2"/>
      <c r="GLV51" s="2"/>
      <c r="GLW51" s="2"/>
      <c r="GLX51" s="2"/>
      <c r="GLY51" s="2"/>
      <c r="GLZ51" s="2"/>
      <c r="GMA51" s="2"/>
      <c r="GMB51" s="2"/>
      <c r="GMC51" s="2"/>
      <c r="GMD51" s="2"/>
      <c r="GME51" s="2"/>
      <c r="GMF51" s="2"/>
      <c r="GMG51" s="2"/>
      <c r="GMH51" s="2"/>
      <c r="GMI51" s="2"/>
      <c r="GMJ51" s="2"/>
      <c r="GMK51" s="2"/>
      <c r="GML51" s="2"/>
      <c r="GMM51" s="2"/>
      <c r="GMN51" s="2"/>
      <c r="GMO51" s="2"/>
      <c r="GMP51" s="2"/>
      <c r="GMQ51" s="2"/>
      <c r="GMR51" s="2"/>
      <c r="GMS51" s="2"/>
      <c r="GMT51" s="2"/>
      <c r="GMU51" s="2"/>
      <c r="GMV51" s="2"/>
      <c r="GMW51" s="2"/>
      <c r="GMX51" s="2"/>
      <c r="GMY51" s="2"/>
      <c r="GMZ51" s="2"/>
      <c r="GNA51" s="2"/>
      <c r="GNB51" s="2"/>
      <c r="GNC51" s="2"/>
      <c r="GND51" s="2"/>
      <c r="GNE51" s="2"/>
      <c r="GNF51" s="2"/>
      <c r="GNG51" s="2"/>
      <c r="GNH51" s="2"/>
      <c r="GNI51" s="2"/>
      <c r="GNJ51" s="2"/>
      <c r="GNK51" s="2"/>
      <c r="GNL51" s="2"/>
      <c r="GNM51" s="2"/>
      <c r="GNN51" s="2"/>
      <c r="GNO51" s="2"/>
      <c r="GNP51" s="2"/>
      <c r="GNQ51" s="2"/>
      <c r="GNR51" s="2"/>
      <c r="GNS51" s="2"/>
      <c r="GNT51" s="2"/>
      <c r="GNU51" s="2"/>
      <c r="GNV51" s="2"/>
      <c r="GNW51" s="2"/>
      <c r="GNX51" s="2"/>
      <c r="GNY51" s="2"/>
      <c r="GNZ51" s="2"/>
      <c r="GOA51" s="2"/>
      <c r="GOB51" s="2"/>
      <c r="GOC51" s="2"/>
      <c r="GOD51" s="2"/>
      <c r="GOE51" s="2"/>
      <c r="GOF51" s="2"/>
      <c r="GOG51" s="2"/>
      <c r="GOH51" s="2"/>
      <c r="GOI51" s="2"/>
      <c r="GOJ51" s="2"/>
      <c r="GOK51" s="2"/>
      <c r="GOL51" s="2"/>
      <c r="GOM51" s="2"/>
      <c r="GON51" s="2"/>
      <c r="GOO51" s="2"/>
      <c r="GOP51" s="2"/>
      <c r="GOQ51" s="2"/>
      <c r="GOR51" s="2"/>
      <c r="GOS51" s="2"/>
      <c r="GOT51" s="2"/>
      <c r="GOU51" s="2"/>
      <c r="GOV51" s="2"/>
      <c r="GOW51" s="2"/>
      <c r="GOX51" s="2"/>
      <c r="GOY51" s="2"/>
      <c r="GOZ51" s="2"/>
      <c r="GPA51" s="2"/>
      <c r="GPB51" s="2"/>
      <c r="GPC51" s="2"/>
      <c r="GPD51" s="2"/>
      <c r="GPE51" s="2"/>
      <c r="GPF51" s="2"/>
      <c r="GPG51" s="2"/>
      <c r="GPH51" s="2"/>
      <c r="GPI51" s="2"/>
      <c r="GPJ51" s="2"/>
      <c r="GPK51" s="2"/>
      <c r="GPL51" s="2"/>
      <c r="GPM51" s="2"/>
      <c r="GPN51" s="2"/>
      <c r="GPO51" s="2"/>
      <c r="GPP51" s="2"/>
      <c r="GPQ51" s="2"/>
      <c r="GPR51" s="2"/>
      <c r="GPS51" s="2"/>
      <c r="GPT51" s="2"/>
      <c r="GPU51" s="2"/>
      <c r="GPV51" s="2"/>
      <c r="GPW51" s="2"/>
      <c r="GPX51" s="2"/>
      <c r="GPY51" s="2"/>
      <c r="GPZ51" s="2"/>
      <c r="GQA51" s="2"/>
      <c r="GQB51" s="2"/>
      <c r="GQC51" s="2"/>
      <c r="GQD51" s="2"/>
      <c r="GQE51" s="2"/>
      <c r="GQF51" s="2"/>
      <c r="GQG51" s="2"/>
      <c r="GQH51" s="2"/>
      <c r="GQI51" s="2"/>
      <c r="GQJ51" s="2"/>
      <c r="GQK51" s="2"/>
      <c r="GQL51" s="2"/>
      <c r="GQM51" s="2"/>
      <c r="GQN51" s="2"/>
      <c r="GQO51" s="2"/>
      <c r="GQP51" s="2"/>
      <c r="GQQ51" s="2"/>
      <c r="GQR51" s="2"/>
      <c r="GQS51" s="2"/>
      <c r="GQT51" s="2"/>
      <c r="GQU51" s="2"/>
      <c r="GQV51" s="2"/>
      <c r="GQW51" s="2"/>
      <c r="GQX51" s="2"/>
      <c r="GQY51" s="2"/>
      <c r="GQZ51" s="2"/>
      <c r="GRA51" s="2"/>
      <c r="GRB51" s="2"/>
      <c r="GRC51" s="2"/>
      <c r="GRD51" s="2"/>
      <c r="GRE51" s="2"/>
      <c r="GRF51" s="2"/>
      <c r="GRG51" s="2"/>
      <c r="GRH51" s="2"/>
      <c r="GRI51" s="2"/>
      <c r="GRJ51" s="2"/>
      <c r="GRK51" s="2"/>
      <c r="GRL51" s="2"/>
      <c r="GRM51" s="2"/>
      <c r="GRN51" s="2"/>
      <c r="GRO51" s="2"/>
      <c r="GRP51" s="2"/>
      <c r="GRQ51" s="2"/>
      <c r="GRR51" s="2"/>
      <c r="GRS51" s="2"/>
      <c r="GRT51" s="2"/>
      <c r="GRU51" s="2"/>
      <c r="GRV51" s="2"/>
      <c r="GRW51" s="2"/>
      <c r="GRX51" s="2"/>
      <c r="GRY51" s="2"/>
      <c r="GRZ51" s="2"/>
      <c r="GSA51" s="2"/>
      <c r="GSB51" s="2"/>
      <c r="GSC51" s="2"/>
      <c r="GSD51" s="2"/>
      <c r="GSE51" s="2"/>
      <c r="GSF51" s="2"/>
      <c r="GSG51" s="2"/>
      <c r="GSH51" s="2"/>
      <c r="GSI51" s="2"/>
      <c r="GSJ51" s="2"/>
      <c r="GSK51" s="2"/>
      <c r="GSL51" s="2"/>
      <c r="GSM51" s="2"/>
      <c r="GSN51" s="2"/>
      <c r="GSO51" s="2"/>
      <c r="GSP51" s="2"/>
      <c r="GSQ51" s="2"/>
      <c r="GSR51" s="2"/>
      <c r="GSS51" s="2"/>
      <c r="GST51" s="2"/>
      <c r="GSU51" s="2"/>
      <c r="GSV51" s="2"/>
      <c r="GSW51" s="2"/>
      <c r="GSX51" s="2"/>
      <c r="GSY51" s="2"/>
      <c r="GSZ51" s="2"/>
      <c r="GTA51" s="2"/>
      <c r="GTB51" s="2"/>
      <c r="GTC51" s="2"/>
      <c r="GTD51" s="2"/>
      <c r="GTE51" s="2"/>
      <c r="GTF51" s="2"/>
      <c r="GTG51" s="2"/>
      <c r="GTH51" s="2"/>
      <c r="GTI51" s="2"/>
      <c r="GTJ51" s="2"/>
      <c r="GTK51" s="2"/>
      <c r="GTL51" s="2"/>
      <c r="GTM51" s="2"/>
      <c r="GTN51" s="2"/>
      <c r="GTO51" s="2"/>
      <c r="GTP51" s="2"/>
      <c r="GTQ51" s="2"/>
      <c r="GTR51" s="2"/>
      <c r="GTS51" s="2"/>
      <c r="GTT51" s="2"/>
      <c r="GTU51" s="2"/>
      <c r="GTV51" s="2"/>
      <c r="GTW51" s="2"/>
      <c r="GTX51" s="2"/>
      <c r="GTY51" s="2"/>
      <c r="GTZ51" s="2"/>
      <c r="GUA51" s="2"/>
      <c r="GUB51" s="2"/>
      <c r="GUC51" s="2"/>
      <c r="GUD51" s="2"/>
      <c r="GUE51" s="2"/>
      <c r="GUF51" s="2"/>
      <c r="GUG51" s="2"/>
      <c r="GUH51" s="2"/>
      <c r="GUI51" s="2"/>
      <c r="GUJ51" s="2"/>
      <c r="GUK51" s="2"/>
      <c r="GUL51" s="2"/>
      <c r="GUM51" s="2"/>
      <c r="GUN51" s="2"/>
      <c r="GUO51" s="2"/>
      <c r="GUP51" s="2"/>
      <c r="GUQ51" s="2"/>
      <c r="GUR51" s="2"/>
      <c r="GUS51" s="2"/>
      <c r="GUT51" s="2"/>
      <c r="GUU51" s="2"/>
      <c r="GUV51" s="2"/>
      <c r="GUW51" s="2"/>
      <c r="GUX51" s="2"/>
      <c r="GUY51" s="2"/>
      <c r="GUZ51" s="2"/>
      <c r="GVA51" s="2"/>
      <c r="GVB51" s="2"/>
      <c r="GVC51" s="2"/>
      <c r="GVD51" s="2"/>
      <c r="GVE51" s="2"/>
      <c r="GVF51" s="2"/>
      <c r="GVG51" s="2"/>
      <c r="GVH51" s="2"/>
      <c r="GVI51" s="2"/>
      <c r="GVJ51" s="2"/>
      <c r="GVK51" s="2"/>
      <c r="GVL51" s="2"/>
      <c r="GVM51" s="2"/>
      <c r="GVN51" s="2"/>
      <c r="GVO51" s="2"/>
      <c r="GVP51" s="2"/>
      <c r="GVQ51" s="2"/>
      <c r="GVR51" s="2"/>
      <c r="GVS51" s="2"/>
      <c r="GVT51" s="2"/>
      <c r="GVU51" s="2"/>
      <c r="GVV51" s="2"/>
      <c r="GVW51" s="2"/>
      <c r="GVX51" s="2"/>
      <c r="GVY51" s="2"/>
      <c r="GVZ51" s="2"/>
      <c r="GWA51" s="2"/>
      <c r="GWB51" s="2"/>
      <c r="GWC51" s="2"/>
      <c r="GWD51" s="2"/>
      <c r="GWE51" s="2"/>
      <c r="GWF51" s="2"/>
      <c r="GWG51" s="2"/>
      <c r="GWH51" s="2"/>
      <c r="GWI51" s="2"/>
      <c r="GWJ51" s="2"/>
      <c r="GWK51" s="2"/>
      <c r="GWL51" s="2"/>
      <c r="GWM51" s="2"/>
      <c r="GWN51" s="2"/>
      <c r="GWO51" s="2"/>
      <c r="GWP51" s="2"/>
      <c r="GWQ51" s="2"/>
      <c r="GWR51" s="2"/>
      <c r="GWS51" s="2"/>
      <c r="GWT51" s="2"/>
      <c r="GWU51" s="2"/>
      <c r="GWV51" s="2"/>
      <c r="GWW51" s="2"/>
      <c r="GWX51" s="2"/>
      <c r="GWY51" s="2"/>
      <c r="GWZ51" s="2"/>
      <c r="GXA51" s="2"/>
      <c r="GXB51" s="2"/>
      <c r="GXC51" s="2"/>
      <c r="GXD51" s="2"/>
      <c r="GXE51" s="2"/>
      <c r="GXF51" s="2"/>
      <c r="GXG51" s="2"/>
      <c r="GXH51" s="2"/>
      <c r="GXI51" s="2"/>
      <c r="GXJ51" s="2"/>
      <c r="GXK51" s="2"/>
      <c r="GXL51" s="2"/>
      <c r="GXM51" s="2"/>
      <c r="GXN51" s="2"/>
      <c r="GXO51" s="2"/>
      <c r="GXP51" s="2"/>
      <c r="GXQ51" s="2"/>
      <c r="GXR51" s="2"/>
      <c r="GXS51" s="2"/>
      <c r="GXT51" s="2"/>
      <c r="GXU51" s="2"/>
      <c r="GXV51" s="2"/>
      <c r="GXW51" s="2"/>
      <c r="GXX51" s="2"/>
      <c r="GXY51" s="2"/>
      <c r="GXZ51" s="2"/>
      <c r="GYA51" s="2"/>
      <c r="GYB51" s="2"/>
      <c r="GYC51" s="2"/>
      <c r="GYD51" s="2"/>
      <c r="GYE51" s="2"/>
      <c r="GYF51" s="2"/>
      <c r="GYG51" s="2"/>
      <c r="GYH51" s="2"/>
      <c r="GYI51" s="2"/>
      <c r="GYJ51" s="2"/>
      <c r="GYK51" s="2"/>
      <c r="GYL51" s="2"/>
      <c r="GYM51" s="2"/>
      <c r="GYN51" s="2"/>
      <c r="GYO51" s="2"/>
      <c r="GYP51" s="2"/>
      <c r="GYQ51" s="2"/>
      <c r="GYR51" s="2"/>
      <c r="GYS51" s="2"/>
      <c r="GYT51" s="2"/>
      <c r="GYU51" s="2"/>
      <c r="GYV51" s="2"/>
      <c r="GYW51" s="2"/>
      <c r="GYX51" s="2"/>
      <c r="GYY51" s="2"/>
      <c r="GYZ51" s="2"/>
      <c r="GZA51" s="2"/>
      <c r="GZB51" s="2"/>
      <c r="GZC51" s="2"/>
      <c r="GZD51" s="2"/>
      <c r="GZE51" s="2"/>
      <c r="GZF51" s="2"/>
      <c r="GZG51" s="2"/>
      <c r="GZH51" s="2"/>
      <c r="GZI51" s="2"/>
      <c r="GZJ51" s="2"/>
      <c r="GZK51" s="2"/>
      <c r="GZL51" s="2"/>
      <c r="GZM51" s="2"/>
      <c r="GZN51" s="2"/>
      <c r="GZO51" s="2"/>
      <c r="GZP51" s="2"/>
      <c r="GZQ51" s="2"/>
      <c r="GZR51" s="2"/>
      <c r="GZS51" s="2"/>
      <c r="GZT51" s="2"/>
      <c r="GZU51" s="2"/>
      <c r="GZV51" s="2"/>
      <c r="GZW51" s="2"/>
      <c r="GZX51" s="2"/>
      <c r="GZY51" s="2"/>
      <c r="GZZ51" s="2"/>
      <c r="HAA51" s="2"/>
      <c r="HAB51" s="2"/>
      <c r="HAC51" s="2"/>
      <c r="HAD51" s="2"/>
      <c r="HAE51" s="2"/>
      <c r="HAF51" s="2"/>
      <c r="HAG51" s="2"/>
      <c r="HAH51" s="2"/>
      <c r="HAI51" s="2"/>
      <c r="HAJ51" s="2"/>
      <c r="HAK51" s="2"/>
      <c r="HAL51" s="2"/>
      <c r="HAM51" s="2"/>
      <c r="HAN51" s="2"/>
      <c r="HAO51" s="2"/>
      <c r="HAP51" s="2"/>
      <c r="HAQ51" s="2"/>
      <c r="HAR51" s="2"/>
      <c r="HAS51" s="2"/>
      <c r="HAT51" s="2"/>
      <c r="HAU51" s="2"/>
      <c r="HAV51" s="2"/>
      <c r="HAW51" s="2"/>
      <c r="HAX51" s="2"/>
      <c r="HAY51" s="2"/>
      <c r="HAZ51" s="2"/>
      <c r="HBA51" s="2"/>
      <c r="HBB51" s="2"/>
      <c r="HBC51" s="2"/>
      <c r="HBD51" s="2"/>
      <c r="HBE51" s="2"/>
      <c r="HBF51" s="2"/>
      <c r="HBG51" s="2"/>
      <c r="HBH51" s="2"/>
      <c r="HBI51" s="2"/>
      <c r="HBJ51" s="2"/>
      <c r="HBK51" s="2"/>
      <c r="HBL51" s="2"/>
      <c r="HBM51" s="2"/>
      <c r="HBN51" s="2"/>
      <c r="HBO51" s="2"/>
      <c r="HBP51" s="2"/>
      <c r="HBQ51" s="2"/>
      <c r="HBR51" s="2"/>
      <c r="HBS51" s="2"/>
      <c r="HBT51" s="2"/>
      <c r="HBU51" s="2"/>
      <c r="HBV51" s="2"/>
      <c r="HBW51" s="2"/>
      <c r="HBX51" s="2"/>
      <c r="HBY51" s="2"/>
      <c r="HBZ51" s="2"/>
      <c r="HCA51" s="2"/>
      <c r="HCB51" s="2"/>
      <c r="HCC51" s="2"/>
      <c r="HCD51" s="2"/>
      <c r="HCE51" s="2"/>
      <c r="HCF51" s="2"/>
      <c r="HCG51" s="2"/>
      <c r="HCH51" s="2"/>
      <c r="HCI51" s="2"/>
      <c r="HCJ51" s="2"/>
      <c r="HCK51" s="2"/>
      <c r="HCL51" s="2"/>
      <c r="HCM51" s="2"/>
      <c r="HCN51" s="2"/>
      <c r="HCO51" s="2"/>
      <c r="HCP51" s="2"/>
      <c r="HCQ51" s="2"/>
      <c r="HCR51" s="2"/>
      <c r="HCS51" s="2"/>
      <c r="HCT51" s="2"/>
      <c r="HCU51" s="2"/>
      <c r="HCV51" s="2"/>
      <c r="HCW51" s="2"/>
      <c r="HCX51" s="2"/>
      <c r="HCY51" s="2"/>
      <c r="HCZ51" s="2"/>
      <c r="HDA51" s="2"/>
      <c r="HDB51" s="2"/>
      <c r="HDC51" s="2"/>
      <c r="HDD51" s="2"/>
      <c r="HDE51" s="2"/>
      <c r="HDF51" s="2"/>
      <c r="HDG51" s="2"/>
      <c r="HDH51" s="2"/>
      <c r="HDI51" s="2"/>
      <c r="HDJ51" s="2"/>
      <c r="HDK51" s="2"/>
      <c r="HDL51" s="2"/>
      <c r="HDM51" s="2"/>
      <c r="HDN51" s="2"/>
      <c r="HDO51" s="2"/>
      <c r="HDP51" s="2"/>
      <c r="HDQ51" s="2"/>
      <c r="HDR51" s="2"/>
      <c r="HDS51" s="2"/>
      <c r="HDT51" s="2"/>
      <c r="HDU51" s="2"/>
      <c r="HDV51" s="2"/>
      <c r="HDW51" s="2"/>
      <c r="HDX51" s="2"/>
      <c r="HDY51" s="2"/>
      <c r="HDZ51" s="2"/>
      <c r="HEA51" s="2"/>
      <c r="HEB51" s="2"/>
      <c r="HEC51" s="2"/>
      <c r="HED51" s="2"/>
      <c r="HEE51" s="2"/>
      <c r="HEF51" s="2"/>
      <c r="HEG51" s="2"/>
      <c r="HEH51" s="2"/>
      <c r="HEI51" s="2"/>
      <c r="HEJ51" s="2"/>
      <c r="HEK51" s="2"/>
      <c r="HEL51" s="2"/>
      <c r="HEM51" s="2"/>
      <c r="HEN51" s="2"/>
      <c r="HEO51" s="2"/>
      <c r="HEP51" s="2"/>
      <c r="HEQ51" s="2"/>
      <c r="HER51" s="2"/>
      <c r="HES51" s="2"/>
      <c r="HET51" s="2"/>
      <c r="HEU51" s="2"/>
      <c r="HEV51" s="2"/>
      <c r="HEW51" s="2"/>
      <c r="HEX51" s="2"/>
      <c r="HEY51" s="2"/>
      <c r="HEZ51" s="2"/>
      <c r="HFA51" s="2"/>
      <c r="HFB51" s="2"/>
      <c r="HFC51" s="2"/>
      <c r="HFD51" s="2"/>
      <c r="HFE51" s="2"/>
      <c r="HFF51" s="2"/>
      <c r="HFG51" s="2"/>
      <c r="HFH51" s="2"/>
      <c r="HFI51" s="2"/>
      <c r="HFJ51" s="2"/>
      <c r="HFK51" s="2"/>
      <c r="HFL51" s="2"/>
      <c r="HFM51" s="2"/>
      <c r="HFN51" s="2"/>
      <c r="HFO51" s="2"/>
      <c r="HFP51" s="2"/>
      <c r="HFQ51" s="2"/>
      <c r="HFR51" s="2"/>
      <c r="HFS51" s="2"/>
      <c r="HFT51" s="2"/>
      <c r="HFU51" s="2"/>
      <c r="HFV51" s="2"/>
      <c r="HFW51" s="2"/>
      <c r="HFX51" s="2"/>
      <c r="HFY51" s="2"/>
      <c r="HFZ51" s="2"/>
      <c r="HGA51" s="2"/>
      <c r="HGB51" s="2"/>
      <c r="HGC51" s="2"/>
      <c r="HGD51" s="2"/>
      <c r="HGE51" s="2"/>
      <c r="HGF51" s="2"/>
      <c r="HGG51" s="2"/>
      <c r="HGH51" s="2"/>
      <c r="HGI51" s="2"/>
      <c r="HGJ51" s="2"/>
      <c r="HGK51" s="2"/>
      <c r="HGL51" s="2"/>
      <c r="HGM51" s="2"/>
      <c r="HGN51" s="2"/>
      <c r="HGO51" s="2"/>
      <c r="HGP51" s="2"/>
      <c r="HGQ51" s="2"/>
      <c r="HGR51" s="2"/>
      <c r="HGS51" s="2"/>
      <c r="HGT51" s="2"/>
      <c r="HGU51" s="2"/>
      <c r="HGV51" s="2"/>
      <c r="HGW51" s="2"/>
      <c r="HGX51" s="2"/>
      <c r="HGY51" s="2"/>
      <c r="HGZ51" s="2"/>
      <c r="HHA51" s="2"/>
      <c r="HHB51" s="2"/>
      <c r="HHC51" s="2"/>
      <c r="HHD51" s="2"/>
      <c r="HHE51" s="2"/>
      <c r="HHF51" s="2"/>
      <c r="HHG51" s="2"/>
      <c r="HHH51" s="2"/>
      <c r="HHI51" s="2"/>
      <c r="HHJ51" s="2"/>
      <c r="HHK51" s="2"/>
      <c r="HHL51" s="2"/>
      <c r="HHM51" s="2"/>
      <c r="HHN51" s="2"/>
      <c r="HHO51" s="2"/>
      <c r="HHP51" s="2"/>
      <c r="HHQ51" s="2"/>
      <c r="HHR51" s="2"/>
      <c r="HHS51" s="2"/>
      <c r="HHT51" s="2"/>
      <c r="HHU51" s="2"/>
      <c r="HHV51" s="2"/>
      <c r="HHW51" s="2"/>
      <c r="HHX51" s="2"/>
      <c r="HHY51" s="2"/>
      <c r="HHZ51" s="2"/>
      <c r="HIA51" s="2"/>
      <c r="HIB51" s="2"/>
      <c r="HIC51" s="2"/>
      <c r="HID51" s="2"/>
      <c r="HIE51" s="2"/>
      <c r="HIF51" s="2"/>
      <c r="HIG51" s="2"/>
      <c r="HIH51" s="2"/>
      <c r="HII51" s="2"/>
      <c r="HIJ51" s="2"/>
      <c r="HIK51" s="2"/>
      <c r="HIL51" s="2"/>
      <c r="HIM51" s="2"/>
      <c r="HIN51" s="2"/>
      <c r="HIO51" s="2"/>
      <c r="HIP51" s="2"/>
      <c r="HIQ51" s="2"/>
      <c r="HIR51" s="2"/>
      <c r="HIS51" s="2"/>
      <c r="HIT51" s="2"/>
      <c r="HIU51" s="2"/>
      <c r="HIV51" s="2"/>
      <c r="HIW51" s="2"/>
      <c r="HIX51" s="2"/>
      <c r="HIY51" s="2"/>
      <c r="HIZ51" s="2"/>
      <c r="HJA51" s="2"/>
      <c r="HJB51" s="2"/>
      <c r="HJC51" s="2"/>
      <c r="HJD51" s="2"/>
      <c r="HJE51" s="2"/>
      <c r="HJF51" s="2"/>
      <c r="HJG51" s="2"/>
      <c r="HJH51" s="2"/>
      <c r="HJI51" s="2"/>
      <c r="HJJ51" s="2"/>
      <c r="HJK51" s="2"/>
      <c r="HJL51" s="2"/>
      <c r="HJM51" s="2"/>
      <c r="HJN51" s="2"/>
      <c r="HJO51" s="2"/>
      <c r="HJP51" s="2"/>
      <c r="HJQ51" s="2"/>
      <c r="HJR51" s="2"/>
      <c r="HJS51" s="2"/>
      <c r="HJT51" s="2"/>
      <c r="HJU51" s="2"/>
      <c r="HJV51" s="2"/>
      <c r="HJW51" s="2"/>
      <c r="HJX51" s="2"/>
      <c r="HJY51" s="2"/>
      <c r="HJZ51" s="2"/>
      <c r="HKA51" s="2"/>
      <c r="HKB51" s="2"/>
      <c r="HKC51" s="2"/>
      <c r="HKD51" s="2"/>
      <c r="HKE51" s="2"/>
      <c r="HKF51" s="2"/>
      <c r="HKG51" s="2"/>
      <c r="HKH51" s="2"/>
      <c r="HKI51" s="2"/>
      <c r="HKJ51" s="2"/>
      <c r="HKK51" s="2"/>
      <c r="HKL51" s="2"/>
      <c r="HKM51" s="2"/>
      <c r="HKN51" s="2"/>
      <c r="HKO51" s="2"/>
      <c r="HKP51" s="2"/>
      <c r="HKQ51" s="2"/>
      <c r="HKR51" s="2"/>
      <c r="HKS51" s="2"/>
      <c r="HKT51" s="2"/>
      <c r="HKU51" s="2"/>
      <c r="HKV51" s="2"/>
      <c r="HKW51" s="2"/>
      <c r="HKX51" s="2"/>
      <c r="HKY51" s="2"/>
      <c r="HKZ51" s="2"/>
      <c r="HLA51" s="2"/>
      <c r="HLB51" s="2"/>
      <c r="HLC51" s="2"/>
      <c r="HLD51" s="2"/>
      <c r="HLE51" s="2"/>
      <c r="HLF51" s="2"/>
      <c r="HLG51" s="2"/>
      <c r="HLH51" s="2"/>
      <c r="HLI51" s="2"/>
      <c r="HLJ51" s="2"/>
      <c r="HLK51" s="2"/>
      <c r="HLL51" s="2"/>
      <c r="HLM51" s="2"/>
      <c r="HLN51" s="2"/>
      <c r="HLO51" s="2"/>
      <c r="HLP51" s="2"/>
      <c r="HLQ51" s="2"/>
      <c r="HLR51" s="2"/>
      <c r="HLS51" s="2"/>
      <c r="HLT51" s="2"/>
      <c r="HLU51" s="2"/>
      <c r="HLV51" s="2"/>
      <c r="HLW51" s="2"/>
      <c r="HLX51" s="2"/>
      <c r="HLY51" s="2"/>
      <c r="HLZ51" s="2"/>
      <c r="HMA51" s="2"/>
      <c r="HMB51" s="2"/>
      <c r="HMC51" s="2"/>
      <c r="HMD51" s="2"/>
      <c r="HME51" s="2"/>
      <c r="HMF51" s="2"/>
      <c r="HMG51" s="2"/>
      <c r="HMH51" s="2"/>
      <c r="HMI51" s="2"/>
      <c r="HMJ51" s="2"/>
      <c r="HMK51" s="2"/>
      <c r="HML51" s="2"/>
      <c r="HMM51" s="2"/>
      <c r="HMN51" s="2"/>
      <c r="HMO51" s="2"/>
      <c r="HMP51" s="2"/>
      <c r="HMQ51" s="2"/>
      <c r="HMR51" s="2"/>
      <c r="HMS51" s="2"/>
      <c r="HMT51" s="2"/>
      <c r="HMU51" s="2"/>
      <c r="HMV51" s="2"/>
      <c r="HMW51" s="2"/>
      <c r="HMX51" s="2"/>
      <c r="HMY51" s="2"/>
      <c r="HMZ51" s="2"/>
      <c r="HNA51" s="2"/>
      <c r="HNB51" s="2"/>
      <c r="HNC51" s="2"/>
      <c r="HND51" s="2"/>
      <c r="HNE51" s="2"/>
      <c r="HNF51" s="2"/>
      <c r="HNG51" s="2"/>
      <c r="HNH51" s="2"/>
      <c r="HNI51" s="2"/>
      <c r="HNJ51" s="2"/>
      <c r="HNK51" s="2"/>
      <c r="HNL51" s="2"/>
      <c r="HNM51" s="2"/>
      <c r="HNN51" s="2"/>
      <c r="HNO51" s="2"/>
      <c r="HNP51" s="2"/>
      <c r="HNQ51" s="2"/>
      <c r="HNR51" s="2"/>
      <c r="HNS51" s="2"/>
      <c r="HNT51" s="2"/>
      <c r="HNU51" s="2"/>
      <c r="HNV51" s="2"/>
      <c r="HNW51" s="2"/>
      <c r="HNX51" s="2"/>
      <c r="HNY51" s="2"/>
      <c r="HNZ51" s="2"/>
      <c r="HOA51" s="2"/>
      <c r="HOB51" s="2"/>
      <c r="HOC51" s="2"/>
      <c r="HOD51" s="2"/>
      <c r="HOE51" s="2"/>
      <c r="HOF51" s="2"/>
      <c r="HOG51" s="2"/>
      <c r="HOH51" s="2"/>
      <c r="HOI51" s="2"/>
      <c r="HOJ51" s="2"/>
      <c r="HOK51" s="2"/>
      <c r="HOL51" s="2"/>
      <c r="HOM51" s="2"/>
      <c r="HON51" s="2"/>
      <c r="HOO51" s="2"/>
      <c r="HOP51" s="2"/>
      <c r="HOQ51" s="2"/>
      <c r="HOR51" s="2"/>
      <c r="HOS51" s="2"/>
      <c r="HOT51" s="2"/>
      <c r="HOU51" s="2"/>
      <c r="HOV51" s="2"/>
      <c r="HOW51" s="2"/>
      <c r="HOX51" s="2"/>
      <c r="HOY51" s="2"/>
      <c r="HOZ51" s="2"/>
      <c r="HPA51" s="2"/>
      <c r="HPB51" s="2"/>
      <c r="HPC51" s="2"/>
      <c r="HPD51" s="2"/>
      <c r="HPE51" s="2"/>
      <c r="HPF51" s="2"/>
      <c r="HPG51" s="2"/>
      <c r="HPH51" s="2"/>
      <c r="HPI51" s="2"/>
      <c r="HPJ51" s="2"/>
      <c r="HPK51" s="2"/>
      <c r="HPL51" s="2"/>
      <c r="HPM51" s="2"/>
      <c r="HPN51" s="2"/>
      <c r="HPO51" s="2"/>
      <c r="HPP51" s="2"/>
      <c r="HPQ51" s="2"/>
      <c r="HPR51" s="2"/>
      <c r="HPS51" s="2"/>
      <c r="HPT51" s="2"/>
      <c r="HPU51" s="2"/>
      <c r="HPV51" s="2"/>
      <c r="HPW51" s="2"/>
      <c r="HPX51" s="2"/>
      <c r="HPY51" s="2"/>
      <c r="HPZ51" s="2"/>
      <c r="HQA51" s="2"/>
      <c r="HQB51" s="2"/>
      <c r="HQC51" s="2"/>
      <c r="HQD51" s="2"/>
      <c r="HQE51" s="2"/>
      <c r="HQF51" s="2"/>
      <c r="HQG51" s="2"/>
      <c r="HQH51" s="2"/>
      <c r="HQI51" s="2"/>
      <c r="HQJ51" s="2"/>
      <c r="HQK51" s="2"/>
      <c r="HQL51" s="2"/>
      <c r="HQM51" s="2"/>
      <c r="HQN51" s="2"/>
      <c r="HQO51" s="2"/>
      <c r="HQP51" s="2"/>
      <c r="HQQ51" s="2"/>
      <c r="HQR51" s="2"/>
      <c r="HQS51" s="2"/>
      <c r="HQT51" s="2"/>
      <c r="HQU51" s="2"/>
      <c r="HQV51" s="2"/>
      <c r="HQW51" s="2"/>
      <c r="HQX51" s="2"/>
      <c r="HQY51" s="2"/>
      <c r="HQZ51" s="2"/>
      <c r="HRA51" s="2"/>
      <c r="HRB51" s="2"/>
      <c r="HRC51" s="2"/>
      <c r="HRD51" s="2"/>
      <c r="HRE51" s="2"/>
      <c r="HRF51" s="2"/>
      <c r="HRG51" s="2"/>
      <c r="HRH51" s="2"/>
      <c r="HRI51" s="2"/>
      <c r="HRJ51" s="2"/>
      <c r="HRK51" s="2"/>
      <c r="HRL51" s="2"/>
      <c r="HRM51" s="2"/>
      <c r="HRN51" s="2"/>
      <c r="HRO51" s="2"/>
      <c r="HRP51" s="2"/>
      <c r="HRQ51" s="2"/>
      <c r="HRR51" s="2"/>
      <c r="HRS51" s="2"/>
      <c r="HRT51" s="2"/>
      <c r="HRU51" s="2"/>
      <c r="HRV51" s="2"/>
      <c r="HRW51" s="2"/>
      <c r="HRX51" s="2"/>
      <c r="HRY51" s="2"/>
      <c r="HRZ51" s="2"/>
      <c r="HSA51" s="2"/>
      <c r="HSB51" s="2"/>
      <c r="HSC51" s="2"/>
      <c r="HSD51" s="2"/>
      <c r="HSE51" s="2"/>
      <c r="HSF51" s="2"/>
      <c r="HSG51" s="2"/>
      <c r="HSH51" s="2"/>
      <c r="HSI51" s="2"/>
      <c r="HSJ51" s="2"/>
      <c r="HSK51" s="2"/>
      <c r="HSL51" s="2"/>
      <c r="HSM51" s="2"/>
      <c r="HSN51" s="2"/>
      <c r="HSO51" s="2"/>
      <c r="HSP51" s="2"/>
      <c r="HSQ51" s="2"/>
      <c r="HSR51" s="2"/>
      <c r="HSS51" s="2"/>
      <c r="HST51" s="2"/>
      <c r="HSU51" s="2"/>
      <c r="HSV51" s="2"/>
      <c r="HSW51" s="2"/>
      <c r="HSX51" s="2"/>
      <c r="HSY51" s="2"/>
      <c r="HSZ51" s="2"/>
      <c r="HTA51" s="2"/>
      <c r="HTB51" s="2"/>
      <c r="HTC51" s="2"/>
      <c r="HTD51" s="2"/>
      <c r="HTE51" s="2"/>
      <c r="HTF51" s="2"/>
      <c r="HTG51" s="2"/>
      <c r="HTH51" s="2"/>
      <c r="HTI51" s="2"/>
      <c r="HTJ51" s="2"/>
      <c r="HTK51" s="2"/>
      <c r="HTL51" s="2"/>
      <c r="HTM51" s="2"/>
      <c r="HTN51" s="2"/>
      <c r="HTO51" s="2"/>
      <c r="HTP51" s="2"/>
      <c r="HTQ51" s="2"/>
      <c r="HTR51" s="2"/>
      <c r="HTS51" s="2"/>
      <c r="HTT51" s="2"/>
      <c r="HTU51" s="2"/>
      <c r="HTV51" s="2"/>
      <c r="HTW51" s="2"/>
      <c r="HTX51" s="2"/>
      <c r="HTY51" s="2"/>
      <c r="HTZ51" s="2"/>
      <c r="HUA51" s="2"/>
      <c r="HUB51" s="2"/>
      <c r="HUC51" s="2"/>
      <c r="HUD51" s="2"/>
      <c r="HUE51" s="2"/>
      <c r="HUF51" s="2"/>
      <c r="HUG51" s="2"/>
      <c r="HUH51" s="2"/>
      <c r="HUI51" s="2"/>
      <c r="HUJ51" s="2"/>
      <c r="HUK51" s="2"/>
      <c r="HUL51" s="2"/>
      <c r="HUM51" s="2"/>
      <c r="HUN51" s="2"/>
      <c r="HUO51" s="2"/>
      <c r="HUP51" s="2"/>
      <c r="HUQ51" s="2"/>
      <c r="HUR51" s="2"/>
      <c r="HUS51" s="2"/>
      <c r="HUT51" s="2"/>
      <c r="HUU51" s="2"/>
      <c r="HUV51" s="2"/>
      <c r="HUW51" s="2"/>
      <c r="HUX51" s="2"/>
      <c r="HUY51" s="2"/>
      <c r="HUZ51" s="2"/>
      <c r="HVA51" s="2"/>
      <c r="HVB51" s="2"/>
      <c r="HVC51" s="2"/>
      <c r="HVD51" s="2"/>
      <c r="HVE51" s="2"/>
      <c r="HVF51" s="2"/>
      <c r="HVG51" s="2"/>
      <c r="HVH51" s="2"/>
      <c r="HVI51" s="2"/>
      <c r="HVJ51" s="2"/>
      <c r="HVK51" s="2"/>
      <c r="HVL51" s="2"/>
      <c r="HVM51" s="2"/>
      <c r="HVN51" s="2"/>
      <c r="HVO51" s="2"/>
      <c r="HVP51" s="2"/>
      <c r="HVQ51" s="2"/>
      <c r="HVR51" s="2"/>
      <c r="HVS51" s="2"/>
      <c r="HVT51" s="2"/>
      <c r="HVU51" s="2"/>
      <c r="HVV51" s="2"/>
      <c r="HVW51" s="2"/>
      <c r="HVX51" s="2"/>
      <c r="HVY51" s="2"/>
      <c r="HVZ51" s="2"/>
      <c r="HWA51" s="2"/>
      <c r="HWB51" s="2"/>
      <c r="HWC51" s="2"/>
      <c r="HWD51" s="2"/>
      <c r="HWE51" s="2"/>
      <c r="HWF51" s="2"/>
      <c r="HWG51" s="2"/>
      <c r="HWH51" s="2"/>
      <c r="HWI51" s="2"/>
      <c r="HWJ51" s="2"/>
      <c r="HWK51" s="2"/>
      <c r="HWL51" s="2"/>
      <c r="HWM51" s="2"/>
      <c r="HWN51" s="2"/>
      <c r="HWO51" s="2"/>
      <c r="HWP51" s="2"/>
      <c r="HWQ51" s="2"/>
      <c r="HWR51" s="2"/>
      <c r="HWS51" s="2"/>
      <c r="HWT51" s="2"/>
      <c r="HWU51" s="2"/>
      <c r="HWV51" s="2"/>
      <c r="HWW51" s="2"/>
      <c r="HWX51" s="2"/>
      <c r="HWY51" s="2"/>
      <c r="HWZ51" s="2"/>
      <c r="HXA51" s="2"/>
      <c r="HXB51" s="2"/>
      <c r="HXC51" s="2"/>
      <c r="HXD51" s="2"/>
      <c r="HXE51" s="2"/>
      <c r="HXF51" s="2"/>
      <c r="HXG51" s="2"/>
      <c r="HXH51" s="2"/>
      <c r="HXI51" s="2"/>
      <c r="HXJ51" s="2"/>
      <c r="HXK51" s="2"/>
      <c r="HXL51" s="2"/>
      <c r="HXM51" s="2"/>
      <c r="HXN51" s="2"/>
      <c r="HXO51" s="2"/>
      <c r="HXP51" s="2"/>
      <c r="HXQ51" s="2"/>
      <c r="HXR51" s="2"/>
      <c r="HXS51" s="2"/>
      <c r="HXT51" s="2"/>
      <c r="HXU51" s="2"/>
      <c r="HXV51" s="2"/>
      <c r="HXW51" s="2"/>
      <c r="HXX51" s="2"/>
      <c r="HXY51" s="2"/>
      <c r="HXZ51" s="2"/>
      <c r="HYA51" s="2"/>
      <c r="HYB51" s="2"/>
      <c r="HYC51" s="2"/>
      <c r="HYD51" s="2"/>
      <c r="HYE51" s="2"/>
      <c r="HYF51" s="2"/>
      <c r="HYG51" s="2"/>
      <c r="HYH51" s="2"/>
      <c r="HYI51" s="2"/>
      <c r="HYJ51" s="2"/>
      <c r="HYK51" s="2"/>
      <c r="HYL51" s="2"/>
      <c r="HYM51" s="2"/>
      <c r="HYN51" s="2"/>
      <c r="HYO51" s="2"/>
      <c r="HYP51" s="2"/>
      <c r="HYQ51" s="2"/>
      <c r="HYR51" s="2"/>
      <c r="HYS51" s="2"/>
      <c r="HYT51" s="2"/>
      <c r="HYU51" s="2"/>
      <c r="HYV51" s="2"/>
      <c r="HYW51" s="2"/>
      <c r="HYX51" s="2"/>
      <c r="HYY51" s="2"/>
      <c r="HYZ51" s="2"/>
      <c r="HZA51" s="2"/>
      <c r="HZB51" s="2"/>
      <c r="HZC51" s="2"/>
      <c r="HZD51" s="2"/>
      <c r="HZE51" s="2"/>
      <c r="HZF51" s="2"/>
      <c r="HZG51" s="2"/>
      <c r="HZH51" s="2"/>
      <c r="HZI51" s="2"/>
      <c r="HZJ51" s="2"/>
      <c r="HZK51" s="2"/>
      <c r="HZL51" s="2"/>
      <c r="HZM51" s="2"/>
      <c r="HZN51" s="2"/>
      <c r="HZO51" s="2"/>
      <c r="HZP51" s="2"/>
      <c r="HZQ51" s="2"/>
      <c r="HZR51" s="2"/>
      <c r="HZS51" s="2"/>
      <c r="HZT51" s="2"/>
      <c r="HZU51" s="2"/>
      <c r="HZV51" s="2"/>
      <c r="HZW51" s="2"/>
      <c r="HZX51" s="2"/>
      <c r="HZY51" s="2"/>
      <c r="HZZ51" s="2"/>
      <c r="IAA51" s="2"/>
      <c r="IAB51" s="2"/>
      <c r="IAC51" s="2"/>
      <c r="IAD51" s="2"/>
      <c r="IAE51" s="2"/>
      <c r="IAF51" s="2"/>
      <c r="IAG51" s="2"/>
      <c r="IAH51" s="2"/>
      <c r="IAI51" s="2"/>
      <c r="IAJ51" s="2"/>
      <c r="IAK51" s="2"/>
      <c r="IAL51" s="2"/>
      <c r="IAM51" s="2"/>
      <c r="IAN51" s="2"/>
      <c r="IAO51" s="2"/>
      <c r="IAP51" s="2"/>
      <c r="IAQ51" s="2"/>
      <c r="IAR51" s="2"/>
      <c r="IAS51" s="2"/>
      <c r="IAT51" s="2"/>
      <c r="IAU51" s="2"/>
      <c r="IAV51" s="2"/>
      <c r="IAW51" s="2"/>
      <c r="IAX51" s="2"/>
      <c r="IAY51" s="2"/>
      <c r="IAZ51" s="2"/>
      <c r="IBA51" s="2"/>
      <c r="IBB51" s="2"/>
      <c r="IBC51" s="2"/>
      <c r="IBD51" s="2"/>
      <c r="IBE51" s="2"/>
      <c r="IBF51" s="2"/>
      <c r="IBG51" s="2"/>
      <c r="IBH51" s="2"/>
      <c r="IBI51" s="2"/>
      <c r="IBJ51" s="2"/>
      <c r="IBK51" s="2"/>
      <c r="IBL51" s="2"/>
      <c r="IBM51" s="2"/>
      <c r="IBN51" s="2"/>
      <c r="IBO51" s="2"/>
      <c r="IBP51" s="2"/>
      <c r="IBQ51" s="2"/>
      <c r="IBR51" s="2"/>
      <c r="IBS51" s="2"/>
      <c r="IBT51" s="2"/>
      <c r="IBU51" s="2"/>
      <c r="IBV51" s="2"/>
      <c r="IBW51" s="2"/>
      <c r="IBX51" s="2"/>
      <c r="IBY51" s="2"/>
      <c r="IBZ51" s="2"/>
      <c r="ICA51" s="2"/>
      <c r="ICB51" s="2"/>
      <c r="ICC51" s="2"/>
      <c r="ICD51" s="2"/>
      <c r="ICE51" s="2"/>
      <c r="ICF51" s="2"/>
      <c r="ICG51" s="2"/>
      <c r="ICH51" s="2"/>
      <c r="ICI51" s="2"/>
      <c r="ICJ51" s="2"/>
      <c r="ICK51" s="2"/>
      <c r="ICL51" s="2"/>
      <c r="ICM51" s="2"/>
      <c r="ICN51" s="2"/>
      <c r="ICO51" s="2"/>
      <c r="ICP51" s="2"/>
      <c r="ICQ51" s="2"/>
      <c r="ICR51" s="2"/>
      <c r="ICS51" s="2"/>
      <c r="ICT51" s="2"/>
      <c r="ICU51" s="2"/>
      <c r="ICV51" s="2"/>
      <c r="ICW51" s="2"/>
      <c r="ICX51" s="2"/>
      <c r="ICY51" s="2"/>
      <c r="ICZ51" s="2"/>
      <c r="IDA51" s="2"/>
      <c r="IDB51" s="2"/>
      <c r="IDC51" s="2"/>
      <c r="IDD51" s="2"/>
      <c r="IDE51" s="2"/>
      <c r="IDF51" s="2"/>
      <c r="IDG51" s="2"/>
      <c r="IDH51" s="2"/>
      <c r="IDI51" s="2"/>
      <c r="IDJ51" s="2"/>
      <c r="IDK51" s="2"/>
      <c r="IDL51" s="2"/>
      <c r="IDM51" s="2"/>
      <c r="IDN51" s="2"/>
      <c r="IDO51" s="2"/>
      <c r="IDP51" s="2"/>
      <c r="IDQ51" s="2"/>
      <c r="IDR51" s="2"/>
      <c r="IDS51" s="2"/>
      <c r="IDT51" s="2"/>
      <c r="IDU51" s="2"/>
      <c r="IDV51" s="2"/>
      <c r="IDW51" s="2"/>
      <c r="IDX51" s="2"/>
      <c r="IDY51" s="2"/>
      <c r="IDZ51" s="2"/>
      <c r="IEA51" s="2"/>
      <c r="IEB51" s="2"/>
      <c r="IEC51" s="2"/>
      <c r="IED51" s="2"/>
      <c r="IEE51" s="2"/>
      <c r="IEF51" s="2"/>
      <c r="IEG51" s="2"/>
      <c r="IEH51" s="2"/>
      <c r="IEI51" s="2"/>
      <c r="IEJ51" s="2"/>
      <c r="IEK51" s="2"/>
      <c r="IEL51" s="2"/>
      <c r="IEM51" s="2"/>
      <c r="IEN51" s="2"/>
      <c r="IEO51" s="2"/>
      <c r="IEP51" s="2"/>
      <c r="IEQ51" s="2"/>
      <c r="IER51" s="2"/>
      <c r="IES51" s="2"/>
      <c r="IET51" s="2"/>
      <c r="IEU51" s="2"/>
      <c r="IEV51" s="2"/>
      <c r="IEW51" s="2"/>
      <c r="IEX51" s="2"/>
      <c r="IEY51" s="2"/>
      <c r="IEZ51" s="2"/>
      <c r="IFA51" s="2"/>
      <c r="IFB51" s="2"/>
      <c r="IFC51" s="2"/>
      <c r="IFD51" s="2"/>
      <c r="IFE51" s="2"/>
      <c r="IFF51" s="2"/>
      <c r="IFG51" s="2"/>
      <c r="IFH51" s="2"/>
      <c r="IFI51" s="2"/>
      <c r="IFJ51" s="2"/>
      <c r="IFK51" s="2"/>
      <c r="IFL51" s="2"/>
      <c r="IFM51" s="2"/>
      <c r="IFN51" s="2"/>
      <c r="IFO51" s="2"/>
      <c r="IFP51" s="2"/>
      <c r="IFQ51" s="2"/>
      <c r="IFR51" s="2"/>
      <c r="IFS51" s="2"/>
      <c r="IFT51" s="2"/>
      <c r="IFU51" s="2"/>
      <c r="IFV51" s="2"/>
      <c r="IFW51" s="2"/>
      <c r="IFX51" s="2"/>
      <c r="IFY51" s="2"/>
      <c r="IFZ51" s="2"/>
      <c r="IGA51" s="2"/>
      <c r="IGB51" s="2"/>
      <c r="IGC51" s="2"/>
      <c r="IGD51" s="2"/>
      <c r="IGE51" s="2"/>
      <c r="IGF51" s="2"/>
      <c r="IGG51" s="2"/>
      <c r="IGH51" s="2"/>
      <c r="IGI51" s="2"/>
      <c r="IGJ51" s="2"/>
      <c r="IGK51" s="2"/>
      <c r="IGL51" s="2"/>
      <c r="IGM51" s="2"/>
      <c r="IGN51" s="2"/>
      <c r="IGO51" s="2"/>
      <c r="IGP51" s="2"/>
      <c r="IGQ51" s="2"/>
      <c r="IGR51" s="2"/>
      <c r="IGS51" s="2"/>
      <c r="IGT51" s="2"/>
      <c r="IGU51" s="2"/>
      <c r="IGV51" s="2"/>
      <c r="IGW51" s="2"/>
      <c r="IGX51" s="2"/>
      <c r="IGY51" s="2"/>
      <c r="IGZ51" s="2"/>
      <c r="IHA51" s="2"/>
      <c r="IHB51" s="2"/>
      <c r="IHC51" s="2"/>
      <c r="IHD51" s="2"/>
      <c r="IHE51" s="2"/>
      <c r="IHF51" s="2"/>
      <c r="IHG51" s="2"/>
      <c r="IHH51" s="2"/>
      <c r="IHI51" s="2"/>
      <c r="IHJ51" s="2"/>
      <c r="IHK51" s="2"/>
      <c r="IHL51" s="2"/>
      <c r="IHM51" s="2"/>
      <c r="IHN51" s="2"/>
      <c r="IHO51" s="2"/>
      <c r="IHP51" s="2"/>
      <c r="IHQ51" s="2"/>
      <c r="IHR51" s="2"/>
      <c r="IHS51" s="2"/>
      <c r="IHT51" s="2"/>
      <c r="IHU51" s="2"/>
      <c r="IHV51" s="2"/>
      <c r="IHW51" s="2"/>
      <c r="IHX51" s="2"/>
      <c r="IHY51" s="2"/>
      <c r="IHZ51" s="2"/>
      <c r="IIA51" s="2"/>
      <c r="IIB51" s="2"/>
      <c r="IIC51" s="2"/>
      <c r="IID51" s="2"/>
      <c r="IIE51" s="2"/>
      <c r="IIF51" s="2"/>
      <c r="IIG51" s="2"/>
      <c r="IIH51" s="2"/>
      <c r="III51" s="2"/>
      <c r="IIJ51" s="2"/>
      <c r="IIK51" s="2"/>
      <c r="IIL51" s="2"/>
      <c r="IIM51" s="2"/>
      <c r="IIN51" s="2"/>
      <c r="IIO51" s="2"/>
      <c r="IIP51" s="2"/>
      <c r="IIQ51" s="2"/>
      <c r="IIR51" s="2"/>
      <c r="IIS51" s="2"/>
      <c r="IIT51" s="2"/>
      <c r="IIU51" s="2"/>
      <c r="IIV51" s="2"/>
      <c r="IIW51" s="2"/>
      <c r="IIX51" s="2"/>
      <c r="IIY51" s="2"/>
      <c r="IIZ51" s="2"/>
      <c r="IJA51" s="2"/>
      <c r="IJB51" s="2"/>
      <c r="IJC51" s="2"/>
      <c r="IJD51" s="2"/>
      <c r="IJE51" s="2"/>
      <c r="IJF51" s="2"/>
      <c r="IJG51" s="2"/>
      <c r="IJH51" s="2"/>
      <c r="IJI51" s="2"/>
      <c r="IJJ51" s="2"/>
      <c r="IJK51" s="2"/>
      <c r="IJL51" s="2"/>
      <c r="IJM51" s="2"/>
      <c r="IJN51" s="2"/>
      <c r="IJO51" s="2"/>
      <c r="IJP51" s="2"/>
      <c r="IJQ51" s="2"/>
      <c r="IJR51" s="2"/>
      <c r="IJS51" s="2"/>
      <c r="IJT51" s="2"/>
      <c r="IJU51" s="2"/>
      <c r="IJV51" s="2"/>
      <c r="IJW51" s="2"/>
      <c r="IJX51" s="2"/>
      <c r="IJY51" s="2"/>
      <c r="IJZ51" s="2"/>
      <c r="IKA51" s="2"/>
      <c r="IKB51" s="2"/>
      <c r="IKC51" s="2"/>
      <c r="IKD51" s="2"/>
      <c r="IKE51" s="2"/>
      <c r="IKF51" s="2"/>
      <c r="IKG51" s="2"/>
      <c r="IKH51" s="2"/>
      <c r="IKI51" s="2"/>
      <c r="IKJ51" s="2"/>
      <c r="IKK51" s="2"/>
      <c r="IKL51" s="2"/>
      <c r="IKM51" s="2"/>
      <c r="IKN51" s="2"/>
      <c r="IKO51" s="2"/>
      <c r="IKP51" s="2"/>
      <c r="IKQ51" s="2"/>
      <c r="IKR51" s="2"/>
      <c r="IKS51" s="2"/>
      <c r="IKT51" s="2"/>
      <c r="IKU51" s="2"/>
      <c r="IKV51" s="2"/>
      <c r="IKW51" s="2"/>
      <c r="IKX51" s="2"/>
      <c r="IKY51" s="2"/>
      <c r="IKZ51" s="2"/>
      <c r="ILA51" s="2"/>
      <c r="ILB51" s="2"/>
      <c r="ILC51" s="2"/>
      <c r="ILD51" s="2"/>
      <c r="ILE51" s="2"/>
      <c r="ILF51" s="2"/>
      <c r="ILG51" s="2"/>
      <c r="ILH51" s="2"/>
      <c r="ILI51" s="2"/>
      <c r="ILJ51" s="2"/>
      <c r="ILK51" s="2"/>
      <c r="ILL51" s="2"/>
      <c r="ILM51" s="2"/>
      <c r="ILN51" s="2"/>
      <c r="ILO51" s="2"/>
      <c r="ILP51" s="2"/>
      <c r="ILQ51" s="2"/>
      <c r="ILR51" s="2"/>
      <c r="ILS51" s="2"/>
      <c r="ILT51" s="2"/>
      <c r="ILU51" s="2"/>
      <c r="ILV51" s="2"/>
      <c r="ILW51" s="2"/>
      <c r="ILX51" s="2"/>
      <c r="ILY51" s="2"/>
      <c r="ILZ51" s="2"/>
      <c r="IMA51" s="2"/>
      <c r="IMB51" s="2"/>
      <c r="IMC51" s="2"/>
      <c r="IMD51" s="2"/>
      <c r="IME51" s="2"/>
      <c r="IMF51" s="2"/>
      <c r="IMG51" s="2"/>
      <c r="IMH51" s="2"/>
      <c r="IMI51" s="2"/>
      <c r="IMJ51" s="2"/>
      <c r="IMK51" s="2"/>
      <c r="IML51" s="2"/>
      <c r="IMM51" s="2"/>
      <c r="IMN51" s="2"/>
      <c r="IMO51" s="2"/>
      <c r="IMP51" s="2"/>
      <c r="IMQ51" s="2"/>
      <c r="IMR51" s="2"/>
      <c r="IMS51" s="2"/>
      <c r="IMT51" s="2"/>
      <c r="IMU51" s="2"/>
      <c r="IMV51" s="2"/>
      <c r="IMW51" s="2"/>
      <c r="IMX51" s="2"/>
      <c r="IMY51" s="2"/>
      <c r="IMZ51" s="2"/>
      <c r="INA51" s="2"/>
      <c r="INB51" s="2"/>
      <c r="INC51" s="2"/>
      <c r="IND51" s="2"/>
      <c r="INE51" s="2"/>
      <c r="INF51" s="2"/>
      <c r="ING51" s="2"/>
      <c r="INH51" s="2"/>
      <c r="INI51" s="2"/>
      <c r="INJ51" s="2"/>
      <c r="INK51" s="2"/>
      <c r="INL51" s="2"/>
      <c r="INM51" s="2"/>
      <c r="INN51" s="2"/>
      <c r="INO51" s="2"/>
      <c r="INP51" s="2"/>
      <c r="INQ51" s="2"/>
      <c r="INR51" s="2"/>
      <c r="INS51" s="2"/>
      <c r="INT51" s="2"/>
      <c r="INU51" s="2"/>
      <c r="INV51" s="2"/>
      <c r="INW51" s="2"/>
      <c r="INX51" s="2"/>
      <c r="INY51" s="2"/>
      <c r="INZ51" s="2"/>
      <c r="IOA51" s="2"/>
      <c r="IOB51" s="2"/>
      <c r="IOC51" s="2"/>
      <c r="IOD51" s="2"/>
      <c r="IOE51" s="2"/>
      <c r="IOF51" s="2"/>
      <c r="IOG51" s="2"/>
      <c r="IOH51" s="2"/>
      <c r="IOI51" s="2"/>
      <c r="IOJ51" s="2"/>
      <c r="IOK51" s="2"/>
      <c r="IOL51" s="2"/>
      <c r="IOM51" s="2"/>
      <c r="ION51" s="2"/>
      <c r="IOO51" s="2"/>
      <c r="IOP51" s="2"/>
      <c r="IOQ51" s="2"/>
      <c r="IOR51" s="2"/>
      <c r="IOS51" s="2"/>
      <c r="IOT51" s="2"/>
      <c r="IOU51" s="2"/>
      <c r="IOV51" s="2"/>
      <c r="IOW51" s="2"/>
      <c r="IOX51" s="2"/>
      <c r="IOY51" s="2"/>
      <c r="IOZ51" s="2"/>
      <c r="IPA51" s="2"/>
      <c r="IPB51" s="2"/>
      <c r="IPC51" s="2"/>
      <c r="IPD51" s="2"/>
      <c r="IPE51" s="2"/>
      <c r="IPF51" s="2"/>
      <c r="IPG51" s="2"/>
      <c r="IPH51" s="2"/>
      <c r="IPI51" s="2"/>
      <c r="IPJ51" s="2"/>
      <c r="IPK51" s="2"/>
      <c r="IPL51" s="2"/>
      <c r="IPM51" s="2"/>
      <c r="IPN51" s="2"/>
      <c r="IPO51" s="2"/>
      <c r="IPP51" s="2"/>
      <c r="IPQ51" s="2"/>
      <c r="IPR51" s="2"/>
      <c r="IPS51" s="2"/>
      <c r="IPT51" s="2"/>
      <c r="IPU51" s="2"/>
      <c r="IPV51" s="2"/>
      <c r="IPW51" s="2"/>
      <c r="IPX51" s="2"/>
      <c r="IPY51" s="2"/>
      <c r="IPZ51" s="2"/>
      <c r="IQA51" s="2"/>
      <c r="IQB51" s="2"/>
      <c r="IQC51" s="2"/>
      <c r="IQD51" s="2"/>
      <c r="IQE51" s="2"/>
      <c r="IQF51" s="2"/>
      <c r="IQG51" s="2"/>
      <c r="IQH51" s="2"/>
      <c r="IQI51" s="2"/>
      <c r="IQJ51" s="2"/>
      <c r="IQK51" s="2"/>
      <c r="IQL51" s="2"/>
      <c r="IQM51" s="2"/>
      <c r="IQN51" s="2"/>
      <c r="IQO51" s="2"/>
      <c r="IQP51" s="2"/>
      <c r="IQQ51" s="2"/>
      <c r="IQR51" s="2"/>
      <c r="IQS51" s="2"/>
      <c r="IQT51" s="2"/>
      <c r="IQU51" s="2"/>
      <c r="IQV51" s="2"/>
      <c r="IQW51" s="2"/>
      <c r="IQX51" s="2"/>
      <c r="IQY51" s="2"/>
      <c r="IQZ51" s="2"/>
      <c r="IRA51" s="2"/>
      <c r="IRB51" s="2"/>
      <c r="IRC51" s="2"/>
      <c r="IRD51" s="2"/>
      <c r="IRE51" s="2"/>
      <c r="IRF51" s="2"/>
      <c r="IRG51" s="2"/>
      <c r="IRH51" s="2"/>
      <c r="IRI51" s="2"/>
      <c r="IRJ51" s="2"/>
      <c r="IRK51" s="2"/>
      <c r="IRL51" s="2"/>
      <c r="IRM51" s="2"/>
      <c r="IRN51" s="2"/>
      <c r="IRO51" s="2"/>
      <c r="IRP51" s="2"/>
      <c r="IRQ51" s="2"/>
      <c r="IRR51" s="2"/>
      <c r="IRS51" s="2"/>
      <c r="IRT51" s="2"/>
      <c r="IRU51" s="2"/>
      <c r="IRV51" s="2"/>
      <c r="IRW51" s="2"/>
      <c r="IRX51" s="2"/>
      <c r="IRY51" s="2"/>
      <c r="IRZ51" s="2"/>
      <c r="ISA51" s="2"/>
      <c r="ISB51" s="2"/>
      <c r="ISC51" s="2"/>
      <c r="ISD51" s="2"/>
      <c r="ISE51" s="2"/>
      <c r="ISF51" s="2"/>
      <c r="ISG51" s="2"/>
      <c r="ISH51" s="2"/>
      <c r="ISI51" s="2"/>
      <c r="ISJ51" s="2"/>
      <c r="ISK51" s="2"/>
      <c r="ISL51" s="2"/>
      <c r="ISM51" s="2"/>
      <c r="ISN51" s="2"/>
      <c r="ISO51" s="2"/>
      <c r="ISP51" s="2"/>
      <c r="ISQ51" s="2"/>
      <c r="ISR51" s="2"/>
      <c r="ISS51" s="2"/>
      <c r="IST51" s="2"/>
      <c r="ISU51" s="2"/>
      <c r="ISV51" s="2"/>
      <c r="ISW51" s="2"/>
      <c r="ISX51" s="2"/>
      <c r="ISY51" s="2"/>
      <c r="ISZ51" s="2"/>
      <c r="ITA51" s="2"/>
      <c r="ITB51" s="2"/>
      <c r="ITC51" s="2"/>
      <c r="ITD51" s="2"/>
      <c r="ITE51" s="2"/>
      <c r="ITF51" s="2"/>
      <c r="ITG51" s="2"/>
      <c r="ITH51" s="2"/>
      <c r="ITI51" s="2"/>
      <c r="ITJ51" s="2"/>
      <c r="ITK51" s="2"/>
      <c r="ITL51" s="2"/>
      <c r="ITM51" s="2"/>
      <c r="ITN51" s="2"/>
      <c r="ITO51" s="2"/>
      <c r="ITP51" s="2"/>
      <c r="ITQ51" s="2"/>
      <c r="ITR51" s="2"/>
      <c r="ITS51" s="2"/>
      <c r="ITT51" s="2"/>
      <c r="ITU51" s="2"/>
      <c r="ITV51" s="2"/>
      <c r="ITW51" s="2"/>
      <c r="ITX51" s="2"/>
      <c r="ITY51" s="2"/>
      <c r="ITZ51" s="2"/>
      <c r="IUA51" s="2"/>
      <c r="IUB51" s="2"/>
      <c r="IUC51" s="2"/>
      <c r="IUD51" s="2"/>
      <c r="IUE51" s="2"/>
      <c r="IUF51" s="2"/>
      <c r="IUG51" s="2"/>
      <c r="IUH51" s="2"/>
      <c r="IUI51" s="2"/>
      <c r="IUJ51" s="2"/>
      <c r="IUK51" s="2"/>
      <c r="IUL51" s="2"/>
      <c r="IUM51" s="2"/>
      <c r="IUN51" s="2"/>
      <c r="IUO51" s="2"/>
      <c r="IUP51" s="2"/>
      <c r="IUQ51" s="2"/>
      <c r="IUR51" s="2"/>
      <c r="IUS51" s="2"/>
      <c r="IUT51" s="2"/>
      <c r="IUU51" s="2"/>
      <c r="IUV51" s="2"/>
      <c r="IUW51" s="2"/>
      <c r="IUX51" s="2"/>
      <c r="IUY51" s="2"/>
      <c r="IUZ51" s="2"/>
      <c r="IVA51" s="2"/>
      <c r="IVB51" s="2"/>
      <c r="IVC51" s="2"/>
      <c r="IVD51" s="2"/>
      <c r="IVE51" s="2"/>
      <c r="IVF51" s="2"/>
      <c r="IVG51" s="2"/>
      <c r="IVH51" s="2"/>
      <c r="IVI51" s="2"/>
      <c r="IVJ51" s="2"/>
      <c r="IVK51" s="2"/>
      <c r="IVL51" s="2"/>
      <c r="IVM51" s="2"/>
      <c r="IVN51" s="2"/>
      <c r="IVO51" s="2"/>
      <c r="IVP51" s="2"/>
      <c r="IVQ51" s="2"/>
      <c r="IVR51" s="2"/>
      <c r="IVS51" s="2"/>
      <c r="IVT51" s="2"/>
      <c r="IVU51" s="2"/>
      <c r="IVV51" s="2"/>
      <c r="IVW51" s="2"/>
      <c r="IVX51" s="2"/>
      <c r="IVY51" s="2"/>
      <c r="IVZ51" s="2"/>
      <c r="IWA51" s="2"/>
      <c r="IWB51" s="2"/>
      <c r="IWC51" s="2"/>
      <c r="IWD51" s="2"/>
      <c r="IWE51" s="2"/>
      <c r="IWF51" s="2"/>
      <c r="IWG51" s="2"/>
      <c r="IWH51" s="2"/>
      <c r="IWI51" s="2"/>
      <c r="IWJ51" s="2"/>
      <c r="IWK51" s="2"/>
      <c r="IWL51" s="2"/>
      <c r="IWM51" s="2"/>
      <c r="IWN51" s="2"/>
      <c r="IWO51" s="2"/>
      <c r="IWP51" s="2"/>
      <c r="IWQ51" s="2"/>
      <c r="IWR51" s="2"/>
      <c r="IWS51" s="2"/>
      <c r="IWT51" s="2"/>
      <c r="IWU51" s="2"/>
      <c r="IWV51" s="2"/>
      <c r="IWW51" s="2"/>
      <c r="IWX51" s="2"/>
      <c r="IWY51" s="2"/>
      <c r="IWZ51" s="2"/>
      <c r="IXA51" s="2"/>
      <c r="IXB51" s="2"/>
      <c r="IXC51" s="2"/>
      <c r="IXD51" s="2"/>
      <c r="IXE51" s="2"/>
      <c r="IXF51" s="2"/>
      <c r="IXG51" s="2"/>
      <c r="IXH51" s="2"/>
      <c r="IXI51" s="2"/>
      <c r="IXJ51" s="2"/>
      <c r="IXK51" s="2"/>
      <c r="IXL51" s="2"/>
      <c r="IXM51" s="2"/>
      <c r="IXN51" s="2"/>
      <c r="IXO51" s="2"/>
      <c r="IXP51" s="2"/>
      <c r="IXQ51" s="2"/>
      <c r="IXR51" s="2"/>
      <c r="IXS51" s="2"/>
      <c r="IXT51" s="2"/>
      <c r="IXU51" s="2"/>
      <c r="IXV51" s="2"/>
      <c r="IXW51" s="2"/>
      <c r="IXX51" s="2"/>
      <c r="IXY51" s="2"/>
      <c r="IXZ51" s="2"/>
      <c r="IYA51" s="2"/>
      <c r="IYB51" s="2"/>
      <c r="IYC51" s="2"/>
      <c r="IYD51" s="2"/>
      <c r="IYE51" s="2"/>
      <c r="IYF51" s="2"/>
      <c r="IYG51" s="2"/>
      <c r="IYH51" s="2"/>
      <c r="IYI51" s="2"/>
      <c r="IYJ51" s="2"/>
      <c r="IYK51" s="2"/>
      <c r="IYL51" s="2"/>
      <c r="IYM51" s="2"/>
      <c r="IYN51" s="2"/>
      <c r="IYO51" s="2"/>
      <c r="IYP51" s="2"/>
      <c r="IYQ51" s="2"/>
      <c r="IYR51" s="2"/>
      <c r="IYS51" s="2"/>
      <c r="IYT51" s="2"/>
      <c r="IYU51" s="2"/>
      <c r="IYV51" s="2"/>
      <c r="IYW51" s="2"/>
      <c r="IYX51" s="2"/>
      <c r="IYY51" s="2"/>
      <c r="IYZ51" s="2"/>
      <c r="IZA51" s="2"/>
      <c r="IZB51" s="2"/>
      <c r="IZC51" s="2"/>
      <c r="IZD51" s="2"/>
      <c r="IZE51" s="2"/>
      <c r="IZF51" s="2"/>
      <c r="IZG51" s="2"/>
      <c r="IZH51" s="2"/>
      <c r="IZI51" s="2"/>
      <c r="IZJ51" s="2"/>
      <c r="IZK51" s="2"/>
      <c r="IZL51" s="2"/>
      <c r="IZM51" s="2"/>
      <c r="IZN51" s="2"/>
      <c r="IZO51" s="2"/>
      <c r="IZP51" s="2"/>
      <c r="IZQ51" s="2"/>
      <c r="IZR51" s="2"/>
      <c r="IZS51" s="2"/>
      <c r="IZT51" s="2"/>
      <c r="IZU51" s="2"/>
      <c r="IZV51" s="2"/>
      <c r="IZW51" s="2"/>
      <c r="IZX51" s="2"/>
      <c r="IZY51" s="2"/>
      <c r="IZZ51" s="2"/>
      <c r="JAA51" s="2"/>
      <c r="JAB51" s="2"/>
      <c r="JAC51" s="2"/>
      <c r="JAD51" s="2"/>
      <c r="JAE51" s="2"/>
      <c r="JAF51" s="2"/>
      <c r="JAG51" s="2"/>
      <c r="JAH51" s="2"/>
      <c r="JAI51" s="2"/>
      <c r="JAJ51" s="2"/>
      <c r="JAK51" s="2"/>
      <c r="JAL51" s="2"/>
      <c r="JAM51" s="2"/>
      <c r="JAN51" s="2"/>
      <c r="JAO51" s="2"/>
      <c r="JAP51" s="2"/>
      <c r="JAQ51" s="2"/>
      <c r="JAR51" s="2"/>
      <c r="JAS51" s="2"/>
      <c r="JAT51" s="2"/>
      <c r="JAU51" s="2"/>
      <c r="JAV51" s="2"/>
      <c r="JAW51" s="2"/>
      <c r="JAX51" s="2"/>
      <c r="JAY51" s="2"/>
      <c r="JAZ51" s="2"/>
      <c r="JBA51" s="2"/>
      <c r="JBB51" s="2"/>
      <c r="JBC51" s="2"/>
      <c r="JBD51" s="2"/>
      <c r="JBE51" s="2"/>
      <c r="JBF51" s="2"/>
      <c r="JBG51" s="2"/>
      <c r="JBH51" s="2"/>
      <c r="JBI51" s="2"/>
      <c r="JBJ51" s="2"/>
      <c r="JBK51" s="2"/>
      <c r="JBL51" s="2"/>
      <c r="JBM51" s="2"/>
      <c r="JBN51" s="2"/>
      <c r="JBO51" s="2"/>
      <c r="JBP51" s="2"/>
      <c r="JBQ51" s="2"/>
      <c r="JBR51" s="2"/>
      <c r="JBS51" s="2"/>
      <c r="JBT51" s="2"/>
      <c r="JBU51" s="2"/>
      <c r="JBV51" s="2"/>
      <c r="JBW51" s="2"/>
      <c r="JBX51" s="2"/>
      <c r="JBY51" s="2"/>
      <c r="JBZ51" s="2"/>
      <c r="JCA51" s="2"/>
      <c r="JCB51" s="2"/>
      <c r="JCC51" s="2"/>
      <c r="JCD51" s="2"/>
      <c r="JCE51" s="2"/>
      <c r="JCF51" s="2"/>
      <c r="JCG51" s="2"/>
      <c r="JCH51" s="2"/>
      <c r="JCI51" s="2"/>
      <c r="JCJ51" s="2"/>
      <c r="JCK51" s="2"/>
      <c r="JCL51" s="2"/>
      <c r="JCM51" s="2"/>
      <c r="JCN51" s="2"/>
      <c r="JCO51" s="2"/>
      <c r="JCP51" s="2"/>
      <c r="JCQ51" s="2"/>
      <c r="JCR51" s="2"/>
      <c r="JCS51" s="2"/>
      <c r="JCT51" s="2"/>
      <c r="JCU51" s="2"/>
      <c r="JCV51" s="2"/>
      <c r="JCW51" s="2"/>
      <c r="JCX51" s="2"/>
      <c r="JCY51" s="2"/>
      <c r="JCZ51" s="2"/>
      <c r="JDA51" s="2"/>
      <c r="JDB51" s="2"/>
      <c r="JDC51" s="2"/>
      <c r="JDD51" s="2"/>
      <c r="JDE51" s="2"/>
      <c r="JDF51" s="2"/>
      <c r="JDG51" s="2"/>
      <c r="JDH51" s="2"/>
      <c r="JDI51" s="2"/>
      <c r="JDJ51" s="2"/>
      <c r="JDK51" s="2"/>
      <c r="JDL51" s="2"/>
      <c r="JDM51" s="2"/>
      <c r="JDN51" s="2"/>
      <c r="JDO51" s="2"/>
      <c r="JDP51" s="2"/>
      <c r="JDQ51" s="2"/>
      <c r="JDR51" s="2"/>
      <c r="JDS51" s="2"/>
      <c r="JDT51" s="2"/>
      <c r="JDU51" s="2"/>
      <c r="JDV51" s="2"/>
      <c r="JDW51" s="2"/>
      <c r="JDX51" s="2"/>
      <c r="JDY51" s="2"/>
      <c r="JDZ51" s="2"/>
      <c r="JEA51" s="2"/>
      <c r="JEB51" s="2"/>
      <c r="JEC51" s="2"/>
      <c r="JED51" s="2"/>
      <c r="JEE51" s="2"/>
      <c r="JEF51" s="2"/>
      <c r="JEG51" s="2"/>
      <c r="JEH51" s="2"/>
      <c r="JEI51" s="2"/>
      <c r="JEJ51" s="2"/>
      <c r="JEK51" s="2"/>
      <c r="JEL51" s="2"/>
      <c r="JEM51" s="2"/>
      <c r="JEN51" s="2"/>
      <c r="JEO51" s="2"/>
      <c r="JEP51" s="2"/>
      <c r="JEQ51" s="2"/>
      <c r="JER51" s="2"/>
      <c r="JES51" s="2"/>
      <c r="JET51" s="2"/>
      <c r="JEU51" s="2"/>
      <c r="JEV51" s="2"/>
      <c r="JEW51" s="2"/>
      <c r="JEX51" s="2"/>
      <c r="JEY51" s="2"/>
      <c r="JEZ51" s="2"/>
      <c r="JFA51" s="2"/>
      <c r="JFB51" s="2"/>
      <c r="JFC51" s="2"/>
      <c r="JFD51" s="2"/>
      <c r="JFE51" s="2"/>
      <c r="JFF51" s="2"/>
      <c r="JFG51" s="2"/>
      <c r="JFH51" s="2"/>
      <c r="JFI51" s="2"/>
      <c r="JFJ51" s="2"/>
      <c r="JFK51" s="2"/>
      <c r="JFL51" s="2"/>
      <c r="JFM51" s="2"/>
      <c r="JFN51" s="2"/>
      <c r="JFO51" s="2"/>
      <c r="JFP51" s="2"/>
      <c r="JFQ51" s="2"/>
      <c r="JFR51" s="2"/>
      <c r="JFS51" s="2"/>
      <c r="JFT51" s="2"/>
      <c r="JFU51" s="2"/>
      <c r="JFV51" s="2"/>
      <c r="JFW51" s="2"/>
      <c r="JFX51" s="2"/>
      <c r="JFY51" s="2"/>
      <c r="JFZ51" s="2"/>
      <c r="JGA51" s="2"/>
      <c r="JGB51" s="2"/>
      <c r="JGC51" s="2"/>
      <c r="JGD51" s="2"/>
      <c r="JGE51" s="2"/>
      <c r="JGF51" s="2"/>
      <c r="JGG51" s="2"/>
      <c r="JGH51" s="2"/>
      <c r="JGI51" s="2"/>
      <c r="JGJ51" s="2"/>
      <c r="JGK51" s="2"/>
      <c r="JGL51" s="2"/>
      <c r="JGM51" s="2"/>
      <c r="JGN51" s="2"/>
      <c r="JGO51" s="2"/>
      <c r="JGP51" s="2"/>
      <c r="JGQ51" s="2"/>
      <c r="JGR51" s="2"/>
      <c r="JGS51" s="2"/>
      <c r="JGT51" s="2"/>
      <c r="JGU51" s="2"/>
      <c r="JGV51" s="2"/>
      <c r="JGW51" s="2"/>
      <c r="JGX51" s="2"/>
      <c r="JGY51" s="2"/>
      <c r="JGZ51" s="2"/>
      <c r="JHA51" s="2"/>
      <c r="JHB51" s="2"/>
      <c r="JHC51" s="2"/>
      <c r="JHD51" s="2"/>
      <c r="JHE51" s="2"/>
      <c r="JHF51" s="2"/>
      <c r="JHG51" s="2"/>
      <c r="JHH51" s="2"/>
      <c r="JHI51" s="2"/>
      <c r="JHJ51" s="2"/>
      <c r="JHK51" s="2"/>
      <c r="JHL51" s="2"/>
      <c r="JHM51" s="2"/>
      <c r="JHN51" s="2"/>
      <c r="JHO51" s="2"/>
      <c r="JHP51" s="2"/>
      <c r="JHQ51" s="2"/>
      <c r="JHR51" s="2"/>
      <c r="JHS51" s="2"/>
      <c r="JHT51" s="2"/>
      <c r="JHU51" s="2"/>
      <c r="JHV51" s="2"/>
      <c r="JHW51" s="2"/>
      <c r="JHX51" s="2"/>
      <c r="JHY51" s="2"/>
      <c r="JHZ51" s="2"/>
      <c r="JIA51" s="2"/>
      <c r="JIB51" s="2"/>
      <c r="JIC51" s="2"/>
      <c r="JID51" s="2"/>
      <c r="JIE51" s="2"/>
      <c r="JIF51" s="2"/>
      <c r="JIG51" s="2"/>
      <c r="JIH51" s="2"/>
      <c r="JII51" s="2"/>
      <c r="JIJ51" s="2"/>
      <c r="JIK51" s="2"/>
      <c r="JIL51" s="2"/>
      <c r="JIM51" s="2"/>
      <c r="JIN51" s="2"/>
      <c r="JIO51" s="2"/>
      <c r="JIP51" s="2"/>
      <c r="JIQ51" s="2"/>
      <c r="JIR51" s="2"/>
      <c r="JIS51" s="2"/>
      <c r="JIT51" s="2"/>
      <c r="JIU51" s="2"/>
      <c r="JIV51" s="2"/>
      <c r="JIW51" s="2"/>
      <c r="JIX51" s="2"/>
      <c r="JIY51" s="2"/>
      <c r="JIZ51" s="2"/>
      <c r="JJA51" s="2"/>
      <c r="JJB51" s="2"/>
      <c r="JJC51" s="2"/>
      <c r="JJD51" s="2"/>
      <c r="JJE51" s="2"/>
      <c r="JJF51" s="2"/>
      <c r="JJG51" s="2"/>
      <c r="JJH51" s="2"/>
      <c r="JJI51" s="2"/>
      <c r="JJJ51" s="2"/>
      <c r="JJK51" s="2"/>
      <c r="JJL51" s="2"/>
      <c r="JJM51" s="2"/>
      <c r="JJN51" s="2"/>
      <c r="JJO51" s="2"/>
      <c r="JJP51" s="2"/>
      <c r="JJQ51" s="2"/>
      <c r="JJR51" s="2"/>
      <c r="JJS51" s="2"/>
      <c r="JJT51" s="2"/>
      <c r="JJU51" s="2"/>
      <c r="JJV51" s="2"/>
      <c r="JJW51" s="2"/>
      <c r="JJX51" s="2"/>
      <c r="JJY51" s="2"/>
      <c r="JJZ51" s="2"/>
      <c r="JKA51" s="2"/>
      <c r="JKB51" s="2"/>
      <c r="JKC51" s="2"/>
      <c r="JKD51" s="2"/>
      <c r="JKE51" s="2"/>
      <c r="JKF51" s="2"/>
      <c r="JKG51" s="2"/>
      <c r="JKH51" s="2"/>
      <c r="JKI51" s="2"/>
      <c r="JKJ51" s="2"/>
      <c r="JKK51" s="2"/>
      <c r="JKL51" s="2"/>
      <c r="JKM51" s="2"/>
      <c r="JKN51" s="2"/>
      <c r="JKO51" s="2"/>
      <c r="JKP51" s="2"/>
      <c r="JKQ51" s="2"/>
      <c r="JKR51" s="2"/>
      <c r="JKS51" s="2"/>
      <c r="JKT51" s="2"/>
      <c r="JKU51" s="2"/>
      <c r="JKV51" s="2"/>
      <c r="JKW51" s="2"/>
      <c r="JKX51" s="2"/>
      <c r="JKY51" s="2"/>
      <c r="JKZ51" s="2"/>
      <c r="JLA51" s="2"/>
      <c r="JLB51" s="2"/>
      <c r="JLC51" s="2"/>
      <c r="JLD51" s="2"/>
      <c r="JLE51" s="2"/>
      <c r="JLF51" s="2"/>
      <c r="JLG51" s="2"/>
      <c r="JLH51" s="2"/>
      <c r="JLI51" s="2"/>
      <c r="JLJ51" s="2"/>
      <c r="JLK51" s="2"/>
      <c r="JLL51" s="2"/>
      <c r="JLM51" s="2"/>
      <c r="JLN51" s="2"/>
      <c r="JLO51" s="2"/>
      <c r="JLP51" s="2"/>
      <c r="JLQ51" s="2"/>
      <c r="JLR51" s="2"/>
      <c r="JLS51" s="2"/>
      <c r="JLT51" s="2"/>
      <c r="JLU51" s="2"/>
      <c r="JLV51" s="2"/>
      <c r="JLW51" s="2"/>
      <c r="JLX51" s="2"/>
      <c r="JLY51" s="2"/>
      <c r="JLZ51" s="2"/>
      <c r="JMA51" s="2"/>
      <c r="JMB51" s="2"/>
      <c r="JMC51" s="2"/>
      <c r="JMD51" s="2"/>
      <c r="JME51" s="2"/>
      <c r="JMF51" s="2"/>
      <c r="JMG51" s="2"/>
      <c r="JMH51" s="2"/>
      <c r="JMI51" s="2"/>
      <c r="JMJ51" s="2"/>
      <c r="JMK51" s="2"/>
      <c r="JML51" s="2"/>
      <c r="JMM51" s="2"/>
      <c r="JMN51" s="2"/>
      <c r="JMO51" s="2"/>
      <c r="JMP51" s="2"/>
      <c r="JMQ51" s="2"/>
      <c r="JMR51" s="2"/>
      <c r="JMS51" s="2"/>
      <c r="JMT51" s="2"/>
      <c r="JMU51" s="2"/>
      <c r="JMV51" s="2"/>
      <c r="JMW51" s="2"/>
      <c r="JMX51" s="2"/>
      <c r="JMY51" s="2"/>
      <c r="JMZ51" s="2"/>
      <c r="JNA51" s="2"/>
      <c r="JNB51" s="2"/>
      <c r="JNC51" s="2"/>
      <c r="JND51" s="2"/>
      <c r="JNE51" s="2"/>
      <c r="JNF51" s="2"/>
      <c r="JNG51" s="2"/>
      <c r="JNH51" s="2"/>
      <c r="JNI51" s="2"/>
      <c r="JNJ51" s="2"/>
      <c r="JNK51" s="2"/>
      <c r="JNL51" s="2"/>
      <c r="JNM51" s="2"/>
      <c r="JNN51" s="2"/>
      <c r="JNO51" s="2"/>
      <c r="JNP51" s="2"/>
      <c r="JNQ51" s="2"/>
      <c r="JNR51" s="2"/>
      <c r="JNS51" s="2"/>
      <c r="JNT51" s="2"/>
      <c r="JNU51" s="2"/>
      <c r="JNV51" s="2"/>
      <c r="JNW51" s="2"/>
      <c r="JNX51" s="2"/>
      <c r="JNY51" s="2"/>
      <c r="JNZ51" s="2"/>
      <c r="JOA51" s="2"/>
      <c r="JOB51" s="2"/>
      <c r="JOC51" s="2"/>
      <c r="JOD51" s="2"/>
      <c r="JOE51" s="2"/>
      <c r="JOF51" s="2"/>
      <c r="JOG51" s="2"/>
      <c r="JOH51" s="2"/>
      <c r="JOI51" s="2"/>
      <c r="JOJ51" s="2"/>
      <c r="JOK51" s="2"/>
      <c r="JOL51" s="2"/>
      <c r="JOM51" s="2"/>
      <c r="JON51" s="2"/>
      <c r="JOO51" s="2"/>
      <c r="JOP51" s="2"/>
      <c r="JOQ51" s="2"/>
      <c r="JOR51" s="2"/>
      <c r="JOS51" s="2"/>
      <c r="JOT51" s="2"/>
      <c r="JOU51" s="2"/>
      <c r="JOV51" s="2"/>
      <c r="JOW51" s="2"/>
      <c r="JOX51" s="2"/>
      <c r="JOY51" s="2"/>
      <c r="JOZ51" s="2"/>
      <c r="JPA51" s="2"/>
      <c r="JPB51" s="2"/>
      <c r="JPC51" s="2"/>
      <c r="JPD51" s="2"/>
      <c r="JPE51" s="2"/>
      <c r="JPF51" s="2"/>
      <c r="JPG51" s="2"/>
      <c r="JPH51" s="2"/>
      <c r="JPI51" s="2"/>
      <c r="JPJ51" s="2"/>
      <c r="JPK51" s="2"/>
      <c r="JPL51" s="2"/>
      <c r="JPM51" s="2"/>
      <c r="JPN51" s="2"/>
      <c r="JPO51" s="2"/>
      <c r="JPP51" s="2"/>
      <c r="JPQ51" s="2"/>
      <c r="JPR51" s="2"/>
      <c r="JPS51" s="2"/>
      <c r="JPT51" s="2"/>
      <c r="JPU51" s="2"/>
      <c r="JPV51" s="2"/>
      <c r="JPW51" s="2"/>
      <c r="JPX51" s="2"/>
      <c r="JPY51" s="2"/>
      <c r="JPZ51" s="2"/>
      <c r="JQA51" s="2"/>
      <c r="JQB51" s="2"/>
      <c r="JQC51" s="2"/>
      <c r="JQD51" s="2"/>
      <c r="JQE51" s="2"/>
      <c r="JQF51" s="2"/>
      <c r="JQG51" s="2"/>
      <c r="JQH51" s="2"/>
      <c r="JQI51" s="2"/>
      <c r="JQJ51" s="2"/>
      <c r="JQK51" s="2"/>
      <c r="JQL51" s="2"/>
      <c r="JQM51" s="2"/>
      <c r="JQN51" s="2"/>
      <c r="JQO51" s="2"/>
      <c r="JQP51" s="2"/>
      <c r="JQQ51" s="2"/>
      <c r="JQR51" s="2"/>
      <c r="JQS51" s="2"/>
      <c r="JQT51" s="2"/>
      <c r="JQU51" s="2"/>
      <c r="JQV51" s="2"/>
      <c r="JQW51" s="2"/>
      <c r="JQX51" s="2"/>
      <c r="JQY51" s="2"/>
      <c r="JQZ51" s="2"/>
      <c r="JRA51" s="2"/>
      <c r="JRB51" s="2"/>
      <c r="JRC51" s="2"/>
      <c r="JRD51" s="2"/>
      <c r="JRE51" s="2"/>
      <c r="JRF51" s="2"/>
      <c r="JRG51" s="2"/>
      <c r="JRH51" s="2"/>
      <c r="JRI51" s="2"/>
      <c r="JRJ51" s="2"/>
      <c r="JRK51" s="2"/>
      <c r="JRL51" s="2"/>
      <c r="JRM51" s="2"/>
      <c r="JRN51" s="2"/>
      <c r="JRO51" s="2"/>
      <c r="JRP51" s="2"/>
      <c r="JRQ51" s="2"/>
      <c r="JRR51" s="2"/>
      <c r="JRS51" s="2"/>
      <c r="JRT51" s="2"/>
      <c r="JRU51" s="2"/>
      <c r="JRV51" s="2"/>
      <c r="JRW51" s="2"/>
      <c r="JRX51" s="2"/>
      <c r="JRY51" s="2"/>
      <c r="JRZ51" s="2"/>
      <c r="JSA51" s="2"/>
      <c r="JSB51" s="2"/>
      <c r="JSC51" s="2"/>
      <c r="JSD51" s="2"/>
      <c r="JSE51" s="2"/>
      <c r="JSF51" s="2"/>
      <c r="JSG51" s="2"/>
      <c r="JSH51" s="2"/>
      <c r="JSI51" s="2"/>
      <c r="JSJ51" s="2"/>
      <c r="JSK51" s="2"/>
      <c r="JSL51" s="2"/>
      <c r="JSM51" s="2"/>
      <c r="JSN51" s="2"/>
      <c r="JSO51" s="2"/>
      <c r="JSP51" s="2"/>
      <c r="JSQ51" s="2"/>
      <c r="JSR51" s="2"/>
      <c r="JSS51" s="2"/>
      <c r="JST51" s="2"/>
      <c r="JSU51" s="2"/>
      <c r="JSV51" s="2"/>
      <c r="JSW51" s="2"/>
      <c r="JSX51" s="2"/>
      <c r="JSY51" s="2"/>
      <c r="JSZ51" s="2"/>
      <c r="JTA51" s="2"/>
      <c r="JTB51" s="2"/>
      <c r="JTC51" s="2"/>
      <c r="JTD51" s="2"/>
      <c r="JTE51" s="2"/>
      <c r="JTF51" s="2"/>
      <c r="JTG51" s="2"/>
      <c r="JTH51" s="2"/>
      <c r="JTI51" s="2"/>
      <c r="JTJ51" s="2"/>
      <c r="JTK51" s="2"/>
      <c r="JTL51" s="2"/>
      <c r="JTM51" s="2"/>
      <c r="JTN51" s="2"/>
      <c r="JTO51" s="2"/>
      <c r="JTP51" s="2"/>
      <c r="JTQ51" s="2"/>
      <c r="JTR51" s="2"/>
      <c r="JTS51" s="2"/>
      <c r="JTT51" s="2"/>
      <c r="JTU51" s="2"/>
      <c r="JTV51" s="2"/>
      <c r="JTW51" s="2"/>
      <c r="JTX51" s="2"/>
      <c r="JTY51" s="2"/>
      <c r="JTZ51" s="2"/>
      <c r="JUA51" s="2"/>
      <c r="JUB51" s="2"/>
      <c r="JUC51" s="2"/>
      <c r="JUD51" s="2"/>
      <c r="JUE51" s="2"/>
      <c r="JUF51" s="2"/>
      <c r="JUG51" s="2"/>
      <c r="JUH51" s="2"/>
      <c r="JUI51" s="2"/>
      <c r="JUJ51" s="2"/>
      <c r="JUK51" s="2"/>
      <c r="JUL51" s="2"/>
      <c r="JUM51" s="2"/>
      <c r="JUN51" s="2"/>
      <c r="JUO51" s="2"/>
      <c r="JUP51" s="2"/>
      <c r="JUQ51" s="2"/>
      <c r="JUR51" s="2"/>
      <c r="JUS51" s="2"/>
      <c r="JUT51" s="2"/>
      <c r="JUU51" s="2"/>
      <c r="JUV51" s="2"/>
      <c r="JUW51" s="2"/>
      <c r="JUX51" s="2"/>
      <c r="JUY51" s="2"/>
      <c r="JUZ51" s="2"/>
      <c r="JVA51" s="2"/>
      <c r="JVB51" s="2"/>
      <c r="JVC51" s="2"/>
      <c r="JVD51" s="2"/>
      <c r="JVE51" s="2"/>
      <c r="JVF51" s="2"/>
      <c r="JVG51" s="2"/>
      <c r="JVH51" s="2"/>
      <c r="JVI51" s="2"/>
      <c r="JVJ51" s="2"/>
      <c r="JVK51" s="2"/>
      <c r="JVL51" s="2"/>
      <c r="JVM51" s="2"/>
      <c r="JVN51" s="2"/>
      <c r="JVO51" s="2"/>
      <c r="JVP51" s="2"/>
      <c r="JVQ51" s="2"/>
      <c r="JVR51" s="2"/>
      <c r="JVS51" s="2"/>
      <c r="JVT51" s="2"/>
      <c r="JVU51" s="2"/>
      <c r="JVV51" s="2"/>
      <c r="JVW51" s="2"/>
      <c r="JVX51" s="2"/>
      <c r="JVY51" s="2"/>
      <c r="JVZ51" s="2"/>
      <c r="JWA51" s="2"/>
      <c r="JWB51" s="2"/>
      <c r="JWC51" s="2"/>
      <c r="JWD51" s="2"/>
      <c r="JWE51" s="2"/>
      <c r="JWF51" s="2"/>
      <c r="JWG51" s="2"/>
      <c r="JWH51" s="2"/>
      <c r="JWI51" s="2"/>
      <c r="JWJ51" s="2"/>
      <c r="JWK51" s="2"/>
      <c r="JWL51" s="2"/>
      <c r="JWM51" s="2"/>
      <c r="JWN51" s="2"/>
      <c r="JWO51" s="2"/>
      <c r="JWP51" s="2"/>
      <c r="JWQ51" s="2"/>
      <c r="JWR51" s="2"/>
      <c r="JWS51" s="2"/>
      <c r="JWT51" s="2"/>
      <c r="JWU51" s="2"/>
      <c r="JWV51" s="2"/>
      <c r="JWW51" s="2"/>
      <c r="JWX51" s="2"/>
      <c r="JWY51" s="2"/>
      <c r="JWZ51" s="2"/>
      <c r="JXA51" s="2"/>
      <c r="JXB51" s="2"/>
      <c r="JXC51" s="2"/>
      <c r="JXD51" s="2"/>
      <c r="JXE51" s="2"/>
      <c r="JXF51" s="2"/>
      <c r="JXG51" s="2"/>
      <c r="JXH51" s="2"/>
      <c r="JXI51" s="2"/>
      <c r="JXJ51" s="2"/>
      <c r="JXK51" s="2"/>
      <c r="JXL51" s="2"/>
      <c r="JXM51" s="2"/>
      <c r="JXN51" s="2"/>
      <c r="JXO51" s="2"/>
      <c r="JXP51" s="2"/>
      <c r="JXQ51" s="2"/>
      <c r="JXR51" s="2"/>
      <c r="JXS51" s="2"/>
      <c r="JXT51" s="2"/>
      <c r="JXU51" s="2"/>
      <c r="JXV51" s="2"/>
      <c r="JXW51" s="2"/>
      <c r="JXX51" s="2"/>
      <c r="JXY51" s="2"/>
      <c r="JXZ51" s="2"/>
      <c r="JYA51" s="2"/>
      <c r="JYB51" s="2"/>
      <c r="JYC51" s="2"/>
      <c r="JYD51" s="2"/>
      <c r="JYE51" s="2"/>
      <c r="JYF51" s="2"/>
      <c r="JYG51" s="2"/>
      <c r="JYH51" s="2"/>
      <c r="JYI51" s="2"/>
      <c r="JYJ51" s="2"/>
      <c r="JYK51" s="2"/>
      <c r="JYL51" s="2"/>
      <c r="JYM51" s="2"/>
      <c r="JYN51" s="2"/>
      <c r="JYO51" s="2"/>
      <c r="JYP51" s="2"/>
      <c r="JYQ51" s="2"/>
      <c r="JYR51" s="2"/>
      <c r="JYS51" s="2"/>
      <c r="JYT51" s="2"/>
      <c r="JYU51" s="2"/>
      <c r="JYV51" s="2"/>
      <c r="JYW51" s="2"/>
      <c r="JYX51" s="2"/>
      <c r="JYY51" s="2"/>
      <c r="JYZ51" s="2"/>
      <c r="JZA51" s="2"/>
      <c r="JZB51" s="2"/>
      <c r="JZC51" s="2"/>
      <c r="JZD51" s="2"/>
      <c r="JZE51" s="2"/>
      <c r="JZF51" s="2"/>
      <c r="JZG51" s="2"/>
      <c r="JZH51" s="2"/>
      <c r="JZI51" s="2"/>
      <c r="JZJ51" s="2"/>
      <c r="JZK51" s="2"/>
      <c r="JZL51" s="2"/>
      <c r="JZM51" s="2"/>
      <c r="JZN51" s="2"/>
      <c r="JZO51" s="2"/>
      <c r="JZP51" s="2"/>
      <c r="JZQ51" s="2"/>
      <c r="JZR51" s="2"/>
      <c r="JZS51" s="2"/>
      <c r="JZT51" s="2"/>
      <c r="JZU51" s="2"/>
      <c r="JZV51" s="2"/>
      <c r="JZW51" s="2"/>
      <c r="JZX51" s="2"/>
      <c r="JZY51" s="2"/>
      <c r="JZZ51" s="2"/>
      <c r="KAA51" s="2"/>
      <c r="KAB51" s="2"/>
      <c r="KAC51" s="2"/>
      <c r="KAD51" s="2"/>
      <c r="KAE51" s="2"/>
      <c r="KAF51" s="2"/>
      <c r="KAG51" s="2"/>
      <c r="KAH51" s="2"/>
      <c r="KAI51" s="2"/>
      <c r="KAJ51" s="2"/>
      <c r="KAK51" s="2"/>
      <c r="KAL51" s="2"/>
      <c r="KAM51" s="2"/>
      <c r="KAN51" s="2"/>
      <c r="KAO51" s="2"/>
      <c r="KAP51" s="2"/>
      <c r="KAQ51" s="2"/>
      <c r="KAR51" s="2"/>
      <c r="KAS51" s="2"/>
      <c r="KAT51" s="2"/>
      <c r="KAU51" s="2"/>
      <c r="KAV51" s="2"/>
      <c r="KAW51" s="2"/>
      <c r="KAX51" s="2"/>
      <c r="KAY51" s="2"/>
      <c r="KAZ51" s="2"/>
      <c r="KBA51" s="2"/>
      <c r="KBB51" s="2"/>
      <c r="KBC51" s="2"/>
      <c r="KBD51" s="2"/>
      <c r="KBE51" s="2"/>
      <c r="KBF51" s="2"/>
      <c r="KBG51" s="2"/>
      <c r="KBH51" s="2"/>
      <c r="KBI51" s="2"/>
      <c r="KBJ51" s="2"/>
      <c r="KBK51" s="2"/>
      <c r="KBL51" s="2"/>
      <c r="KBM51" s="2"/>
      <c r="KBN51" s="2"/>
      <c r="KBO51" s="2"/>
      <c r="KBP51" s="2"/>
      <c r="KBQ51" s="2"/>
      <c r="KBR51" s="2"/>
      <c r="KBS51" s="2"/>
      <c r="KBT51" s="2"/>
      <c r="KBU51" s="2"/>
      <c r="KBV51" s="2"/>
      <c r="KBW51" s="2"/>
      <c r="KBX51" s="2"/>
      <c r="KBY51" s="2"/>
      <c r="KBZ51" s="2"/>
      <c r="KCA51" s="2"/>
      <c r="KCB51" s="2"/>
      <c r="KCC51" s="2"/>
      <c r="KCD51" s="2"/>
      <c r="KCE51" s="2"/>
      <c r="KCF51" s="2"/>
      <c r="KCG51" s="2"/>
      <c r="KCH51" s="2"/>
      <c r="KCI51" s="2"/>
      <c r="KCJ51" s="2"/>
      <c r="KCK51" s="2"/>
      <c r="KCL51" s="2"/>
      <c r="KCM51" s="2"/>
      <c r="KCN51" s="2"/>
      <c r="KCO51" s="2"/>
      <c r="KCP51" s="2"/>
      <c r="KCQ51" s="2"/>
      <c r="KCR51" s="2"/>
      <c r="KCS51" s="2"/>
      <c r="KCT51" s="2"/>
      <c r="KCU51" s="2"/>
      <c r="KCV51" s="2"/>
      <c r="KCW51" s="2"/>
      <c r="KCX51" s="2"/>
      <c r="KCY51" s="2"/>
      <c r="KCZ51" s="2"/>
      <c r="KDA51" s="2"/>
      <c r="KDB51" s="2"/>
      <c r="KDC51" s="2"/>
      <c r="KDD51" s="2"/>
      <c r="KDE51" s="2"/>
      <c r="KDF51" s="2"/>
      <c r="KDG51" s="2"/>
      <c r="KDH51" s="2"/>
      <c r="KDI51" s="2"/>
      <c r="KDJ51" s="2"/>
      <c r="KDK51" s="2"/>
      <c r="KDL51" s="2"/>
      <c r="KDM51" s="2"/>
      <c r="KDN51" s="2"/>
      <c r="KDO51" s="2"/>
      <c r="KDP51" s="2"/>
      <c r="KDQ51" s="2"/>
      <c r="KDR51" s="2"/>
      <c r="KDS51" s="2"/>
      <c r="KDT51" s="2"/>
      <c r="KDU51" s="2"/>
      <c r="KDV51" s="2"/>
      <c r="KDW51" s="2"/>
      <c r="KDX51" s="2"/>
      <c r="KDY51" s="2"/>
      <c r="KDZ51" s="2"/>
      <c r="KEA51" s="2"/>
      <c r="KEB51" s="2"/>
      <c r="KEC51" s="2"/>
      <c r="KED51" s="2"/>
      <c r="KEE51" s="2"/>
      <c r="KEF51" s="2"/>
      <c r="KEG51" s="2"/>
      <c r="KEH51" s="2"/>
      <c r="KEI51" s="2"/>
      <c r="KEJ51" s="2"/>
      <c r="KEK51" s="2"/>
      <c r="KEL51" s="2"/>
      <c r="KEM51" s="2"/>
      <c r="KEN51" s="2"/>
      <c r="KEO51" s="2"/>
      <c r="KEP51" s="2"/>
      <c r="KEQ51" s="2"/>
      <c r="KER51" s="2"/>
      <c r="KES51" s="2"/>
      <c r="KET51" s="2"/>
      <c r="KEU51" s="2"/>
      <c r="KEV51" s="2"/>
      <c r="KEW51" s="2"/>
      <c r="KEX51" s="2"/>
      <c r="KEY51" s="2"/>
      <c r="KEZ51" s="2"/>
      <c r="KFA51" s="2"/>
      <c r="KFB51" s="2"/>
      <c r="KFC51" s="2"/>
      <c r="KFD51" s="2"/>
      <c r="KFE51" s="2"/>
      <c r="KFF51" s="2"/>
      <c r="KFG51" s="2"/>
      <c r="KFH51" s="2"/>
      <c r="KFI51" s="2"/>
      <c r="KFJ51" s="2"/>
      <c r="KFK51" s="2"/>
      <c r="KFL51" s="2"/>
      <c r="KFM51" s="2"/>
      <c r="KFN51" s="2"/>
      <c r="KFO51" s="2"/>
      <c r="KFP51" s="2"/>
      <c r="KFQ51" s="2"/>
      <c r="KFR51" s="2"/>
      <c r="KFS51" s="2"/>
      <c r="KFT51" s="2"/>
      <c r="KFU51" s="2"/>
      <c r="KFV51" s="2"/>
      <c r="KFW51" s="2"/>
      <c r="KFX51" s="2"/>
      <c r="KFY51" s="2"/>
      <c r="KFZ51" s="2"/>
      <c r="KGA51" s="2"/>
      <c r="KGB51" s="2"/>
      <c r="KGC51" s="2"/>
      <c r="KGD51" s="2"/>
      <c r="KGE51" s="2"/>
      <c r="KGF51" s="2"/>
      <c r="KGG51" s="2"/>
      <c r="KGH51" s="2"/>
      <c r="KGI51" s="2"/>
      <c r="KGJ51" s="2"/>
      <c r="KGK51" s="2"/>
      <c r="KGL51" s="2"/>
      <c r="KGM51" s="2"/>
      <c r="KGN51" s="2"/>
      <c r="KGO51" s="2"/>
      <c r="KGP51" s="2"/>
      <c r="KGQ51" s="2"/>
      <c r="KGR51" s="2"/>
      <c r="KGS51" s="2"/>
      <c r="KGT51" s="2"/>
      <c r="KGU51" s="2"/>
      <c r="KGV51" s="2"/>
      <c r="KGW51" s="2"/>
      <c r="KGX51" s="2"/>
      <c r="KGY51" s="2"/>
      <c r="KGZ51" s="2"/>
      <c r="KHA51" s="2"/>
      <c r="KHB51" s="2"/>
      <c r="KHC51" s="2"/>
      <c r="KHD51" s="2"/>
      <c r="KHE51" s="2"/>
      <c r="KHF51" s="2"/>
      <c r="KHG51" s="2"/>
      <c r="KHH51" s="2"/>
      <c r="KHI51" s="2"/>
      <c r="KHJ51" s="2"/>
      <c r="KHK51" s="2"/>
      <c r="KHL51" s="2"/>
      <c r="KHM51" s="2"/>
      <c r="KHN51" s="2"/>
      <c r="KHO51" s="2"/>
      <c r="KHP51" s="2"/>
      <c r="KHQ51" s="2"/>
      <c r="KHR51" s="2"/>
      <c r="KHS51" s="2"/>
      <c r="KHT51" s="2"/>
      <c r="KHU51" s="2"/>
      <c r="KHV51" s="2"/>
      <c r="KHW51" s="2"/>
      <c r="KHX51" s="2"/>
      <c r="KHY51" s="2"/>
      <c r="KHZ51" s="2"/>
      <c r="KIA51" s="2"/>
      <c r="KIB51" s="2"/>
      <c r="KIC51" s="2"/>
      <c r="KID51" s="2"/>
      <c r="KIE51" s="2"/>
      <c r="KIF51" s="2"/>
      <c r="KIG51" s="2"/>
      <c r="KIH51" s="2"/>
      <c r="KII51" s="2"/>
      <c r="KIJ51" s="2"/>
      <c r="KIK51" s="2"/>
      <c r="KIL51" s="2"/>
      <c r="KIM51" s="2"/>
      <c r="KIN51" s="2"/>
      <c r="KIO51" s="2"/>
      <c r="KIP51" s="2"/>
      <c r="KIQ51" s="2"/>
      <c r="KIR51" s="2"/>
      <c r="KIS51" s="2"/>
      <c r="KIT51" s="2"/>
      <c r="KIU51" s="2"/>
      <c r="KIV51" s="2"/>
      <c r="KIW51" s="2"/>
      <c r="KIX51" s="2"/>
      <c r="KIY51" s="2"/>
      <c r="KIZ51" s="2"/>
      <c r="KJA51" s="2"/>
      <c r="KJB51" s="2"/>
      <c r="KJC51" s="2"/>
      <c r="KJD51" s="2"/>
      <c r="KJE51" s="2"/>
      <c r="KJF51" s="2"/>
      <c r="KJG51" s="2"/>
      <c r="KJH51" s="2"/>
      <c r="KJI51" s="2"/>
      <c r="KJJ51" s="2"/>
      <c r="KJK51" s="2"/>
      <c r="KJL51" s="2"/>
      <c r="KJM51" s="2"/>
      <c r="KJN51" s="2"/>
      <c r="KJO51" s="2"/>
      <c r="KJP51" s="2"/>
      <c r="KJQ51" s="2"/>
      <c r="KJR51" s="2"/>
      <c r="KJS51" s="2"/>
      <c r="KJT51" s="2"/>
      <c r="KJU51" s="2"/>
      <c r="KJV51" s="2"/>
      <c r="KJW51" s="2"/>
      <c r="KJX51" s="2"/>
      <c r="KJY51" s="2"/>
      <c r="KJZ51" s="2"/>
      <c r="KKA51" s="2"/>
      <c r="KKB51" s="2"/>
      <c r="KKC51" s="2"/>
      <c r="KKD51" s="2"/>
      <c r="KKE51" s="2"/>
      <c r="KKF51" s="2"/>
      <c r="KKG51" s="2"/>
      <c r="KKH51" s="2"/>
      <c r="KKI51" s="2"/>
      <c r="KKJ51" s="2"/>
      <c r="KKK51" s="2"/>
      <c r="KKL51" s="2"/>
      <c r="KKM51" s="2"/>
      <c r="KKN51" s="2"/>
      <c r="KKO51" s="2"/>
      <c r="KKP51" s="2"/>
      <c r="KKQ51" s="2"/>
      <c r="KKR51" s="2"/>
      <c r="KKS51" s="2"/>
      <c r="KKT51" s="2"/>
      <c r="KKU51" s="2"/>
      <c r="KKV51" s="2"/>
      <c r="KKW51" s="2"/>
      <c r="KKX51" s="2"/>
      <c r="KKY51" s="2"/>
      <c r="KKZ51" s="2"/>
      <c r="KLA51" s="2"/>
      <c r="KLB51" s="2"/>
      <c r="KLC51" s="2"/>
      <c r="KLD51" s="2"/>
      <c r="KLE51" s="2"/>
      <c r="KLF51" s="2"/>
      <c r="KLG51" s="2"/>
      <c r="KLH51" s="2"/>
      <c r="KLI51" s="2"/>
      <c r="KLJ51" s="2"/>
      <c r="KLK51" s="2"/>
      <c r="KLL51" s="2"/>
      <c r="KLM51" s="2"/>
      <c r="KLN51" s="2"/>
      <c r="KLO51" s="2"/>
      <c r="KLP51" s="2"/>
      <c r="KLQ51" s="2"/>
      <c r="KLR51" s="2"/>
      <c r="KLS51" s="2"/>
      <c r="KLT51" s="2"/>
      <c r="KLU51" s="2"/>
      <c r="KLV51" s="2"/>
      <c r="KLW51" s="2"/>
      <c r="KLX51" s="2"/>
      <c r="KLY51" s="2"/>
      <c r="KLZ51" s="2"/>
      <c r="KMA51" s="2"/>
      <c r="KMB51" s="2"/>
      <c r="KMC51" s="2"/>
      <c r="KMD51" s="2"/>
      <c r="KME51" s="2"/>
      <c r="KMF51" s="2"/>
      <c r="KMG51" s="2"/>
      <c r="KMH51" s="2"/>
      <c r="KMI51" s="2"/>
      <c r="KMJ51" s="2"/>
      <c r="KMK51" s="2"/>
      <c r="KML51" s="2"/>
      <c r="KMM51" s="2"/>
      <c r="KMN51" s="2"/>
      <c r="KMO51" s="2"/>
      <c r="KMP51" s="2"/>
      <c r="KMQ51" s="2"/>
      <c r="KMR51" s="2"/>
      <c r="KMS51" s="2"/>
      <c r="KMT51" s="2"/>
      <c r="KMU51" s="2"/>
      <c r="KMV51" s="2"/>
      <c r="KMW51" s="2"/>
      <c r="KMX51" s="2"/>
      <c r="KMY51" s="2"/>
      <c r="KMZ51" s="2"/>
      <c r="KNA51" s="2"/>
      <c r="KNB51" s="2"/>
      <c r="KNC51" s="2"/>
      <c r="KND51" s="2"/>
      <c r="KNE51" s="2"/>
      <c r="KNF51" s="2"/>
      <c r="KNG51" s="2"/>
      <c r="KNH51" s="2"/>
      <c r="KNI51" s="2"/>
      <c r="KNJ51" s="2"/>
      <c r="KNK51" s="2"/>
      <c r="KNL51" s="2"/>
      <c r="KNM51" s="2"/>
      <c r="KNN51" s="2"/>
      <c r="KNO51" s="2"/>
      <c r="KNP51" s="2"/>
      <c r="KNQ51" s="2"/>
      <c r="KNR51" s="2"/>
      <c r="KNS51" s="2"/>
      <c r="KNT51" s="2"/>
      <c r="KNU51" s="2"/>
      <c r="KNV51" s="2"/>
      <c r="KNW51" s="2"/>
      <c r="KNX51" s="2"/>
      <c r="KNY51" s="2"/>
      <c r="KNZ51" s="2"/>
      <c r="KOA51" s="2"/>
      <c r="KOB51" s="2"/>
      <c r="KOC51" s="2"/>
      <c r="KOD51" s="2"/>
      <c r="KOE51" s="2"/>
      <c r="KOF51" s="2"/>
      <c r="KOG51" s="2"/>
      <c r="KOH51" s="2"/>
      <c r="KOI51" s="2"/>
      <c r="KOJ51" s="2"/>
      <c r="KOK51" s="2"/>
      <c r="KOL51" s="2"/>
      <c r="KOM51" s="2"/>
      <c r="KON51" s="2"/>
      <c r="KOO51" s="2"/>
      <c r="KOP51" s="2"/>
      <c r="KOQ51" s="2"/>
      <c r="KOR51" s="2"/>
      <c r="KOS51" s="2"/>
      <c r="KOT51" s="2"/>
      <c r="KOU51" s="2"/>
      <c r="KOV51" s="2"/>
      <c r="KOW51" s="2"/>
      <c r="KOX51" s="2"/>
      <c r="KOY51" s="2"/>
      <c r="KOZ51" s="2"/>
      <c r="KPA51" s="2"/>
      <c r="KPB51" s="2"/>
      <c r="KPC51" s="2"/>
      <c r="KPD51" s="2"/>
      <c r="KPE51" s="2"/>
      <c r="KPF51" s="2"/>
      <c r="KPG51" s="2"/>
      <c r="KPH51" s="2"/>
      <c r="KPI51" s="2"/>
      <c r="KPJ51" s="2"/>
      <c r="KPK51" s="2"/>
      <c r="KPL51" s="2"/>
      <c r="KPM51" s="2"/>
      <c r="KPN51" s="2"/>
      <c r="KPO51" s="2"/>
      <c r="KPP51" s="2"/>
      <c r="KPQ51" s="2"/>
      <c r="KPR51" s="2"/>
      <c r="KPS51" s="2"/>
      <c r="KPT51" s="2"/>
      <c r="KPU51" s="2"/>
      <c r="KPV51" s="2"/>
      <c r="KPW51" s="2"/>
      <c r="KPX51" s="2"/>
      <c r="KPY51" s="2"/>
      <c r="KPZ51" s="2"/>
      <c r="KQA51" s="2"/>
      <c r="KQB51" s="2"/>
      <c r="KQC51" s="2"/>
      <c r="KQD51" s="2"/>
      <c r="KQE51" s="2"/>
      <c r="KQF51" s="2"/>
      <c r="KQG51" s="2"/>
      <c r="KQH51" s="2"/>
      <c r="KQI51" s="2"/>
      <c r="KQJ51" s="2"/>
      <c r="KQK51" s="2"/>
      <c r="KQL51" s="2"/>
      <c r="KQM51" s="2"/>
      <c r="KQN51" s="2"/>
      <c r="KQO51" s="2"/>
      <c r="KQP51" s="2"/>
      <c r="KQQ51" s="2"/>
      <c r="KQR51" s="2"/>
      <c r="KQS51" s="2"/>
      <c r="KQT51" s="2"/>
      <c r="KQU51" s="2"/>
      <c r="KQV51" s="2"/>
      <c r="KQW51" s="2"/>
      <c r="KQX51" s="2"/>
      <c r="KQY51" s="2"/>
      <c r="KQZ51" s="2"/>
      <c r="KRA51" s="2"/>
      <c r="KRB51" s="2"/>
      <c r="KRC51" s="2"/>
      <c r="KRD51" s="2"/>
      <c r="KRE51" s="2"/>
      <c r="KRF51" s="2"/>
      <c r="KRG51" s="2"/>
      <c r="KRH51" s="2"/>
      <c r="KRI51" s="2"/>
      <c r="KRJ51" s="2"/>
      <c r="KRK51" s="2"/>
      <c r="KRL51" s="2"/>
      <c r="KRM51" s="2"/>
      <c r="KRN51" s="2"/>
      <c r="KRO51" s="2"/>
      <c r="KRP51" s="2"/>
      <c r="KRQ51" s="2"/>
      <c r="KRR51" s="2"/>
      <c r="KRS51" s="2"/>
      <c r="KRT51" s="2"/>
      <c r="KRU51" s="2"/>
      <c r="KRV51" s="2"/>
      <c r="KRW51" s="2"/>
      <c r="KRX51" s="2"/>
      <c r="KRY51" s="2"/>
      <c r="KRZ51" s="2"/>
      <c r="KSA51" s="2"/>
      <c r="KSB51" s="2"/>
      <c r="KSC51" s="2"/>
      <c r="KSD51" s="2"/>
      <c r="KSE51" s="2"/>
      <c r="KSF51" s="2"/>
      <c r="KSG51" s="2"/>
      <c r="KSH51" s="2"/>
      <c r="KSI51" s="2"/>
      <c r="KSJ51" s="2"/>
      <c r="KSK51" s="2"/>
      <c r="KSL51" s="2"/>
      <c r="KSM51" s="2"/>
      <c r="KSN51" s="2"/>
      <c r="KSO51" s="2"/>
      <c r="KSP51" s="2"/>
      <c r="KSQ51" s="2"/>
      <c r="KSR51" s="2"/>
      <c r="KSS51" s="2"/>
      <c r="KST51" s="2"/>
      <c r="KSU51" s="2"/>
      <c r="KSV51" s="2"/>
      <c r="KSW51" s="2"/>
      <c r="KSX51" s="2"/>
      <c r="KSY51" s="2"/>
      <c r="KSZ51" s="2"/>
      <c r="KTA51" s="2"/>
      <c r="KTB51" s="2"/>
      <c r="KTC51" s="2"/>
      <c r="KTD51" s="2"/>
      <c r="KTE51" s="2"/>
      <c r="KTF51" s="2"/>
      <c r="KTG51" s="2"/>
      <c r="KTH51" s="2"/>
      <c r="KTI51" s="2"/>
      <c r="KTJ51" s="2"/>
      <c r="KTK51" s="2"/>
      <c r="KTL51" s="2"/>
      <c r="KTM51" s="2"/>
      <c r="KTN51" s="2"/>
      <c r="KTO51" s="2"/>
      <c r="KTP51" s="2"/>
      <c r="KTQ51" s="2"/>
      <c r="KTR51" s="2"/>
      <c r="KTS51" s="2"/>
      <c r="KTT51" s="2"/>
      <c r="KTU51" s="2"/>
      <c r="KTV51" s="2"/>
      <c r="KTW51" s="2"/>
      <c r="KTX51" s="2"/>
      <c r="KTY51" s="2"/>
      <c r="KTZ51" s="2"/>
      <c r="KUA51" s="2"/>
      <c r="KUB51" s="2"/>
      <c r="KUC51" s="2"/>
      <c r="KUD51" s="2"/>
      <c r="KUE51" s="2"/>
      <c r="KUF51" s="2"/>
      <c r="KUG51" s="2"/>
      <c r="KUH51" s="2"/>
      <c r="KUI51" s="2"/>
      <c r="KUJ51" s="2"/>
      <c r="KUK51" s="2"/>
      <c r="KUL51" s="2"/>
      <c r="KUM51" s="2"/>
      <c r="KUN51" s="2"/>
      <c r="KUO51" s="2"/>
      <c r="KUP51" s="2"/>
      <c r="KUQ51" s="2"/>
      <c r="KUR51" s="2"/>
      <c r="KUS51" s="2"/>
      <c r="KUT51" s="2"/>
      <c r="KUU51" s="2"/>
      <c r="KUV51" s="2"/>
      <c r="KUW51" s="2"/>
      <c r="KUX51" s="2"/>
      <c r="KUY51" s="2"/>
      <c r="KUZ51" s="2"/>
      <c r="KVA51" s="2"/>
      <c r="KVB51" s="2"/>
      <c r="KVC51" s="2"/>
      <c r="KVD51" s="2"/>
      <c r="KVE51" s="2"/>
      <c r="KVF51" s="2"/>
      <c r="KVG51" s="2"/>
      <c r="KVH51" s="2"/>
      <c r="KVI51" s="2"/>
      <c r="KVJ51" s="2"/>
      <c r="KVK51" s="2"/>
      <c r="KVL51" s="2"/>
      <c r="KVM51" s="2"/>
      <c r="KVN51" s="2"/>
      <c r="KVO51" s="2"/>
      <c r="KVP51" s="2"/>
      <c r="KVQ51" s="2"/>
      <c r="KVR51" s="2"/>
      <c r="KVS51" s="2"/>
      <c r="KVT51" s="2"/>
      <c r="KVU51" s="2"/>
      <c r="KVV51" s="2"/>
      <c r="KVW51" s="2"/>
      <c r="KVX51" s="2"/>
      <c r="KVY51" s="2"/>
      <c r="KVZ51" s="2"/>
      <c r="KWA51" s="2"/>
      <c r="KWB51" s="2"/>
      <c r="KWC51" s="2"/>
      <c r="KWD51" s="2"/>
      <c r="KWE51" s="2"/>
      <c r="KWF51" s="2"/>
      <c r="KWG51" s="2"/>
      <c r="KWH51" s="2"/>
      <c r="KWI51" s="2"/>
      <c r="KWJ51" s="2"/>
      <c r="KWK51" s="2"/>
      <c r="KWL51" s="2"/>
      <c r="KWM51" s="2"/>
      <c r="KWN51" s="2"/>
      <c r="KWO51" s="2"/>
      <c r="KWP51" s="2"/>
      <c r="KWQ51" s="2"/>
      <c r="KWR51" s="2"/>
      <c r="KWS51" s="2"/>
      <c r="KWT51" s="2"/>
      <c r="KWU51" s="2"/>
      <c r="KWV51" s="2"/>
      <c r="KWW51" s="2"/>
      <c r="KWX51" s="2"/>
      <c r="KWY51" s="2"/>
      <c r="KWZ51" s="2"/>
      <c r="KXA51" s="2"/>
      <c r="KXB51" s="2"/>
      <c r="KXC51" s="2"/>
      <c r="KXD51" s="2"/>
      <c r="KXE51" s="2"/>
      <c r="KXF51" s="2"/>
      <c r="KXG51" s="2"/>
      <c r="KXH51" s="2"/>
      <c r="KXI51" s="2"/>
      <c r="KXJ51" s="2"/>
      <c r="KXK51" s="2"/>
      <c r="KXL51" s="2"/>
      <c r="KXM51" s="2"/>
      <c r="KXN51" s="2"/>
      <c r="KXO51" s="2"/>
      <c r="KXP51" s="2"/>
      <c r="KXQ51" s="2"/>
      <c r="KXR51" s="2"/>
      <c r="KXS51" s="2"/>
      <c r="KXT51" s="2"/>
      <c r="KXU51" s="2"/>
      <c r="KXV51" s="2"/>
      <c r="KXW51" s="2"/>
      <c r="KXX51" s="2"/>
      <c r="KXY51" s="2"/>
      <c r="KXZ51" s="2"/>
      <c r="KYA51" s="2"/>
      <c r="KYB51" s="2"/>
      <c r="KYC51" s="2"/>
      <c r="KYD51" s="2"/>
      <c r="KYE51" s="2"/>
      <c r="KYF51" s="2"/>
      <c r="KYG51" s="2"/>
      <c r="KYH51" s="2"/>
      <c r="KYI51" s="2"/>
      <c r="KYJ51" s="2"/>
      <c r="KYK51" s="2"/>
      <c r="KYL51" s="2"/>
      <c r="KYM51" s="2"/>
      <c r="KYN51" s="2"/>
      <c r="KYO51" s="2"/>
      <c r="KYP51" s="2"/>
      <c r="KYQ51" s="2"/>
      <c r="KYR51" s="2"/>
      <c r="KYS51" s="2"/>
      <c r="KYT51" s="2"/>
      <c r="KYU51" s="2"/>
      <c r="KYV51" s="2"/>
      <c r="KYW51" s="2"/>
      <c r="KYX51" s="2"/>
      <c r="KYY51" s="2"/>
      <c r="KYZ51" s="2"/>
      <c r="KZA51" s="2"/>
      <c r="KZB51" s="2"/>
      <c r="KZC51" s="2"/>
      <c r="KZD51" s="2"/>
      <c r="KZE51" s="2"/>
      <c r="KZF51" s="2"/>
      <c r="KZG51" s="2"/>
      <c r="KZH51" s="2"/>
      <c r="KZI51" s="2"/>
      <c r="KZJ51" s="2"/>
      <c r="KZK51" s="2"/>
      <c r="KZL51" s="2"/>
      <c r="KZM51" s="2"/>
      <c r="KZN51" s="2"/>
      <c r="KZO51" s="2"/>
      <c r="KZP51" s="2"/>
      <c r="KZQ51" s="2"/>
      <c r="KZR51" s="2"/>
      <c r="KZS51" s="2"/>
      <c r="KZT51" s="2"/>
      <c r="KZU51" s="2"/>
      <c r="KZV51" s="2"/>
      <c r="KZW51" s="2"/>
      <c r="KZX51" s="2"/>
      <c r="KZY51" s="2"/>
      <c r="KZZ51" s="2"/>
      <c r="LAA51" s="2"/>
      <c r="LAB51" s="2"/>
      <c r="LAC51" s="2"/>
      <c r="LAD51" s="2"/>
      <c r="LAE51" s="2"/>
      <c r="LAF51" s="2"/>
      <c r="LAG51" s="2"/>
      <c r="LAH51" s="2"/>
      <c r="LAI51" s="2"/>
      <c r="LAJ51" s="2"/>
      <c r="LAK51" s="2"/>
      <c r="LAL51" s="2"/>
      <c r="LAM51" s="2"/>
      <c r="LAN51" s="2"/>
      <c r="LAO51" s="2"/>
      <c r="LAP51" s="2"/>
      <c r="LAQ51" s="2"/>
      <c r="LAR51" s="2"/>
      <c r="LAS51" s="2"/>
      <c r="LAT51" s="2"/>
      <c r="LAU51" s="2"/>
      <c r="LAV51" s="2"/>
      <c r="LAW51" s="2"/>
      <c r="LAX51" s="2"/>
      <c r="LAY51" s="2"/>
      <c r="LAZ51" s="2"/>
      <c r="LBA51" s="2"/>
      <c r="LBB51" s="2"/>
      <c r="LBC51" s="2"/>
      <c r="LBD51" s="2"/>
      <c r="LBE51" s="2"/>
      <c r="LBF51" s="2"/>
      <c r="LBG51" s="2"/>
      <c r="LBH51" s="2"/>
      <c r="LBI51" s="2"/>
      <c r="LBJ51" s="2"/>
      <c r="LBK51" s="2"/>
      <c r="LBL51" s="2"/>
      <c r="LBM51" s="2"/>
      <c r="LBN51" s="2"/>
      <c r="LBO51" s="2"/>
      <c r="LBP51" s="2"/>
      <c r="LBQ51" s="2"/>
      <c r="LBR51" s="2"/>
      <c r="LBS51" s="2"/>
      <c r="LBT51" s="2"/>
      <c r="LBU51" s="2"/>
      <c r="LBV51" s="2"/>
      <c r="LBW51" s="2"/>
      <c r="LBX51" s="2"/>
      <c r="LBY51" s="2"/>
      <c r="LBZ51" s="2"/>
      <c r="LCA51" s="2"/>
      <c r="LCB51" s="2"/>
      <c r="LCC51" s="2"/>
      <c r="LCD51" s="2"/>
      <c r="LCE51" s="2"/>
      <c r="LCF51" s="2"/>
      <c r="LCG51" s="2"/>
      <c r="LCH51" s="2"/>
      <c r="LCI51" s="2"/>
      <c r="LCJ51" s="2"/>
      <c r="LCK51" s="2"/>
      <c r="LCL51" s="2"/>
      <c r="LCM51" s="2"/>
      <c r="LCN51" s="2"/>
      <c r="LCO51" s="2"/>
      <c r="LCP51" s="2"/>
      <c r="LCQ51" s="2"/>
      <c r="LCR51" s="2"/>
      <c r="LCS51" s="2"/>
      <c r="LCT51" s="2"/>
      <c r="LCU51" s="2"/>
      <c r="LCV51" s="2"/>
      <c r="LCW51" s="2"/>
      <c r="LCX51" s="2"/>
      <c r="LCY51" s="2"/>
      <c r="LCZ51" s="2"/>
      <c r="LDA51" s="2"/>
      <c r="LDB51" s="2"/>
      <c r="LDC51" s="2"/>
      <c r="LDD51" s="2"/>
      <c r="LDE51" s="2"/>
      <c r="LDF51" s="2"/>
      <c r="LDG51" s="2"/>
      <c r="LDH51" s="2"/>
      <c r="LDI51" s="2"/>
      <c r="LDJ51" s="2"/>
      <c r="LDK51" s="2"/>
      <c r="LDL51" s="2"/>
      <c r="LDM51" s="2"/>
      <c r="LDN51" s="2"/>
      <c r="LDO51" s="2"/>
      <c r="LDP51" s="2"/>
      <c r="LDQ51" s="2"/>
      <c r="LDR51" s="2"/>
      <c r="LDS51" s="2"/>
      <c r="LDT51" s="2"/>
      <c r="LDU51" s="2"/>
      <c r="LDV51" s="2"/>
      <c r="LDW51" s="2"/>
      <c r="LDX51" s="2"/>
      <c r="LDY51" s="2"/>
      <c r="LDZ51" s="2"/>
      <c r="LEA51" s="2"/>
      <c r="LEB51" s="2"/>
      <c r="LEC51" s="2"/>
      <c r="LED51" s="2"/>
      <c r="LEE51" s="2"/>
      <c r="LEF51" s="2"/>
      <c r="LEG51" s="2"/>
      <c r="LEH51" s="2"/>
      <c r="LEI51" s="2"/>
      <c r="LEJ51" s="2"/>
      <c r="LEK51" s="2"/>
      <c r="LEL51" s="2"/>
      <c r="LEM51" s="2"/>
      <c r="LEN51" s="2"/>
      <c r="LEO51" s="2"/>
      <c r="LEP51" s="2"/>
      <c r="LEQ51" s="2"/>
      <c r="LER51" s="2"/>
      <c r="LES51" s="2"/>
      <c r="LET51" s="2"/>
      <c r="LEU51" s="2"/>
      <c r="LEV51" s="2"/>
      <c r="LEW51" s="2"/>
      <c r="LEX51" s="2"/>
      <c r="LEY51" s="2"/>
      <c r="LEZ51" s="2"/>
      <c r="LFA51" s="2"/>
      <c r="LFB51" s="2"/>
      <c r="LFC51" s="2"/>
      <c r="LFD51" s="2"/>
      <c r="LFE51" s="2"/>
      <c r="LFF51" s="2"/>
      <c r="LFG51" s="2"/>
      <c r="LFH51" s="2"/>
      <c r="LFI51" s="2"/>
      <c r="LFJ51" s="2"/>
      <c r="LFK51" s="2"/>
      <c r="LFL51" s="2"/>
      <c r="LFM51" s="2"/>
      <c r="LFN51" s="2"/>
      <c r="LFO51" s="2"/>
      <c r="LFP51" s="2"/>
      <c r="LFQ51" s="2"/>
      <c r="LFR51" s="2"/>
      <c r="LFS51" s="2"/>
      <c r="LFT51" s="2"/>
      <c r="LFU51" s="2"/>
      <c r="LFV51" s="2"/>
      <c r="LFW51" s="2"/>
      <c r="LFX51" s="2"/>
      <c r="LFY51" s="2"/>
      <c r="LFZ51" s="2"/>
      <c r="LGA51" s="2"/>
      <c r="LGB51" s="2"/>
      <c r="LGC51" s="2"/>
      <c r="LGD51" s="2"/>
      <c r="LGE51" s="2"/>
      <c r="LGF51" s="2"/>
      <c r="LGG51" s="2"/>
      <c r="LGH51" s="2"/>
      <c r="LGI51" s="2"/>
      <c r="LGJ51" s="2"/>
      <c r="LGK51" s="2"/>
      <c r="LGL51" s="2"/>
      <c r="LGM51" s="2"/>
      <c r="LGN51" s="2"/>
      <c r="LGO51" s="2"/>
      <c r="LGP51" s="2"/>
      <c r="LGQ51" s="2"/>
      <c r="LGR51" s="2"/>
      <c r="LGS51" s="2"/>
      <c r="LGT51" s="2"/>
      <c r="LGU51" s="2"/>
      <c r="LGV51" s="2"/>
      <c r="LGW51" s="2"/>
      <c r="LGX51" s="2"/>
      <c r="LGY51" s="2"/>
      <c r="LGZ51" s="2"/>
      <c r="LHA51" s="2"/>
      <c r="LHB51" s="2"/>
      <c r="LHC51" s="2"/>
      <c r="LHD51" s="2"/>
      <c r="LHE51" s="2"/>
      <c r="LHF51" s="2"/>
      <c r="LHG51" s="2"/>
      <c r="LHH51" s="2"/>
      <c r="LHI51" s="2"/>
      <c r="LHJ51" s="2"/>
      <c r="LHK51" s="2"/>
      <c r="LHL51" s="2"/>
      <c r="LHM51" s="2"/>
      <c r="LHN51" s="2"/>
      <c r="LHO51" s="2"/>
      <c r="LHP51" s="2"/>
      <c r="LHQ51" s="2"/>
      <c r="LHR51" s="2"/>
      <c r="LHS51" s="2"/>
      <c r="LHT51" s="2"/>
      <c r="LHU51" s="2"/>
      <c r="LHV51" s="2"/>
      <c r="LHW51" s="2"/>
      <c r="LHX51" s="2"/>
      <c r="LHY51" s="2"/>
      <c r="LHZ51" s="2"/>
      <c r="LIA51" s="2"/>
      <c r="LIB51" s="2"/>
      <c r="LIC51" s="2"/>
      <c r="LID51" s="2"/>
      <c r="LIE51" s="2"/>
      <c r="LIF51" s="2"/>
      <c r="LIG51" s="2"/>
      <c r="LIH51" s="2"/>
      <c r="LII51" s="2"/>
      <c r="LIJ51" s="2"/>
      <c r="LIK51" s="2"/>
      <c r="LIL51" s="2"/>
      <c r="LIM51" s="2"/>
      <c r="LIN51" s="2"/>
      <c r="LIO51" s="2"/>
      <c r="LIP51" s="2"/>
      <c r="LIQ51" s="2"/>
      <c r="LIR51" s="2"/>
      <c r="LIS51" s="2"/>
      <c r="LIT51" s="2"/>
      <c r="LIU51" s="2"/>
      <c r="LIV51" s="2"/>
      <c r="LIW51" s="2"/>
      <c r="LIX51" s="2"/>
      <c r="LIY51" s="2"/>
      <c r="LIZ51" s="2"/>
      <c r="LJA51" s="2"/>
      <c r="LJB51" s="2"/>
      <c r="LJC51" s="2"/>
      <c r="LJD51" s="2"/>
      <c r="LJE51" s="2"/>
      <c r="LJF51" s="2"/>
      <c r="LJG51" s="2"/>
      <c r="LJH51" s="2"/>
      <c r="LJI51" s="2"/>
      <c r="LJJ51" s="2"/>
      <c r="LJK51" s="2"/>
      <c r="LJL51" s="2"/>
      <c r="LJM51" s="2"/>
      <c r="LJN51" s="2"/>
      <c r="LJO51" s="2"/>
      <c r="LJP51" s="2"/>
      <c r="LJQ51" s="2"/>
      <c r="LJR51" s="2"/>
      <c r="LJS51" s="2"/>
      <c r="LJT51" s="2"/>
      <c r="LJU51" s="2"/>
      <c r="LJV51" s="2"/>
      <c r="LJW51" s="2"/>
      <c r="LJX51" s="2"/>
      <c r="LJY51" s="2"/>
      <c r="LJZ51" s="2"/>
      <c r="LKA51" s="2"/>
      <c r="LKB51" s="2"/>
      <c r="LKC51" s="2"/>
      <c r="LKD51" s="2"/>
      <c r="LKE51" s="2"/>
      <c r="LKF51" s="2"/>
      <c r="LKG51" s="2"/>
      <c r="LKH51" s="2"/>
      <c r="LKI51" s="2"/>
      <c r="LKJ51" s="2"/>
      <c r="LKK51" s="2"/>
      <c r="LKL51" s="2"/>
      <c r="LKM51" s="2"/>
      <c r="LKN51" s="2"/>
      <c r="LKO51" s="2"/>
      <c r="LKP51" s="2"/>
      <c r="LKQ51" s="2"/>
      <c r="LKR51" s="2"/>
      <c r="LKS51" s="2"/>
      <c r="LKT51" s="2"/>
      <c r="LKU51" s="2"/>
      <c r="LKV51" s="2"/>
      <c r="LKW51" s="2"/>
      <c r="LKX51" s="2"/>
      <c r="LKY51" s="2"/>
      <c r="LKZ51" s="2"/>
      <c r="LLA51" s="2"/>
      <c r="LLB51" s="2"/>
      <c r="LLC51" s="2"/>
      <c r="LLD51" s="2"/>
      <c r="LLE51" s="2"/>
      <c r="LLF51" s="2"/>
      <c r="LLG51" s="2"/>
      <c r="LLH51" s="2"/>
      <c r="LLI51" s="2"/>
      <c r="LLJ51" s="2"/>
      <c r="LLK51" s="2"/>
      <c r="LLL51" s="2"/>
      <c r="LLM51" s="2"/>
      <c r="LLN51" s="2"/>
      <c r="LLO51" s="2"/>
      <c r="LLP51" s="2"/>
      <c r="LLQ51" s="2"/>
      <c r="LLR51" s="2"/>
      <c r="LLS51" s="2"/>
      <c r="LLT51" s="2"/>
      <c r="LLU51" s="2"/>
      <c r="LLV51" s="2"/>
      <c r="LLW51" s="2"/>
      <c r="LLX51" s="2"/>
      <c r="LLY51" s="2"/>
      <c r="LLZ51" s="2"/>
      <c r="LMA51" s="2"/>
      <c r="LMB51" s="2"/>
      <c r="LMC51" s="2"/>
      <c r="LMD51" s="2"/>
      <c r="LME51" s="2"/>
      <c r="LMF51" s="2"/>
      <c r="LMG51" s="2"/>
      <c r="LMH51" s="2"/>
      <c r="LMI51" s="2"/>
      <c r="LMJ51" s="2"/>
      <c r="LMK51" s="2"/>
      <c r="LML51" s="2"/>
      <c r="LMM51" s="2"/>
      <c r="LMN51" s="2"/>
      <c r="LMO51" s="2"/>
      <c r="LMP51" s="2"/>
      <c r="LMQ51" s="2"/>
      <c r="LMR51" s="2"/>
      <c r="LMS51" s="2"/>
      <c r="LMT51" s="2"/>
      <c r="LMU51" s="2"/>
      <c r="LMV51" s="2"/>
      <c r="LMW51" s="2"/>
      <c r="LMX51" s="2"/>
      <c r="LMY51" s="2"/>
      <c r="LMZ51" s="2"/>
      <c r="LNA51" s="2"/>
      <c r="LNB51" s="2"/>
      <c r="LNC51" s="2"/>
      <c r="LND51" s="2"/>
      <c r="LNE51" s="2"/>
      <c r="LNF51" s="2"/>
      <c r="LNG51" s="2"/>
      <c r="LNH51" s="2"/>
      <c r="LNI51" s="2"/>
      <c r="LNJ51" s="2"/>
      <c r="LNK51" s="2"/>
      <c r="LNL51" s="2"/>
      <c r="LNM51" s="2"/>
      <c r="LNN51" s="2"/>
      <c r="LNO51" s="2"/>
      <c r="LNP51" s="2"/>
      <c r="LNQ51" s="2"/>
      <c r="LNR51" s="2"/>
      <c r="LNS51" s="2"/>
      <c r="LNT51" s="2"/>
      <c r="LNU51" s="2"/>
      <c r="LNV51" s="2"/>
      <c r="LNW51" s="2"/>
      <c r="LNX51" s="2"/>
      <c r="LNY51" s="2"/>
      <c r="LNZ51" s="2"/>
      <c r="LOA51" s="2"/>
      <c r="LOB51" s="2"/>
      <c r="LOC51" s="2"/>
      <c r="LOD51" s="2"/>
      <c r="LOE51" s="2"/>
      <c r="LOF51" s="2"/>
      <c r="LOG51" s="2"/>
      <c r="LOH51" s="2"/>
      <c r="LOI51" s="2"/>
      <c r="LOJ51" s="2"/>
      <c r="LOK51" s="2"/>
      <c r="LOL51" s="2"/>
      <c r="LOM51" s="2"/>
      <c r="LON51" s="2"/>
      <c r="LOO51" s="2"/>
      <c r="LOP51" s="2"/>
      <c r="LOQ51" s="2"/>
      <c r="LOR51" s="2"/>
      <c r="LOS51" s="2"/>
      <c r="LOT51" s="2"/>
      <c r="LOU51" s="2"/>
      <c r="LOV51" s="2"/>
      <c r="LOW51" s="2"/>
      <c r="LOX51" s="2"/>
      <c r="LOY51" s="2"/>
      <c r="LOZ51" s="2"/>
      <c r="LPA51" s="2"/>
      <c r="LPB51" s="2"/>
      <c r="LPC51" s="2"/>
      <c r="LPD51" s="2"/>
      <c r="LPE51" s="2"/>
      <c r="LPF51" s="2"/>
      <c r="LPG51" s="2"/>
      <c r="LPH51" s="2"/>
      <c r="LPI51" s="2"/>
      <c r="LPJ51" s="2"/>
      <c r="LPK51" s="2"/>
      <c r="LPL51" s="2"/>
      <c r="LPM51" s="2"/>
      <c r="LPN51" s="2"/>
      <c r="LPO51" s="2"/>
      <c r="LPP51" s="2"/>
      <c r="LPQ51" s="2"/>
      <c r="LPR51" s="2"/>
      <c r="LPS51" s="2"/>
      <c r="LPT51" s="2"/>
      <c r="LPU51" s="2"/>
      <c r="LPV51" s="2"/>
      <c r="LPW51" s="2"/>
      <c r="LPX51" s="2"/>
      <c r="LPY51" s="2"/>
      <c r="LPZ51" s="2"/>
      <c r="LQA51" s="2"/>
      <c r="LQB51" s="2"/>
      <c r="LQC51" s="2"/>
      <c r="LQD51" s="2"/>
      <c r="LQE51" s="2"/>
      <c r="LQF51" s="2"/>
      <c r="LQG51" s="2"/>
      <c r="LQH51" s="2"/>
      <c r="LQI51" s="2"/>
      <c r="LQJ51" s="2"/>
      <c r="LQK51" s="2"/>
      <c r="LQL51" s="2"/>
      <c r="LQM51" s="2"/>
      <c r="LQN51" s="2"/>
      <c r="LQO51" s="2"/>
      <c r="LQP51" s="2"/>
      <c r="LQQ51" s="2"/>
      <c r="LQR51" s="2"/>
      <c r="LQS51" s="2"/>
      <c r="LQT51" s="2"/>
      <c r="LQU51" s="2"/>
      <c r="LQV51" s="2"/>
      <c r="LQW51" s="2"/>
      <c r="LQX51" s="2"/>
      <c r="LQY51" s="2"/>
      <c r="LQZ51" s="2"/>
      <c r="LRA51" s="2"/>
      <c r="LRB51" s="2"/>
      <c r="LRC51" s="2"/>
      <c r="LRD51" s="2"/>
      <c r="LRE51" s="2"/>
      <c r="LRF51" s="2"/>
      <c r="LRG51" s="2"/>
      <c r="LRH51" s="2"/>
      <c r="LRI51" s="2"/>
      <c r="LRJ51" s="2"/>
      <c r="LRK51" s="2"/>
      <c r="LRL51" s="2"/>
      <c r="LRM51" s="2"/>
      <c r="LRN51" s="2"/>
      <c r="LRO51" s="2"/>
      <c r="LRP51" s="2"/>
      <c r="LRQ51" s="2"/>
      <c r="LRR51" s="2"/>
      <c r="LRS51" s="2"/>
      <c r="LRT51" s="2"/>
      <c r="LRU51" s="2"/>
      <c r="LRV51" s="2"/>
      <c r="LRW51" s="2"/>
      <c r="LRX51" s="2"/>
      <c r="LRY51" s="2"/>
      <c r="LRZ51" s="2"/>
      <c r="LSA51" s="2"/>
      <c r="LSB51" s="2"/>
      <c r="LSC51" s="2"/>
      <c r="LSD51" s="2"/>
      <c r="LSE51" s="2"/>
      <c r="LSF51" s="2"/>
      <c r="LSG51" s="2"/>
      <c r="LSH51" s="2"/>
      <c r="LSI51" s="2"/>
      <c r="LSJ51" s="2"/>
      <c r="LSK51" s="2"/>
      <c r="LSL51" s="2"/>
      <c r="LSM51" s="2"/>
      <c r="LSN51" s="2"/>
      <c r="LSO51" s="2"/>
      <c r="LSP51" s="2"/>
      <c r="LSQ51" s="2"/>
      <c r="LSR51" s="2"/>
      <c r="LSS51" s="2"/>
      <c r="LST51" s="2"/>
      <c r="LSU51" s="2"/>
      <c r="LSV51" s="2"/>
      <c r="LSW51" s="2"/>
      <c r="LSX51" s="2"/>
      <c r="LSY51" s="2"/>
      <c r="LSZ51" s="2"/>
      <c r="LTA51" s="2"/>
      <c r="LTB51" s="2"/>
      <c r="LTC51" s="2"/>
      <c r="LTD51" s="2"/>
      <c r="LTE51" s="2"/>
      <c r="LTF51" s="2"/>
      <c r="LTG51" s="2"/>
      <c r="LTH51" s="2"/>
      <c r="LTI51" s="2"/>
      <c r="LTJ51" s="2"/>
      <c r="LTK51" s="2"/>
      <c r="LTL51" s="2"/>
      <c r="LTM51" s="2"/>
      <c r="LTN51" s="2"/>
      <c r="LTO51" s="2"/>
      <c r="LTP51" s="2"/>
      <c r="LTQ51" s="2"/>
      <c r="LTR51" s="2"/>
      <c r="LTS51" s="2"/>
      <c r="LTT51" s="2"/>
      <c r="LTU51" s="2"/>
      <c r="LTV51" s="2"/>
      <c r="LTW51" s="2"/>
      <c r="LTX51" s="2"/>
      <c r="LTY51" s="2"/>
      <c r="LTZ51" s="2"/>
      <c r="LUA51" s="2"/>
      <c r="LUB51" s="2"/>
      <c r="LUC51" s="2"/>
      <c r="LUD51" s="2"/>
      <c r="LUE51" s="2"/>
      <c r="LUF51" s="2"/>
      <c r="LUG51" s="2"/>
      <c r="LUH51" s="2"/>
      <c r="LUI51" s="2"/>
      <c r="LUJ51" s="2"/>
      <c r="LUK51" s="2"/>
      <c r="LUL51" s="2"/>
      <c r="LUM51" s="2"/>
      <c r="LUN51" s="2"/>
      <c r="LUO51" s="2"/>
      <c r="LUP51" s="2"/>
      <c r="LUQ51" s="2"/>
      <c r="LUR51" s="2"/>
      <c r="LUS51" s="2"/>
      <c r="LUT51" s="2"/>
      <c r="LUU51" s="2"/>
      <c r="LUV51" s="2"/>
      <c r="LUW51" s="2"/>
      <c r="LUX51" s="2"/>
      <c r="LUY51" s="2"/>
      <c r="LUZ51" s="2"/>
      <c r="LVA51" s="2"/>
      <c r="LVB51" s="2"/>
      <c r="LVC51" s="2"/>
      <c r="LVD51" s="2"/>
      <c r="LVE51" s="2"/>
      <c r="LVF51" s="2"/>
      <c r="LVG51" s="2"/>
      <c r="LVH51" s="2"/>
      <c r="LVI51" s="2"/>
      <c r="LVJ51" s="2"/>
      <c r="LVK51" s="2"/>
      <c r="LVL51" s="2"/>
      <c r="LVM51" s="2"/>
      <c r="LVN51" s="2"/>
      <c r="LVO51" s="2"/>
      <c r="LVP51" s="2"/>
      <c r="LVQ51" s="2"/>
      <c r="LVR51" s="2"/>
      <c r="LVS51" s="2"/>
      <c r="LVT51" s="2"/>
      <c r="LVU51" s="2"/>
      <c r="LVV51" s="2"/>
      <c r="LVW51" s="2"/>
      <c r="LVX51" s="2"/>
      <c r="LVY51" s="2"/>
      <c r="LVZ51" s="2"/>
      <c r="LWA51" s="2"/>
      <c r="LWB51" s="2"/>
      <c r="LWC51" s="2"/>
      <c r="LWD51" s="2"/>
      <c r="LWE51" s="2"/>
      <c r="LWF51" s="2"/>
      <c r="LWG51" s="2"/>
      <c r="LWH51" s="2"/>
      <c r="LWI51" s="2"/>
      <c r="LWJ51" s="2"/>
      <c r="LWK51" s="2"/>
      <c r="LWL51" s="2"/>
      <c r="LWM51" s="2"/>
      <c r="LWN51" s="2"/>
      <c r="LWO51" s="2"/>
      <c r="LWP51" s="2"/>
      <c r="LWQ51" s="2"/>
      <c r="LWR51" s="2"/>
      <c r="LWS51" s="2"/>
      <c r="LWT51" s="2"/>
      <c r="LWU51" s="2"/>
      <c r="LWV51" s="2"/>
      <c r="LWW51" s="2"/>
      <c r="LWX51" s="2"/>
      <c r="LWY51" s="2"/>
      <c r="LWZ51" s="2"/>
      <c r="LXA51" s="2"/>
      <c r="LXB51" s="2"/>
      <c r="LXC51" s="2"/>
      <c r="LXD51" s="2"/>
      <c r="LXE51" s="2"/>
      <c r="LXF51" s="2"/>
      <c r="LXG51" s="2"/>
      <c r="LXH51" s="2"/>
      <c r="LXI51" s="2"/>
      <c r="LXJ51" s="2"/>
      <c r="LXK51" s="2"/>
      <c r="LXL51" s="2"/>
      <c r="LXM51" s="2"/>
      <c r="LXN51" s="2"/>
      <c r="LXO51" s="2"/>
      <c r="LXP51" s="2"/>
      <c r="LXQ51" s="2"/>
      <c r="LXR51" s="2"/>
      <c r="LXS51" s="2"/>
      <c r="LXT51" s="2"/>
      <c r="LXU51" s="2"/>
      <c r="LXV51" s="2"/>
      <c r="LXW51" s="2"/>
      <c r="LXX51" s="2"/>
      <c r="LXY51" s="2"/>
      <c r="LXZ51" s="2"/>
      <c r="LYA51" s="2"/>
      <c r="LYB51" s="2"/>
      <c r="LYC51" s="2"/>
      <c r="LYD51" s="2"/>
      <c r="LYE51" s="2"/>
      <c r="LYF51" s="2"/>
      <c r="LYG51" s="2"/>
      <c r="LYH51" s="2"/>
      <c r="LYI51" s="2"/>
      <c r="LYJ51" s="2"/>
      <c r="LYK51" s="2"/>
      <c r="LYL51" s="2"/>
      <c r="LYM51" s="2"/>
      <c r="LYN51" s="2"/>
      <c r="LYO51" s="2"/>
      <c r="LYP51" s="2"/>
      <c r="LYQ51" s="2"/>
      <c r="LYR51" s="2"/>
      <c r="LYS51" s="2"/>
      <c r="LYT51" s="2"/>
      <c r="LYU51" s="2"/>
      <c r="LYV51" s="2"/>
      <c r="LYW51" s="2"/>
      <c r="LYX51" s="2"/>
      <c r="LYY51" s="2"/>
      <c r="LYZ51" s="2"/>
      <c r="LZA51" s="2"/>
      <c r="LZB51" s="2"/>
      <c r="LZC51" s="2"/>
      <c r="LZD51" s="2"/>
      <c r="LZE51" s="2"/>
      <c r="LZF51" s="2"/>
      <c r="LZG51" s="2"/>
      <c r="LZH51" s="2"/>
      <c r="LZI51" s="2"/>
      <c r="LZJ51" s="2"/>
      <c r="LZK51" s="2"/>
      <c r="LZL51" s="2"/>
      <c r="LZM51" s="2"/>
      <c r="LZN51" s="2"/>
      <c r="LZO51" s="2"/>
      <c r="LZP51" s="2"/>
      <c r="LZQ51" s="2"/>
      <c r="LZR51" s="2"/>
      <c r="LZS51" s="2"/>
      <c r="LZT51" s="2"/>
      <c r="LZU51" s="2"/>
      <c r="LZV51" s="2"/>
      <c r="LZW51" s="2"/>
      <c r="LZX51" s="2"/>
      <c r="LZY51" s="2"/>
      <c r="LZZ51" s="2"/>
      <c r="MAA51" s="2"/>
      <c r="MAB51" s="2"/>
      <c r="MAC51" s="2"/>
      <c r="MAD51" s="2"/>
      <c r="MAE51" s="2"/>
      <c r="MAF51" s="2"/>
      <c r="MAG51" s="2"/>
      <c r="MAH51" s="2"/>
      <c r="MAI51" s="2"/>
      <c r="MAJ51" s="2"/>
      <c r="MAK51" s="2"/>
      <c r="MAL51" s="2"/>
      <c r="MAM51" s="2"/>
      <c r="MAN51" s="2"/>
      <c r="MAO51" s="2"/>
      <c r="MAP51" s="2"/>
      <c r="MAQ51" s="2"/>
      <c r="MAR51" s="2"/>
      <c r="MAS51" s="2"/>
      <c r="MAT51" s="2"/>
      <c r="MAU51" s="2"/>
      <c r="MAV51" s="2"/>
      <c r="MAW51" s="2"/>
      <c r="MAX51" s="2"/>
      <c r="MAY51" s="2"/>
      <c r="MAZ51" s="2"/>
      <c r="MBA51" s="2"/>
      <c r="MBB51" s="2"/>
      <c r="MBC51" s="2"/>
      <c r="MBD51" s="2"/>
      <c r="MBE51" s="2"/>
      <c r="MBF51" s="2"/>
      <c r="MBG51" s="2"/>
      <c r="MBH51" s="2"/>
      <c r="MBI51" s="2"/>
      <c r="MBJ51" s="2"/>
      <c r="MBK51" s="2"/>
      <c r="MBL51" s="2"/>
      <c r="MBM51" s="2"/>
      <c r="MBN51" s="2"/>
      <c r="MBO51" s="2"/>
      <c r="MBP51" s="2"/>
      <c r="MBQ51" s="2"/>
      <c r="MBR51" s="2"/>
      <c r="MBS51" s="2"/>
      <c r="MBT51" s="2"/>
      <c r="MBU51" s="2"/>
      <c r="MBV51" s="2"/>
      <c r="MBW51" s="2"/>
      <c r="MBX51" s="2"/>
      <c r="MBY51" s="2"/>
      <c r="MBZ51" s="2"/>
      <c r="MCA51" s="2"/>
      <c r="MCB51" s="2"/>
      <c r="MCC51" s="2"/>
      <c r="MCD51" s="2"/>
      <c r="MCE51" s="2"/>
      <c r="MCF51" s="2"/>
      <c r="MCG51" s="2"/>
      <c r="MCH51" s="2"/>
      <c r="MCI51" s="2"/>
      <c r="MCJ51" s="2"/>
      <c r="MCK51" s="2"/>
      <c r="MCL51" s="2"/>
      <c r="MCM51" s="2"/>
      <c r="MCN51" s="2"/>
      <c r="MCO51" s="2"/>
      <c r="MCP51" s="2"/>
      <c r="MCQ51" s="2"/>
      <c r="MCR51" s="2"/>
      <c r="MCS51" s="2"/>
      <c r="MCT51" s="2"/>
      <c r="MCU51" s="2"/>
      <c r="MCV51" s="2"/>
      <c r="MCW51" s="2"/>
      <c r="MCX51" s="2"/>
      <c r="MCY51" s="2"/>
      <c r="MCZ51" s="2"/>
      <c r="MDA51" s="2"/>
      <c r="MDB51" s="2"/>
      <c r="MDC51" s="2"/>
      <c r="MDD51" s="2"/>
      <c r="MDE51" s="2"/>
      <c r="MDF51" s="2"/>
      <c r="MDG51" s="2"/>
      <c r="MDH51" s="2"/>
      <c r="MDI51" s="2"/>
      <c r="MDJ51" s="2"/>
      <c r="MDK51" s="2"/>
      <c r="MDL51" s="2"/>
      <c r="MDM51" s="2"/>
      <c r="MDN51" s="2"/>
      <c r="MDO51" s="2"/>
      <c r="MDP51" s="2"/>
      <c r="MDQ51" s="2"/>
      <c r="MDR51" s="2"/>
      <c r="MDS51" s="2"/>
      <c r="MDT51" s="2"/>
      <c r="MDU51" s="2"/>
      <c r="MDV51" s="2"/>
      <c r="MDW51" s="2"/>
      <c r="MDX51" s="2"/>
      <c r="MDY51" s="2"/>
      <c r="MDZ51" s="2"/>
      <c r="MEA51" s="2"/>
      <c r="MEB51" s="2"/>
      <c r="MEC51" s="2"/>
      <c r="MED51" s="2"/>
      <c r="MEE51" s="2"/>
      <c r="MEF51" s="2"/>
      <c r="MEG51" s="2"/>
      <c r="MEH51" s="2"/>
      <c r="MEI51" s="2"/>
      <c r="MEJ51" s="2"/>
      <c r="MEK51" s="2"/>
      <c r="MEL51" s="2"/>
      <c r="MEM51" s="2"/>
      <c r="MEN51" s="2"/>
      <c r="MEO51" s="2"/>
      <c r="MEP51" s="2"/>
      <c r="MEQ51" s="2"/>
      <c r="MER51" s="2"/>
      <c r="MES51" s="2"/>
      <c r="MET51" s="2"/>
      <c r="MEU51" s="2"/>
      <c r="MEV51" s="2"/>
      <c r="MEW51" s="2"/>
      <c r="MEX51" s="2"/>
      <c r="MEY51" s="2"/>
      <c r="MEZ51" s="2"/>
      <c r="MFA51" s="2"/>
      <c r="MFB51" s="2"/>
      <c r="MFC51" s="2"/>
      <c r="MFD51" s="2"/>
      <c r="MFE51" s="2"/>
      <c r="MFF51" s="2"/>
      <c r="MFG51" s="2"/>
      <c r="MFH51" s="2"/>
      <c r="MFI51" s="2"/>
      <c r="MFJ51" s="2"/>
      <c r="MFK51" s="2"/>
      <c r="MFL51" s="2"/>
      <c r="MFM51" s="2"/>
      <c r="MFN51" s="2"/>
      <c r="MFO51" s="2"/>
      <c r="MFP51" s="2"/>
      <c r="MFQ51" s="2"/>
      <c r="MFR51" s="2"/>
      <c r="MFS51" s="2"/>
      <c r="MFT51" s="2"/>
      <c r="MFU51" s="2"/>
      <c r="MFV51" s="2"/>
      <c r="MFW51" s="2"/>
      <c r="MFX51" s="2"/>
      <c r="MFY51" s="2"/>
      <c r="MFZ51" s="2"/>
      <c r="MGA51" s="2"/>
      <c r="MGB51" s="2"/>
      <c r="MGC51" s="2"/>
      <c r="MGD51" s="2"/>
      <c r="MGE51" s="2"/>
      <c r="MGF51" s="2"/>
      <c r="MGG51" s="2"/>
      <c r="MGH51" s="2"/>
      <c r="MGI51" s="2"/>
      <c r="MGJ51" s="2"/>
      <c r="MGK51" s="2"/>
      <c r="MGL51" s="2"/>
      <c r="MGM51" s="2"/>
      <c r="MGN51" s="2"/>
      <c r="MGO51" s="2"/>
      <c r="MGP51" s="2"/>
      <c r="MGQ51" s="2"/>
      <c r="MGR51" s="2"/>
      <c r="MGS51" s="2"/>
      <c r="MGT51" s="2"/>
      <c r="MGU51" s="2"/>
      <c r="MGV51" s="2"/>
      <c r="MGW51" s="2"/>
      <c r="MGX51" s="2"/>
      <c r="MGY51" s="2"/>
      <c r="MGZ51" s="2"/>
      <c r="MHA51" s="2"/>
      <c r="MHB51" s="2"/>
      <c r="MHC51" s="2"/>
      <c r="MHD51" s="2"/>
      <c r="MHE51" s="2"/>
      <c r="MHF51" s="2"/>
      <c r="MHG51" s="2"/>
      <c r="MHH51" s="2"/>
      <c r="MHI51" s="2"/>
      <c r="MHJ51" s="2"/>
      <c r="MHK51" s="2"/>
      <c r="MHL51" s="2"/>
      <c r="MHM51" s="2"/>
      <c r="MHN51" s="2"/>
      <c r="MHO51" s="2"/>
      <c r="MHP51" s="2"/>
      <c r="MHQ51" s="2"/>
      <c r="MHR51" s="2"/>
      <c r="MHS51" s="2"/>
      <c r="MHT51" s="2"/>
      <c r="MHU51" s="2"/>
      <c r="MHV51" s="2"/>
      <c r="MHW51" s="2"/>
      <c r="MHX51" s="2"/>
      <c r="MHY51" s="2"/>
      <c r="MHZ51" s="2"/>
      <c r="MIA51" s="2"/>
      <c r="MIB51" s="2"/>
      <c r="MIC51" s="2"/>
      <c r="MID51" s="2"/>
      <c r="MIE51" s="2"/>
      <c r="MIF51" s="2"/>
      <c r="MIG51" s="2"/>
      <c r="MIH51" s="2"/>
      <c r="MII51" s="2"/>
      <c r="MIJ51" s="2"/>
      <c r="MIK51" s="2"/>
      <c r="MIL51" s="2"/>
      <c r="MIM51" s="2"/>
      <c r="MIN51" s="2"/>
      <c r="MIO51" s="2"/>
      <c r="MIP51" s="2"/>
      <c r="MIQ51" s="2"/>
      <c r="MIR51" s="2"/>
      <c r="MIS51" s="2"/>
      <c r="MIT51" s="2"/>
      <c r="MIU51" s="2"/>
      <c r="MIV51" s="2"/>
      <c r="MIW51" s="2"/>
      <c r="MIX51" s="2"/>
      <c r="MIY51" s="2"/>
      <c r="MIZ51" s="2"/>
      <c r="MJA51" s="2"/>
      <c r="MJB51" s="2"/>
      <c r="MJC51" s="2"/>
      <c r="MJD51" s="2"/>
      <c r="MJE51" s="2"/>
      <c r="MJF51" s="2"/>
      <c r="MJG51" s="2"/>
      <c r="MJH51" s="2"/>
      <c r="MJI51" s="2"/>
      <c r="MJJ51" s="2"/>
      <c r="MJK51" s="2"/>
      <c r="MJL51" s="2"/>
      <c r="MJM51" s="2"/>
      <c r="MJN51" s="2"/>
      <c r="MJO51" s="2"/>
      <c r="MJP51" s="2"/>
      <c r="MJQ51" s="2"/>
      <c r="MJR51" s="2"/>
      <c r="MJS51" s="2"/>
      <c r="MJT51" s="2"/>
      <c r="MJU51" s="2"/>
      <c r="MJV51" s="2"/>
      <c r="MJW51" s="2"/>
      <c r="MJX51" s="2"/>
      <c r="MJY51" s="2"/>
      <c r="MJZ51" s="2"/>
      <c r="MKA51" s="2"/>
      <c r="MKB51" s="2"/>
      <c r="MKC51" s="2"/>
      <c r="MKD51" s="2"/>
      <c r="MKE51" s="2"/>
      <c r="MKF51" s="2"/>
      <c r="MKG51" s="2"/>
      <c r="MKH51" s="2"/>
      <c r="MKI51" s="2"/>
      <c r="MKJ51" s="2"/>
      <c r="MKK51" s="2"/>
      <c r="MKL51" s="2"/>
      <c r="MKM51" s="2"/>
      <c r="MKN51" s="2"/>
      <c r="MKO51" s="2"/>
      <c r="MKP51" s="2"/>
      <c r="MKQ51" s="2"/>
      <c r="MKR51" s="2"/>
      <c r="MKS51" s="2"/>
      <c r="MKT51" s="2"/>
      <c r="MKU51" s="2"/>
      <c r="MKV51" s="2"/>
      <c r="MKW51" s="2"/>
      <c r="MKX51" s="2"/>
      <c r="MKY51" s="2"/>
      <c r="MKZ51" s="2"/>
      <c r="MLA51" s="2"/>
      <c r="MLB51" s="2"/>
      <c r="MLC51" s="2"/>
      <c r="MLD51" s="2"/>
      <c r="MLE51" s="2"/>
      <c r="MLF51" s="2"/>
      <c r="MLG51" s="2"/>
      <c r="MLH51" s="2"/>
      <c r="MLI51" s="2"/>
      <c r="MLJ51" s="2"/>
      <c r="MLK51" s="2"/>
      <c r="MLL51" s="2"/>
      <c r="MLM51" s="2"/>
      <c r="MLN51" s="2"/>
      <c r="MLO51" s="2"/>
      <c r="MLP51" s="2"/>
      <c r="MLQ51" s="2"/>
      <c r="MLR51" s="2"/>
      <c r="MLS51" s="2"/>
      <c r="MLT51" s="2"/>
      <c r="MLU51" s="2"/>
      <c r="MLV51" s="2"/>
      <c r="MLW51" s="2"/>
      <c r="MLX51" s="2"/>
      <c r="MLY51" s="2"/>
      <c r="MLZ51" s="2"/>
      <c r="MMA51" s="2"/>
      <c r="MMB51" s="2"/>
      <c r="MMC51" s="2"/>
      <c r="MMD51" s="2"/>
      <c r="MME51" s="2"/>
      <c r="MMF51" s="2"/>
      <c r="MMG51" s="2"/>
      <c r="MMH51" s="2"/>
      <c r="MMI51" s="2"/>
      <c r="MMJ51" s="2"/>
      <c r="MMK51" s="2"/>
      <c r="MML51" s="2"/>
      <c r="MMM51" s="2"/>
      <c r="MMN51" s="2"/>
      <c r="MMO51" s="2"/>
      <c r="MMP51" s="2"/>
      <c r="MMQ51" s="2"/>
      <c r="MMR51" s="2"/>
      <c r="MMS51" s="2"/>
      <c r="MMT51" s="2"/>
      <c r="MMU51" s="2"/>
      <c r="MMV51" s="2"/>
      <c r="MMW51" s="2"/>
      <c r="MMX51" s="2"/>
      <c r="MMY51" s="2"/>
      <c r="MMZ51" s="2"/>
      <c r="MNA51" s="2"/>
      <c r="MNB51" s="2"/>
      <c r="MNC51" s="2"/>
      <c r="MND51" s="2"/>
      <c r="MNE51" s="2"/>
      <c r="MNF51" s="2"/>
      <c r="MNG51" s="2"/>
      <c r="MNH51" s="2"/>
      <c r="MNI51" s="2"/>
      <c r="MNJ51" s="2"/>
      <c r="MNK51" s="2"/>
      <c r="MNL51" s="2"/>
      <c r="MNM51" s="2"/>
      <c r="MNN51" s="2"/>
      <c r="MNO51" s="2"/>
      <c r="MNP51" s="2"/>
      <c r="MNQ51" s="2"/>
      <c r="MNR51" s="2"/>
      <c r="MNS51" s="2"/>
      <c r="MNT51" s="2"/>
      <c r="MNU51" s="2"/>
      <c r="MNV51" s="2"/>
      <c r="MNW51" s="2"/>
      <c r="MNX51" s="2"/>
      <c r="MNY51" s="2"/>
      <c r="MNZ51" s="2"/>
      <c r="MOA51" s="2"/>
      <c r="MOB51" s="2"/>
      <c r="MOC51" s="2"/>
      <c r="MOD51" s="2"/>
      <c r="MOE51" s="2"/>
      <c r="MOF51" s="2"/>
      <c r="MOG51" s="2"/>
      <c r="MOH51" s="2"/>
      <c r="MOI51" s="2"/>
      <c r="MOJ51" s="2"/>
      <c r="MOK51" s="2"/>
      <c r="MOL51" s="2"/>
      <c r="MOM51" s="2"/>
      <c r="MON51" s="2"/>
      <c r="MOO51" s="2"/>
      <c r="MOP51" s="2"/>
      <c r="MOQ51" s="2"/>
      <c r="MOR51" s="2"/>
      <c r="MOS51" s="2"/>
      <c r="MOT51" s="2"/>
      <c r="MOU51" s="2"/>
      <c r="MOV51" s="2"/>
      <c r="MOW51" s="2"/>
      <c r="MOX51" s="2"/>
      <c r="MOY51" s="2"/>
      <c r="MOZ51" s="2"/>
      <c r="MPA51" s="2"/>
      <c r="MPB51" s="2"/>
      <c r="MPC51" s="2"/>
      <c r="MPD51" s="2"/>
      <c r="MPE51" s="2"/>
      <c r="MPF51" s="2"/>
      <c r="MPG51" s="2"/>
      <c r="MPH51" s="2"/>
      <c r="MPI51" s="2"/>
      <c r="MPJ51" s="2"/>
      <c r="MPK51" s="2"/>
      <c r="MPL51" s="2"/>
      <c r="MPM51" s="2"/>
      <c r="MPN51" s="2"/>
      <c r="MPO51" s="2"/>
      <c r="MPP51" s="2"/>
      <c r="MPQ51" s="2"/>
      <c r="MPR51" s="2"/>
      <c r="MPS51" s="2"/>
      <c r="MPT51" s="2"/>
      <c r="MPU51" s="2"/>
      <c r="MPV51" s="2"/>
      <c r="MPW51" s="2"/>
      <c r="MPX51" s="2"/>
      <c r="MPY51" s="2"/>
      <c r="MPZ51" s="2"/>
      <c r="MQA51" s="2"/>
      <c r="MQB51" s="2"/>
      <c r="MQC51" s="2"/>
      <c r="MQD51" s="2"/>
      <c r="MQE51" s="2"/>
      <c r="MQF51" s="2"/>
      <c r="MQG51" s="2"/>
      <c r="MQH51" s="2"/>
      <c r="MQI51" s="2"/>
      <c r="MQJ51" s="2"/>
      <c r="MQK51" s="2"/>
      <c r="MQL51" s="2"/>
      <c r="MQM51" s="2"/>
      <c r="MQN51" s="2"/>
      <c r="MQO51" s="2"/>
      <c r="MQP51" s="2"/>
      <c r="MQQ51" s="2"/>
      <c r="MQR51" s="2"/>
      <c r="MQS51" s="2"/>
      <c r="MQT51" s="2"/>
      <c r="MQU51" s="2"/>
      <c r="MQV51" s="2"/>
      <c r="MQW51" s="2"/>
      <c r="MQX51" s="2"/>
      <c r="MQY51" s="2"/>
      <c r="MQZ51" s="2"/>
      <c r="MRA51" s="2"/>
      <c r="MRB51" s="2"/>
      <c r="MRC51" s="2"/>
      <c r="MRD51" s="2"/>
      <c r="MRE51" s="2"/>
      <c r="MRF51" s="2"/>
      <c r="MRG51" s="2"/>
      <c r="MRH51" s="2"/>
      <c r="MRI51" s="2"/>
      <c r="MRJ51" s="2"/>
      <c r="MRK51" s="2"/>
      <c r="MRL51" s="2"/>
      <c r="MRM51" s="2"/>
      <c r="MRN51" s="2"/>
      <c r="MRO51" s="2"/>
      <c r="MRP51" s="2"/>
      <c r="MRQ51" s="2"/>
      <c r="MRR51" s="2"/>
      <c r="MRS51" s="2"/>
      <c r="MRT51" s="2"/>
      <c r="MRU51" s="2"/>
      <c r="MRV51" s="2"/>
      <c r="MRW51" s="2"/>
      <c r="MRX51" s="2"/>
      <c r="MRY51" s="2"/>
      <c r="MRZ51" s="2"/>
      <c r="MSA51" s="2"/>
      <c r="MSB51" s="2"/>
      <c r="MSC51" s="2"/>
      <c r="MSD51" s="2"/>
      <c r="MSE51" s="2"/>
      <c r="MSF51" s="2"/>
      <c r="MSG51" s="2"/>
      <c r="MSH51" s="2"/>
      <c r="MSI51" s="2"/>
      <c r="MSJ51" s="2"/>
      <c r="MSK51" s="2"/>
      <c r="MSL51" s="2"/>
      <c r="MSM51" s="2"/>
      <c r="MSN51" s="2"/>
      <c r="MSO51" s="2"/>
      <c r="MSP51" s="2"/>
      <c r="MSQ51" s="2"/>
      <c r="MSR51" s="2"/>
      <c r="MSS51" s="2"/>
      <c r="MST51" s="2"/>
      <c r="MSU51" s="2"/>
      <c r="MSV51" s="2"/>
      <c r="MSW51" s="2"/>
      <c r="MSX51" s="2"/>
      <c r="MSY51" s="2"/>
      <c r="MSZ51" s="2"/>
      <c r="MTA51" s="2"/>
      <c r="MTB51" s="2"/>
      <c r="MTC51" s="2"/>
      <c r="MTD51" s="2"/>
      <c r="MTE51" s="2"/>
      <c r="MTF51" s="2"/>
      <c r="MTG51" s="2"/>
      <c r="MTH51" s="2"/>
      <c r="MTI51" s="2"/>
      <c r="MTJ51" s="2"/>
      <c r="MTK51" s="2"/>
      <c r="MTL51" s="2"/>
      <c r="MTM51" s="2"/>
      <c r="MTN51" s="2"/>
      <c r="MTO51" s="2"/>
      <c r="MTP51" s="2"/>
      <c r="MTQ51" s="2"/>
      <c r="MTR51" s="2"/>
      <c r="MTS51" s="2"/>
      <c r="MTT51" s="2"/>
      <c r="MTU51" s="2"/>
      <c r="MTV51" s="2"/>
      <c r="MTW51" s="2"/>
      <c r="MTX51" s="2"/>
      <c r="MTY51" s="2"/>
      <c r="MTZ51" s="2"/>
      <c r="MUA51" s="2"/>
      <c r="MUB51" s="2"/>
      <c r="MUC51" s="2"/>
      <c r="MUD51" s="2"/>
      <c r="MUE51" s="2"/>
      <c r="MUF51" s="2"/>
      <c r="MUG51" s="2"/>
      <c r="MUH51" s="2"/>
      <c r="MUI51" s="2"/>
      <c r="MUJ51" s="2"/>
      <c r="MUK51" s="2"/>
      <c r="MUL51" s="2"/>
      <c r="MUM51" s="2"/>
      <c r="MUN51" s="2"/>
      <c r="MUO51" s="2"/>
      <c r="MUP51" s="2"/>
      <c r="MUQ51" s="2"/>
      <c r="MUR51" s="2"/>
      <c r="MUS51" s="2"/>
      <c r="MUT51" s="2"/>
      <c r="MUU51" s="2"/>
      <c r="MUV51" s="2"/>
      <c r="MUW51" s="2"/>
      <c r="MUX51" s="2"/>
      <c r="MUY51" s="2"/>
      <c r="MUZ51" s="2"/>
      <c r="MVA51" s="2"/>
      <c r="MVB51" s="2"/>
      <c r="MVC51" s="2"/>
      <c r="MVD51" s="2"/>
      <c r="MVE51" s="2"/>
      <c r="MVF51" s="2"/>
      <c r="MVG51" s="2"/>
      <c r="MVH51" s="2"/>
      <c r="MVI51" s="2"/>
      <c r="MVJ51" s="2"/>
      <c r="MVK51" s="2"/>
      <c r="MVL51" s="2"/>
      <c r="MVM51" s="2"/>
      <c r="MVN51" s="2"/>
      <c r="MVO51" s="2"/>
      <c r="MVP51" s="2"/>
      <c r="MVQ51" s="2"/>
      <c r="MVR51" s="2"/>
      <c r="MVS51" s="2"/>
      <c r="MVT51" s="2"/>
      <c r="MVU51" s="2"/>
      <c r="MVV51" s="2"/>
      <c r="MVW51" s="2"/>
      <c r="MVX51" s="2"/>
      <c r="MVY51" s="2"/>
      <c r="MVZ51" s="2"/>
      <c r="MWA51" s="2"/>
      <c r="MWB51" s="2"/>
      <c r="MWC51" s="2"/>
      <c r="MWD51" s="2"/>
      <c r="MWE51" s="2"/>
      <c r="MWF51" s="2"/>
      <c r="MWG51" s="2"/>
      <c r="MWH51" s="2"/>
      <c r="MWI51" s="2"/>
      <c r="MWJ51" s="2"/>
      <c r="MWK51" s="2"/>
      <c r="MWL51" s="2"/>
      <c r="MWM51" s="2"/>
      <c r="MWN51" s="2"/>
      <c r="MWO51" s="2"/>
      <c r="MWP51" s="2"/>
      <c r="MWQ51" s="2"/>
      <c r="MWR51" s="2"/>
      <c r="MWS51" s="2"/>
      <c r="MWT51" s="2"/>
      <c r="MWU51" s="2"/>
      <c r="MWV51" s="2"/>
      <c r="MWW51" s="2"/>
      <c r="MWX51" s="2"/>
      <c r="MWY51" s="2"/>
      <c r="MWZ51" s="2"/>
      <c r="MXA51" s="2"/>
      <c r="MXB51" s="2"/>
      <c r="MXC51" s="2"/>
      <c r="MXD51" s="2"/>
      <c r="MXE51" s="2"/>
      <c r="MXF51" s="2"/>
      <c r="MXG51" s="2"/>
      <c r="MXH51" s="2"/>
      <c r="MXI51" s="2"/>
      <c r="MXJ51" s="2"/>
      <c r="MXK51" s="2"/>
      <c r="MXL51" s="2"/>
      <c r="MXM51" s="2"/>
      <c r="MXN51" s="2"/>
      <c r="MXO51" s="2"/>
      <c r="MXP51" s="2"/>
      <c r="MXQ51" s="2"/>
      <c r="MXR51" s="2"/>
      <c r="MXS51" s="2"/>
      <c r="MXT51" s="2"/>
      <c r="MXU51" s="2"/>
      <c r="MXV51" s="2"/>
      <c r="MXW51" s="2"/>
      <c r="MXX51" s="2"/>
      <c r="MXY51" s="2"/>
      <c r="MXZ51" s="2"/>
      <c r="MYA51" s="2"/>
      <c r="MYB51" s="2"/>
      <c r="MYC51" s="2"/>
      <c r="MYD51" s="2"/>
      <c r="MYE51" s="2"/>
      <c r="MYF51" s="2"/>
      <c r="MYG51" s="2"/>
      <c r="MYH51" s="2"/>
      <c r="MYI51" s="2"/>
      <c r="MYJ51" s="2"/>
      <c r="MYK51" s="2"/>
      <c r="MYL51" s="2"/>
      <c r="MYM51" s="2"/>
      <c r="MYN51" s="2"/>
      <c r="MYO51" s="2"/>
      <c r="MYP51" s="2"/>
      <c r="MYQ51" s="2"/>
      <c r="MYR51" s="2"/>
      <c r="MYS51" s="2"/>
      <c r="MYT51" s="2"/>
      <c r="MYU51" s="2"/>
      <c r="MYV51" s="2"/>
      <c r="MYW51" s="2"/>
      <c r="MYX51" s="2"/>
      <c r="MYY51" s="2"/>
      <c r="MYZ51" s="2"/>
      <c r="MZA51" s="2"/>
      <c r="MZB51" s="2"/>
      <c r="MZC51" s="2"/>
      <c r="MZD51" s="2"/>
      <c r="MZE51" s="2"/>
      <c r="MZF51" s="2"/>
      <c r="MZG51" s="2"/>
      <c r="MZH51" s="2"/>
      <c r="MZI51" s="2"/>
      <c r="MZJ51" s="2"/>
      <c r="MZK51" s="2"/>
      <c r="MZL51" s="2"/>
      <c r="MZM51" s="2"/>
      <c r="MZN51" s="2"/>
      <c r="MZO51" s="2"/>
      <c r="MZP51" s="2"/>
      <c r="MZQ51" s="2"/>
      <c r="MZR51" s="2"/>
      <c r="MZS51" s="2"/>
      <c r="MZT51" s="2"/>
      <c r="MZU51" s="2"/>
      <c r="MZV51" s="2"/>
      <c r="MZW51" s="2"/>
      <c r="MZX51" s="2"/>
      <c r="MZY51" s="2"/>
      <c r="MZZ51" s="2"/>
      <c r="NAA51" s="2"/>
      <c r="NAB51" s="2"/>
      <c r="NAC51" s="2"/>
      <c r="NAD51" s="2"/>
      <c r="NAE51" s="2"/>
      <c r="NAF51" s="2"/>
      <c r="NAG51" s="2"/>
      <c r="NAH51" s="2"/>
      <c r="NAI51" s="2"/>
      <c r="NAJ51" s="2"/>
      <c r="NAK51" s="2"/>
      <c r="NAL51" s="2"/>
      <c r="NAM51" s="2"/>
      <c r="NAN51" s="2"/>
      <c r="NAO51" s="2"/>
      <c r="NAP51" s="2"/>
      <c r="NAQ51" s="2"/>
      <c r="NAR51" s="2"/>
      <c r="NAS51" s="2"/>
      <c r="NAT51" s="2"/>
      <c r="NAU51" s="2"/>
      <c r="NAV51" s="2"/>
      <c r="NAW51" s="2"/>
      <c r="NAX51" s="2"/>
      <c r="NAY51" s="2"/>
      <c r="NAZ51" s="2"/>
      <c r="NBA51" s="2"/>
      <c r="NBB51" s="2"/>
      <c r="NBC51" s="2"/>
      <c r="NBD51" s="2"/>
      <c r="NBE51" s="2"/>
      <c r="NBF51" s="2"/>
      <c r="NBG51" s="2"/>
      <c r="NBH51" s="2"/>
      <c r="NBI51" s="2"/>
      <c r="NBJ51" s="2"/>
      <c r="NBK51" s="2"/>
      <c r="NBL51" s="2"/>
      <c r="NBM51" s="2"/>
      <c r="NBN51" s="2"/>
      <c r="NBO51" s="2"/>
      <c r="NBP51" s="2"/>
      <c r="NBQ51" s="2"/>
      <c r="NBR51" s="2"/>
      <c r="NBS51" s="2"/>
      <c r="NBT51" s="2"/>
      <c r="NBU51" s="2"/>
      <c r="NBV51" s="2"/>
      <c r="NBW51" s="2"/>
      <c r="NBX51" s="2"/>
      <c r="NBY51" s="2"/>
      <c r="NBZ51" s="2"/>
      <c r="NCA51" s="2"/>
      <c r="NCB51" s="2"/>
      <c r="NCC51" s="2"/>
      <c r="NCD51" s="2"/>
      <c r="NCE51" s="2"/>
      <c r="NCF51" s="2"/>
      <c r="NCG51" s="2"/>
      <c r="NCH51" s="2"/>
      <c r="NCI51" s="2"/>
      <c r="NCJ51" s="2"/>
      <c r="NCK51" s="2"/>
      <c r="NCL51" s="2"/>
      <c r="NCM51" s="2"/>
      <c r="NCN51" s="2"/>
      <c r="NCO51" s="2"/>
      <c r="NCP51" s="2"/>
      <c r="NCQ51" s="2"/>
      <c r="NCR51" s="2"/>
      <c r="NCS51" s="2"/>
      <c r="NCT51" s="2"/>
      <c r="NCU51" s="2"/>
      <c r="NCV51" s="2"/>
      <c r="NCW51" s="2"/>
      <c r="NCX51" s="2"/>
      <c r="NCY51" s="2"/>
      <c r="NCZ51" s="2"/>
      <c r="NDA51" s="2"/>
      <c r="NDB51" s="2"/>
      <c r="NDC51" s="2"/>
      <c r="NDD51" s="2"/>
      <c r="NDE51" s="2"/>
      <c r="NDF51" s="2"/>
      <c r="NDG51" s="2"/>
      <c r="NDH51" s="2"/>
      <c r="NDI51" s="2"/>
      <c r="NDJ51" s="2"/>
      <c r="NDK51" s="2"/>
      <c r="NDL51" s="2"/>
      <c r="NDM51" s="2"/>
      <c r="NDN51" s="2"/>
      <c r="NDO51" s="2"/>
      <c r="NDP51" s="2"/>
      <c r="NDQ51" s="2"/>
      <c r="NDR51" s="2"/>
      <c r="NDS51" s="2"/>
      <c r="NDT51" s="2"/>
      <c r="NDU51" s="2"/>
      <c r="NDV51" s="2"/>
      <c r="NDW51" s="2"/>
      <c r="NDX51" s="2"/>
      <c r="NDY51" s="2"/>
      <c r="NDZ51" s="2"/>
      <c r="NEA51" s="2"/>
      <c r="NEB51" s="2"/>
      <c r="NEC51" s="2"/>
      <c r="NED51" s="2"/>
      <c r="NEE51" s="2"/>
      <c r="NEF51" s="2"/>
      <c r="NEG51" s="2"/>
      <c r="NEH51" s="2"/>
      <c r="NEI51" s="2"/>
      <c r="NEJ51" s="2"/>
      <c r="NEK51" s="2"/>
      <c r="NEL51" s="2"/>
      <c r="NEM51" s="2"/>
      <c r="NEN51" s="2"/>
      <c r="NEO51" s="2"/>
      <c r="NEP51" s="2"/>
      <c r="NEQ51" s="2"/>
      <c r="NER51" s="2"/>
      <c r="NES51" s="2"/>
      <c r="NET51" s="2"/>
      <c r="NEU51" s="2"/>
      <c r="NEV51" s="2"/>
      <c r="NEW51" s="2"/>
      <c r="NEX51" s="2"/>
      <c r="NEY51" s="2"/>
      <c r="NEZ51" s="2"/>
      <c r="NFA51" s="2"/>
      <c r="NFB51" s="2"/>
      <c r="NFC51" s="2"/>
      <c r="NFD51" s="2"/>
      <c r="NFE51" s="2"/>
      <c r="NFF51" s="2"/>
      <c r="NFG51" s="2"/>
      <c r="NFH51" s="2"/>
      <c r="NFI51" s="2"/>
      <c r="NFJ51" s="2"/>
      <c r="NFK51" s="2"/>
      <c r="NFL51" s="2"/>
      <c r="NFM51" s="2"/>
      <c r="NFN51" s="2"/>
      <c r="NFO51" s="2"/>
      <c r="NFP51" s="2"/>
      <c r="NFQ51" s="2"/>
      <c r="NFR51" s="2"/>
      <c r="NFS51" s="2"/>
      <c r="NFT51" s="2"/>
      <c r="NFU51" s="2"/>
      <c r="NFV51" s="2"/>
      <c r="NFW51" s="2"/>
      <c r="NFX51" s="2"/>
      <c r="NFY51" s="2"/>
      <c r="NFZ51" s="2"/>
      <c r="NGA51" s="2"/>
      <c r="NGB51" s="2"/>
      <c r="NGC51" s="2"/>
      <c r="NGD51" s="2"/>
      <c r="NGE51" s="2"/>
      <c r="NGF51" s="2"/>
      <c r="NGG51" s="2"/>
      <c r="NGH51" s="2"/>
      <c r="NGI51" s="2"/>
      <c r="NGJ51" s="2"/>
      <c r="NGK51" s="2"/>
      <c r="NGL51" s="2"/>
      <c r="NGM51" s="2"/>
      <c r="NGN51" s="2"/>
      <c r="NGO51" s="2"/>
      <c r="NGP51" s="2"/>
      <c r="NGQ51" s="2"/>
      <c r="NGR51" s="2"/>
      <c r="NGS51" s="2"/>
      <c r="NGT51" s="2"/>
      <c r="NGU51" s="2"/>
      <c r="NGV51" s="2"/>
      <c r="NGW51" s="2"/>
      <c r="NGX51" s="2"/>
      <c r="NGY51" s="2"/>
      <c r="NGZ51" s="2"/>
      <c r="NHA51" s="2"/>
      <c r="NHB51" s="2"/>
      <c r="NHC51" s="2"/>
      <c r="NHD51" s="2"/>
      <c r="NHE51" s="2"/>
      <c r="NHF51" s="2"/>
      <c r="NHG51" s="2"/>
      <c r="NHH51" s="2"/>
      <c r="NHI51" s="2"/>
      <c r="NHJ51" s="2"/>
      <c r="NHK51" s="2"/>
      <c r="NHL51" s="2"/>
      <c r="NHM51" s="2"/>
      <c r="NHN51" s="2"/>
      <c r="NHO51" s="2"/>
      <c r="NHP51" s="2"/>
      <c r="NHQ51" s="2"/>
      <c r="NHR51" s="2"/>
      <c r="NHS51" s="2"/>
      <c r="NHT51" s="2"/>
      <c r="NHU51" s="2"/>
      <c r="NHV51" s="2"/>
      <c r="NHW51" s="2"/>
      <c r="NHX51" s="2"/>
      <c r="NHY51" s="2"/>
      <c r="NHZ51" s="2"/>
      <c r="NIA51" s="2"/>
      <c r="NIB51" s="2"/>
      <c r="NIC51" s="2"/>
      <c r="NID51" s="2"/>
      <c r="NIE51" s="2"/>
      <c r="NIF51" s="2"/>
      <c r="NIG51" s="2"/>
      <c r="NIH51" s="2"/>
      <c r="NII51" s="2"/>
      <c r="NIJ51" s="2"/>
      <c r="NIK51" s="2"/>
      <c r="NIL51" s="2"/>
      <c r="NIM51" s="2"/>
      <c r="NIN51" s="2"/>
      <c r="NIO51" s="2"/>
      <c r="NIP51" s="2"/>
      <c r="NIQ51" s="2"/>
      <c r="NIR51" s="2"/>
      <c r="NIS51" s="2"/>
      <c r="NIT51" s="2"/>
      <c r="NIU51" s="2"/>
      <c r="NIV51" s="2"/>
      <c r="NIW51" s="2"/>
      <c r="NIX51" s="2"/>
      <c r="NIY51" s="2"/>
      <c r="NIZ51" s="2"/>
      <c r="NJA51" s="2"/>
      <c r="NJB51" s="2"/>
      <c r="NJC51" s="2"/>
      <c r="NJD51" s="2"/>
      <c r="NJE51" s="2"/>
      <c r="NJF51" s="2"/>
      <c r="NJG51" s="2"/>
      <c r="NJH51" s="2"/>
      <c r="NJI51" s="2"/>
      <c r="NJJ51" s="2"/>
      <c r="NJK51" s="2"/>
      <c r="NJL51" s="2"/>
      <c r="NJM51" s="2"/>
      <c r="NJN51" s="2"/>
      <c r="NJO51" s="2"/>
      <c r="NJP51" s="2"/>
      <c r="NJQ51" s="2"/>
      <c r="NJR51" s="2"/>
      <c r="NJS51" s="2"/>
      <c r="NJT51" s="2"/>
      <c r="NJU51" s="2"/>
      <c r="NJV51" s="2"/>
      <c r="NJW51" s="2"/>
      <c r="NJX51" s="2"/>
      <c r="NJY51" s="2"/>
      <c r="NJZ51" s="2"/>
      <c r="NKA51" s="2"/>
      <c r="NKB51" s="2"/>
      <c r="NKC51" s="2"/>
      <c r="NKD51" s="2"/>
      <c r="NKE51" s="2"/>
      <c r="NKF51" s="2"/>
      <c r="NKG51" s="2"/>
      <c r="NKH51" s="2"/>
      <c r="NKI51" s="2"/>
      <c r="NKJ51" s="2"/>
      <c r="NKK51" s="2"/>
      <c r="NKL51" s="2"/>
      <c r="NKM51" s="2"/>
      <c r="NKN51" s="2"/>
      <c r="NKO51" s="2"/>
      <c r="NKP51" s="2"/>
      <c r="NKQ51" s="2"/>
      <c r="NKR51" s="2"/>
      <c r="NKS51" s="2"/>
      <c r="NKT51" s="2"/>
      <c r="NKU51" s="2"/>
      <c r="NKV51" s="2"/>
      <c r="NKW51" s="2"/>
      <c r="NKX51" s="2"/>
      <c r="NKY51" s="2"/>
      <c r="NKZ51" s="2"/>
      <c r="NLA51" s="2"/>
      <c r="NLB51" s="2"/>
      <c r="NLC51" s="2"/>
      <c r="NLD51" s="2"/>
      <c r="NLE51" s="2"/>
      <c r="NLF51" s="2"/>
      <c r="NLG51" s="2"/>
      <c r="NLH51" s="2"/>
      <c r="NLI51" s="2"/>
      <c r="NLJ51" s="2"/>
      <c r="NLK51" s="2"/>
      <c r="NLL51" s="2"/>
      <c r="NLM51" s="2"/>
      <c r="NLN51" s="2"/>
      <c r="NLO51" s="2"/>
      <c r="NLP51" s="2"/>
      <c r="NLQ51" s="2"/>
      <c r="NLR51" s="2"/>
      <c r="NLS51" s="2"/>
      <c r="NLT51" s="2"/>
      <c r="NLU51" s="2"/>
      <c r="NLV51" s="2"/>
      <c r="NLW51" s="2"/>
      <c r="NLX51" s="2"/>
      <c r="NLY51" s="2"/>
      <c r="NLZ51" s="2"/>
      <c r="NMA51" s="2"/>
      <c r="NMB51" s="2"/>
      <c r="NMC51" s="2"/>
      <c r="NMD51" s="2"/>
      <c r="NME51" s="2"/>
      <c r="NMF51" s="2"/>
      <c r="NMG51" s="2"/>
      <c r="NMH51" s="2"/>
      <c r="NMI51" s="2"/>
      <c r="NMJ51" s="2"/>
      <c r="NMK51" s="2"/>
      <c r="NML51" s="2"/>
      <c r="NMM51" s="2"/>
      <c r="NMN51" s="2"/>
      <c r="NMO51" s="2"/>
      <c r="NMP51" s="2"/>
      <c r="NMQ51" s="2"/>
      <c r="NMR51" s="2"/>
      <c r="NMS51" s="2"/>
      <c r="NMT51" s="2"/>
      <c r="NMU51" s="2"/>
      <c r="NMV51" s="2"/>
      <c r="NMW51" s="2"/>
      <c r="NMX51" s="2"/>
      <c r="NMY51" s="2"/>
      <c r="NMZ51" s="2"/>
      <c r="NNA51" s="2"/>
      <c r="NNB51" s="2"/>
      <c r="NNC51" s="2"/>
      <c r="NND51" s="2"/>
      <c r="NNE51" s="2"/>
      <c r="NNF51" s="2"/>
      <c r="NNG51" s="2"/>
      <c r="NNH51" s="2"/>
      <c r="NNI51" s="2"/>
      <c r="NNJ51" s="2"/>
      <c r="NNK51" s="2"/>
      <c r="NNL51" s="2"/>
      <c r="NNM51" s="2"/>
      <c r="NNN51" s="2"/>
      <c r="NNO51" s="2"/>
      <c r="NNP51" s="2"/>
      <c r="NNQ51" s="2"/>
      <c r="NNR51" s="2"/>
      <c r="NNS51" s="2"/>
      <c r="NNT51" s="2"/>
      <c r="NNU51" s="2"/>
      <c r="NNV51" s="2"/>
      <c r="NNW51" s="2"/>
      <c r="NNX51" s="2"/>
      <c r="NNY51" s="2"/>
      <c r="NNZ51" s="2"/>
      <c r="NOA51" s="2"/>
      <c r="NOB51" s="2"/>
      <c r="NOC51" s="2"/>
      <c r="NOD51" s="2"/>
      <c r="NOE51" s="2"/>
      <c r="NOF51" s="2"/>
      <c r="NOG51" s="2"/>
      <c r="NOH51" s="2"/>
      <c r="NOI51" s="2"/>
      <c r="NOJ51" s="2"/>
      <c r="NOK51" s="2"/>
      <c r="NOL51" s="2"/>
      <c r="NOM51" s="2"/>
      <c r="NON51" s="2"/>
      <c r="NOO51" s="2"/>
      <c r="NOP51" s="2"/>
      <c r="NOQ51" s="2"/>
      <c r="NOR51" s="2"/>
      <c r="NOS51" s="2"/>
      <c r="NOT51" s="2"/>
      <c r="NOU51" s="2"/>
      <c r="NOV51" s="2"/>
      <c r="NOW51" s="2"/>
      <c r="NOX51" s="2"/>
      <c r="NOY51" s="2"/>
      <c r="NOZ51" s="2"/>
      <c r="NPA51" s="2"/>
      <c r="NPB51" s="2"/>
      <c r="NPC51" s="2"/>
      <c r="NPD51" s="2"/>
      <c r="NPE51" s="2"/>
      <c r="NPF51" s="2"/>
      <c r="NPG51" s="2"/>
      <c r="NPH51" s="2"/>
      <c r="NPI51" s="2"/>
      <c r="NPJ51" s="2"/>
      <c r="NPK51" s="2"/>
      <c r="NPL51" s="2"/>
      <c r="NPM51" s="2"/>
      <c r="NPN51" s="2"/>
      <c r="NPO51" s="2"/>
      <c r="NPP51" s="2"/>
      <c r="NPQ51" s="2"/>
      <c r="NPR51" s="2"/>
      <c r="NPS51" s="2"/>
      <c r="NPT51" s="2"/>
      <c r="NPU51" s="2"/>
      <c r="NPV51" s="2"/>
      <c r="NPW51" s="2"/>
      <c r="NPX51" s="2"/>
      <c r="NPY51" s="2"/>
      <c r="NPZ51" s="2"/>
      <c r="NQA51" s="2"/>
      <c r="NQB51" s="2"/>
      <c r="NQC51" s="2"/>
      <c r="NQD51" s="2"/>
      <c r="NQE51" s="2"/>
      <c r="NQF51" s="2"/>
      <c r="NQG51" s="2"/>
      <c r="NQH51" s="2"/>
      <c r="NQI51" s="2"/>
      <c r="NQJ51" s="2"/>
      <c r="NQK51" s="2"/>
      <c r="NQL51" s="2"/>
      <c r="NQM51" s="2"/>
      <c r="NQN51" s="2"/>
      <c r="NQO51" s="2"/>
      <c r="NQP51" s="2"/>
      <c r="NQQ51" s="2"/>
      <c r="NQR51" s="2"/>
      <c r="NQS51" s="2"/>
      <c r="NQT51" s="2"/>
      <c r="NQU51" s="2"/>
      <c r="NQV51" s="2"/>
      <c r="NQW51" s="2"/>
      <c r="NQX51" s="2"/>
      <c r="NQY51" s="2"/>
      <c r="NQZ51" s="2"/>
      <c r="NRA51" s="2"/>
      <c r="NRB51" s="2"/>
      <c r="NRC51" s="2"/>
      <c r="NRD51" s="2"/>
      <c r="NRE51" s="2"/>
      <c r="NRF51" s="2"/>
      <c r="NRG51" s="2"/>
      <c r="NRH51" s="2"/>
      <c r="NRI51" s="2"/>
      <c r="NRJ51" s="2"/>
      <c r="NRK51" s="2"/>
      <c r="NRL51" s="2"/>
      <c r="NRM51" s="2"/>
      <c r="NRN51" s="2"/>
      <c r="NRO51" s="2"/>
      <c r="NRP51" s="2"/>
      <c r="NRQ51" s="2"/>
      <c r="NRR51" s="2"/>
      <c r="NRS51" s="2"/>
      <c r="NRT51" s="2"/>
      <c r="NRU51" s="2"/>
      <c r="NRV51" s="2"/>
      <c r="NRW51" s="2"/>
      <c r="NRX51" s="2"/>
      <c r="NRY51" s="2"/>
      <c r="NRZ51" s="2"/>
      <c r="NSA51" s="2"/>
      <c r="NSB51" s="2"/>
      <c r="NSC51" s="2"/>
      <c r="NSD51" s="2"/>
      <c r="NSE51" s="2"/>
      <c r="NSF51" s="2"/>
      <c r="NSG51" s="2"/>
      <c r="NSH51" s="2"/>
      <c r="NSI51" s="2"/>
      <c r="NSJ51" s="2"/>
      <c r="NSK51" s="2"/>
      <c r="NSL51" s="2"/>
      <c r="NSM51" s="2"/>
      <c r="NSN51" s="2"/>
      <c r="NSO51" s="2"/>
      <c r="NSP51" s="2"/>
      <c r="NSQ51" s="2"/>
      <c r="NSR51" s="2"/>
      <c r="NSS51" s="2"/>
      <c r="NST51" s="2"/>
      <c r="NSU51" s="2"/>
      <c r="NSV51" s="2"/>
      <c r="NSW51" s="2"/>
      <c r="NSX51" s="2"/>
      <c r="NSY51" s="2"/>
      <c r="NSZ51" s="2"/>
      <c r="NTA51" s="2"/>
      <c r="NTB51" s="2"/>
      <c r="NTC51" s="2"/>
      <c r="NTD51" s="2"/>
      <c r="NTE51" s="2"/>
      <c r="NTF51" s="2"/>
      <c r="NTG51" s="2"/>
      <c r="NTH51" s="2"/>
      <c r="NTI51" s="2"/>
      <c r="NTJ51" s="2"/>
      <c r="NTK51" s="2"/>
      <c r="NTL51" s="2"/>
      <c r="NTM51" s="2"/>
      <c r="NTN51" s="2"/>
      <c r="NTO51" s="2"/>
      <c r="NTP51" s="2"/>
      <c r="NTQ51" s="2"/>
      <c r="NTR51" s="2"/>
      <c r="NTS51" s="2"/>
      <c r="NTT51" s="2"/>
      <c r="NTU51" s="2"/>
      <c r="NTV51" s="2"/>
      <c r="NTW51" s="2"/>
      <c r="NTX51" s="2"/>
      <c r="NTY51" s="2"/>
      <c r="NTZ51" s="2"/>
      <c r="NUA51" s="2"/>
      <c r="NUB51" s="2"/>
      <c r="NUC51" s="2"/>
      <c r="NUD51" s="2"/>
      <c r="NUE51" s="2"/>
      <c r="NUF51" s="2"/>
      <c r="NUG51" s="2"/>
      <c r="NUH51" s="2"/>
      <c r="NUI51" s="2"/>
      <c r="NUJ51" s="2"/>
      <c r="NUK51" s="2"/>
      <c r="NUL51" s="2"/>
      <c r="NUM51" s="2"/>
      <c r="NUN51" s="2"/>
      <c r="NUO51" s="2"/>
      <c r="NUP51" s="2"/>
      <c r="NUQ51" s="2"/>
      <c r="NUR51" s="2"/>
      <c r="NUS51" s="2"/>
      <c r="NUT51" s="2"/>
      <c r="NUU51" s="2"/>
      <c r="NUV51" s="2"/>
      <c r="NUW51" s="2"/>
      <c r="NUX51" s="2"/>
      <c r="NUY51" s="2"/>
      <c r="NUZ51" s="2"/>
      <c r="NVA51" s="2"/>
      <c r="NVB51" s="2"/>
      <c r="NVC51" s="2"/>
      <c r="NVD51" s="2"/>
      <c r="NVE51" s="2"/>
      <c r="NVF51" s="2"/>
      <c r="NVG51" s="2"/>
      <c r="NVH51" s="2"/>
      <c r="NVI51" s="2"/>
      <c r="NVJ51" s="2"/>
      <c r="NVK51" s="2"/>
      <c r="NVL51" s="2"/>
      <c r="NVM51" s="2"/>
      <c r="NVN51" s="2"/>
      <c r="NVO51" s="2"/>
      <c r="NVP51" s="2"/>
      <c r="NVQ51" s="2"/>
      <c r="NVR51" s="2"/>
      <c r="NVS51" s="2"/>
      <c r="NVT51" s="2"/>
      <c r="NVU51" s="2"/>
      <c r="NVV51" s="2"/>
      <c r="NVW51" s="2"/>
      <c r="NVX51" s="2"/>
      <c r="NVY51" s="2"/>
      <c r="NVZ51" s="2"/>
      <c r="NWA51" s="2"/>
      <c r="NWB51" s="2"/>
      <c r="NWC51" s="2"/>
      <c r="NWD51" s="2"/>
      <c r="NWE51" s="2"/>
      <c r="NWF51" s="2"/>
      <c r="NWG51" s="2"/>
      <c r="NWH51" s="2"/>
      <c r="NWI51" s="2"/>
      <c r="NWJ51" s="2"/>
      <c r="NWK51" s="2"/>
      <c r="NWL51" s="2"/>
      <c r="NWM51" s="2"/>
      <c r="NWN51" s="2"/>
      <c r="NWO51" s="2"/>
      <c r="NWP51" s="2"/>
      <c r="NWQ51" s="2"/>
      <c r="NWR51" s="2"/>
      <c r="NWS51" s="2"/>
      <c r="NWT51" s="2"/>
      <c r="NWU51" s="2"/>
      <c r="NWV51" s="2"/>
      <c r="NWW51" s="2"/>
      <c r="NWX51" s="2"/>
      <c r="NWY51" s="2"/>
      <c r="NWZ51" s="2"/>
      <c r="NXA51" s="2"/>
      <c r="NXB51" s="2"/>
      <c r="NXC51" s="2"/>
      <c r="NXD51" s="2"/>
      <c r="NXE51" s="2"/>
      <c r="NXF51" s="2"/>
      <c r="NXG51" s="2"/>
      <c r="NXH51" s="2"/>
      <c r="NXI51" s="2"/>
      <c r="NXJ51" s="2"/>
      <c r="NXK51" s="2"/>
      <c r="NXL51" s="2"/>
      <c r="NXM51" s="2"/>
      <c r="NXN51" s="2"/>
      <c r="NXO51" s="2"/>
      <c r="NXP51" s="2"/>
      <c r="NXQ51" s="2"/>
      <c r="NXR51" s="2"/>
      <c r="NXS51" s="2"/>
      <c r="NXT51" s="2"/>
      <c r="NXU51" s="2"/>
      <c r="NXV51" s="2"/>
      <c r="NXW51" s="2"/>
      <c r="NXX51" s="2"/>
      <c r="NXY51" s="2"/>
      <c r="NXZ51" s="2"/>
      <c r="NYA51" s="2"/>
      <c r="NYB51" s="2"/>
      <c r="NYC51" s="2"/>
      <c r="NYD51" s="2"/>
      <c r="NYE51" s="2"/>
      <c r="NYF51" s="2"/>
      <c r="NYG51" s="2"/>
      <c r="NYH51" s="2"/>
      <c r="NYI51" s="2"/>
      <c r="NYJ51" s="2"/>
      <c r="NYK51" s="2"/>
      <c r="NYL51" s="2"/>
      <c r="NYM51" s="2"/>
      <c r="NYN51" s="2"/>
      <c r="NYO51" s="2"/>
      <c r="NYP51" s="2"/>
      <c r="NYQ51" s="2"/>
      <c r="NYR51" s="2"/>
      <c r="NYS51" s="2"/>
      <c r="NYT51" s="2"/>
      <c r="NYU51" s="2"/>
      <c r="NYV51" s="2"/>
      <c r="NYW51" s="2"/>
      <c r="NYX51" s="2"/>
      <c r="NYY51" s="2"/>
      <c r="NYZ51" s="2"/>
      <c r="NZA51" s="2"/>
      <c r="NZB51" s="2"/>
      <c r="NZC51" s="2"/>
      <c r="NZD51" s="2"/>
      <c r="NZE51" s="2"/>
      <c r="NZF51" s="2"/>
      <c r="NZG51" s="2"/>
      <c r="NZH51" s="2"/>
      <c r="NZI51" s="2"/>
      <c r="NZJ51" s="2"/>
      <c r="NZK51" s="2"/>
      <c r="NZL51" s="2"/>
      <c r="NZM51" s="2"/>
      <c r="NZN51" s="2"/>
      <c r="NZO51" s="2"/>
      <c r="NZP51" s="2"/>
      <c r="NZQ51" s="2"/>
      <c r="NZR51" s="2"/>
      <c r="NZS51" s="2"/>
      <c r="NZT51" s="2"/>
      <c r="NZU51" s="2"/>
      <c r="NZV51" s="2"/>
      <c r="NZW51" s="2"/>
      <c r="NZX51" s="2"/>
      <c r="NZY51" s="2"/>
      <c r="NZZ51" s="2"/>
      <c r="OAA51" s="2"/>
      <c r="OAB51" s="2"/>
      <c r="OAC51" s="2"/>
      <c r="OAD51" s="2"/>
      <c r="OAE51" s="2"/>
      <c r="OAF51" s="2"/>
      <c r="OAG51" s="2"/>
      <c r="OAH51" s="2"/>
      <c r="OAI51" s="2"/>
      <c r="OAJ51" s="2"/>
      <c r="OAK51" s="2"/>
      <c r="OAL51" s="2"/>
      <c r="OAM51" s="2"/>
      <c r="OAN51" s="2"/>
      <c r="OAO51" s="2"/>
      <c r="OAP51" s="2"/>
      <c r="OAQ51" s="2"/>
      <c r="OAR51" s="2"/>
      <c r="OAS51" s="2"/>
      <c r="OAT51" s="2"/>
      <c r="OAU51" s="2"/>
      <c r="OAV51" s="2"/>
      <c r="OAW51" s="2"/>
      <c r="OAX51" s="2"/>
      <c r="OAY51" s="2"/>
      <c r="OAZ51" s="2"/>
      <c r="OBA51" s="2"/>
      <c r="OBB51" s="2"/>
      <c r="OBC51" s="2"/>
      <c r="OBD51" s="2"/>
      <c r="OBE51" s="2"/>
      <c r="OBF51" s="2"/>
      <c r="OBG51" s="2"/>
      <c r="OBH51" s="2"/>
      <c r="OBI51" s="2"/>
      <c r="OBJ51" s="2"/>
      <c r="OBK51" s="2"/>
      <c r="OBL51" s="2"/>
      <c r="OBM51" s="2"/>
      <c r="OBN51" s="2"/>
      <c r="OBO51" s="2"/>
      <c r="OBP51" s="2"/>
      <c r="OBQ51" s="2"/>
      <c r="OBR51" s="2"/>
      <c r="OBS51" s="2"/>
      <c r="OBT51" s="2"/>
      <c r="OBU51" s="2"/>
      <c r="OBV51" s="2"/>
      <c r="OBW51" s="2"/>
      <c r="OBX51" s="2"/>
      <c r="OBY51" s="2"/>
      <c r="OBZ51" s="2"/>
      <c r="OCA51" s="2"/>
      <c r="OCB51" s="2"/>
      <c r="OCC51" s="2"/>
      <c r="OCD51" s="2"/>
      <c r="OCE51" s="2"/>
      <c r="OCF51" s="2"/>
      <c r="OCG51" s="2"/>
      <c r="OCH51" s="2"/>
      <c r="OCI51" s="2"/>
      <c r="OCJ51" s="2"/>
      <c r="OCK51" s="2"/>
      <c r="OCL51" s="2"/>
      <c r="OCM51" s="2"/>
      <c r="OCN51" s="2"/>
      <c r="OCO51" s="2"/>
      <c r="OCP51" s="2"/>
      <c r="OCQ51" s="2"/>
      <c r="OCR51" s="2"/>
      <c r="OCS51" s="2"/>
      <c r="OCT51" s="2"/>
      <c r="OCU51" s="2"/>
      <c r="OCV51" s="2"/>
      <c r="OCW51" s="2"/>
      <c r="OCX51" s="2"/>
      <c r="OCY51" s="2"/>
      <c r="OCZ51" s="2"/>
      <c r="ODA51" s="2"/>
      <c r="ODB51" s="2"/>
      <c r="ODC51" s="2"/>
      <c r="ODD51" s="2"/>
      <c r="ODE51" s="2"/>
      <c r="ODF51" s="2"/>
      <c r="ODG51" s="2"/>
      <c r="ODH51" s="2"/>
      <c r="ODI51" s="2"/>
      <c r="ODJ51" s="2"/>
      <c r="ODK51" s="2"/>
      <c r="ODL51" s="2"/>
      <c r="ODM51" s="2"/>
      <c r="ODN51" s="2"/>
      <c r="ODO51" s="2"/>
      <c r="ODP51" s="2"/>
      <c r="ODQ51" s="2"/>
      <c r="ODR51" s="2"/>
      <c r="ODS51" s="2"/>
      <c r="ODT51" s="2"/>
      <c r="ODU51" s="2"/>
      <c r="ODV51" s="2"/>
      <c r="ODW51" s="2"/>
      <c r="ODX51" s="2"/>
      <c r="ODY51" s="2"/>
      <c r="ODZ51" s="2"/>
      <c r="OEA51" s="2"/>
      <c r="OEB51" s="2"/>
      <c r="OEC51" s="2"/>
      <c r="OED51" s="2"/>
      <c r="OEE51" s="2"/>
      <c r="OEF51" s="2"/>
      <c r="OEG51" s="2"/>
      <c r="OEH51" s="2"/>
      <c r="OEI51" s="2"/>
      <c r="OEJ51" s="2"/>
      <c r="OEK51" s="2"/>
      <c r="OEL51" s="2"/>
      <c r="OEM51" s="2"/>
      <c r="OEN51" s="2"/>
      <c r="OEO51" s="2"/>
      <c r="OEP51" s="2"/>
      <c r="OEQ51" s="2"/>
      <c r="OER51" s="2"/>
      <c r="OES51" s="2"/>
      <c r="OET51" s="2"/>
      <c r="OEU51" s="2"/>
      <c r="OEV51" s="2"/>
      <c r="OEW51" s="2"/>
      <c r="OEX51" s="2"/>
      <c r="OEY51" s="2"/>
      <c r="OEZ51" s="2"/>
      <c r="OFA51" s="2"/>
      <c r="OFB51" s="2"/>
      <c r="OFC51" s="2"/>
      <c r="OFD51" s="2"/>
      <c r="OFE51" s="2"/>
      <c r="OFF51" s="2"/>
      <c r="OFG51" s="2"/>
      <c r="OFH51" s="2"/>
      <c r="OFI51" s="2"/>
      <c r="OFJ51" s="2"/>
      <c r="OFK51" s="2"/>
      <c r="OFL51" s="2"/>
      <c r="OFM51" s="2"/>
      <c r="OFN51" s="2"/>
      <c r="OFO51" s="2"/>
      <c r="OFP51" s="2"/>
      <c r="OFQ51" s="2"/>
      <c r="OFR51" s="2"/>
      <c r="OFS51" s="2"/>
      <c r="OFT51" s="2"/>
      <c r="OFU51" s="2"/>
      <c r="OFV51" s="2"/>
      <c r="OFW51" s="2"/>
      <c r="OFX51" s="2"/>
      <c r="OFY51" s="2"/>
      <c r="OFZ51" s="2"/>
      <c r="OGA51" s="2"/>
      <c r="OGB51" s="2"/>
      <c r="OGC51" s="2"/>
      <c r="OGD51" s="2"/>
      <c r="OGE51" s="2"/>
      <c r="OGF51" s="2"/>
      <c r="OGG51" s="2"/>
      <c r="OGH51" s="2"/>
      <c r="OGI51" s="2"/>
      <c r="OGJ51" s="2"/>
      <c r="OGK51" s="2"/>
      <c r="OGL51" s="2"/>
      <c r="OGM51" s="2"/>
      <c r="OGN51" s="2"/>
      <c r="OGO51" s="2"/>
      <c r="OGP51" s="2"/>
      <c r="OGQ51" s="2"/>
      <c r="OGR51" s="2"/>
      <c r="OGS51" s="2"/>
      <c r="OGT51" s="2"/>
      <c r="OGU51" s="2"/>
      <c r="OGV51" s="2"/>
      <c r="OGW51" s="2"/>
      <c r="OGX51" s="2"/>
      <c r="OGY51" s="2"/>
      <c r="OGZ51" s="2"/>
      <c r="OHA51" s="2"/>
      <c r="OHB51" s="2"/>
      <c r="OHC51" s="2"/>
      <c r="OHD51" s="2"/>
      <c r="OHE51" s="2"/>
      <c r="OHF51" s="2"/>
      <c r="OHG51" s="2"/>
      <c r="OHH51" s="2"/>
      <c r="OHI51" s="2"/>
      <c r="OHJ51" s="2"/>
      <c r="OHK51" s="2"/>
      <c r="OHL51" s="2"/>
      <c r="OHM51" s="2"/>
      <c r="OHN51" s="2"/>
      <c r="OHO51" s="2"/>
      <c r="OHP51" s="2"/>
      <c r="OHQ51" s="2"/>
      <c r="OHR51" s="2"/>
      <c r="OHS51" s="2"/>
      <c r="OHT51" s="2"/>
      <c r="OHU51" s="2"/>
      <c r="OHV51" s="2"/>
      <c r="OHW51" s="2"/>
      <c r="OHX51" s="2"/>
      <c r="OHY51" s="2"/>
      <c r="OHZ51" s="2"/>
      <c r="OIA51" s="2"/>
      <c r="OIB51" s="2"/>
      <c r="OIC51" s="2"/>
      <c r="OID51" s="2"/>
      <c r="OIE51" s="2"/>
      <c r="OIF51" s="2"/>
      <c r="OIG51" s="2"/>
      <c r="OIH51" s="2"/>
      <c r="OII51" s="2"/>
      <c r="OIJ51" s="2"/>
      <c r="OIK51" s="2"/>
      <c r="OIL51" s="2"/>
      <c r="OIM51" s="2"/>
      <c r="OIN51" s="2"/>
      <c r="OIO51" s="2"/>
      <c r="OIP51" s="2"/>
      <c r="OIQ51" s="2"/>
      <c r="OIR51" s="2"/>
      <c r="OIS51" s="2"/>
      <c r="OIT51" s="2"/>
      <c r="OIU51" s="2"/>
      <c r="OIV51" s="2"/>
      <c r="OIW51" s="2"/>
      <c r="OIX51" s="2"/>
      <c r="OIY51" s="2"/>
      <c r="OIZ51" s="2"/>
      <c r="OJA51" s="2"/>
      <c r="OJB51" s="2"/>
      <c r="OJC51" s="2"/>
      <c r="OJD51" s="2"/>
      <c r="OJE51" s="2"/>
      <c r="OJF51" s="2"/>
      <c r="OJG51" s="2"/>
      <c r="OJH51" s="2"/>
      <c r="OJI51" s="2"/>
      <c r="OJJ51" s="2"/>
      <c r="OJK51" s="2"/>
      <c r="OJL51" s="2"/>
      <c r="OJM51" s="2"/>
      <c r="OJN51" s="2"/>
      <c r="OJO51" s="2"/>
      <c r="OJP51" s="2"/>
      <c r="OJQ51" s="2"/>
      <c r="OJR51" s="2"/>
      <c r="OJS51" s="2"/>
      <c r="OJT51" s="2"/>
      <c r="OJU51" s="2"/>
      <c r="OJV51" s="2"/>
      <c r="OJW51" s="2"/>
      <c r="OJX51" s="2"/>
      <c r="OJY51" s="2"/>
      <c r="OJZ51" s="2"/>
      <c r="OKA51" s="2"/>
      <c r="OKB51" s="2"/>
      <c r="OKC51" s="2"/>
      <c r="OKD51" s="2"/>
      <c r="OKE51" s="2"/>
      <c r="OKF51" s="2"/>
      <c r="OKG51" s="2"/>
      <c r="OKH51" s="2"/>
      <c r="OKI51" s="2"/>
      <c r="OKJ51" s="2"/>
      <c r="OKK51" s="2"/>
      <c r="OKL51" s="2"/>
      <c r="OKM51" s="2"/>
      <c r="OKN51" s="2"/>
      <c r="OKO51" s="2"/>
      <c r="OKP51" s="2"/>
      <c r="OKQ51" s="2"/>
      <c r="OKR51" s="2"/>
      <c r="OKS51" s="2"/>
      <c r="OKT51" s="2"/>
      <c r="OKU51" s="2"/>
      <c r="OKV51" s="2"/>
      <c r="OKW51" s="2"/>
      <c r="OKX51" s="2"/>
      <c r="OKY51" s="2"/>
      <c r="OKZ51" s="2"/>
      <c r="OLA51" s="2"/>
      <c r="OLB51" s="2"/>
      <c r="OLC51" s="2"/>
      <c r="OLD51" s="2"/>
      <c r="OLE51" s="2"/>
      <c r="OLF51" s="2"/>
      <c r="OLG51" s="2"/>
      <c r="OLH51" s="2"/>
      <c r="OLI51" s="2"/>
      <c r="OLJ51" s="2"/>
      <c r="OLK51" s="2"/>
      <c r="OLL51" s="2"/>
      <c r="OLM51" s="2"/>
      <c r="OLN51" s="2"/>
      <c r="OLO51" s="2"/>
      <c r="OLP51" s="2"/>
      <c r="OLQ51" s="2"/>
      <c r="OLR51" s="2"/>
      <c r="OLS51" s="2"/>
      <c r="OLT51" s="2"/>
      <c r="OLU51" s="2"/>
      <c r="OLV51" s="2"/>
      <c r="OLW51" s="2"/>
      <c r="OLX51" s="2"/>
      <c r="OLY51" s="2"/>
      <c r="OLZ51" s="2"/>
      <c r="OMA51" s="2"/>
      <c r="OMB51" s="2"/>
      <c r="OMC51" s="2"/>
      <c r="OMD51" s="2"/>
      <c r="OME51" s="2"/>
      <c r="OMF51" s="2"/>
      <c r="OMG51" s="2"/>
      <c r="OMH51" s="2"/>
      <c r="OMI51" s="2"/>
      <c r="OMJ51" s="2"/>
      <c r="OMK51" s="2"/>
      <c r="OML51" s="2"/>
      <c r="OMM51" s="2"/>
      <c r="OMN51" s="2"/>
      <c r="OMO51" s="2"/>
      <c r="OMP51" s="2"/>
      <c r="OMQ51" s="2"/>
      <c r="OMR51" s="2"/>
      <c r="OMS51" s="2"/>
      <c r="OMT51" s="2"/>
      <c r="OMU51" s="2"/>
      <c r="OMV51" s="2"/>
      <c r="OMW51" s="2"/>
      <c r="OMX51" s="2"/>
      <c r="OMY51" s="2"/>
      <c r="OMZ51" s="2"/>
      <c r="ONA51" s="2"/>
      <c r="ONB51" s="2"/>
      <c r="ONC51" s="2"/>
      <c r="OND51" s="2"/>
      <c r="ONE51" s="2"/>
      <c r="ONF51" s="2"/>
      <c r="ONG51" s="2"/>
      <c r="ONH51" s="2"/>
      <c r="ONI51" s="2"/>
      <c r="ONJ51" s="2"/>
      <c r="ONK51" s="2"/>
      <c r="ONL51" s="2"/>
      <c r="ONM51" s="2"/>
      <c r="ONN51" s="2"/>
      <c r="ONO51" s="2"/>
      <c r="ONP51" s="2"/>
      <c r="ONQ51" s="2"/>
      <c r="ONR51" s="2"/>
      <c r="ONS51" s="2"/>
      <c r="ONT51" s="2"/>
      <c r="ONU51" s="2"/>
      <c r="ONV51" s="2"/>
      <c r="ONW51" s="2"/>
      <c r="ONX51" s="2"/>
      <c r="ONY51" s="2"/>
      <c r="ONZ51" s="2"/>
      <c r="OOA51" s="2"/>
      <c r="OOB51" s="2"/>
      <c r="OOC51" s="2"/>
      <c r="OOD51" s="2"/>
      <c r="OOE51" s="2"/>
      <c r="OOF51" s="2"/>
      <c r="OOG51" s="2"/>
      <c r="OOH51" s="2"/>
      <c r="OOI51" s="2"/>
      <c r="OOJ51" s="2"/>
      <c r="OOK51" s="2"/>
      <c r="OOL51" s="2"/>
      <c r="OOM51" s="2"/>
      <c r="OON51" s="2"/>
      <c r="OOO51" s="2"/>
      <c r="OOP51" s="2"/>
      <c r="OOQ51" s="2"/>
      <c r="OOR51" s="2"/>
      <c r="OOS51" s="2"/>
      <c r="OOT51" s="2"/>
      <c r="OOU51" s="2"/>
      <c r="OOV51" s="2"/>
      <c r="OOW51" s="2"/>
      <c r="OOX51" s="2"/>
      <c r="OOY51" s="2"/>
      <c r="OOZ51" s="2"/>
      <c r="OPA51" s="2"/>
      <c r="OPB51" s="2"/>
      <c r="OPC51" s="2"/>
      <c r="OPD51" s="2"/>
      <c r="OPE51" s="2"/>
      <c r="OPF51" s="2"/>
      <c r="OPG51" s="2"/>
      <c r="OPH51" s="2"/>
      <c r="OPI51" s="2"/>
      <c r="OPJ51" s="2"/>
      <c r="OPK51" s="2"/>
      <c r="OPL51" s="2"/>
      <c r="OPM51" s="2"/>
      <c r="OPN51" s="2"/>
      <c r="OPO51" s="2"/>
      <c r="OPP51" s="2"/>
      <c r="OPQ51" s="2"/>
      <c r="OPR51" s="2"/>
      <c r="OPS51" s="2"/>
      <c r="OPT51" s="2"/>
      <c r="OPU51" s="2"/>
      <c r="OPV51" s="2"/>
      <c r="OPW51" s="2"/>
      <c r="OPX51" s="2"/>
      <c r="OPY51" s="2"/>
      <c r="OPZ51" s="2"/>
      <c r="OQA51" s="2"/>
      <c r="OQB51" s="2"/>
      <c r="OQC51" s="2"/>
      <c r="OQD51" s="2"/>
      <c r="OQE51" s="2"/>
      <c r="OQF51" s="2"/>
      <c r="OQG51" s="2"/>
      <c r="OQH51" s="2"/>
      <c r="OQI51" s="2"/>
      <c r="OQJ51" s="2"/>
      <c r="OQK51" s="2"/>
      <c r="OQL51" s="2"/>
      <c r="OQM51" s="2"/>
      <c r="OQN51" s="2"/>
      <c r="OQO51" s="2"/>
      <c r="OQP51" s="2"/>
      <c r="OQQ51" s="2"/>
      <c r="OQR51" s="2"/>
      <c r="OQS51" s="2"/>
      <c r="OQT51" s="2"/>
      <c r="OQU51" s="2"/>
      <c r="OQV51" s="2"/>
      <c r="OQW51" s="2"/>
      <c r="OQX51" s="2"/>
      <c r="OQY51" s="2"/>
      <c r="OQZ51" s="2"/>
      <c r="ORA51" s="2"/>
      <c r="ORB51" s="2"/>
      <c r="ORC51" s="2"/>
      <c r="ORD51" s="2"/>
      <c r="ORE51" s="2"/>
      <c r="ORF51" s="2"/>
      <c r="ORG51" s="2"/>
      <c r="ORH51" s="2"/>
      <c r="ORI51" s="2"/>
      <c r="ORJ51" s="2"/>
      <c r="ORK51" s="2"/>
      <c r="ORL51" s="2"/>
      <c r="ORM51" s="2"/>
      <c r="ORN51" s="2"/>
      <c r="ORO51" s="2"/>
      <c r="ORP51" s="2"/>
      <c r="ORQ51" s="2"/>
      <c r="ORR51" s="2"/>
      <c r="ORS51" s="2"/>
      <c r="ORT51" s="2"/>
      <c r="ORU51" s="2"/>
      <c r="ORV51" s="2"/>
      <c r="ORW51" s="2"/>
      <c r="ORX51" s="2"/>
      <c r="ORY51" s="2"/>
      <c r="ORZ51" s="2"/>
      <c r="OSA51" s="2"/>
      <c r="OSB51" s="2"/>
      <c r="OSC51" s="2"/>
      <c r="OSD51" s="2"/>
      <c r="OSE51" s="2"/>
      <c r="OSF51" s="2"/>
      <c r="OSG51" s="2"/>
      <c r="OSH51" s="2"/>
      <c r="OSI51" s="2"/>
      <c r="OSJ51" s="2"/>
      <c r="OSK51" s="2"/>
      <c r="OSL51" s="2"/>
      <c r="OSM51" s="2"/>
      <c r="OSN51" s="2"/>
      <c r="OSO51" s="2"/>
      <c r="OSP51" s="2"/>
      <c r="OSQ51" s="2"/>
      <c r="OSR51" s="2"/>
      <c r="OSS51" s="2"/>
      <c r="OST51" s="2"/>
      <c r="OSU51" s="2"/>
      <c r="OSV51" s="2"/>
      <c r="OSW51" s="2"/>
      <c r="OSX51" s="2"/>
      <c r="OSY51" s="2"/>
      <c r="OSZ51" s="2"/>
      <c r="OTA51" s="2"/>
      <c r="OTB51" s="2"/>
      <c r="OTC51" s="2"/>
      <c r="OTD51" s="2"/>
      <c r="OTE51" s="2"/>
      <c r="OTF51" s="2"/>
      <c r="OTG51" s="2"/>
      <c r="OTH51" s="2"/>
      <c r="OTI51" s="2"/>
      <c r="OTJ51" s="2"/>
      <c r="OTK51" s="2"/>
      <c r="OTL51" s="2"/>
      <c r="OTM51" s="2"/>
      <c r="OTN51" s="2"/>
      <c r="OTO51" s="2"/>
      <c r="OTP51" s="2"/>
      <c r="OTQ51" s="2"/>
      <c r="OTR51" s="2"/>
      <c r="OTS51" s="2"/>
      <c r="OTT51" s="2"/>
      <c r="OTU51" s="2"/>
      <c r="OTV51" s="2"/>
      <c r="OTW51" s="2"/>
      <c r="OTX51" s="2"/>
      <c r="OTY51" s="2"/>
      <c r="OTZ51" s="2"/>
      <c r="OUA51" s="2"/>
      <c r="OUB51" s="2"/>
      <c r="OUC51" s="2"/>
      <c r="OUD51" s="2"/>
      <c r="OUE51" s="2"/>
      <c r="OUF51" s="2"/>
      <c r="OUG51" s="2"/>
      <c r="OUH51" s="2"/>
      <c r="OUI51" s="2"/>
      <c r="OUJ51" s="2"/>
      <c r="OUK51" s="2"/>
      <c r="OUL51" s="2"/>
      <c r="OUM51" s="2"/>
      <c r="OUN51" s="2"/>
      <c r="OUO51" s="2"/>
      <c r="OUP51" s="2"/>
      <c r="OUQ51" s="2"/>
      <c r="OUR51" s="2"/>
      <c r="OUS51" s="2"/>
      <c r="OUT51" s="2"/>
      <c r="OUU51" s="2"/>
      <c r="OUV51" s="2"/>
      <c r="OUW51" s="2"/>
      <c r="OUX51" s="2"/>
      <c r="OUY51" s="2"/>
      <c r="OUZ51" s="2"/>
      <c r="OVA51" s="2"/>
      <c r="OVB51" s="2"/>
      <c r="OVC51" s="2"/>
      <c r="OVD51" s="2"/>
      <c r="OVE51" s="2"/>
      <c r="OVF51" s="2"/>
      <c r="OVG51" s="2"/>
      <c r="OVH51" s="2"/>
      <c r="OVI51" s="2"/>
      <c r="OVJ51" s="2"/>
      <c r="OVK51" s="2"/>
      <c r="OVL51" s="2"/>
      <c r="OVM51" s="2"/>
      <c r="OVN51" s="2"/>
      <c r="OVO51" s="2"/>
      <c r="OVP51" s="2"/>
      <c r="OVQ51" s="2"/>
      <c r="OVR51" s="2"/>
      <c r="OVS51" s="2"/>
      <c r="OVT51" s="2"/>
      <c r="OVU51" s="2"/>
      <c r="OVV51" s="2"/>
      <c r="OVW51" s="2"/>
      <c r="OVX51" s="2"/>
      <c r="OVY51" s="2"/>
      <c r="OVZ51" s="2"/>
      <c r="OWA51" s="2"/>
      <c r="OWB51" s="2"/>
      <c r="OWC51" s="2"/>
      <c r="OWD51" s="2"/>
      <c r="OWE51" s="2"/>
      <c r="OWF51" s="2"/>
      <c r="OWG51" s="2"/>
      <c r="OWH51" s="2"/>
      <c r="OWI51" s="2"/>
      <c r="OWJ51" s="2"/>
      <c r="OWK51" s="2"/>
      <c r="OWL51" s="2"/>
      <c r="OWM51" s="2"/>
      <c r="OWN51" s="2"/>
      <c r="OWO51" s="2"/>
      <c r="OWP51" s="2"/>
      <c r="OWQ51" s="2"/>
      <c r="OWR51" s="2"/>
      <c r="OWS51" s="2"/>
      <c r="OWT51" s="2"/>
      <c r="OWU51" s="2"/>
      <c r="OWV51" s="2"/>
      <c r="OWW51" s="2"/>
      <c r="OWX51" s="2"/>
      <c r="OWY51" s="2"/>
      <c r="OWZ51" s="2"/>
      <c r="OXA51" s="2"/>
      <c r="OXB51" s="2"/>
      <c r="OXC51" s="2"/>
      <c r="OXD51" s="2"/>
      <c r="OXE51" s="2"/>
      <c r="OXF51" s="2"/>
      <c r="OXG51" s="2"/>
      <c r="OXH51" s="2"/>
      <c r="OXI51" s="2"/>
      <c r="OXJ51" s="2"/>
      <c r="OXK51" s="2"/>
      <c r="OXL51" s="2"/>
      <c r="OXM51" s="2"/>
      <c r="OXN51" s="2"/>
      <c r="OXO51" s="2"/>
      <c r="OXP51" s="2"/>
      <c r="OXQ51" s="2"/>
      <c r="OXR51" s="2"/>
      <c r="OXS51" s="2"/>
      <c r="OXT51" s="2"/>
      <c r="OXU51" s="2"/>
      <c r="OXV51" s="2"/>
      <c r="OXW51" s="2"/>
      <c r="OXX51" s="2"/>
      <c r="OXY51" s="2"/>
      <c r="OXZ51" s="2"/>
      <c r="OYA51" s="2"/>
      <c r="OYB51" s="2"/>
      <c r="OYC51" s="2"/>
      <c r="OYD51" s="2"/>
      <c r="OYE51" s="2"/>
      <c r="OYF51" s="2"/>
      <c r="OYG51" s="2"/>
      <c r="OYH51" s="2"/>
      <c r="OYI51" s="2"/>
      <c r="OYJ51" s="2"/>
      <c r="OYK51" s="2"/>
      <c r="OYL51" s="2"/>
      <c r="OYM51" s="2"/>
      <c r="OYN51" s="2"/>
      <c r="OYO51" s="2"/>
      <c r="OYP51" s="2"/>
      <c r="OYQ51" s="2"/>
      <c r="OYR51" s="2"/>
      <c r="OYS51" s="2"/>
      <c r="OYT51" s="2"/>
      <c r="OYU51" s="2"/>
      <c r="OYV51" s="2"/>
      <c r="OYW51" s="2"/>
      <c r="OYX51" s="2"/>
      <c r="OYY51" s="2"/>
      <c r="OYZ51" s="2"/>
      <c r="OZA51" s="2"/>
      <c r="OZB51" s="2"/>
      <c r="OZC51" s="2"/>
      <c r="OZD51" s="2"/>
      <c r="OZE51" s="2"/>
      <c r="OZF51" s="2"/>
      <c r="OZG51" s="2"/>
      <c r="OZH51" s="2"/>
      <c r="OZI51" s="2"/>
      <c r="OZJ51" s="2"/>
      <c r="OZK51" s="2"/>
      <c r="OZL51" s="2"/>
      <c r="OZM51" s="2"/>
      <c r="OZN51" s="2"/>
      <c r="OZO51" s="2"/>
      <c r="OZP51" s="2"/>
      <c r="OZQ51" s="2"/>
      <c r="OZR51" s="2"/>
      <c r="OZS51" s="2"/>
      <c r="OZT51" s="2"/>
      <c r="OZU51" s="2"/>
      <c r="OZV51" s="2"/>
      <c r="OZW51" s="2"/>
      <c r="OZX51" s="2"/>
      <c r="OZY51" s="2"/>
      <c r="OZZ51" s="2"/>
      <c r="PAA51" s="2"/>
      <c r="PAB51" s="2"/>
      <c r="PAC51" s="2"/>
      <c r="PAD51" s="2"/>
      <c r="PAE51" s="2"/>
      <c r="PAF51" s="2"/>
      <c r="PAG51" s="2"/>
      <c r="PAH51" s="2"/>
      <c r="PAI51" s="2"/>
      <c r="PAJ51" s="2"/>
      <c r="PAK51" s="2"/>
      <c r="PAL51" s="2"/>
      <c r="PAM51" s="2"/>
      <c r="PAN51" s="2"/>
      <c r="PAO51" s="2"/>
      <c r="PAP51" s="2"/>
      <c r="PAQ51" s="2"/>
      <c r="PAR51" s="2"/>
      <c r="PAS51" s="2"/>
      <c r="PAT51" s="2"/>
      <c r="PAU51" s="2"/>
      <c r="PAV51" s="2"/>
      <c r="PAW51" s="2"/>
      <c r="PAX51" s="2"/>
      <c r="PAY51" s="2"/>
      <c r="PAZ51" s="2"/>
      <c r="PBA51" s="2"/>
      <c r="PBB51" s="2"/>
      <c r="PBC51" s="2"/>
      <c r="PBD51" s="2"/>
      <c r="PBE51" s="2"/>
      <c r="PBF51" s="2"/>
      <c r="PBG51" s="2"/>
      <c r="PBH51" s="2"/>
      <c r="PBI51" s="2"/>
      <c r="PBJ51" s="2"/>
      <c r="PBK51" s="2"/>
      <c r="PBL51" s="2"/>
      <c r="PBM51" s="2"/>
      <c r="PBN51" s="2"/>
      <c r="PBO51" s="2"/>
      <c r="PBP51" s="2"/>
      <c r="PBQ51" s="2"/>
      <c r="PBR51" s="2"/>
      <c r="PBS51" s="2"/>
      <c r="PBT51" s="2"/>
      <c r="PBU51" s="2"/>
      <c r="PBV51" s="2"/>
      <c r="PBW51" s="2"/>
      <c r="PBX51" s="2"/>
      <c r="PBY51" s="2"/>
      <c r="PBZ51" s="2"/>
      <c r="PCA51" s="2"/>
      <c r="PCB51" s="2"/>
      <c r="PCC51" s="2"/>
      <c r="PCD51" s="2"/>
      <c r="PCE51" s="2"/>
      <c r="PCF51" s="2"/>
      <c r="PCG51" s="2"/>
      <c r="PCH51" s="2"/>
      <c r="PCI51" s="2"/>
      <c r="PCJ51" s="2"/>
      <c r="PCK51" s="2"/>
      <c r="PCL51" s="2"/>
      <c r="PCM51" s="2"/>
      <c r="PCN51" s="2"/>
      <c r="PCO51" s="2"/>
      <c r="PCP51" s="2"/>
      <c r="PCQ51" s="2"/>
      <c r="PCR51" s="2"/>
      <c r="PCS51" s="2"/>
      <c r="PCT51" s="2"/>
      <c r="PCU51" s="2"/>
      <c r="PCV51" s="2"/>
      <c r="PCW51" s="2"/>
      <c r="PCX51" s="2"/>
      <c r="PCY51" s="2"/>
      <c r="PCZ51" s="2"/>
      <c r="PDA51" s="2"/>
      <c r="PDB51" s="2"/>
      <c r="PDC51" s="2"/>
      <c r="PDD51" s="2"/>
      <c r="PDE51" s="2"/>
      <c r="PDF51" s="2"/>
      <c r="PDG51" s="2"/>
      <c r="PDH51" s="2"/>
      <c r="PDI51" s="2"/>
      <c r="PDJ51" s="2"/>
      <c r="PDK51" s="2"/>
      <c r="PDL51" s="2"/>
      <c r="PDM51" s="2"/>
      <c r="PDN51" s="2"/>
      <c r="PDO51" s="2"/>
      <c r="PDP51" s="2"/>
      <c r="PDQ51" s="2"/>
      <c r="PDR51" s="2"/>
      <c r="PDS51" s="2"/>
      <c r="PDT51" s="2"/>
      <c r="PDU51" s="2"/>
      <c r="PDV51" s="2"/>
      <c r="PDW51" s="2"/>
      <c r="PDX51" s="2"/>
      <c r="PDY51" s="2"/>
      <c r="PDZ51" s="2"/>
      <c r="PEA51" s="2"/>
      <c r="PEB51" s="2"/>
      <c r="PEC51" s="2"/>
      <c r="PED51" s="2"/>
      <c r="PEE51" s="2"/>
      <c r="PEF51" s="2"/>
      <c r="PEG51" s="2"/>
      <c r="PEH51" s="2"/>
      <c r="PEI51" s="2"/>
      <c r="PEJ51" s="2"/>
      <c r="PEK51" s="2"/>
      <c r="PEL51" s="2"/>
      <c r="PEM51" s="2"/>
      <c r="PEN51" s="2"/>
      <c r="PEO51" s="2"/>
      <c r="PEP51" s="2"/>
      <c r="PEQ51" s="2"/>
      <c r="PER51" s="2"/>
      <c r="PES51" s="2"/>
      <c r="PET51" s="2"/>
      <c r="PEU51" s="2"/>
      <c r="PEV51" s="2"/>
      <c r="PEW51" s="2"/>
      <c r="PEX51" s="2"/>
      <c r="PEY51" s="2"/>
      <c r="PEZ51" s="2"/>
      <c r="PFA51" s="2"/>
      <c r="PFB51" s="2"/>
      <c r="PFC51" s="2"/>
      <c r="PFD51" s="2"/>
      <c r="PFE51" s="2"/>
      <c r="PFF51" s="2"/>
      <c r="PFG51" s="2"/>
      <c r="PFH51" s="2"/>
      <c r="PFI51" s="2"/>
      <c r="PFJ51" s="2"/>
      <c r="PFK51" s="2"/>
      <c r="PFL51" s="2"/>
      <c r="PFM51" s="2"/>
      <c r="PFN51" s="2"/>
      <c r="PFO51" s="2"/>
      <c r="PFP51" s="2"/>
      <c r="PFQ51" s="2"/>
      <c r="PFR51" s="2"/>
      <c r="PFS51" s="2"/>
      <c r="PFT51" s="2"/>
      <c r="PFU51" s="2"/>
      <c r="PFV51" s="2"/>
      <c r="PFW51" s="2"/>
      <c r="PFX51" s="2"/>
      <c r="PFY51" s="2"/>
      <c r="PFZ51" s="2"/>
      <c r="PGA51" s="2"/>
      <c r="PGB51" s="2"/>
      <c r="PGC51" s="2"/>
      <c r="PGD51" s="2"/>
      <c r="PGE51" s="2"/>
      <c r="PGF51" s="2"/>
      <c r="PGG51" s="2"/>
      <c r="PGH51" s="2"/>
      <c r="PGI51" s="2"/>
      <c r="PGJ51" s="2"/>
      <c r="PGK51" s="2"/>
      <c r="PGL51" s="2"/>
      <c r="PGM51" s="2"/>
      <c r="PGN51" s="2"/>
      <c r="PGO51" s="2"/>
      <c r="PGP51" s="2"/>
      <c r="PGQ51" s="2"/>
      <c r="PGR51" s="2"/>
      <c r="PGS51" s="2"/>
      <c r="PGT51" s="2"/>
      <c r="PGU51" s="2"/>
      <c r="PGV51" s="2"/>
      <c r="PGW51" s="2"/>
      <c r="PGX51" s="2"/>
      <c r="PGY51" s="2"/>
      <c r="PGZ51" s="2"/>
      <c r="PHA51" s="2"/>
      <c r="PHB51" s="2"/>
      <c r="PHC51" s="2"/>
      <c r="PHD51" s="2"/>
      <c r="PHE51" s="2"/>
      <c r="PHF51" s="2"/>
      <c r="PHG51" s="2"/>
      <c r="PHH51" s="2"/>
      <c r="PHI51" s="2"/>
      <c r="PHJ51" s="2"/>
      <c r="PHK51" s="2"/>
      <c r="PHL51" s="2"/>
      <c r="PHM51" s="2"/>
      <c r="PHN51" s="2"/>
      <c r="PHO51" s="2"/>
      <c r="PHP51" s="2"/>
      <c r="PHQ51" s="2"/>
      <c r="PHR51" s="2"/>
      <c r="PHS51" s="2"/>
      <c r="PHT51" s="2"/>
      <c r="PHU51" s="2"/>
      <c r="PHV51" s="2"/>
      <c r="PHW51" s="2"/>
      <c r="PHX51" s="2"/>
      <c r="PHY51" s="2"/>
      <c r="PHZ51" s="2"/>
      <c r="PIA51" s="2"/>
      <c r="PIB51" s="2"/>
      <c r="PIC51" s="2"/>
      <c r="PID51" s="2"/>
      <c r="PIE51" s="2"/>
      <c r="PIF51" s="2"/>
      <c r="PIG51" s="2"/>
      <c r="PIH51" s="2"/>
      <c r="PII51" s="2"/>
      <c r="PIJ51" s="2"/>
      <c r="PIK51" s="2"/>
      <c r="PIL51" s="2"/>
      <c r="PIM51" s="2"/>
      <c r="PIN51" s="2"/>
      <c r="PIO51" s="2"/>
      <c r="PIP51" s="2"/>
      <c r="PIQ51" s="2"/>
      <c r="PIR51" s="2"/>
      <c r="PIS51" s="2"/>
      <c r="PIT51" s="2"/>
      <c r="PIU51" s="2"/>
      <c r="PIV51" s="2"/>
      <c r="PIW51" s="2"/>
      <c r="PIX51" s="2"/>
      <c r="PIY51" s="2"/>
      <c r="PIZ51" s="2"/>
      <c r="PJA51" s="2"/>
      <c r="PJB51" s="2"/>
      <c r="PJC51" s="2"/>
      <c r="PJD51" s="2"/>
      <c r="PJE51" s="2"/>
      <c r="PJF51" s="2"/>
      <c r="PJG51" s="2"/>
      <c r="PJH51" s="2"/>
      <c r="PJI51" s="2"/>
      <c r="PJJ51" s="2"/>
      <c r="PJK51" s="2"/>
      <c r="PJL51" s="2"/>
      <c r="PJM51" s="2"/>
      <c r="PJN51" s="2"/>
      <c r="PJO51" s="2"/>
      <c r="PJP51" s="2"/>
      <c r="PJQ51" s="2"/>
      <c r="PJR51" s="2"/>
      <c r="PJS51" s="2"/>
      <c r="PJT51" s="2"/>
      <c r="PJU51" s="2"/>
      <c r="PJV51" s="2"/>
      <c r="PJW51" s="2"/>
      <c r="PJX51" s="2"/>
      <c r="PJY51" s="2"/>
      <c r="PJZ51" s="2"/>
      <c r="PKA51" s="2"/>
      <c r="PKB51" s="2"/>
      <c r="PKC51" s="2"/>
      <c r="PKD51" s="2"/>
      <c r="PKE51" s="2"/>
      <c r="PKF51" s="2"/>
      <c r="PKG51" s="2"/>
      <c r="PKH51" s="2"/>
      <c r="PKI51" s="2"/>
      <c r="PKJ51" s="2"/>
      <c r="PKK51" s="2"/>
      <c r="PKL51" s="2"/>
      <c r="PKM51" s="2"/>
      <c r="PKN51" s="2"/>
      <c r="PKO51" s="2"/>
      <c r="PKP51" s="2"/>
      <c r="PKQ51" s="2"/>
      <c r="PKR51" s="2"/>
      <c r="PKS51" s="2"/>
      <c r="PKT51" s="2"/>
      <c r="PKU51" s="2"/>
      <c r="PKV51" s="2"/>
      <c r="PKW51" s="2"/>
      <c r="PKX51" s="2"/>
      <c r="PKY51" s="2"/>
      <c r="PKZ51" s="2"/>
      <c r="PLA51" s="2"/>
      <c r="PLB51" s="2"/>
      <c r="PLC51" s="2"/>
      <c r="PLD51" s="2"/>
      <c r="PLE51" s="2"/>
      <c r="PLF51" s="2"/>
      <c r="PLG51" s="2"/>
      <c r="PLH51" s="2"/>
      <c r="PLI51" s="2"/>
      <c r="PLJ51" s="2"/>
      <c r="PLK51" s="2"/>
      <c r="PLL51" s="2"/>
      <c r="PLM51" s="2"/>
      <c r="PLN51" s="2"/>
      <c r="PLO51" s="2"/>
      <c r="PLP51" s="2"/>
      <c r="PLQ51" s="2"/>
      <c r="PLR51" s="2"/>
      <c r="PLS51" s="2"/>
      <c r="PLT51" s="2"/>
      <c r="PLU51" s="2"/>
      <c r="PLV51" s="2"/>
      <c r="PLW51" s="2"/>
      <c r="PLX51" s="2"/>
      <c r="PLY51" s="2"/>
      <c r="PLZ51" s="2"/>
      <c r="PMA51" s="2"/>
      <c r="PMB51" s="2"/>
      <c r="PMC51" s="2"/>
      <c r="PMD51" s="2"/>
      <c r="PME51" s="2"/>
      <c r="PMF51" s="2"/>
      <c r="PMG51" s="2"/>
      <c r="PMH51" s="2"/>
      <c r="PMI51" s="2"/>
      <c r="PMJ51" s="2"/>
      <c r="PMK51" s="2"/>
      <c r="PML51" s="2"/>
      <c r="PMM51" s="2"/>
      <c r="PMN51" s="2"/>
      <c r="PMO51" s="2"/>
      <c r="PMP51" s="2"/>
      <c r="PMQ51" s="2"/>
      <c r="PMR51" s="2"/>
      <c r="PMS51" s="2"/>
      <c r="PMT51" s="2"/>
      <c r="PMU51" s="2"/>
      <c r="PMV51" s="2"/>
      <c r="PMW51" s="2"/>
      <c r="PMX51" s="2"/>
      <c r="PMY51" s="2"/>
      <c r="PMZ51" s="2"/>
      <c r="PNA51" s="2"/>
      <c r="PNB51" s="2"/>
      <c r="PNC51" s="2"/>
      <c r="PND51" s="2"/>
      <c r="PNE51" s="2"/>
      <c r="PNF51" s="2"/>
      <c r="PNG51" s="2"/>
      <c r="PNH51" s="2"/>
      <c r="PNI51" s="2"/>
      <c r="PNJ51" s="2"/>
      <c r="PNK51" s="2"/>
      <c r="PNL51" s="2"/>
      <c r="PNM51" s="2"/>
      <c r="PNN51" s="2"/>
      <c r="PNO51" s="2"/>
      <c r="PNP51" s="2"/>
      <c r="PNQ51" s="2"/>
      <c r="PNR51" s="2"/>
      <c r="PNS51" s="2"/>
      <c r="PNT51" s="2"/>
      <c r="PNU51" s="2"/>
      <c r="PNV51" s="2"/>
      <c r="PNW51" s="2"/>
      <c r="PNX51" s="2"/>
      <c r="PNY51" s="2"/>
      <c r="PNZ51" s="2"/>
      <c r="POA51" s="2"/>
      <c r="POB51" s="2"/>
      <c r="POC51" s="2"/>
      <c r="POD51" s="2"/>
      <c r="POE51" s="2"/>
      <c r="POF51" s="2"/>
      <c r="POG51" s="2"/>
      <c r="POH51" s="2"/>
      <c r="POI51" s="2"/>
      <c r="POJ51" s="2"/>
      <c r="POK51" s="2"/>
      <c r="POL51" s="2"/>
      <c r="POM51" s="2"/>
      <c r="PON51" s="2"/>
      <c r="POO51" s="2"/>
      <c r="POP51" s="2"/>
      <c r="POQ51" s="2"/>
      <c r="POR51" s="2"/>
      <c r="POS51" s="2"/>
      <c r="POT51" s="2"/>
      <c r="POU51" s="2"/>
      <c r="POV51" s="2"/>
      <c r="POW51" s="2"/>
      <c r="POX51" s="2"/>
      <c r="POY51" s="2"/>
      <c r="POZ51" s="2"/>
      <c r="PPA51" s="2"/>
      <c r="PPB51" s="2"/>
      <c r="PPC51" s="2"/>
      <c r="PPD51" s="2"/>
      <c r="PPE51" s="2"/>
      <c r="PPF51" s="2"/>
      <c r="PPG51" s="2"/>
      <c r="PPH51" s="2"/>
      <c r="PPI51" s="2"/>
      <c r="PPJ51" s="2"/>
      <c r="PPK51" s="2"/>
      <c r="PPL51" s="2"/>
      <c r="PPM51" s="2"/>
      <c r="PPN51" s="2"/>
      <c r="PPO51" s="2"/>
      <c r="PPP51" s="2"/>
      <c r="PPQ51" s="2"/>
      <c r="PPR51" s="2"/>
      <c r="PPS51" s="2"/>
      <c r="PPT51" s="2"/>
      <c r="PPU51" s="2"/>
      <c r="PPV51" s="2"/>
      <c r="PPW51" s="2"/>
      <c r="PPX51" s="2"/>
      <c r="PPY51" s="2"/>
      <c r="PPZ51" s="2"/>
      <c r="PQA51" s="2"/>
      <c r="PQB51" s="2"/>
      <c r="PQC51" s="2"/>
      <c r="PQD51" s="2"/>
      <c r="PQE51" s="2"/>
      <c r="PQF51" s="2"/>
      <c r="PQG51" s="2"/>
      <c r="PQH51" s="2"/>
      <c r="PQI51" s="2"/>
      <c r="PQJ51" s="2"/>
      <c r="PQK51" s="2"/>
      <c r="PQL51" s="2"/>
      <c r="PQM51" s="2"/>
      <c r="PQN51" s="2"/>
      <c r="PQO51" s="2"/>
      <c r="PQP51" s="2"/>
      <c r="PQQ51" s="2"/>
      <c r="PQR51" s="2"/>
      <c r="PQS51" s="2"/>
      <c r="PQT51" s="2"/>
      <c r="PQU51" s="2"/>
      <c r="PQV51" s="2"/>
      <c r="PQW51" s="2"/>
      <c r="PQX51" s="2"/>
      <c r="PQY51" s="2"/>
      <c r="PQZ51" s="2"/>
      <c r="PRA51" s="2"/>
      <c r="PRB51" s="2"/>
      <c r="PRC51" s="2"/>
      <c r="PRD51" s="2"/>
      <c r="PRE51" s="2"/>
      <c r="PRF51" s="2"/>
      <c r="PRG51" s="2"/>
      <c r="PRH51" s="2"/>
      <c r="PRI51" s="2"/>
      <c r="PRJ51" s="2"/>
      <c r="PRK51" s="2"/>
      <c r="PRL51" s="2"/>
      <c r="PRM51" s="2"/>
      <c r="PRN51" s="2"/>
      <c r="PRO51" s="2"/>
      <c r="PRP51" s="2"/>
      <c r="PRQ51" s="2"/>
      <c r="PRR51" s="2"/>
      <c r="PRS51" s="2"/>
      <c r="PRT51" s="2"/>
      <c r="PRU51" s="2"/>
      <c r="PRV51" s="2"/>
      <c r="PRW51" s="2"/>
      <c r="PRX51" s="2"/>
      <c r="PRY51" s="2"/>
      <c r="PRZ51" s="2"/>
      <c r="PSA51" s="2"/>
      <c r="PSB51" s="2"/>
      <c r="PSC51" s="2"/>
      <c r="PSD51" s="2"/>
      <c r="PSE51" s="2"/>
      <c r="PSF51" s="2"/>
      <c r="PSG51" s="2"/>
      <c r="PSH51" s="2"/>
      <c r="PSI51" s="2"/>
      <c r="PSJ51" s="2"/>
      <c r="PSK51" s="2"/>
      <c r="PSL51" s="2"/>
      <c r="PSM51" s="2"/>
      <c r="PSN51" s="2"/>
      <c r="PSO51" s="2"/>
      <c r="PSP51" s="2"/>
      <c r="PSQ51" s="2"/>
      <c r="PSR51" s="2"/>
      <c r="PSS51" s="2"/>
      <c r="PST51" s="2"/>
      <c r="PSU51" s="2"/>
      <c r="PSV51" s="2"/>
      <c r="PSW51" s="2"/>
      <c r="PSX51" s="2"/>
      <c r="PSY51" s="2"/>
      <c r="PSZ51" s="2"/>
      <c r="PTA51" s="2"/>
      <c r="PTB51" s="2"/>
      <c r="PTC51" s="2"/>
      <c r="PTD51" s="2"/>
      <c r="PTE51" s="2"/>
      <c r="PTF51" s="2"/>
      <c r="PTG51" s="2"/>
      <c r="PTH51" s="2"/>
      <c r="PTI51" s="2"/>
      <c r="PTJ51" s="2"/>
      <c r="PTK51" s="2"/>
      <c r="PTL51" s="2"/>
      <c r="PTM51" s="2"/>
      <c r="PTN51" s="2"/>
      <c r="PTO51" s="2"/>
      <c r="PTP51" s="2"/>
      <c r="PTQ51" s="2"/>
      <c r="PTR51" s="2"/>
      <c r="PTS51" s="2"/>
      <c r="PTT51" s="2"/>
      <c r="PTU51" s="2"/>
      <c r="PTV51" s="2"/>
      <c r="PTW51" s="2"/>
      <c r="PTX51" s="2"/>
      <c r="PTY51" s="2"/>
      <c r="PTZ51" s="2"/>
      <c r="PUA51" s="2"/>
      <c r="PUB51" s="2"/>
      <c r="PUC51" s="2"/>
      <c r="PUD51" s="2"/>
      <c r="PUE51" s="2"/>
      <c r="PUF51" s="2"/>
      <c r="PUG51" s="2"/>
      <c r="PUH51" s="2"/>
      <c r="PUI51" s="2"/>
      <c r="PUJ51" s="2"/>
      <c r="PUK51" s="2"/>
      <c r="PUL51" s="2"/>
      <c r="PUM51" s="2"/>
      <c r="PUN51" s="2"/>
      <c r="PUO51" s="2"/>
      <c r="PUP51" s="2"/>
      <c r="PUQ51" s="2"/>
      <c r="PUR51" s="2"/>
      <c r="PUS51" s="2"/>
      <c r="PUT51" s="2"/>
      <c r="PUU51" s="2"/>
      <c r="PUV51" s="2"/>
      <c r="PUW51" s="2"/>
      <c r="PUX51" s="2"/>
      <c r="PUY51" s="2"/>
      <c r="PUZ51" s="2"/>
      <c r="PVA51" s="2"/>
      <c r="PVB51" s="2"/>
      <c r="PVC51" s="2"/>
      <c r="PVD51" s="2"/>
      <c r="PVE51" s="2"/>
      <c r="PVF51" s="2"/>
      <c r="PVG51" s="2"/>
      <c r="PVH51" s="2"/>
      <c r="PVI51" s="2"/>
      <c r="PVJ51" s="2"/>
      <c r="PVK51" s="2"/>
      <c r="PVL51" s="2"/>
      <c r="PVM51" s="2"/>
      <c r="PVN51" s="2"/>
      <c r="PVO51" s="2"/>
      <c r="PVP51" s="2"/>
      <c r="PVQ51" s="2"/>
      <c r="PVR51" s="2"/>
      <c r="PVS51" s="2"/>
      <c r="PVT51" s="2"/>
      <c r="PVU51" s="2"/>
      <c r="PVV51" s="2"/>
      <c r="PVW51" s="2"/>
      <c r="PVX51" s="2"/>
      <c r="PVY51" s="2"/>
      <c r="PVZ51" s="2"/>
      <c r="PWA51" s="2"/>
      <c r="PWB51" s="2"/>
      <c r="PWC51" s="2"/>
      <c r="PWD51" s="2"/>
      <c r="PWE51" s="2"/>
      <c r="PWF51" s="2"/>
      <c r="PWG51" s="2"/>
      <c r="PWH51" s="2"/>
      <c r="PWI51" s="2"/>
      <c r="PWJ51" s="2"/>
      <c r="PWK51" s="2"/>
      <c r="PWL51" s="2"/>
      <c r="PWM51" s="2"/>
      <c r="PWN51" s="2"/>
      <c r="PWO51" s="2"/>
      <c r="PWP51" s="2"/>
      <c r="PWQ51" s="2"/>
      <c r="PWR51" s="2"/>
      <c r="PWS51" s="2"/>
      <c r="PWT51" s="2"/>
      <c r="PWU51" s="2"/>
      <c r="PWV51" s="2"/>
      <c r="PWW51" s="2"/>
      <c r="PWX51" s="2"/>
      <c r="PWY51" s="2"/>
      <c r="PWZ51" s="2"/>
      <c r="PXA51" s="2"/>
      <c r="PXB51" s="2"/>
      <c r="PXC51" s="2"/>
      <c r="PXD51" s="2"/>
      <c r="PXE51" s="2"/>
      <c r="PXF51" s="2"/>
      <c r="PXG51" s="2"/>
      <c r="PXH51" s="2"/>
      <c r="PXI51" s="2"/>
      <c r="PXJ51" s="2"/>
      <c r="PXK51" s="2"/>
      <c r="PXL51" s="2"/>
      <c r="PXM51" s="2"/>
      <c r="PXN51" s="2"/>
      <c r="PXO51" s="2"/>
      <c r="PXP51" s="2"/>
      <c r="PXQ51" s="2"/>
      <c r="PXR51" s="2"/>
      <c r="PXS51" s="2"/>
      <c r="PXT51" s="2"/>
      <c r="PXU51" s="2"/>
      <c r="PXV51" s="2"/>
      <c r="PXW51" s="2"/>
      <c r="PXX51" s="2"/>
      <c r="PXY51" s="2"/>
      <c r="PXZ51" s="2"/>
      <c r="PYA51" s="2"/>
      <c r="PYB51" s="2"/>
      <c r="PYC51" s="2"/>
      <c r="PYD51" s="2"/>
      <c r="PYE51" s="2"/>
      <c r="PYF51" s="2"/>
      <c r="PYG51" s="2"/>
      <c r="PYH51" s="2"/>
      <c r="PYI51" s="2"/>
      <c r="PYJ51" s="2"/>
      <c r="PYK51" s="2"/>
      <c r="PYL51" s="2"/>
      <c r="PYM51" s="2"/>
      <c r="PYN51" s="2"/>
      <c r="PYO51" s="2"/>
      <c r="PYP51" s="2"/>
      <c r="PYQ51" s="2"/>
      <c r="PYR51" s="2"/>
      <c r="PYS51" s="2"/>
      <c r="PYT51" s="2"/>
      <c r="PYU51" s="2"/>
      <c r="PYV51" s="2"/>
      <c r="PYW51" s="2"/>
      <c r="PYX51" s="2"/>
      <c r="PYY51" s="2"/>
      <c r="PYZ51" s="2"/>
      <c r="PZA51" s="2"/>
      <c r="PZB51" s="2"/>
      <c r="PZC51" s="2"/>
      <c r="PZD51" s="2"/>
      <c r="PZE51" s="2"/>
      <c r="PZF51" s="2"/>
      <c r="PZG51" s="2"/>
      <c r="PZH51" s="2"/>
      <c r="PZI51" s="2"/>
      <c r="PZJ51" s="2"/>
      <c r="PZK51" s="2"/>
      <c r="PZL51" s="2"/>
      <c r="PZM51" s="2"/>
      <c r="PZN51" s="2"/>
      <c r="PZO51" s="2"/>
      <c r="PZP51" s="2"/>
      <c r="PZQ51" s="2"/>
      <c r="PZR51" s="2"/>
      <c r="PZS51" s="2"/>
      <c r="PZT51" s="2"/>
      <c r="PZU51" s="2"/>
      <c r="PZV51" s="2"/>
      <c r="PZW51" s="2"/>
      <c r="PZX51" s="2"/>
      <c r="PZY51" s="2"/>
      <c r="PZZ51" s="2"/>
      <c r="QAA51" s="2"/>
      <c r="QAB51" s="2"/>
      <c r="QAC51" s="2"/>
      <c r="QAD51" s="2"/>
      <c r="QAE51" s="2"/>
      <c r="QAF51" s="2"/>
      <c r="QAG51" s="2"/>
      <c r="QAH51" s="2"/>
      <c r="QAI51" s="2"/>
      <c r="QAJ51" s="2"/>
      <c r="QAK51" s="2"/>
      <c r="QAL51" s="2"/>
      <c r="QAM51" s="2"/>
      <c r="QAN51" s="2"/>
      <c r="QAO51" s="2"/>
      <c r="QAP51" s="2"/>
      <c r="QAQ51" s="2"/>
      <c r="QAR51" s="2"/>
      <c r="QAS51" s="2"/>
      <c r="QAT51" s="2"/>
      <c r="QAU51" s="2"/>
      <c r="QAV51" s="2"/>
      <c r="QAW51" s="2"/>
      <c r="QAX51" s="2"/>
      <c r="QAY51" s="2"/>
      <c r="QAZ51" s="2"/>
      <c r="QBA51" s="2"/>
      <c r="QBB51" s="2"/>
      <c r="QBC51" s="2"/>
      <c r="QBD51" s="2"/>
      <c r="QBE51" s="2"/>
      <c r="QBF51" s="2"/>
      <c r="QBG51" s="2"/>
      <c r="QBH51" s="2"/>
      <c r="QBI51" s="2"/>
      <c r="QBJ51" s="2"/>
      <c r="QBK51" s="2"/>
      <c r="QBL51" s="2"/>
      <c r="QBM51" s="2"/>
      <c r="QBN51" s="2"/>
      <c r="QBO51" s="2"/>
      <c r="QBP51" s="2"/>
      <c r="QBQ51" s="2"/>
      <c r="QBR51" s="2"/>
      <c r="QBS51" s="2"/>
      <c r="QBT51" s="2"/>
      <c r="QBU51" s="2"/>
      <c r="QBV51" s="2"/>
      <c r="QBW51" s="2"/>
      <c r="QBX51" s="2"/>
      <c r="QBY51" s="2"/>
      <c r="QBZ51" s="2"/>
      <c r="QCA51" s="2"/>
      <c r="QCB51" s="2"/>
      <c r="QCC51" s="2"/>
      <c r="QCD51" s="2"/>
      <c r="QCE51" s="2"/>
      <c r="QCF51" s="2"/>
      <c r="QCG51" s="2"/>
      <c r="QCH51" s="2"/>
      <c r="QCI51" s="2"/>
      <c r="QCJ51" s="2"/>
      <c r="QCK51" s="2"/>
      <c r="QCL51" s="2"/>
      <c r="QCM51" s="2"/>
      <c r="QCN51" s="2"/>
      <c r="QCO51" s="2"/>
      <c r="QCP51" s="2"/>
      <c r="QCQ51" s="2"/>
      <c r="QCR51" s="2"/>
      <c r="QCS51" s="2"/>
      <c r="QCT51" s="2"/>
      <c r="QCU51" s="2"/>
      <c r="QCV51" s="2"/>
      <c r="QCW51" s="2"/>
      <c r="QCX51" s="2"/>
      <c r="QCY51" s="2"/>
      <c r="QCZ51" s="2"/>
      <c r="QDA51" s="2"/>
      <c r="QDB51" s="2"/>
      <c r="QDC51" s="2"/>
      <c r="QDD51" s="2"/>
      <c r="QDE51" s="2"/>
      <c r="QDF51" s="2"/>
      <c r="QDG51" s="2"/>
      <c r="QDH51" s="2"/>
      <c r="QDI51" s="2"/>
      <c r="QDJ51" s="2"/>
      <c r="QDK51" s="2"/>
      <c r="QDL51" s="2"/>
      <c r="QDM51" s="2"/>
      <c r="QDN51" s="2"/>
      <c r="QDO51" s="2"/>
      <c r="QDP51" s="2"/>
      <c r="QDQ51" s="2"/>
      <c r="QDR51" s="2"/>
      <c r="QDS51" s="2"/>
      <c r="QDT51" s="2"/>
      <c r="QDU51" s="2"/>
      <c r="QDV51" s="2"/>
      <c r="QDW51" s="2"/>
      <c r="QDX51" s="2"/>
      <c r="QDY51" s="2"/>
      <c r="QDZ51" s="2"/>
      <c r="QEA51" s="2"/>
      <c r="QEB51" s="2"/>
      <c r="QEC51" s="2"/>
      <c r="QED51" s="2"/>
      <c r="QEE51" s="2"/>
      <c r="QEF51" s="2"/>
      <c r="QEG51" s="2"/>
      <c r="QEH51" s="2"/>
      <c r="QEI51" s="2"/>
      <c r="QEJ51" s="2"/>
      <c r="QEK51" s="2"/>
      <c r="QEL51" s="2"/>
      <c r="QEM51" s="2"/>
      <c r="QEN51" s="2"/>
      <c r="QEO51" s="2"/>
      <c r="QEP51" s="2"/>
      <c r="QEQ51" s="2"/>
      <c r="QER51" s="2"/>
      <c r="QES51" s="2"/>
      <c r="QET51" s="2"/>
      <c r="QEU51" s="2"/>
      <c r="QEV51" s="2"/>
      <c r="QEW51" s="2"/>
      <c r="QEX51" s="2"/>
      <c r="QEY51" s="2"/>
      <c r="QEZ51" s="2"/>
      <c r="QFA51" s="2"/>
      <c r="QFB51" s="2"/>
      <c r="QFC51" s="2"/>
      <c r="QFD51" s="2"/>
      <c r="QFE51" s="2"/>
      <c r="QFF51" s="2"/>
      <c r="QFG51" s="2"/>
      <c r="QFH51" s="2"/>
      <c r="QFI51" s="2"/>
      <c r="QFJ51" s="2"/>
      <c r="QFK51" s="2"/>
      <c r="QFL51" s="2"/>
      <c r="QFM51" s="2"/>
      <c r="QFN51" s="2"/>
      <c r="QFO51" s="2"/>
      <c r="QFP51" s="2"/>
      <c r="QFQ51" s="2"/>
      <c r="QFR51" s="2"/>
      <c r="QFS51" s="2"/>
      <c r="QFT51" s="2"/>
      <c r="QFU51" s="2"/>
      <c r="QFV51" s="2"/>
      <c r="QFW51" s="2"/>
      <c r="QFX51" s="2"/>
      <c r="QFY51" s="2"/>
      <c r="QFZ51" s="2"/>
      <c r="QGA51" s="2"/>
      <c r="QGB51" s="2"/>
      <c r="QGC51" s="2"/>
      <c r="QGD51" s="2"/>
      <c r="QGE51" s="2"/>
      <c r="QGF51" s="2"/>
      <c r="QGG51" s="2"/>
      <c r="QGH51" s="2"/>
      <c r="QGI51" s="2"/>
      <c r="QGJ51" s="2"/>
      <c r="QGK51" s="2"/>
      <c r="QGL51" s="2"/>
      <c r="QGM51" s="2"/>
      <c r="QGN51" s="2"/>
      <c r="QGO51" s="2"/>
      <c r="QGP51" s="2"/>
      <c r="QGQ51" s="2"/>
      <c r="QGR51" s="2"/>
      <c r="QGS51" s="2"/>
      <c r="QGT51" s="2"/>
      <c r="QGU51" s="2"/>
      <c r="QGV51" s="2"/>
      <c r="QGW51" s="2"/>
      <c r="QGX51" s="2"/>
      <c r="QGY51" s="2"/>
      <c r="QGZ51" s="2"/>
      <c r="QHA51" s="2"/>
      <c r="QHB51" s="2"/>
      <c r="QHC51" s="2"/>
      <c r="QHD51" s="2"/>
      <c r="QHE51" s="2"/>
      <c r="QHF51" s="2"/>
      <c r="QHG51" s="2"/>
      <c r="QHH51" s="2"/>
      <c r="QHI51" s="2"/>
      <c r="QHJ51" s="2"/>
      <c r="QHK51" s="2"/>
      <c r="QHL51" s="2"/>
      <c r="QHM51" s="2"/>
      <c r="QHN51" s="2"/>
      <c r="QHO51" s="2"/>
      <c r="QHP51" s="2"/>
      <c r="QHQ51" s="2"/>
      <c r="QHR51" s="2"/>
      <c r="QHS51" s="2"/>
      <c r="QHT51" s="2"/>
      <c r="QHU51" s="2"/>
      <c r="QHV51" s="2"/>
      <c r="QHW51" s="2"/>
      <c r="QHX51" s="2"/>
      <c r="QHY51" s="2"/>
      <c r="QHZ51" s="2"/>
      <c r="QIA51" s="2"/>
      <c r="QIB51" s="2"/>
      <c r="QIC51" s="2"/>
      <c r="QID51" s="2"/>
      <c r="QIE51" s="2"/>
      <c r="QIF51" s="2"/>
      <c r="QIG51" s="2"/>
      <c r="QIH51" s="2"/>
      <c r="QII51" s="2"/>
      <c r="QIJ51" s="2"/>
      <c r="QIK51" s="2"/>
      <c r="QIL51" s="2"/>
      <c r="QIM51" s="2"/>
      <c r="QIN51" s="2"/>
      <c r="QIO51" s="2"/>
      <c r="QIP51" s="2"/>
      <c r="QIQ51" s="2"/>
      <c r="QIR51" s="2"/>
      <c r="QIS51" s="2"/>
      <c r="QIT51" s="2"/>
      <c r="QIU51" s="2"/>
      <c r="QIV51" s="2"/>
      <c r="QIW51" s="2"/>
      <c r="QIX51" s="2"/>
      <c r="QIY51" s="2"/>
      <c r="QIZ51" s="2"/>
      <c r="QJA51" s="2"/>
      <c r="QJB51" s="2"/>
      <c r="QJC51" s="2"/>
      <c r="QJD51" s="2"/>
      <c r="QJE51" s="2"/>
      <c r="QJF51" s="2"/>
      <c r="QJG51" s="2"/>
      <c r="QJH51" s="2"/>
      <c r="QJI51" s="2"/>
      <c r="QJJ51" s="2"/>
      <c r="QJK51" s="2"/>
      <c r="QJL51" s="2"/>
      <c r="QJM51" s="2"/>
      <c r="QJN51" s="2"/>
      <c r="QJO51" s="2"/>
      <c r="QJP51" s="2"/>
      <c r="QJQ51" s="2"/>
      <c r="QJR51" s="2"/>
      <c r="QJS51" s="2"/>
      <c r="QJT51" s="2"/>
      <c r="QJU51" s="2"/>
      <c r="QJV51" s="2"/>
      <c r="QJW51" s="2"/>
      <c r="QJX51" s="2"/>
      <c r="QJY51" s="2"/>
      <c r="QJZ51" s="2"/>
      <c r="QKA51" s="2"/>
      <c r="QKB51" s="2"/>
      <c r="QKC51" s="2"/>
      <c r="QKD51" s="2"/>
      <c r="QKE51" s="2"/>
      <c r="QKF51" s="2"/>
      <c r="QKG51" s="2"/>
      <c r="QKH51" s="2"/>
      <c r="QKI51" s="2"/>
      <c r="QKJ51" s="2"/>
      <c r="QKK51" s="2"/>
      <c r="QKL51" s="2"/>
      <c r="QKM51" s="2"/>
      <c r="QKN51" s="2"/>
      <c r="QKO51" s="2"/>
      <c r="QKP51" s="2"/>
      <c r="QKQ51" s="2"/>
      <c r="QKR51" s="2"/>
      <c r="QKS51" s="2"/>
      <c r="QKT51" s="2"/>
      <c r="QKU51" s="2"/>
      <c r="QKV51" s="2"/>
      <c r="QKW51" s="2"/>
      <c r="QKX51" s="2"/>
      <c r="QKY51" s="2"/>
      <c r="QKZ51" s="2"/>
      <c r="QLA51" s="2"/>
      <c r="QLB51" s="2"/>
      <c r="QLC51" s="2"/>
      <c r="QLD51" s="2"/>
      <c r="QLE51" s="2"/>
      <c r="QLF51" s="2"/>
      <c r="QLG51" s="2"/>
      <c r="QLH51" s="2"/>
      <c r="QLI51" s="2"/>
      <c r="QLJ51" s="2"/>
      <c r="QLK51" s="2"/>
      <c r="QLL51" s="2"/>
      <c r="QLM51" s="2"/>
      <c r="QLN51" s="2"/>
      <c r="QLO51" s="2"/>
      <c r="QLP51" s="2"/>
      <c r="QLQ51" s="2"/>
      <c r="QLR51" s="2"/>
      <c r="QLS51" s="2"/>
      <c r="QLT51" s="2"/>
      <c r="QLU51" s="2"/>
      <c r="QLV51" s="2"/>
      <c r="QLW51" s="2"/>
      <c r="QLX51" s="2"/>
      <c r="QLY51" s="2"/>
      <c r="QLZ51" s="2"/>
      <c r="QMA51" s="2"/>
      <c r="QMB51" s="2"/>
      <c r="QMC51" s="2"/>
      <c r="QMD51" s="2"/>
      <c r="QME51" s="2"/>
      <c r="QMF51" s="2"/>
      <c r="QMG51" s="2"/>
      <c r="QMH51" s="2"/>
      <c r="QMI51" s="2"/>
      <c r="QMJ51" s="2"/>
      <c r="QMK51" s="2"/>
      <c r="QML51" s="2"/>
      <c r="QMM51" s="2"/>
      <c r="QMN51" s="2"/>
      <c r="QMO51" s="2"/>
      <c r="QMP51" s="2"/>
      <c r="QMQ51" s="2"/>
      <c r="QMR51" s="2"/>
      <c r="QMS51" s="2"/>
      <c r="QMT51" s="2"/>
      <c r="QMU51" s="2"/>
      <c r="QMV51" s="2"/>
      <c r="QMW51" s="2"/>
      <c r="QMX51" s="2"/>
      <c r="QMY51" s="2"/>
      <c r="QMZ51" s="2"/>
      <c r="QNA51" s="2"/>
      <c r="QNB51" s="2"/>
      <c r="QNC51" s="2"/>
      <c r="QND51" s="2"/>
      <c r="QNE51" s="2"/>
      <c r="QNF51" s="2"/>
      <c r="QNG51" s="2"/>
      <c r="QNH51" s="2"/>
      <c r="QNI51" s="2"/>
      <c r="QNJ51" s="2"/>
      <c r="QNK51" s="2"/>
      <c r="QNL51" s="2"/>
      <c r="QNM51" s="2"/>
      <c r="QNN51" s="2"/>
      <c r="QNO51" s="2"/>
      <c r="QNP51" s="2"/>
      <c r="QNQ51" s="2"/>
      <c r="QNR51" s="2"/>
      <c r="QNS51" s="2"/>
      <c r="QNT51" s="2"/>
      <c r="QNU51" s="2"/>
      <c r="QNV51" s="2"/>
      <c r="QNW51" s="2"/>
      <c r="QNX51" s="2"/>
      <c r="QNY51" s="2"/>
      <c r="QNZ51" s="2"/>
      <c r="QOA51" s="2"/>
      <c r="QOB51" s="2"/>
      <c r="QOC51" s="2"/>
      <c r="QOD51" s="2"/>
      <c r="QOE51" s="2"/>
      <c r="QOF51" s="2"/>
      <c r="QOG51" s="2"/>
      <c r="QOH51" s="2"/>
      <c r="QOI51" s="2"/>
      <c r="QOJ51" s="2"/>
      <c r="QOK51" s="2"/>
      <c r="QOL51" s="2"/>
      <c r="QOM51" s="2"/>
      <c r="QON51" s="2"/>
      <c r="QOO51" s="2"/>
      <c r="QOP51" s="2"/>
      <c r="QOQ51" s="2"/>
      <c r="QOR51" s="2"/>
      <c r="QOS51" s="2"/>
      <c r="QOT51" s="2"/>
      <c r="QOU51" s="2"/>
      <c r="QOV51" s="2"/>
      <c r="QOW51" s="2"/>
      <c r="QOX51" s="2"/>
      <c r="QOY51" s="2"/>
      <c r="QOZ51" s="2"/>
      <c r="QPA51" s="2"/>
      <c r="QPB51" s="2"/>
      <c r="QPC51" s="2"/>
      <c r="QPD51" s="2"/>
      <c r="QPE51" s="2"/>
      <c r="QPF51" s="2"/>
      <c r="QPG51" s="2"/>
      <c r="QPH51" s="2"/>
      <c r="QPI51" s="2"/>
      <c r="QPJ51" s="2"/>
      <c r="QPK51" s="2"/>
      <c r="QPL51" s="2"/>
      <c r="QPM51" s="2"/>
      <c r="QPN51" s="2"/>
      <c r="QPO51" s="2"/>
      <c r="QPP51" s="2"/>
      <c r="QPQ51" s="2"/>
      <c r="QPR51" s="2"/>
      <c r="QPS51" s="2"/>
      <c r="QPT51" s="2"/>
      <c r="QPU51" s="2"/>
      <c r="QPV51" s="2"/>
      <c r="QPW51" s="2"/>
      <c r="QPX51" s="2"/>
      <c r="QPY51" s="2"/>
      <c r="QPZ51" s="2"/>
      <c r="QQA51" s="2"/>
      <c r="QQB51" s="2"/>
      <c r="QQC51" s="2"/>
      <c r="QQD51" s="2"/>
      <c r="QQE51" s="2"/>
      <c r="QQF51" s="2"/>
      <c r="QQG51" s="2"/>
      <c r="QQH51" s="2"/>
      <c r="QQI51" s="2"/>
      <c r="QQJ51" s="2"/>
      <c r="QQK51" s="2"/>
      <c r="QQL51" s="2"/>
      <c r="QQM51" s="2"/>
      <c r="QQN51" s="2"/>
      <c r="QQO51" s="2"/>
      <c r="QQP51" s="2"/>
      <c r="QQQ51" s="2"/>
      <c r="QQR51" s="2"/>
      <c r="QQS51" s="2"/>
      <c r="QQT51" s="2"/>
      <c r="QQU51" s="2"/>
      <c r="QQV51" s="2"/>
      <c r="QQW51" s="2"/>
      <c r="QQX51" s="2"/>
      <c r="QQY51" s="2"/>
      <c r="QQZ51" s="2"/>
      <c r="QRA51" s="2"/>
      <c r="QRB51" s="2"/>
      <c r="QRC51" s="2"/>
      <c r="QRD51" s="2"/>
      <c r="QRE51" s="2"/>
      <c r="QRF51" s="2"/>
      <c r="QRG51" s="2"/>
      <c r="QRH51" s="2"/>
      <c r="QRI51" s="2"/>
      <c r="QRJ51" s="2"/>
      <c r="QRK51" s="2"/>
      <c r="QRL51" s="2"/>
      <c r="QRM51" s="2"/>
      <c r="QRN51" s="2"/>
      <c r="QRO51" s="2"/>
      <c r="QRP51" s="2"/>
      <c r="QRQ51" s="2"/>
      <c r="QRR51" s="2"/>
      <c r="QRS51" s="2"/>
      <c r="QRT51" s="2"/>
      <c r="QRU51" s="2"/>
      <c r="QRV51" s="2"/>
      <c r="QRW51" s="2"/>
      <c r="QRX51" s="2"/>
      <c r="QRY51" s="2"/>
      <c r="QRZ51" s="2"/>
      <c r="QSA51" s="2"/>
      <c r="QSB51" s="2"/>
      <c r="QSC51" s="2"/>
      <c r="QSD51" s="2"/>
      <c r="QSE51" s="2"/>
      <c r="QSF51" s="2"/>
      <c r="QSG51" s="2"/>
      <c r="QSH51" s="2"/>
      <c r="QSI51" s="2"/>
      <c r="QSJ51" s="2"/>
      <c r="QSK51" s="2"/>
      <c r="QSL51" s="2"/>
      <c r="QSM51" s="2"/>
      <c r="QSN51" s="2"/>
      <c r="QSO51" s="2"/>
      <c r="QSP51" s="2"/>
      <c r="QSQ51" s="2"/>
      <c r="QSR51" s="2"/>
      <c r="QSS51" s="2"/>
      <c r="QST51" s="2"/>
      <c r="QSU51" s="2"/>
      <c r="QSV51" s="2"/>
      <c r="QSW51" s="2"/>
      <c r="QSX51" s="2"/>
      <c r="QSY51" s="2"/>
      <c r="QSZ51" s="2"/>
      <c r="QTA51" s="2"/>
      <c r="QTB51" s="2"/>
      <c r="QTC51" s="2"/>
      <c r="QTD51" s="2"/>
      <c r="QTE51" s="2"/>
      <c r="QTF51" s="2"/>
      <c r="QTG51" s="2"/>
      <c r="QTH51" s="2"/>
      <c r="QTI51" s="2"/>
      <c r="QTJ51" s="2"/>
      <c r="QTK51" s="2"/>
      <c r="QTL51" s="2"/>
      <c r="QTM51" s="2"/>
      <c r="QTN51" s="2"/>
      <c r="QTO51" s="2"/>
      <c r="QTP51" s="2"/>
      <c r="QTQ51" s="2"/>
      <c r="QTR51" s="2"/>
      <c r="QTS51" s="2"/>
      <c r="QTT51" s="2"/>
      <c r="QTU51" s="2"/>
      <c r="QTV51" s="2"/>
      <c r="QTW51" s="2"/>
      <c r="QTX51" s="2"/>
      <c r="QTY51" s="2"/>
      <c r="QTZ51" s="2"/>
      <c r="QUA51" s="2"/>
      <c r="QUB51" s="2"/>
      <c r="QUC51" s="2"/>
      <c r="QUD51" s="2"/>
      <c r="QUE51" s="2"/>
      <c r="QUF51" s="2"/>
      <c r="QUG51" s="2"/>
      <c r="QUH51" s="2"/>
      <c r="QUI51" s="2"/>
      <c r="QUJ51" s="2"/>
      <c r="QUK51" s="2"/>
      <c r="QUL51" s="2"/>
      <c r="QUM51" s="2"/>
      <c r="QUN51" s="2"/>
      <c r="QUO51" s="2"/>
      <c r="QUP51" s="2"/>
      <c r="QUQ51" s="2"/>
      <c r="QUR51" s="2"/>
      <c r="QUS51" s="2"/>
      <c r="QUT51" s="2"/>
      <c r="QUU51" s="2"/>
      <c r="QUV51" s="2"/>
      <c r="QUW51" s="2"/>
      <c r="QUX51" s="2"/>
      <c r="QUY51" s="2"/>
      <c r="QUZ51" s="2"/>
      <c r="QVA51" s="2"/>
      <c r="QVB51" s="2"/>
      <c r="QVC51" s="2"/>
      <c r="QVD51" s="2"/>
      <c r="QVE51" s="2"/>
      <c r="QVF51" s="2"/>
      <c r="QVG51" s="2"/>
      <c r="QVH51" s="2"/>
      <c r="QVI51" s="2"/>
      <c r="QVJ51" s="2"/>
      <c r="QVK51" s="2"/>
      <c r="QVL51" s="2"/>
      <c r="QVM51" s="2"/>
      <c r="QVN51" s="2"/>
      <c r="QVO51" s="2"/>
      <c r="QVP51" s="2"/>
      <c r="QVQ51" s="2"/>
      <c r="QVR51" s="2"/>
      <c r="QVS51" s="2"/>
      <c r="QVT51" s="2"/>
      <c r="QVU51" s="2"/>
      <c r="QVV51" s="2"/>
      <c r="QVW51" s="2"/>
      <c r="QVX51" s="2"/>
      <c r="QVY51" s="2"/>
      <c r="QVZ51" s="2"/>
      <c r="QWA51" s="2"/>
      <c r="QWB51" s="2"/>
      <c r="QWC51" s="2"/>
      <c r="QWD51" s="2"/>
      <c r="QWE51" s="2"/>
      <c r="QWF51" s="2"/>
      <c r="QWG51" s="2"/>
      <c r="QWH51" s="2"/>
      <c r="QWI51" s="2"/>
      <c r="QWJ51" s="2"/>
      <c r="QWK51" s="2"/>
      <c r="QWL51" s="2"/>
      <c r="QWM51" s="2"/>
      <c r="QWN51" s="2"/>
      <c r="QWO51" s="2"/>
      <c r="QWP51" s="2"/>
      <c r="QWQ51" s="2"/>
      <c r="QWR51" s="2"/>
      <c r="QWS51" s="2"/>
      <c r="QWT51" s="2"/>
      <c r="QWU51" s="2"/>
      <c r="QWV51" s="2"/>
      <c r="QWW51" s="2"/>
      <c r="QWX51" s="2"/>
      <c r="QWY51" s="2"/>
      <c r="QWZ51" s="2"/>
      <c r="QXA51" s="2"/>
      <c r="QXB51" s="2"/>
      <c r="QXC51" s="2"/>
      <c r="QXD51" s="2"/>
      <c r="QXE51" s="2"/>
      <c r="QXF51" s="2"/>
      <c r="QXG51" s="2"/>
      <c r="QXH51" s="2"/>
      <c r="QXI51" s="2"/>
      <c r="QXJ51" s="2"/>
      <c r="QXK51" s="2"/>
      <c r="QXL51" s="2"/>
      <c r="QXM51" s="2"/>
      <c r="QXN51" s="2"/>
      <c r="QXO51" s="2"/>
      <c r="QXP51" s="2"/>
      <c r="QXQ51" s="2"/>
      <c r="QXR51" s="2"/>
      <c r="QXS51" s="2"/>
      <c r="QXT51" s="2"/>
      <c r="QXU51" s="2"/>
      <c r="QXV51" s="2"/>
      <c r="QXW51" s="2"/>
      <c r="QXX51" s="2"/>
      <c r="QXY51" s="2"/>
      <c r="QXZ51" s="2"/>
      <c r="QYA51" s="2"/>
      <c r="QYB51" s="2"/>
      <c r="QYC51" s="2"/>
      <c r="QYD51" s="2"/>
      <c r="QYE51" s="2"/>
      <c r="QYF51" s="2"/>
      <c r="QYG51" s="2"/>
      <c r="QYH51" s="2"/>
      <c r="QYI51" s="2"/>
      <c r="QYJ51" s="2"/>
      <c r="QYK51" s="2"/>
      <c r="QYL51" s="2"/>
      <c r="QYM51" s="2"/>
      <c r="QYN51" s="2"/>
      <c r="QYO51" s="2"/>
      <c r="QYP51" s="2"/>
      <c r="QYQ51" s="2"/>
      <c r="QYR51" s="2"/>
      <c r="QYS51" s="2"/>
      <c r="QYT51" s="2"/>
      <c r="QYU51" s="2"/>
      <c r="QYV51" s="2"/>
      <c r="QYW51" s="2"/>
      <c r="QYX51" s="2"/>
      <c r="QYY51" s="2"/>
      <c r="QYZ51" s="2"/>
      <c r="QZA51" s="2"/>
      <c r="QZB51" s="2"/>
      <c r="QZC51" s="2"/>
      <c r="QZD51" s="2"/>
      <c r="QZE51" s="2"/>
      <c r="QZF51" s="2"/>
      <c r="QZG51" s="2"/>
      <c r="QZH51" s="2"/>
      <c r="QZI51" s="2"/>
      <c r="QZJ51" s="2"/>
      <c r="QZK51" s="2"/>
      <c r="QZL51" s="2"/>
      <c r="QZM51" s="2"/>
      <c r="QZN51" s="2"/>
      <c r="QZO51" s="2"/>
      <c r="QZP51" s="2"/>
      <c r="QZQ51" s="2"/>
      <c r="QZR51" s="2"/>
      <c r="QZS51" s="2"/>
      <c r="QZT51" s="2"/>
      <c r="QZU51" s="2"/>
      <c r="QZV51" s="2"/>
      <c r="QZW51" s="2"/>
      <c r="QZX51" s="2"/>
      <c r="QZY51" s="2"/>
      <c r="QZZ51" s="2"/>
      <c r="RAA51" s="2"/>
      <c r="RAB51" s="2"/>
      <c r="RAC51" s="2"/>
      <c r="RAD51" s="2"/>
      <c r="RAE51" s="2"/>
      <c r="RAF51" s="2"/>
      <c r="RAG51" s="2"/>
      <c r="RAH51" s="2"/>
      <c r="RAI51" s="2"/>
      <c r="RAJ51" s="2"/>
      <c r="RAK51" s="2"/>
      <c r="RAL51" s="2"/>
      <c r="RAM51" s="2"/>
      <c r="RAN51" s="2"/>
      <c r="RAO51" s="2"/>
      <c r="RAP51" s="2"/>
      <c r="RAQ51" s="2"/>
      <c r="RAR51" s="2"/>
      <c r="RAS51" s="2"/>
      <c r="RAT51" s="2"/>
      <c r="RAU51" s="2"/>
      <c r="RAV51" s="2"/>
      <c r="RAW51" s="2"/>
      <c r="RAX51" s="2"/>
      <c r="RAY51" s="2"/>
      <c r="RAZ51" s="2"/>
      <c r="RBA51" s="2"/>
      <c r="RBB51" s="2"/>
      <c r="RBC51" s="2"/>
      <c r="RBD51" s="2"/>
      <c r="RBE51" s="2"/>
      <c r="RBF51" s="2"/>
      <c r="RBG51" s="2"/>
      <c r="RBH51" s="2"/>
      <c r="RBI51" s="2"/>
      <c r="RBJ51" s="2"/>
      <c r="RBK51" s="2"/>
      <c r="RBL51" s="2"/>
      <c r="RBM51" s="2"/>
      <c r="RBN51" s="2"/>
      <c r="RBO51" s="2"/>
      <c r="RBP51" s="2"/>
      <c r="RBQ51" s="2"/>
      <c r="RBR51" s="2"/>
      <c r="RBS51" s="2"/>
      <c r="RBT51" s="2"/>
      <c r="RBU51" s="2"/>
      <c r="RBV51" s="2"/>
      <c r="RBW51" s="2"/>
      <c r="RBX51" s="2"/>
      <c r="RBY51" s="2"/>
      <c r="RBZ51" s="2"/>
      <c r="RCA51" s="2"/>
      <c r="RCB51" s="2"/>
      <c r="RCC51" s="2"/>
      <c r="RCD51" s="2"/>
      <c r="RCE51" s="2"/>
      <c r="RCF51" s="2"/>
      <c r="RCG51" s="2"/>
      <c r="RCH51" s="2"/>
      <c r="RCI51" s="2"/>
      <c r="RCJ51" s="2"/>
      <c r="RCK51" s="2"/>
      <c r="RCL51" s="2"/>
      <c r="RCM51" s="2"/>
      <c r="RCN51" s="2"/>
      <c r="RCO51" s="2"/>
      <c r="RCP51" s="2"/>
      <c r="RCQ51" s="2"/>
      <c r="RCR51" s="2"/>
      <c r="RCS51" s="2"/>
      <c r="RCT51" s="2"/>
      <c r="RCU51" s="2"/>
      <c r="RCV51" s="2"/>
      <c r="RCW51" s="2"/>
      <c r="RCX51" s="2"/>
      <c r="RCY51" s="2"/>
      <c r="RCZ51" s="2"/>
      <c r="RDA51" s="2"/>
      <c r="RDB51" s="2"/>
      <c r="RDC51" s="2"/>
      <c r="RDD51" s="2"/>
      <c r="RDE51" s="2"/>
      <c r="RDF51" s="2"/>
      <c r="RDG51" s="2"/>
      <c r="RDH51" s="2"/>
      <c r="RDI51" s="2"/>
      <c r="RDJ51" s="2"/>
      <c r="RDK51" s="2"/>
      <c r="RDL51" s="2"/>
      <c r="RDM51" s="2"/>
      <c r="RDN51" s="2"/>
      <c r="RDO51" s="2"/>
      <c r="RDP51" s="2"/>
      <c r="RDQ51" s="2"/>
      <c r="RDR51" s="2"/>
      <c r="RDS51" s="2"/>
      <c r="RDT51" s="2"/>
      <c r="RDU51" s="2"/>
      <c r="RDV51" s="2"/>
      <c r="RDW51" s="2"/>
      <c r="RDX51" s="2"/>
      <c r="RDY51" s="2"/>
      <c r="RDZ51" s="2"/>
      <c r="REA51" s="2"/>
      <c r="REB51" s="2"/>
      <c r="REC51" s="2"/>
      <c r="RED51" s="2"/>
      <c r="REE51" s="2"/>
      <c r="REF51" s="2"/>
      <c r="REG51" s="2"/>
      <c r="REH51" s="2"/>
      <c r="REI51" s="2"/>
      <c r="REJ51" s="2"/>
      <c r="REK51" s="2"/>
      <c r="REL51" s="2"/>
      <c r="REM51" s="2"/>
      <c r="REN51" s="2"/>
      <c r="REO51" s="2"/>
      <c r="REP51" s="2"/>
      <c r="REQ51" s="2"/>
      <c r="RER51" s="2"/>
      <c r="RES51" s="2"/>
      <c r="RET51" s="2"/>
      <c r="REU51" s="2"/>
      <c r="REV51" s="2"/>
      <c r="REW51" s="2"/>
      <c r="REX51" s="2"/>
      <c r="REY51" s="2"/>
      <c r="REZ51" s="2"/>
      <c r="RFA51" s="2"/>
      <c r="RFB51" s="2"/>
      <c r="RFC51" s="2"/>
      <c r="RFD51" s="2"/>
      <c r="RFE51" s="2"/>
      <c r="RFF51" s="2"/>
      <c r="RFG51" s="2"/>
      <c r="RFH51" s="2"/>
      <c r="RFI51" s="2"/>
      <c r="RFJ51" s="2"/>
      <c r="RFK51" s="2"/>
      <c r="RFL51" s="2"/>
      <c r="RFM51" s="2"/>
      <c r="RFN51" s="2"/>
      <c r="RFO51" s="2"/>
      <c r="RFP51" s="2"/>
      <c r="RFQ51" s="2"/>
      <c r="RFR51" s="2"/>
      <c r="RFS51" s="2"/>
      <c r="RFT51" s="2"/>
      <c r="RFU51" s="2"/>
      <c r="RFV51" s="2"/>
      <c r="RFW51" s="2"/>
      <c r="RFX51" s="2"/>
      <c r="RFY51" s="2"/>
      <c r="RFZ51" s="2"/>
      <c r="RGA51" s="2"/>
      <c r="RGB51" s="2"/>
      <c r="RGC51" s="2"/>
      <c r="RGD51" s="2"/>
      <c r="RGE51" s="2"/>
      <c r="RGF51" s="2"/>
      <c r="RGG51" s="2"/>
      <c r="RGH51" s="2"/>
      <c r="RGI51" s="2"/>
      <c r="RGJ51" s="2"/>
      <c r="RGK51" s="2"/>
      <c r="RGL51" s="2"/>
      <c r="RGM51" s="2"/>
      <c r="RGN51" s="2"/>
      <c r="RGO51" s="2"/>
      <c r="RGP51" s="2"/>
      <c r="RGQ51" s="2"/>
      <c r="RGR51" s="2"/>
      <c r="RGS51" s="2"/>
      <c r="RGT51" s="2"/>
      <c r="RGU51" s="2"/>
      <c r="RGV51" s="2"/>
      <c r="RGW51" s="2"/>
      <c r="RGX51" s="2"/>
      <c r="RGY51" s="2"/>
      <c r="RGZ51" s="2"/>
      <c r="RHA51" s="2"/>
      <c r="RHB51" s="2"/>
      <c r="RHC51" s="2"/>
      <c r="RHD51" s="2"/>
      <c r="RHE51" s="2"/>
      <c r="RHF51" s="2"/>
      <c r="RHG51" s="2"/>
      <c r="RHH51" s="2"/>
      <c r="RHI51" s="2"/>
      <c r="RHJ51" s="2"/>
      <c r="RHK51" s="2"/>
      <c r="RHL51" s="2"/>
      <c r="RHM51" s="2"/>
      <c r="RHN51" s="2"/>
      <c r="RHO51" s="2"/>
      <c r="RHP51" s="2"/>
      <c r="RHQ51" s="2"/>
      <c r="RHR51" s="2"/>
      <c r="RHS51" s="2"/>
      <c r="RHT51" s="2"/>
      <c r="RHU51" s="2"/>
      <c r="RHV51" s="2"/>
      <c r="RHW51" s="2"/>
      <c r="RHX51" s="2"/>
      <c r="RHY51" s="2"/>
      <c r="RHZ51" s="2"/>
      <c r="RIA51" s="2"/>
      <c r="RIB51" s="2"/>
      <c r="RIC51" s="2"/>
      <c r="RID51" s="2"/>
      <c r="RIE51" s="2"/>
      <c r="RIF51" s="2"/>
      <c r="RIG51" s="2"/>
      <c r="RIH51" s="2"/>
      <c r="RII51" s="2"/>
      <c r="RIJ51" s="2"/>
      <c r="RIK51" s="2"/>
      <c r="RIL51" s="2"/>
      <c r="RIM51" s="2"/>
      <c r="RIN51" s="2"/>
      <c r="RIO51" s="2"/>
      <c r="RIP51" s="2"/>
      <c r="RIQ51" s="2"/>
      <c r="RIR51" s="2"/>
      <c r="RIS51" s="2"/>
      <c r="RIT51" s="2"/>
      <c r="RIU51" s="2"/>
      <c r="RIV51" s="2"/>
      <c r="RIW51" s="2"/>
      <c r="RIX51" s="2"/>
      <c r="RIY51" s="2"/>
      <c r="RIZ51" s="2"/>
      <c r="RJA51" s="2"/>
      <c r="RJB51" s="2"/>
      <c r="RJC51" s="2"/>
      <c r="RJD51" s="2"/>
      <c r="RJE51" s="2"/>
      <c r="RJF51" s="2"/>
      <c r="RJG51" s="2"/>
      <c r="RJH51" s="2"/>
      <c r="RJI51" s="2"/>
      <c r="RJJ51" s="2"/>
      <c r="RJK51" s="2"/>
      <c r="RJL51" s="2"/>
      <c r="RJM51" s="2"/>
      <c r="RJN51" s="2"/>
      <c r="RJO51" s="2"/>
      <c r="RJP51" s="2"/>
      <c r="RJQ51" s="2"/>
      <c r="RJR51" s="2"/>
      <c r="RJS51" s="2"/>
      <c r="RJT51" s="2"/>
      <c r="RJU51" s="2"/>
      <c r="RJV51" s="2"/>
      <c r="RJW51" s="2"/>
      <c r="RJX51" s="2"/>
      <c r="RJY51" s="2"/>
      <c r="RJZ51" s="2"/>
      <c r="RKA51" s="2"/>
      <c r="RKB51" s="2"/>
      <c r="RKC51" s="2"/>
      <c r="RKD51" s="2"/>
      <c r="RKE51" s="2"/>
      <c r="RKF51" s="2"/>
      <c r="RKG51" s="2"/>
      <c r="RKH51" s="2"/>
      <c r="RKI51" s="2"/>
      <c r="RKJ51" s="2"/>
      <c r="RKK51" s="2"/>
      <c r="RKL51" s="2"/>
      <c r="RKM51" s="2"/>
      <c r="RKN51" s="2"/>
      <c r="RKO51" s="2"/>
      <c r="RKP51" s="2"/>
      <c r="RKQ51" s="2"/>
      <c r="RKR51" s="2"/>
      <c r="RKS51" s="2"/>
      <c r="RKT51" s="2"/>
      <c r="RKU51" s="2"/>
      <c r="RKV51" s="2"/>
      <c r="RKW51" s="2"/>
      <c r="RKX51" s="2"/>
      <c r="RKY51" s="2"/>
      <c r="RKZ51" s="2"/>
      <c r="RLA51" s="2"/>
      <c r="RLB51" s="2"/>
      <c r="RLC51" s="2"/>
      <c r="RLD51" s="2"/>
      <c r="RLE51" s="2"/>
      <c r="RLF51" s="2"/>
      <c r="RLG51" s="2"/>
      <c r="RLH51" s="2"/>
      <c r="RLI51" s="2"/>
      <c r="RLJ51" s="2"/>
      <c r="RLK51" s="2"/>
      <c r="RLL51" s="2"/>
      <c r="RLM51" s="2"/>
      <c r="RLN51" s="2"/>
      <c r="RLO51" s="2"/>
      <c r="RLP51" s="2"/>
      <c r="RLQ51" s="2"/>
      <c r="RLR51" s="2"/>
      <c r="RLS51" s="2"/>
      <c r="RLT51" s="2"/>
      <c r="RLU51" s="2"/>
      <c r="RLV51" s="2"/>
      <c r="RLW51" s="2"/>
      <c r="RLX51" s="2"/>
      <c r="RLY51" s="2"/>
      <c r="RLZ51" s="2"/>
      <c r="RMA51" s="2"/>
      <c r="RMB51" s="2"/>
      <c r="RMC51" s="2"/>
      <c r="RMD51" s="2"/>
      <c r="RME51" s="2"/>
      <c r="RMF51" s="2"/>
      <c r="RMG51" s="2"/>
      <c r="RMH51" s="2"/>
      <c r="RMI51" s="2"/>
      <c r="RMJ51" s="2"/>
      <c r="RMK51" s="2"/>
      <c r="RML51" s="2"/>
      <c r="RMM51" s="2"/>
      <c r="RMN51" s="2"/>
      <c r="RMO51" s="2"/>
      <c r="RMP51" s="2"/>
      <c r="RMQ51" s="2"/>
      <c r="RMR51" s="2"/>
      <c r="RMS51" s="2"/>
      <c r="RMT51" s="2"/>
      <c r="RMU51" s="2"/>
      <c r="RMV51" s="2"/>
      <c r="RMW51" s="2"/>
      <c r="RMX51" s="2"/>
      <c r="RMY51" s="2"/>
      <c r="RMZ51" s="2"/>
      <c r="RNA51" s="2"/>
      <c r="RNB51" s="2"/>
      <c r="RNC51" s="2"/>
      <c r="RND51" s="2"/>
      <c r="RNE51" s="2"/>
      <c r="RNF51" s="2"/>
      <c r="RNG51" s="2"/>
      <c r="RNH51" s="2"/>
      <c r="RNI51" s="2"/>
      <c r="RNJ51" s="2"/>
      <c r="RNK51" s="2"/>
      <c r="RNL51" s="2"/>
      <c r="RNM51" s="2"/>
      <c r="RNN51" s="2"/>
      <c r="RNO51" s="2"/>
      <c r="RNP51" s="2"/>
      <c r="RNQ51" s="2"/>
      <c r="RNR51" s="2"/>
      <c r="RNS51" s="2"/>
      <c r="RNT51" s="2"/>
      <c r="RNU51" s="2"/>
      <c r="RNV51" s="2"/>
      <c r="RNW51" s="2"/>
      <c r="RNX51" s="2"/>
      <c r="RNY51" s="2"/>
      <c r="RNZ51" s="2"/>
      <c r="ROA51" s="2"/>
      <c r="ROB51" s="2"/>
      <c r="ROC51" s="2"/>
      <c r="ROD51" s="2"/>
      <c r="ROE51" s="2"/>
      <c r="ROF51" s="2"/>
      <c r="ROG51" s="2"/>
      <c r="ROH51" s="2"/>
      <c r="ROI51" s="2"/>
      <c r="ROJ51" s="2"/>
      <c r="ROK51" s="2"/>
      <c r="ROL51" s="2"/>
      <c r="ROM51" s="2"/>
      <c r="RON51" s="2"/>
      <c r="ROO51" s="2"/>
      <c r="ROP51" s="2"/>
      <c r="ROQ51" s="2"/>
      <c r="ROR51" s="2"/>
      <c r="ROS51" s="2"/>
      <c r="ROT51" s="2"/>
      <c r="ROU51" s="2"/>
      <c r="ROV51" s="2"/>
      <c r="ROW51" s="2"/>
      <c r="ROX51" s="2"/>
      <c r="ROY51" s="2"/>
      <c r="ROZ51" s="2"/>
      <c r="RPA51" s="2"/>
      <c r="RPB51" s="2"/>
      <c r="RPC51" s="2"/>
      <c r="RPD51" s="2"/>
      <c r="RPE51" s="2"/>
      <c r="RPF51" s="2"/>
      <c r="RPG51" s="2"/>
      <c r="RPH51" s="2"/>
      <c r="RPI51" s="2"/>
      <c r="RPJ51" s="2"/>
      <c r="RPK51" s="2"/>
      <c r="RPL51" s="2"/>
      <c r="RPM51" s="2"/>
      <c r="RPN51" s="2"/>
      <c r="RPO51" s="2"/>
      <c r="RPP51" s="2"/>
      <c r="RPQ51" s="2"/>
      <c r="RPR51" s="2"/>
      <c r="RPS51" s="2"/>
      <c r="RPT51" s="2"/>
      <c r="RPU51" s="2"/>
      <c r="RPV51" s="2"/>
      <c r="RPW51" s="2"/>
      <c r="RPX51" s="2"/>
      <c r="RPY51" s="2"/>
      <c r="RPZ51" s="2"/>
      <c r="RQA51" s="2"/>
      <c r="RQB51" s="2"/>
      <c r="RQC51" s="2"/>
      <c r="RQD51" s="2"/>
      <c r="RQE51" s="2"/>
      <c r="RQF51" s="2"/>
      <c r="RQG51" s="2"/>
      <c r="RQH51" s="2"/>
      <c r="RQI51" s="2"/>
      <c r="RQJ51" s="2"/>
      <c r="RQK51" s="2"/>
      <c r="RQL51" s="2"/>
      <c r="RQM51" s="2"/>
      <c r="RQN51" s="2"/>
      <c r="RQO51" s="2"/>
      <c r="RQP51" s="2"/>
      <c r="RQQ51" s="2"/>
      <c r="RQR51" s="2"/>
      <c r="RQS51" s="2"/>
      <c r="RQT51" s="2"/>
      <c r="RQU51" s="2"/>
      <c r="RQV51" s="2"/>
      <c r="RQW51" s="2"/>
      <c r="RQX51" s="2"/>
      <c r="RQY51" s="2"/>
      <c r="RQZ51" s="2"/>
      <c r="RRA51" s="2"/>
      <c r="RRB51" s="2"/>
      <c r="RRC51" s="2"/>
      <c r="RRD51" s="2"/>
      <c r="RRE51" s="2"/>
      <c r="RRF51" s="2"/>
      <c r="RRG51" s="2"/>
      <c r="RRH51" s="2"/>
      <c r="RRI51" s="2"/>
      <c r="RRJ51" s="2"/>
      <c r="RRK51" s="2"/>
      <c r="RRL51" s="2"/>
      <c r="RRM51" s="2"/>
      <c r="RRN51" s="2"/>
      <c r="RRO51" s="2"/>
      <c r="RRP51" s="2"/>
      <c r="RRQ51" s="2"/>
      <c r="RRR51" s="2"/>
      <c r="RRS51" s="2"/>
      <c r="RRT51" s="2"/>
      <c r="RRU51" s="2"/>
      <c r="RRV51" s="2"/>
      <c r="RRW51" s="2"/>
      <c r="RRX51" s="2"/>
      <c r="RRY51" s="2"/>
      <c r="RRZ51" s="2"/>
      <c r="RSA51" s="2"/>
      <c r="RSB51" s="2"/>
      <c r="RSC51" s="2"/>
      <c r="RSD51" s="2"/>
      <c r="RSE51" s="2"/>
      <c r="RSF51" s="2"/>
      <c r="RSG51" s="2"/>
      <c r="RSH51" s="2"/>
      <c r="RSI51" s="2"/>
      <c r="RSJ51" s="2"/>
      <c r="RSK51" s="2"/>
      <c r="RSL51" s="2"/>
      <c r="RSM51" s="2"/>
      <c r="RSN51" s="2"/>
      <c r="RSO51" s="2"/>
      <c r="RSP51" s="2"/>
      <c r="RSQ51" s="2"/>
      <c r="RSR51" s="2"/>
      <c r="RSS51" s="2"/>
      <c r="RST51" s="2"/>
      <c r="RSU51" s="2"/>
      <c r="RSV51" s="2"/>
      <c r="RSW51" s="2"/>
      <c r="RSX51" s="2"/>
      <c r="RSY51" s="2"/>
      <c r="RSZ51" s="2"/>
      <c r="RTA51" s="2"/>
      <c r="RTB51" s="2"/>
      <c r="RTC51" s="2"/>
      <c r="RTD51" s="2"/>
      <c r="RTE51" s="2"/>
      <c r="RTF51" s="2"/>
      <c r="RTG51" s="2"/>
      <c r="RTH51" s="2"/>
      <c r="RTI51" s="2"/>
      <c r="RTJ51" s="2"/>
      <c r="RTK51" s="2"/>
      <c r="RTL51" s="2"/>
      <c r="RTM51" s="2"/>
      <c r="RTN51" s="2"/>
      <c r="RTO51" s="2"/>
      <c r="RTP51" s="2"/>
      <c r="RTQ51" s="2"/>
      <c r="RTR51" s="2"/>
      <c r="RTS51" s="2"/>
      <c r="RTT51" s="2"/>
      <c r="RTU51" s="2"/>
      <c r="RTV51" s="2"/>
      <c r="RTW51" s="2"/>
      <c r="RTX51" s="2"/>
      <c r="RTY51" s="2"/>
      <c r="RTZ51" s="2"/>
      <c r="RUA51" s="2"/>
      <c r="RUB51" s="2"/>
      <c r="RUC51" s="2"/>
      <c r="RUD51" s="2"/>
      <c r="RUE51" s="2"/>
      <c r="RUF51" s="2"/>
      <c r="RUG51" s="2"/>
      <c r="RUH51" s="2"/>
      <c r="RUI51" s="2"/>
      <c r="RUJ51" s="2"/>
      <c r="RUK51" s="2"/>
      <c r="RUL51" s="2"/>
      <c r="RUM51" s="2"/>
      <c r="RUN51" s="2"/>
      <c r="RUO51" s="2"/>
      <c r="RUP51" s="2"/>
      <c r="RUQ51" s="2"/>
      <c r="RUR51" s="2"/>
      <c r="RUS51" s="2"/>
      <c r="RUT51" s="2"/>
      <c r="RUU51" s="2"/>
      <c r="RUV51" s="2"/>
      <c r="RUW51" s="2"/>
      <c r="RUX51" s="2"/>
      <c r="RUY51" s="2"/>
      <c r="RUZ51" s="2"/>
      <c r="RVA51" s="2"/>
      <c r="RVB51" s="2"/>
      <c r="RVC51" s="2"/>
      <c r="RVD51" s="2"/>
      <c r="RVE51" s="2"/>
      <c r="RVF51" s="2"/>
      <c r="RVG51" s="2"/>
      <c r="RVH51" s="2"/>
      <c r="RVI51" s="2"/>
      <c r="RVJ51" s="2"/>
      <c r="RVK51" s="2"/>
      <c r="RVL51" s="2"/>
      <c r="RVM51" s="2"/>
      <c r="RVN51" s="2"/>
      <c r="RVO51" s="2"/>
      <c r="RVP51" s="2"/>
      <c r="RVQ51" s="2"/>
      <c r="RVR51" s="2"/>
      <c r="RVS51" s="2"/>
      <c r="RVT51" s="2"/>
      <c r="RVU51" s="2"/>
      <c r="RVV51" s="2"/>
      <c r="RVW51" s="2"/>
      <c r="RVX51" s="2"/>
      <c r="RVY51" s="2"/>
      <c r="RVZ51" s="2"/>
      <c r="RWA51" s="2"/>
      <c r="RWB51" s="2"/>
      <c r="RWC51" s="2"/>
      <c r="RWD51" s="2"/>
      <c r="RWE51" s="2"/>
      <c r="RWF51" s="2"/>
      <c r="RWG51" s="2"/>
      <c r="RWH51" s="2"/>
      <c r="RWI51" s="2"/>
      <c r="RWJ51" s="2"/>
      <c r="RWK51" s="2"/>
      <c r="RWL51" s="2"/>
      <c r="RWM51" s="2"/>
      <c r="RWN51" s="2"/>
      <c r="RWO51" s="2"/>
      <c r="RWP51" s="2"/>
      <c r="RWQ51" s="2"/>
      <c r="RWR51" s="2"/>
      <c r="RWS51" s="2"/>
      <c r="RWT51" s="2"/>
      <c r="RWU51" s="2"/>
      <c r="RWV51" s="2"/>
      <c r="RWW51" s="2"/>
      <c r="RWX51" s="2"/>
      <c r="RWY51" s="2"/>
      <c r="RWZ51" s="2"/>
      <c r="RXA51" s="2"/>
      <c r="RXB51" s="2"/>
      <c r="RXC51" s="2"/>
      <c r="RXD51" s="2"/>
      <c r="RXE51" s="2"/>
      <c r="RXF51" s="2"/>
      <c r="RXG51" s="2"/>
      <c r="RXH51" s="2"/>
      <c r="RXI51" s="2"/>
      <c r="RXJ51" s="2"/>
      <c r="RXK51" s="2"/>
      <c r="RXL51" s="2"/>
      <c r="RXM51" s="2"/>
      <c r="RXN51" s="2"/>
      <c r="RXO51" s="2"/>
      <c r="RXP51" s="2"/>
      <c r="RXQ51" s="2"/>
      <c r="RXR51" s="2"/>
      <c r="RXS51" s="2"/>
      <c r="RXT51" s="2"/>
      <c r="RXU51" s="2"/>
      <c r="RXV51" s="2"/>
      <c r="RXW51" s="2"/>
      <c r="RXX51" s="2"/>
      <c r="RXY51" s="2"/>
      <c r="RXZ51" s="2"/>
      <c r="RYA51" s="2"/>
      <c r="RYB51" s="2"/>
      <c r="RYC51" s="2"/>
      <c r="RYD51" s="2"/>
      <c r="RYE51" s="2"/>
      <c r="RYF51" s="2"/>
      <c r="RYG51" s="2"/>
      <c r="RYH51" s="2"/>
      <c r="RYI51" s="2"/>
      <c r="RYJ51" s="2"/>
      <c r="RYK51" s="2"/>
      <c r="RYL51" s="2"/>
      <c r="RYM51" s="2"/>
      <c r="RYN51" s="2"/>
      <c r="RYO51" s="2"/>
      <c r="RYP51" s="2"/>
      <c r="RYQ51" s="2"/>
      <c r="RYR51" s="2"/>
      <c r="RYS51" s="2"/>
      <c r="RYT51" s="2"/>
      <c r="RYU51" s="2"/>
      <c r="RYV51" s="2"/>
      <c r="RYW51" s="2"/>
      <c r="RYX51" s="2"/>
      <c r="RYY51" s="2"/>
      <c r="RYZ51" s="2"/>
      <c r="RZA51" s="2"/>
      <c r="RZB51" s="2"/>
      <c r="RZC51" s="2"/>
      <c r="RZD51" s="2"/>
      <c r="RZE51" s="2"/>
      <c r="RZF51" s="2"/>
      <c r="RZG51" s="2"/>
      <c r="RZH51" s="2"/>
      <c r="RZI51" s="2"/>
      <c r="RZJ51" s="2"/>
      <c r="RZK51" s="2"/>
      <c r="RZL51" s="2"/>
      <c r="RZM51" s="2"/>
      <c r="RZN51" s="2"/>
      <c r="RZO51" s="2"/>
      <c r="RZP51" s="2"/>
      <c r="RZQ51" s="2"/>
      <c r="RZR51" s="2"/>
      <c r="RZS51" s="2"/>
      <c r="RZT51" s="2"/>
      <c r="RZU51" s="2"/>
      <c r="RZV51" s="2"/>
      <c r="RZW51" s="2"/>
      <c r="RZX51" s="2"/>
      <c r="RZY51" s="2"/>
      <c r="RZZ51" s="2"/>
      <c r="SAA51" s="2"/>
      <c r="SAB51" s="2"/>
      <c r="SAC51" s="2"/>
      <c r="SAD51" s="2"/>
      <c r="SAE51" s="2"/>
      <c r="SAF51" s="2"/>
      <c r="SAG51" s="2"/>
      <c r="SAH51" s="2"/>
      <c r="SAI51" s="2"/>
      <c r="SAJ51" s="2"/>
      <c r="SAK51" s="2"/>
      <c r="SAL51" s="2"/>
      <c r="SAM51" s="2"/>
      <c r="SAN51" s="2"/>
      <c r="SAO51" s="2"/>
      <c r="SAP51" s="2"/>
      <c r="SAQ51" s="2"/>
      <c r="SAR51" s="2"/>
      <c r="SAS51" s="2"/>
      <c r="SAT51" s="2"/>
      <c r="SAU51" s="2"/>
      <c r="SAV51" s="2"/>
      <c r="SAW51" s="2"/>
      <c r="SAX51" s="2"/>
      <c r="SAY51" s="2"/>
      <c r="SAZ51" s="2"/>
      <c r="SBA51" s="2"/>
      <c r="SBB51" s="2"/>
      <c r="SBC51" s="2"/>
      <c r="SBD51" s="2"/>
      <c r="SBE51" s="2"/>
      <c r="SBF51" s="2"/>
      <c r="SBG51" s="2"/>
      <c r="SBH51" s="2"/>
      <c r="SBI51" s="2"/>
      <c r="SBJ51" s="2"/>
      <c r="SBK51" s="2"/>
      <c r="SBL51" s="2"/>
      <c r="SBM51" s="2"/>
      <c r="SBN51" s="2"/>
      <c r="SBO51" s="2"/>
      <c r="SBP51" s="2"/>
      <c r="SBQ51" s="2"/>
      <c r="SBR51" s="2"/>
      <c r="SBS51" s="2"/>
      <c r="SBT51" s="2"/>
      <c r="SBU51" s="2"/>
      <c r="SBV51" s="2"/>
      <c r="SBW51" s="2"/>
      <c r="SBX51" s="2"/>
      <c r="SBY51" s="2"/>
      <c r="SBZ51" s="2"/>
      <c r="SCA51" s="2"/>
      <c r="SCB51" s="2"/>
      <c r="SCC51" s="2"/>
      <c r="SCD51" s="2"/>
      <c r="SCE51" s="2"/>
      <c r="SCF51" s="2"/>
      <c r="SCG51" s="2"/>
      <c r="SCH51" s="2"/>
      <c r="SCI51" s="2"/>
      <c r="SCJ51" s="2"/>
      <c r="SCK51" s="2"/>
      <c r="SCL51" s="2"/>
      <c r="SCM51" s="2"/>
      <c r="SCN51" s="2"/>
      <c r="SCO51" s="2"/>
      <c r="SCP51" s="2"/>
      <c r="SCQ51" s="2"/>
      <c r="SCR51" s="2"/>
      <c r="SCS51" s="2"/>
      <c r="SCT51" s="2"/>
      <c r="SCU51" s="2"/>
      <c r="SCV51" s="2"/>
      <c r="SCW51" s="2"/>
      <c r="SCX51" s="2"/>
      <c r="SCY51" s="2"/>
      <c r="SCZ51" s="2"/>
      <c r="SDA51" s="2"/>
      <c r="SDB51" s="2"/>
      <c r="SDC51" s="2"/>
      <c r="SDD51" s="2"/>
      <c r="SDE51" s="2"/>
      <c r="SDF51" s="2"/>
      <c r="SDG51" s="2"/>
      <c r="SDH51" s="2"/>
      <c r="SDI51" s="2"/>
      <c r="SDJ51" s="2"/>
      <c r="SDK51" s="2"/>
      <c r="SDL51" s="2"/>
      <c r="SDM51" s="2"/>
      <c r="SDN51" s="2"/>
      <c r="SDO51" s="2"/>
      <c r="SDP51" s="2"/>
      <c r="SDQ51" s="2"/>
      <c r="SDR51" s="2"/>
      <c r="SDS51" s="2"/>
      <c r="SDT51" s="2"/>
      <c r="SDU51" s="2"/>
      <c r="SDV51" s="2"/>
      <c r="SDW51" s="2"/>
      <c r="SDX51" s="2"/>
      <c r="SDY51" s="2"/>
      <c r="SDZ51" s="2"/>
      <c r="SEA51" s="2"/>
      <c r="SEB51" s="2"/>
      <c r="SEC51" s="2"/>
      <c r="SED51" s="2"/>
      <c r="SEE51" s="2"/>
      <c r="SEF51" s="2"/>
      <c r="SEG51" s="2"/>
      <c r="SEH51" s="2"/>
      <c r="SEI51" s="2"/>
      <c r="SEJ51" s="2"/>
      <c r="SEK51" s="2"/>
      <c r="SEL51" s="2"/>
      <c r="SEM51" s="2"/>
      <c r="SEN51" s="2"/>
      <c r="SEO51" s="2"/>
      <c r="SEP51" s="2"/>
      <c r="SEQ51" s="2"/>
      <c r="SER51" s="2"/>
      <c r="SES51" s="2"/>
      <c r="SET51" s="2"/>
      <c r="SEU51" s="2"/>
      <c r="SEV51" s="2"/>
      <c r="SEW51" s="2"/>
      <c r="SEX51" s="2"/>
      <c r="SEY51" s="2"/>
      <c r="SEZ51" s="2"/>
      <c r="SFA51" s="2"/>
      <c r="SFB51" s="2"/>
      <c r="SFC51" s="2"/>
      <c r="SFD51" s="2"/>
      <c r="SFE51" s="2"/>
      <c r="SFF51" s="2"/>
      <c r="SFG51" s="2"/>
      <c r="SFH51" s="2"/>
      <c r="SFI51" s="2"/>
      <c r="SFJ51" s="2"/>
      <c r="SFK51" s="2"/>
      <c r="SFL51" s="2"/>
      <c r="SFM51" s="2"/>
      <c r="SFN51" s="2"/>
      <c r="SFO51" s="2"/>
      <c r="SFP51" s="2"/>
      <c r="SFQ51" s="2"/>
      <c r="SFR51" s="2"/>
      <c r="SFS51" s="2"/>
      <c r="SFT51" s="2"/>
      <c r="SFU51" s="2"/>
      <c r="SFV51" s="2"/>
      <c r="SFW51" s="2"/>
      <c r="SFX51" s="2"/>
      <c r="SFY51" s="2"/>
      <c r="SFZ51" s="2"/>
      <c r="SGA51" s="2"/>
      <c r="SGB51" s="2"/>
      <c r="SGC51" s="2"/>
      <c r="SGD51" s="2"/>
      <c r="SGE51" s="2"/>
      <c r="SGF51" s="2"/>
      <c r="SGG51" s="2"/>
      <c r="SGH51" s="2"/>
      <c r="SGI51" s="2"/>
      <c r="SGJ51" s="2"/>
      <c r="SGK51" s="2"/>
      <c r="SGL51" s="2"/>
      <c r="SGM51" s="2"/>
      <c r="SGN51" s="2"/>
      <c r="SGO51" s="2"/>
      <c r="SGP51" s="2"/>
      <c r="SGQ51" s="2"/>
      <c r="SGR51" s="2"/>
      <c r="SGS51" s="2"/>
      <c r="SGT51" s="2"/>
      <c r="SGU51" s="2"/>
      <c r="SGV51" s="2"/>
      <c r="SGW51" s="2"/>
      <c r="SGX51" s="2"/>
      <c r="SGY51" s="2"/>
      <c r="SGZ51" s="2"/>
      <c r="SHA51" s="2"/>
      <c r="SHB51" s="2"/>
      <c r="SHC51" s="2"/>
      <c r="SHD51" s="2"/>
      <c r="SHE51" s="2"/>
      <c r="SHF51" s="2"/>
      <c r="SHG51" s="2"/>
      <c r="SHH51" s="2"/>
      <c r="SHI51" s="2"/>
      <c r="SHJ51" s="2"/>
      <c r="SHK51" s="2"/>
      <c r="SHL51" s="2"/>
      <c r="SHM51" s="2"/>
      <c r="SHN51" s="2"/>
      <c r="SHO51" s="2"/>
      <c r="SHP51" s="2"/>
      <c r="SHQ51" s="2"/>
      <c r="SHR51" s="2"/>
      <c r="SHS51" s="2"/>
      <c r="SHT51" s="2"/>
      <c r="SHU51" s="2"/>
      <c r="SHV51" s="2"/>
      <c r="SHW51" s="2"/>
      <c r="SHX51" s="2"/>
      <c r="SHY51" s="2"/>
      <c r="SHZ51" s="2"/>
      <c r="SIA51" s="2"/>
      <c r="SIB51" s="2"/>
      <c r="SIC51" s="2"/>
      <c r="SID51" s="2"/>
      <c r="SIE51" s="2"/>
      <c r="SIF51" s="2"/>
      <c r="SIG51" s="2"/>
      <c r="SIH51" s="2"/>
      <c r="SII51" s="2"/>
      <c r="SIJ51" s="2"/>
      <c r="SIK51" s="2"/>
      <c r="SIL51" s="2"/>
      <c r="SIM51" s="2"/>
      <c r="SIN51" s="2"/>
      <c r="SIO51" s="2"/>
      <c r="SIP51" s="2"/>
      <c r="SIQ51" s="2"/>
      <c r="SIR51" s="2"/>
      <c r="SIS51" s="2"/>
      <c r="SIT51" s="2"/>
      <c r="SIU51" s="2"/>
      <c r="SIV51" s="2"/>
      <c r="SIW51" s="2"/>
      <c r="SIX51" s="2"/>
      <c r="SIY51" s="2"/>
      <c r="SIZ51" s="2"/>
      <c r="SJA51" s="2"/>
      <c r="SJB51" s="2"/>
      <c r="SJC51" s="2"/>
      <c r="SJD51" s="2"/>
      <c r="SJE51" s="2"/>
      <c r="SJF51" s="2"/>
      <c r="SJG51" s="2"/>
      <c r="SJH51" s="2"/>
      <c r="SJI51" s="2"/>
      <c r="SJJ51" s="2"/>
      <c r="SJK51" s="2"/>
      <c r="SJL51" s="2"/>
      <c r="SJM51" s="2"/>
      <c r="SJN51" s="2"/>
      <c r="SJO51" s="2"/>
      <c r="SJP51" s="2"/>
      <c r="SJQ51" s="2"/>
      <c r="SJR51" s="2"/>
      <c r="SJS51" s="2"/>
      <c r="SJT51" s="2"/>
      <c r="SJU51" s="2"/>
      <c r="SJV51" s="2"/>
      <c r="SJW51" s="2"/>
      <c r="SJX51" s="2"/>
      <c r="SJY51" s="2"/>
      <c r="SJZ51" s="2"/>
      <c r="SKA51" s="2"/>
      <c r="SKB51" s="2"/>
      <c r="SKC51" s="2"/>
      <c r="SKD51" s="2"/>
      <c r="SKE51" s="2"/>
      <c r="SKF51" s="2"/>
      <c r="SKG51" s="2"/>
      <c r="SKH51" s="2"/>
      <c r="SKI51" s="2"/>
      <c r="SKJ51" s="2"/>
      <c r="SKK51" s="2"/>
      <c r="SKL51" s="2"/>
      <c r="SKM51" s="2"/>
      <c r="SKN51" s="2"/>
      <c r="SKO51" s="2"/>
      <c r="SKP51" s="2"/>
      <c r="SKQ51" s="2"/>
      <c r="SKR51" s="2"/>
      <c r="SKS51" s="2"/>
      <c r="SKT51" s="2"/>
      <c r="SKU51" s="2"/>
      <c r="SKV51" s="2"/>
      <c r="SKW51" s="2"/>
      <c r="SKX51" s="2"/>
      <c r="SKY51" s="2"/>
      <c r="SKZ51" s="2"/>
      <c r="SLA51" s="2"/>
      <c r="SLB51" s="2"/>
      <c r="SLC51" s="2"/>
      <c r="SLD51" s="2"/>
      <c r="SLE51" s="2"/>
      <c r="SLF51" s="2"/>
      <c r="SLG51" s="2"/>
      <c r="SLH51" s="2"/>
      <c r="SLI51" s="2"/>
      <c r="SLJ51" s="2"/>
      <c r="SLK51" s="2"/>
      <c r="SLL51" s="2"/>
      <c r="SLM51" s="2"/>
      <c r="SLN51" s="2"/>
      <c r="SLO51" s="2"/>
      <c r="SLP51" s="2"/>
      <c r="SLQ51" s="2"/>
      <c r="SLR51" s="2"/>
      <c r="SLS51" s="2"/>
      <c r="SLT51" s="2"/>
      <c r="SLU51" s="2"/>
      <c r="SLV51" s="2"/>
      <c r="SLW51" s="2"/>
      <c r="SLX51" s="2"/>
      <c r="SLY51" s="2"/>
      <c r="SLZ51" s="2"/>
      <c r="SMA51" s="2"/>
      <c r="SMB51" s="2"/>
      <c r="SMC51" s="2"/>
      <c r="SMD51" s="2"/>
      <c r="SME51" s="2"/>
      <c r="SMF51" s="2"/>
      <c r="SMG51" s="2"/>
      <c r="SMH51" s="2"/>
      <c r="SMI51" s="2"/>
      <c r="SMJ51" s="2"/>
      <c r="SMK51" s="2"/>
      <c r="SML51" s="2"/>
      <c r="SMM51" s="2"/>
      <c r="SMN51" s="2"/>
      <c r="SMO51" s="2"/>
      <c r="SMP51" s="2"/>
      <c r="SMQ51" s="2"/>
      <c r="SMR51" s="2"/>
      <c r="SMS51" s="2"/>
      <c r="SMT51" s="2"/>
      <c r="SMU51" s="2"/>
      <c r="SMV51" s="2"/>
      <c r="SMW51" s="2"/>
      <c r="SMX51" s="2"/>
      <c r="SMY51" s="2"/>
      <c r="SMZ51" s="2"/>
      <c r="SNA51" s="2"/>
      <c r="SNB51" s="2"/>
      <c r="SNC51" s="2"/>
      <c r="SND51" s="2"/>
      <c r="SNE51" s="2"/>
      <c r="SNF51" s="2"/>
      <c r="SNG51" s="2"/>
      <c r="SNH51" s="2"/>
      <c r="SNI51" s="2"/>
      <c r="SNJ51" s="2"/>
      <c r="SNK51" s="2"/>
      <c r="SNL51" s="2"/>
      <c r="SNM51" s="2"/>
      <c r="SNN51" s="2"/>
      <c r="SNO51" s="2"/>
      <c r="SNP51" s="2"/>
      <c r="SNQ51" s="2"/>
      <c r="SNR51" s="2"/>
      <c r="SNS51" s="2"/>
      <c r="SNT51" s="2"/>
      <c r="SNU51" s="2"/>
      <c r="SNV51" s="2"/>
      <c r="SNW51" s="2"/>
      <c r="SNX51" s="2"/>
      <c r="SNY51" s="2"/>
      <c r="SNZ51" s="2"/>
      <c r="SOA51" s="2"/>
      <c r="SOB51" s="2"/>
      <c r="SOC51" s="2"/>
      <c r="SOD51" s="2"/>
      <c r="SOE51" s="2"/>
      <c r="SOF51" s="2"/>
      <c r="SOG51" s="2"/>
      <c r="SOH51" s="2"/>
      <c r="SOI51" s="2"/>
      <c r="SOJ51" s="2"/>
      <c r="SOK51" s="2"/>
      <c r="SOL51" s="2"/>
      <c r="SOM51" s="2"/>
      <c r="SON51" s="2"/>
      <c r="SOO51" s="2"/>
      <c r="SOP51" s="2"/>
      <c r="SOQ51" s="2"/>
      <c r="SOR51" s="2"/>
      <c r="SOS51" s="2"/>
      <c r="SOT51" s="2"/>
      <c r="SOU51" s="2"/>
      <c r="SOV51" s="2"/>
      <c r="SOW51" s="2"/>
      <c r="SOX51" s="2"/>
      <c r="SOY51" s="2"/>
      <c r="SOZ51" s="2"/>
      <c r="SPA51" s="2"/>
      <c r="SPB51" s="2"/>
      <c r="SPC51" s="2"/>
      <c r="SPD51" s="2"/>
      <c r="SPE51" s="2"/>
      <c r="SPF51" s="2"/>
      <c r="SPG51" s="2"/>
      <c r="SPH51" s="2"/>
      <c r="SPI51" s="2"/>
      <c r="SPJ51" s="2"/>
      <c r="SPK51" s="2"/>
      <c r="SPL51" s="2"/>
      <c r="SPM51" s="2"/>
      <c r="SPN51" s="2"/>
      <c r="SPO51" s="2"/>
      <c r="SPP51" s="2"/>
      <c r="SPQ51" s="2"/>
      <c r="SPR51" s="2"/>
      <c r="SPS51" s="2"/>
      <c r="SPT51" s="2"/>
      <c r="SPU51" s="2"/>
      <c r="SPV51" s="2"/>
      <c r="SPW51" s="2"/>
      <c r="SPX51" s="2"/>
      <c r="SPY51" s="2"/>
      <c r="SPZ51" s="2"/>
      <c r="SQA51" s="2"/>
      <c r="SQB51" s="2"/>
      <c r="SQC51" s="2"/>
      <c r="SQD51" s="2"/>
      <c r="SQE51" s="2"/>
      <c r="SQF51" s="2"/>
      <c r="SQG51" s="2"/>
      <c r="SQH51" s="2"/>
      <c r="SQI51" s="2"/>
      <c r="SQJ51" s="2"/>
      <c r="SQK51" s="2"/>
      <c r="SQL51" s="2"/>
      <c r="SQM51" s="2"/>
      <c r="SQN51" s="2"/>
      <c r="SQO51" s="2"/>
      <c r="SQP51" s="2"/>
      <c r="SQQ51" s="2"/>
      <c r="SQR51" s="2"/>
      <c r="SQS51" s="2"/>
      <c r="SQT51" s="2"/>
      <c r="SQU51" s="2"/>
      <c r="SQV51" s="2"/>
      <c r="SQW51" s="2"/>
      <c r="SQX51" s="2"/>
      <c r="SQY51" s="2"/>
      <c r="SQZ51" s="2"/>
      <c r="SRA51" s="2"/>
      <c r="SRB51" s="2"/>
      <c r="SRC51" s="2"/>
      <c r="SRD51" s="2"/>
      <c r="SRE51" s="2"/>
      <c r="SRF51" s="2"/>
      <c r="SRG51" s="2"/>
      <c r="SRH51" s="2"/>
      <c r="SRI51" s="2"/>
      <c r="SRJ51" s="2"/>
      <c r="SRK51" s="2"/>
      <c r="SRL51" s="2"/>
      <c r="SRM51" s="2"/>
      <c r="SRN51" s="2"/>
      <c r="SRO51" s="2"/>
      <c r="SRP51" s="2"/>
      <c r="SRQ51" s="2"/>
      <c r="SRR51" s="2"/>
      <c r="SRS51" s="2"/>
      <c r="SRT51" s="2"/>
      <c r="SRU51" s="2"/>
      <c r="SRV51" s="2"/>
      <c r="SRW51" s="2"/>
      <c r="SRX51" s="2"/>
      <c r="SRY51" s="2"/>
      <c r="SRZ51" s="2"/>
      <c r="SSA51" s="2"/>
      <c r="SSB51" s="2"/>
      <c r="SSC51" s="2"/>
      <c r="SSD51" s="2"/>
      <c r="SSE51" s="2"/>
      <c r="SSF51" s="2"/>
      <c r="SSG51" s="2"/>
      <c r="SSH51" s="2"/>
      <c r="SSI51" s="2"/>
      <c r="SSJ51" s="2"/>
      <c r="SSK51" s="2"/>
      <c r="SSL51" s="2"/>
      <c r="SSM51" s="2"/>
      <c r="SSN51" s="2"/>
      <c r="SSO51" s="2"/>
      <c r="SSP51" s="2"/>
      <c r="SSQ51" s="2"/>
      <c r="SSR51" s="2"/>
      <c r="SSS51" s="2"/>
      <c r="SST51" s="2"/>
      <c r="SSU51" s="2"/>
      <c r="SSV51" s="2"/>
      <c r="SSW51" s="2"/>
      <c r="SSX51" s="2"/>
      <c r="SSY51" s="2"/>
      <c r="SSZ51" s="2"/>
      <c r="STA51" s="2"/>
      <c r="STB51" s="2"/>
      <c r="STC51" s="2"/>
      <c r="STD51" s="2"/>
      <c r="STE51" s="2"/>
      <c r="STF51" s="2"/>
      <c r="STG51" s="2"/>
      <c r="STH51" s="2"/>
      <c r="STI51" s="2"/>
      <c r="STJ51" s="2"/>
      <c r="STK51" s="2"/>
      <c r="STL51" s="2"/>
      <c r="STM51" s="2"/>
      <c r="STN51" s="2"/>
      <c r="STO51" s="2"/>
      <c r="STP51" s="2"/>
      <c r="STQ51" s="2"/>
      <c r="STR51" s="2"/>
      <c r="STS51" s="2"/>
      <c r="STT51" s="2"/>
      <c r="STU51" s="2"/>
      <c r="STV51" s="2"/>
      <c r="STW51" s="2"/>
      <c r="STX51" s="2"/>
      <c r="STY51" s="2"/>
      <c r="STZ51" s="2"/>
      <c r="SUA51" s="2"/>
      <c r="SUB51" s="2"/>
      <c r="SUC51" s="2"/>
      <c r="SUD51" s="2"/>
      <c r="SUE51" s="2"/>
      <c r="SUF51" s="2"/>
      <c r="SUG51" s="2"/>
      <c r="SUH51" s="2"/>
      <c r="SUI51" s="2"/>
      <c r="SUJ51" s="2"/>
      <c r="SUK51" s="2"/>
      <c r="SUL51" s="2"/>
      <c r="SUM51" s="2"/>
      <c r="SUN51" s="2"/>
      <c r="SUO51" s="2"/>
      <c r="SUP51" s="2"/>
      <c r="SUQ51" s="2"/>
      <c r="SUR51" s="2"/>
      <c r="SUS51" s="2"/>
      <c r="SUT51" s="2"/>
      <c r="SUU51" s="2"/>
      <c r="SUV51" s="2"/>
      <c r="SUW51" s="2"/>
      <c r="SUX51" s="2"/>
      <c r="SUY51" s="2"/>
      <c r="SUZ51" s="2"/>
      <c r="SVA51" s="2"/>
      <c r="SVB51" s="2"/>
      <c r="SVC51" s="2"/>
      <c r="SVD51" s="2"/>
      <c r="SVE51" s="2"/>
      <c r="SVF51" s="2"/>
      <c r="SVG51" s="2"/>
      <c r="SVH51" s="2"/>
      <c r="SVI51" s="2"/>
      <c r="SVJ51" s="2"/>
      <c r="SVK51" s="2"/>
      <c r="SVL51" s="2"/>
      <c r="SVM51" s="2"/>
      <c r="SVN51" s="2"/>
      <c r="SVO51" s="2"/>
      <c r="SVP51" s="2"/>
      <c r="SVQ51" s="2"/>
      <c r="SVR51" s="2"/>
      <c r="SVS51" s="2"/>
      <c r="SVT51" s="2"/>
      <c r="SVU51" s="2"/>
      <c r="SVV51" s="2"/>
      <c r="SVW51" s="2"/>
      <c r="SVX51" s="2"/>
      <c r="SVY51" s="2"/>
      <c r="SVZ51" s="2"/>
      <c r="SWA51" s="2"/>
      <c r="SWB51" s="2"/>
      <c r="SWC51" s="2"/>
      <c r="SWD51" s="2"/>
      <c r="SWE51" s="2"/>
      <c r="SWF51" s="2"/>
      <c r="SWG51" s="2"/>
      <c r="SWH51" s="2"/>
      <c r="SWI51" s="2"/>
      <c r="SWJ51" s="2"/>
      <c r="SWK51" s="2"/>
      <c r="SWL51" s="2"/>
      <c r="SWM51" s="2"/>
      <c r="SWN51" s="2"/>
      <c r="SWO51" s="2"/>
      <c r="SWP51" s="2"/>
      <c r="SWQ51" s="2"/>
      <c r="SWR51" s="2"/>
      <c r="SWS51" s="2"/>
      <c r="SWT51" s="2"/>
      <c r="SWU51" s="2"/>
      <c r="SWV51" s="2"/>
      <c r="SWW51" s="2"/>
      <c r="SWX51" s="2"/>
      <c r="SWY51" s="2"/>
      <c r="SWZ51" s="2"/>
      <c r="SXA51" s="2"/>
      <c r="SXB51" s="2"/>
      <c r="SXC51" s="2"/>
      <c r="SXD51" s="2"/>
      <c r="SXE51" s="2"/>
      <c r="SXF51" s="2"/>
      <c r="SXG51" s="2"/>
      <c r="SXH51" s="2"/>
      <c r="SXI51" s="2"/>
      <c r="SXJ51" s="2"/>
      <c r="SXK51" s="2"/>
      <c r="SXL51" s="2"/>
      <c r="SXM51" s="2"/>
      <c r="SXN51" s="2"/>
      <c r="SXO51" s="2"/>
      <c r="SXP51" s="2"/>
      <c r="SXQ51" s="2"/>
      <c r="SXR51" s="2"/>
      <c r="SXS51" s="2"/>
      <c r="SXT51" s="2"/>
      <c r="SXU51" s="2"/>
      <c r="SXV51" s="2"/>
      <c r="SXW51" s="2"/>
      <c r="SXX51" s="2"/>
      <c r="SXY51" s="2"/>
      <c r="SXZ51" s="2"/>
      <c r="SYA51" s="2"/>
      <c r="SYB51" s="2"/>
      <c r="SYC51" s="2"/>
      <c r="SYD51" s="2"/>
      <c r="SYE51" s="2"/>
      <c r="SYF51" s="2"/>
      <c r="SYG51" s="2"/>
      <c r="SYH51" s="2"/>
      <c r="SYI51" s="2"/>
      <c r="SYJ51" s="2"/>
      <c r="SYK51" s="2"/>
      <c r="SYL51" s="2"/>
      <c r="SYM51" s="2"/>
      <c r="SYN51" s="2"/>
      <c r="SYO51" s="2"/>
      <c r="SYP51" s="2"/>
      <c r="SYQ51" s="2"/>
      <c r="SYR51" s="2"/>
      <c r="SYS51" s="2"/>
      <c r="SYT51" s="2"/>
      <c r="SYU51" s="2"/>
      <c r="SYV51" s="2"/>
      <c r="SYW51" s="2"/>
      <c r="SYX51" s="2"/>
      <c r="SYY51" s="2"/>
      <c r="SYZ51" s="2"/>
      <c r="SZA51" s="2"/>
      <c r="SZB51" s="2"/>
      <c r="SZC51" s="2"/>
      <c r="SZD51" s="2"/>
      <c r="SZE51" s="2"/>
      <c r="SZF51" s="2"/>
      <c r="SZG51" s="2"/>
      <c r="SZH51" s="2"/>
      <c r="SZI51" s="2"/>
      <c r="SZJ51" s="2"/>
      <c r="SZK51" s="2"/>
      <c r="SZL51" s="2"/>
      <c r="SZM51" s="2"/>
      <c r="SZN51" s="2"/>
      <c r="SZO51" s="2"/>
      <c r="SZP51" s="2"/>
      <c r="SZQ51" s="2"/>
      <c r="SZR51" s="2"/>
      <c r="SZS51" s="2"/>
      <c r="SZT51" s="2"/>
      <c r="SZU51" s="2"/>
      <c r="SZV51" s="2"/>
      <c r="SZW51" s="2"/>
      <c r="SZX51" s="2"/>
      <c r="SZY51" s="2"/>
      <c r="SZZ51" s="2"/>
      <c r="TAA51" s="2"/>
      <c r="TAB51" s="2"/>
      <c r="TAC51" s="2"/>
      <c r="TAD51" s="2"/>
      <c r="TAE51" s="2"/>
      <c r="TAF51" s="2"/>
      <c r="TAG51" s="2"/>
      <c r="TAH51" s="2"/>
      <c r="TAI51" s="2"/>
      <c r="TAJ51" s="2"/>
      <c r="TAK51" s="2"/>
      <c r="TAL51" s="2"/>
      <c r="TAM51" s="2"/>
      <c r="TAN51" s="2"/>
      <c r="TAO51" s="2"/>
      <c r="TAP51" s="2"/>
      <c r="TAQ51" s="2"/>
      <c r="TAR51" s="2"/>
      <c r="TAS51" s="2"/>
      <c r="TAT51" s="2"/>
      <c r="TAU51" s="2"/>
      <c r="TAV51" s="2"/>
      <c r="TAW51" s="2"/>
      <c r="TAX51" s="2"/>
      <c r="TAY51" s="2"/>
      <c r="TAZ51" s="2"/>
      <c r="TBA51" s="2"/>
      <c r="TBB51" s="2"/>
      <c r="TBC51" s="2"/>
      <c r="TBD51" s="2"/>
      <c r="TBE51" s="2"/>
      <c r="TBF51" s="2"/>
      <c r="TBG51" s="2"/>
      <c r="TBH51" s="2"/>
      <c r="TBI51" s="2"/>
      <c r="TBJ51" s="2"/>
      <c r="TBK51" s="2"/>
      <c r="TBL51" s="2"/>
      <c r="TBM51" s="2"/>
      <c r="TBN51" s="2"/>
      <c r="TBO51" s="2"/>
      <c r="TBP51" s="2"/>
      <c r="TBQ51" s="2"/>
      <c r="TBR51" s="2"/>
      <c r="TBS51" s="2"/>
      <c r="TBT51" s="2"/>
      <c r="TBU51" s="2"/>
      <c r="TBV51" s="2"/>
      <c r="TBW51" s="2"/>
      <c r="TBX51" s="2"/>
      <c r="TBY51" s="2"/>
      <c r="TBZ51" s="2"/>
      <c r="TCA51" s="2"/>
      <c r="TCB51" s="2"/>
      <c r="TCC51" s="2"/>
      <c r="TCD51" s="2"/>
      <c r="TCE51" s="2"/>
      <c r="TCF51" s="2"/>
      <c r="TCG51" s="2"/>
      <c r="TCH51" s="2"/>
      <c r="TCI51" s="2"/>
      <c r="TCJ51" s="2"/>
      <c r="TCK51" s="2"/>
      <c r="TCL51" s="2"/>
      <c r="TCM51" s="2"/>
      <c r="TCN51" s="2"/>
      <c r="TCO51" s="2"/>
      <c r="TCP51" s="2"/>
      <c r="TCQ51" s="2"/>
      <c r="TCR51" s="2"/>
      <c r="TCS51" s="2"/>
      <c r="TCT51" s="2"/>
      <c r="TCU51" s="2"/>
      <c r="TCV51" s="2"/>
      <c r="TCW51" s="2"/>
      <c r="TCX51" s="2"/>
      <c r="TCY51" s="2"/>
      <c r="TCZ51" s="2"/>
      <c r="TDA51" s="2"/>
      <c r="TDB51" s="2"/>
      <c r="TDC51" s="2"/>
      <c r="TDD51" s="2"/>
      <c r="TDE51" s="2"/>
      <c r="TDF51" s="2"/>
      <c r="TDG51" s="2"/>
      <c r="TDH51" s="2"/>
      <c r="TDI51" s="2"/>
      <c r="TDJ51" s="2"/>
      <c r="TDK51" s="2"/>
      <c r="TDL51" s="2"/>
      <c r="TDM51" s="2"/>
      <c r="TDN51" s="2"/>
      <c r="TDO51" s="2"/>
      <c r="TDP51" s="2"/>
      <c r="TDQ51" s="2"/>
      <c r="TDR51" s="2"/>
      <c r="TDS51" s="2"/>
      <c r="TDT51" s="2"/>
      <c r="TDU51" s="2"/>
      <c r="TDV51" s="2"/>
      <c r="TDW51" s="2"/>
      <c r="TDX51" s="2"/>
      <c r="TDY51" s="2"/>
      <c r="TDZ51" s="2"/>
      <c r="TEA51" s="2"/>
      <c r="TEB51" s="2"/>
      <c r="TEC51" s="2"/>
      <c r="TED51" s="2"/>
      <c r="TEE51" s="2"/>
      <c r="TEF51" s="2"/>
      <c r="TEG51" s="2"/>
      <c r="TEH51" s="2"/>
      <c r="TEI51" s="2"/>
      <c r="TEJ51" s="2"/>
      <c r="TEK51" s="2"/>
      <c r="TEL51" s="2"/>
      <c r="TEM51" s="2"/>
      <c r="TEN51" s="2"/>
      <c r="TEO51" s="2"/>
      <c r="TEP51" s="2"/>
      <c r="TEQ51" s="2"/>
      <c r="TER51" s="2"/>
      <c r="TES51" s="2"/>
      <c r="TET51" s="2"/>
      <c r="TEU51" s="2"/>
      <c r="TEV51" s="2"/>
      <c r="TEW51" s="2"/>
      <c r="TEX51" s="2"/>
      <c r="TEY51" s="2"/>
      <c r="TEZ51" s="2"/>
      <c r="TFA51" s="2"/>
      <c r="TFB51" s="2"/>
      <c r="TFC51" s="2"/>
      <c r="TFD51" s="2"/>
      <c r="TFE51" s="2"/>
      <c r="TFF51" s="2"/>
      <c r="TFG51" s="2"/>
      <c r="TFH51" s="2"/>
      <c r="TFI51" s="2"/>
      <c r="TFJ51" s="2"/>
      <c r="TFK51" s="2"/>
      <c r="TFL51" s="2"/>
      <c r="TFM51" s="2"/>
      <c r="TFN51" s="2"/>
      <c r="TFO51" s="2"/>
      <c r="TFP51" s="2"/>
      <c r="TFQ51" s="2"/>
      <c r="TFR51" s="2"/>
      <c r="TFS51" s="2"/>
      <c r="TFT51" s="2"/>
      <c r="TFU51" s="2"/>
      <c r="TFV51" s="2"/>
      <c r="TFW51" s="2"/>
      <c r="TFX51" s="2"/>
      <c r="TFY51" s="2"/>
      <c r="TFZ51" s="2"/>
      <c r="TGA51" s="2"/>
      <c r="TGB51" s="2"/>
      <c r="TGC51" s="2"/>
      <c r="TGD51" s="2"/>
      <c r="TGE51" s="2"/>
      <c r="TGF51" s="2"/>
      <c r="TGG51" s="2"/>
      <c r="TGH51" s="2"/>
      <c r="TGI51" s="2"/>
      <c r="TGJ51" s="2"/>
      <c r="TGK51" s="2"/>
      <c r="TGL51" s="2"/>
      <c r="TGM51" s="2"/>
      <c r="TGN51" s="2"/>
      <c r="TGO51" s="2"/>
      <c r="TGP51" s="2"/>
      <c r="TGQ51" s="2"/>
      <c r="TGR51" s="2"/>
      <c r="TGS51" s="2"/>
      <c r="TGT51" s="2"/>
      <c r="TGU51" s="2"/>
      <c r="TGV51" s="2"/>
      <c r="TGW51" s="2"/>
      <c r="TGX51" s="2"/>
      <c r="TGY51" s="2"/>
      <c r="TGZ51" s="2"/>
      <c r="THA51" s="2"/>
      <c r="THB51" s="2"/>
      <c r="THC51" s="2"/>
      <c r="THD51" s="2"/>
      <c r="THE51" s="2"/>
      <c r="THF51" s="2"/>
      <c r="THG51" s="2"/>
      <c r="THH51" s="2"/>
      <c r="THI51" s="2"/>
      <c r="THJ51" s="2"/>
      <c r="THK51" s="2"/>
      <c r="THL51" s="2"/>
      <c r="THM51" s="2"/>
      <c r="THN51" s="2"/>
      <c r="THO51" s="2"/>
      <c r="THP51" s="2"/>
      <c r="THQ51" s="2"/>
      <c r="THR51" s="2"/>
      <c r="THS51" s="2"/>
      <c r="THT51" s="2"/>
      <c r="THU51" s="2"/>
      <c r="THV51" s="2"/>
      <c r="THW51" s="2"/>
      <c r="THX51" s="2"/>
      <c r="THY51" s="2"/>
      <c r="THZ51" s="2"/>
      <c r="TIA51" s="2"/>
      <c r="TIB51" s="2"/>
      <c r="TIC51" s="2"/>
      <c r="TID51" s="2"/>
      <c r="TIE51" s="2"/>
      <c r="TIF51" s="2"/>
      <c r="TIG51" s="2"/>
      <c r="TIH51" s="2"/>
      <c r="TII51" s="2"/>
      <c r="TIJ51" s="2"/>
      <c r="TIK51" s="2"/>
      <c r="TIL51" s="2"/>
      <c r="TIM51" s="2"/>
      <c r="TIN51" s="2"/>
      <c r="TIO51" s="2"/>
      <c r="TIP51" s="2"/>
      <c r="TIQ51" s="2"/>
      <c r="TIR51" s="2"/>
      <c r="TIS51" s="2"/>
      <c r="TIT51" s="2"/>
      <c r="TIU51" s="2"/>
      <c r="TIV51" s="2"/>
      <c r="TIW51" s="2"/>
      <c r="TIX51" s="2"/>
      <c r="TIY51" s="2"/>
      <c r="TIZ51" s="2"/>
      <c r="TJA51" s="2"/>
      <c r="TJB51" s="2"/>
      <c r="TJC51" s="2"/>
      <c r="TJD51" s="2"/>
      <c r="TJE51" s="2"/>
      <c r="TJF51" s="2"/>
      <c r="TJG51" s="2"/>
      <c r="TJH51" s="2"/>
      <c r="TJI51" s="2"/>
      <c r="TJJ51" s="2"/>
      <c r="TJK51" s="2"/>
      <c r="TJL51" s="2"/>
      <c r="TJM51" s="2"/>
      <c r="TJN51" s="2"/>
      <c r="TJO51" s="2"/>
      <c r="TJP51" s="2"/>
      <c r="TJQ51" s="2"/>
      <c r="TJR51" s="2"/>
      <c r="TJS51" s="2"/>
      <c r="TJT51" s="2"/>
      <c r="TJU51" s="2"/>
      <c r="TJV51" s="2"/>
      <c r="TJW51" s="2"/>
      <c r="TJX51" s="2"/>
      <c r="TJY51" s="2"/>
      <c r="TJZ51" s="2"/>
      <c r="TKA51" s="2"/>
      <c r="TKB51" s="2"/>
      <c r="TKC51" s="2"/>
      <c r="TKD51" s="2"/>
      <c r="TKE51" s="2"/>
      <c r="TKF51" s="2"/>
      <c r="TKG51" s="2"/>
      <c r="TKH51" s="2"/>
      <c r="TKI51" s="2"/>
      <c r="TKJ51" s="2"/>
      <c r="TKK51" s="2"/>
      <c r="TKL51" s="2"/>
      <c r="TKM51" s="2"/>
      <c r="TKN51" s="2"/>
      <c r="TKO51" s="2"/>
      <c r="TKP51" s="2"/>
      <c r="TKQ51" s="2"/>
      <c r="TKR51" s="2"/>
      <c r="TKS51" s="2"/>
      <c r="TKT51" s="2"/>
      <c r="TKU51" s="2"/>
      <c r="TKV51" s="2"/>
      <c r="TKW51" s="2"/>
      <c r="TKX51" s="2"/>
      <c r="TKY51" s="2"/>
      <c r="TKZ51" s="2"/>
      <c r="TLA51" s="2"/>
      <c r="TLB51" s="2"/>
      <c r="TLC51" s="2"/>
      <c r="TLD51" s="2"/>
      <c r="TLE51" s="2"/>
      <c r="TLF51" s="2"/>
      <c r="TLG51" s="2"/>
      <c r="TLH51" s="2"/>
      <c r="TLI51" s="2"/>
      <c r="TLJ51" s="2"/>
      <c r="TLK51" s="2"/>
      <c r="TLL51" s="2"/>
      <c r="TLM51" s="2"/>
      <c r="TLN51" s="2"/>
      <c r="TLO51" s="2"/>
      <c r="TLP51" s="2"/>
      <c r="TLQ51" s="2"/>
      <c r="TLR51" s="2"/>
      <c r="TLS51" s="2"/>
      <c r="TLT51" s="2"/>
      <c r="TLU51" s="2"/>
      <c r="TLV51" s="2"/>
      <c r="TLW51" s="2"/>
      <c r="TLX51" s="2"/>
      <c r="TLY51" s="2"/>
      <c r="TLZ51" s="2"/>
      <c r="TMA51" s="2"/>
      <c r="TMB51" s="2"/>
      <c r="TMC51" s="2"/>
      <c r="TMD51" s="2"/>
      <c r="TME51" s="2"/>
      <c r="TMF51" s="2"/>
      <c r="TMG51" s="2"/>
      <c r="TMH51" s="2"/>
      <c r="TMI51" s="2"/>
      <c r="TMJ51" s="2"/>
      <c r="TMK51" s="2"/>
      <c r="TML51" s="2"/>
      <c r="TMM51" s="2"/>
      <c r="TMN51" s="2"/>
      <c r="TMO51" s="2"/>
      <c r="TMP51" s="2"/>
      <c r="TMQ51" s="2"/>
      <c r="TMR51" s="2"/>
      <c r="TMS51" s="2"/>
      <c r="TMT51" s="2"/>
      <c r="TMU51" s="2"/>
      <c r="TMV51" s="2"/>
      <c r="TMW51" s="2"/>
      <c r="TMX51" s="2"/>
      <c r="TMY51" s="2"/>
      <c r="TMZ51" s="2"/>
      <c r="TNA51" s="2"/>
      <c r="TNB51" s="2"/>
      <c r="TNC51" s="2"/>
      <c r="TND51" s="2"/>
      <c r="TNE51" s="2"/>
      <c r="TNF51" s="2"/>
      <c r="TNG51" s="2"/>
      <c r="TNH51" s="2"/>
      <c r="TNI51" s="2"/>
      <c r="TNJ51" s="2"/>
      <c r="TNK51" s="2"/>
      <c r="TNL51" s="2"/>
      <c r="TNM51" s="2"/>
      <c r="TNN51" s="2"/>
      <c r="TNO51" s="2"/>
      <c r="TNP51" s="2"/>
      <c r="TNQ51" s="2"/>
      <c r="TNR51" s="2"/>
      <c r="TNS51" s="2"/>
      <c r="TNT51" s="2"/>
      <c r="TNU51" s="2"/>
      <c r="TNV51" s="2"/>
      <c r="TNW51" s="2"/>
      <c r="TNX51" s="2"/>
      <c r="TNY51" s="2"/>
      <c r="TNZ51" s="2"/>
      <c r="TOA51" s="2"/>
      <c r="TOB51" s="2"/>
      <c r="TOC51" s="2"/>
      <c r="TOD51" s="2"/>
      <c r="TOE51" s="2"/>
      <c r="TOF51" s="2"/>
      <c r="TOG51" s="2"/>
      <c r="TOH51" s="2"/>
      <c r="TOI51" s="2"/>
      <c r="TOJ51" s="2"/>
      <c r="TOK51" s="2"/>
      <c r="TOL51" s="2"/>
      <c r="TOM51" s="2"/>
      <c r="TON51" s="2"/>
      <c r="TOO51" s="2"/>
      <c r="TOP51" s="2"/>
      <c r="TOQ51" s="2"/>
      <c r="TOR51" s="2"/>
      <c r="TOS51" s="2"/>
      <c r="TOT51" s="2"/>
      <c r="TOU51" s="2"/>
      <c r="TOV51" s="2"/>
      <c r="TOW51" s="2"/>
      <c r="TOX51" s="2"/>
      <c r="TOY51" s="2"/>
      <c r="TOZ51" s="2"/>
      <c r="TPA51" s="2"/>
      <c r="TPB51" s="2"/>
      <c r="TPC51" s="2"/>
      <c r="TPD51" s="2"/>
      <c r="TPE51" s="2"/>
      <c r="TPF51" s="2"/>
      <c r="TPG51" s="2"/>
      <c r="TPH51" s="2"/>
      <c r="TPI51" s="2"/>
      <c r="TPJ51" s="2"/>
      <c r="TPK51" s="2"/>
      <c r="TPL51" s="2"/>
      <c r="TPM51" s="2"/>
      <c r="TPN51" s="2"/>
      <c r="TPO51" s="2"/>
      <c r="TPP51" s="2"/>
      <c r="TPQ51" s="2"/>
      <c r="TPR51" s="2"/>
      <c r="TPS51" s="2"/>
      <c r="TPT51" s="2"/>
      <c r="TPU51" s="2"/>
      <c r="TPV51" s="2"/>
      <c r="TPW51" s="2"/>
      <c r="TPX51" s="2"/>
      <c r="TPY51" s="2"/>
      <c r="TPZ51" s="2"/>
      <c r="TQA51" s="2"/>
      <c r="TQB51" s="2"/>
      <c r="TQC51" s="2"/>
      <c r="TQD51" s="2"/>
      <c r="TQE51" s="2"/>
      <c r="TQF51" s="2"/>
      <c r="TQG51" s="2"/>
      <c r="TQH51" s="2"/>
      <c r="TQI51" s="2"/>
      <c r="TQJ51" s="2"/>
      <c r="TQK51" s="2"/>
      <c r="TQL51" s="2"/>
      <c r="TQM51" s="2"/>
      <c r="TQN51" s="2"/>
      <c r="TQO51" s="2"/>
      <c r="TQP51" s="2"/>
      <c r="TQQ51" s="2"/>
      <c r="TQR51" s="2"/>
      <c r="TQS51" s="2"/>
      <c r="TQT51" s="2"/>
      <c r="TQU51" s="2"/>
      <c r="TQV51" s="2"/>
      <c r="TQW51" s="2"/>
      <c r="TQX51" s="2"/>
      <c r="TQY51" s="2"/>
      <c r="TQZ51" s="2"/>
      <c r="TRA51" s="2"/>
      <c r="TRB51" s="2"/>
      <c r="TRC51" s="2"/>
      <c r="TRD51" s="2"/>
      <c r="TRE51" s="2"/>
      <c r="TRF51" s="2"/>
      <c r="TRG51" s="2"/>
      <c r="TRH51" s="2"/>
      <c r="TRI51" s="2"/>
      <c r="TRJ51" s="2"/>
      <c r="TRK51" s="2"/>
      <c r="TRL51" s="2"/>
      <c r="TRM51" s="2"/>
      <c r="TRN51" s="2"/>
      <c r="TRO51" s="2"/>
      <c r="TRP51" s="2"/>
      <c r="TRQ51" s="2"/>
      <c r="TRR51" s="2"/>
      <c r="TRS51" s="2"/>
      <c r="TRT51" s="2"/>
      <c r="TRU51" s="2"/>
      <c r="TRV51" s="2"/>
      <c r="TRW51" s="2"/>
      <c r="TRX51" s="2"/>
      <c r="TRY51" s="2"/>
      <c r="TRZ51" s="2"/>
      <c r="TSA51" s="2"/>
      <c r="TSB51" s="2"/>
      <c r="TSC51" s="2"/>
      <c r="TSD51" s="2"/>
      <c r="TSE51" s="2"/>
      <c r="TSF51" s="2"/>
      <c r="TSG51" s="2"/>
      <c r="TSH51" s="2"/>
      <c r="TSI51" s="2"/>
      <c r="TSJ51" s="2"/>
      <c r="TSK51" s="2"/>
      <c r="TSL51" s="2"/>
      <c r="TSM51" s="2"/>
      <c r="TSN51" s="2"/>
      <c r="TSO51" s="2"/>
      <c r="TSP51" s="2"/>
      <c r="TSQ51" s="2"/>
      <c r="TSR51" s="2"/>
      <c r="TSS51" s="2"/>
      <c r="TST51" s="2"/>
      <c r="TSU51" s="2"/>
      <c r="TSV51" s="2"/>
      <c r="TSW51" s="2"/>
      <c r="TSX51" s="2"/>
      <c r="TSY51" s="2"/>
      <c r="TSZ51" s="2"/>
      <c r="TTA51" s="2"/>
      <c r="TTB51" s="2"/>
      <c r="TTC51" s="2"/>
      <c r="TTD51" s="2"/>
      <c r="TTE51" s="2"/>
      <c r="TTF51" s="2"/>
      <c r="TTG51" s="2"/>
      <c r="TTH51" s="2"/>
      <c r="TTI51" s="2"/>
      <c r="TTJ51" s="2"/>
      <c r="TTK51" s="2"/>
      <c r="TTL51" s="2"/>
      <c r="TTM51" s="2"/>
      <c r="TTN51" s="2"/>
      <c r="TTO51" s="2"/>
      <c r="TTP51" s="2"/>
      <c r="TTQ51" s="2"/>
      <c r="TTR51" s="2"/>
      <c r="TTS51" s="2"/>
      <c r="TTT51" s="2"/>
      <c r="TTU51" s="2"/>
      <c r="TTV51" s="2"/>
      <c r="TTW51" s="2"/>
      <c r="TTX51" s="2"/>
      <c r="TTY51" s="2"/>
      <c r="TTZ51" s="2"/>
      <c r="TUA51" s="2"/>
      <c r="TUB51" s="2"/>
      <c r="TUC51" s="2"/>
      <c r="TUD51" s="2"/>
      <c r="TUE51" s="2"/>
      <c r="TUF51" s="2"/>
      <c r="TUG51" s="2"/>
      <c r="TUH51" s="2"/>
      <c r="TUI51" s="2"/>
      <c r="TUJ51" s="2"/>
      <c r="TUK51" s="2"/>
      <c r="TUL51" s="2"/>
      <c r="TUM51" s="2"/>
      <c r="TUN51" s="2"/>
      <c r="TUO51" s="2"/>
      <c r="TUP51" s="2"/>
      <c r="TUQ51" s="2"/>
      <c r="TUR51" s="2"/>
      <c r="TUS51" s="2"/>
      <c r="TUT51" s="2"/>
      <c r="TUU51" s="2"/>
      <c r="TUV51" s="2"/>
      <c r="TUW51" s="2"/>
      <c r="TUX51" s="2"/>
      <c r="TUY51" s="2"/>
      <c r="TUZ51" s="2"/>
      <c r="TVA51" s="2"/>
      <c r="TVB51" s="2"/>
      <c r="TVC51" s="2"/>
      <c r="TVD51" s="2"/>
      <c r="TVE51" s="2"/>
      <c r="TVF51" s="2"/>
      <c r="TVG51" s="2"/>
      <c r="TVH51" s="2"/>
      <c r="TVI51" s="2"/>
      <c r="TVJ51" s="2"/>
      <c r="TVK51" s="2"/>
      <c r="TVL51" s="2"/>
      <c r="TVM51" s="2"/>
      <c r="TVN51" s="2"/>
      <c r="TVO51" s="2"/>
      <c r="TVP51" s="2"/>
      <c r="TVQ51" s="2"/>
      <c r="TVR51" s="2"/>
      <c r="TVS51" s="2"/>
      <c r="TVT51" s="2"/>
      <c r="TVU51" s="2"/>
      <c r="TVV51" s="2"/>
      <c r="TVW51" s="2"/>
      <c r="TVX51" s="2"/>
      <c r="TVY51" s="2"/>
      <c r="TVZ51" s="2"/>
      <c r="TWA51" s="2"/>
      <c r="TWB51" s="2"/>
      <c r="TWC51" s="2"/>
      <c r="TWD51" s="2"/>
      <c r="TWE51" s="2"/>
      <c r="TWF51" s="2"/>
      <c r="TWG51" s="2"/>
      <c r="TWH51" s="2"/>
      <c r="TWI51" s="2"/>
      <c r="TWJ51" s="2"/>
      <c r="TWK51" s="2"/>
      <c r="TWL51" s="2"/>
      <c r="TWM51" s="2"/>
      <c r="TWN51" s="2"/>
      <c r="TWO51" s="2"/>
      <c r="TWP51" s="2"/>
      <c r="TWQ51" s="2"/>
      <c r="TWR51" s="2"/>
      <c r="TWS51" s="2"/>
      <c r="TWT51" s="2"/>
      <c r="TWU51" s="2"/>
      <c r="TWV51" s="2"/>
      <c r="TWW51" s="2"/>
      <c r="TWX51" s="2"/>
      <c r="TWY51" s="2"/>
      <c r="TWZ51" s="2"/>
      <c r="TXA51" s="2"/>
      <c r="TXB51" s="2"/>
      <c r="TXC51" s="2"/>
      <c r="TXD51" s="2"/>
      <c r="TXE51" s="2"/>
      <c r="TXF51" s="2"/>
      <c r="TXG51" s="2"/>
      <c r="TXH51" s="2"/>
      <c r="TXI51" s="2"/>
      <c r="TXJ51" s="2"/>
      <c r="TXK51" s="2"/>
      <c r="TXL51" s="2"/>
      <c r="TXM51" s="2"/>
      <c r="TXN51" s="2"/>
      <c r="TXO51" s="2"/>
      <c r="TXP51" s="2"/>
      <c r="TXQ51" s="2"/>
      <c r="TXR51" s="2"/>
      <c r="TXS51" s="2"/>
      <c r="TXT51" s="2"/>
      <c r="TXU51" s="2"/>
      <c r="TXV51" s="2"/>
      <c r="TXW51" s="2"/>
      <c r="TXX51" s="2"/>
      <c r="TXY51" s="2"/>
      <c r="TXZ51" s="2"/>
      <c r="TYA51" s="2"/>
      <c r="TYB51" s="2"/>
      <c r="TYC51" s="2"/>
      <c r="TYD51" s="2"/>
      <c r="TYE51" s="2"/>
      <c r="TYF51" s="2"/>
      <c r="TYG51" s="2"/>
      <c r="TYH51" s="2"/>
      <c r="TYI51" s="2"/>
      <c r="TYJ51" s="2"/>
      <c r="TYK51" s="2"/>
      <c r="TYL51" s="2"/>
      <c r="TYM51" s="2"/>
      <c r="TYN51" s="2"/>
      <c r="TYO51" s="2"/>
      <c r="TYP51" s="2"/>
      <c r="TYQ51" s="2"/>
      <c r="TYR51" s="2"/>
      <c r="TYS51" s="2"/>
      <c r="TYT51" s="2"/>
      <c r="TYU51" s="2"/>
      <c r="TYV51" s="2"/>
      <c r="TYW51" s="2"/>
      <c r="TYX51" s="2"/>
      <c r="TYY51" s="2"/>
      <c r="TYZ51" s="2"/>
      <c r="TZA51" s="2"/>
      <c r="TZB51" s="2"/>
      <c r="TZC51" s="2"/>
      <c r="TZD51" s="2"/>
      <c r="TZE51" s="2"/>
      <c r="TZF51" s="2"/>
      <c r="TZG51" s="2"/>
      <c r="TZH51" s="2"/>
      <c r="TZI51" s="2"/>
      <c r="TZJ51" s="2"/>
      <c r="TZK51" s="2"/>
      <c r="TZL51" s="2"/>
      <c r="TZM51" s="2"/>
      <c r="TZN51" s="2"/>
      <c r="TZO51" s="2"/>
      <c r="TZP51" s="2"/>
      <c r="TZQ51" s="2"/>
      <c r="TZR51" s="2"/>
      <c r="TZS51" s="2"/>
      <c r="TZT51" s="2"/>
      <c r="TZU51" s="2"/>
      <c r="TZV51" s="2"/>
      <c r="TZW51" s="2"/>
      <c r="TZX51" s="2"/>
      <c r="TZY51" s="2"/>
      <c r="TZZ51" s="2"/>
      <c r="UAA51" s="2"/>
      <c r="UAB51" s="2"/>
      <c r="UAC51" s="2"/>
      <c r="UAD51" s="2"/>
      <c r="UAE51" s="2"/>
      <c r="UAF51" s="2"/>
      <c r="UAG51" s="2"/>
      <c r="UAH51" s="2"/>
      <c r="UAI51" s="2"/>
      <c r="UAJ51" s="2"/>
      <c r="UAK51" s="2"/>
      <c r="UAL51" s="2"/>
      <c r="UAM51" s="2"/>
      <c r="UAN51" s="2"/>
      <c r="UAO51" s="2"/>
      <c r="UAP51" s="2"/>
      <c r="UAQ51" s="2"/>
      <c r="UAR51" s="2"/>
      <c r="UAS51" s="2"/>
      <c r="UAT51" s="2"/>
      <c r="UAU51" s="2"/>
      <c r="UAV51" s="2"/>
      <c r="UAW51" s="2"/>
      <c r="UAX51" s="2"/>
      <c r="UAY51" s="2"/>
      <c r="UAZ51" s="2"/>
      <c r="UBA51" s="2"/>
      <c r="UBB51" s="2"/>
      <c r="UBC51" s="2"/>
      <c r="UBD51" s="2"/>
      <c r="UBE51" s="2"/>
      <c r="UBF51" s="2"/>
      <c r="UBG51" s="2"/>
      <c r="UBH51" s="2"/>
      <c r="UBI51" s="2"/>
      <c r="UBJ51" s="2"/>
      <c r="UBK51" s="2"/>
      <c r="UBL51" s="2"/>
      <c r="UBM51" s="2"/>
      <c r="UBN51" s="2"/>
      <c r="UBO51" s="2"/>
      <c r="UBP51" s="2"/>
      <c r="UBQ51" s="2"/>
      <c r="UBR51" s="2"/>
      <c r="UBS51" s="2"/>
      <c r="UBT51" s="2"/>
      <c r="UBU51" s="2"/>
      <c r="UBV51" s="2"/>
      <c r="UBW51" s="2"/>
      <c r="UBX51" s="2"/>
      <c r="UBY51" s="2"/>
      <c r="UBZ51" s="2"/>
      <c r="UCA51" s="2"/>
      <c r="UCB51" s="2"/>
      <c r="UCC51" s="2"/>
      <c r="UCD51" s="2"/>
      <c r="UCE51" s="2"/>
      <c r="UCF51" s="2"/>
      <c r="UCG51" s="2"/>
      <c r="UCH51" s="2"/>
      <c r="UCI51" s="2"/>
      <c r="UCJ51" s="2"/>
      <c r="UCK51" s="2"/>
      <c r="UCL51" s="2"/>
      <c r="UCM51" s="2"/>
      <c r="UCN51" s="2"/>
      <c r="UCO51" s="2"/>
      <c r="UCP51" s="2"/>
      <c r="UCQ51" s="2"/>
      <c r="UCR51" s="2"/>
      <c r="UCS51" s="2"/>
      <c r="UCT51" s="2"/>
      <c r="UCU51" s="2"/>
      <c r="UCV51" s="2"/>
      <c r="UCW51" s="2"/>
      <c r="UCX51" s="2"/>
      <c r="UCY51" s="2"/>
      <c r="UCZ51" s="2"/>
      <c r="UDA51" s="2"/>
      <c r="UDB51" s="2"/>
      <c r="UDC51" s="2"/>
      <c r="UDD51" s="2"/>
      <c r="UDE51" s="2"/>
      <c r="UDF51" s="2"/>
      <c r="UDG51" s="2"/>
      <c r="UDH51" s="2"/>
      <c r="UDI51" s="2"/>
      <c r="UDJ51" s="2"/>
      <c r="UDK51" s="2"/>
      <c r="UDL51" s="2"/>
      <c r="UDM51" s="2"/>
      <c r="UDN51" s="2"/>
      <c r="UDO51" s="2"/>
      <c r="UDP51" s="2"/>
      <c r="UDQ51" s="2"/>
      <c r="UDR51" s="2"/>
      <c r="UDS51" s="2"/>
      <c r="UDT51" s="2"/>
      <c r="UDU51" s="2"/>
      <c r="UDV51" s="2"/>
      <c r="UDW51" s="2"/>
      <c r="UDX51" s="2"/>
      <c r="UDY51" s="2"/>
      <c r="UDZ51" s="2"/>
      <c r="UEA51" s="2"/>
      <c r="UEB51" s="2"/>
      <c r="UEC51" s="2"/>
      <c r="UED51" s="2"/>
      <c r="UEE51" s="2"/>
      <c r="UEF51" s="2"/>
      <c r="UEG51" s="2"/>
      <c r="UEH51" s="2"/>
      <c r="UEI51" s="2"/>
      <c r="UEJ51" s="2"/>
      <c r="UEK51" s="2"/>
      <c r="UEL51" s="2"/>
      <c r="UEM51" s="2"/>
      <c r="UEN51" s="2"/>
      <c r="UEO51" s="2"/>
      <c r="UEP51" s="2"/>
      <c r="UEQ51" s="2"/>
      <c r="UER51" s="2"/>
      <c r="UES51" s="2"/>
      <c r="UET51" s="2"/>
      <c r="UEU51" s="2"/>
      <c r="UEV51" s="2"/>
      <c r="UEW51" s="2"/>
      <c r="UEX51" s="2"/>
      <c r="UEY51" s="2"/>
      <c r="UEZ51" s="2"/>
      <c r="UFA51" s="2"/>
      <c r="UFB51" s="2"/>
      <c r="UFC51" s="2"/>
      <c r="UFD51" s="2"/>
      <c r="UFE51" s="2"/>
      <c r="UFF51" s="2"/>
      <c r="UFG51" s="2"/>
      <c r="UFH51" s="2"/>
      <c r="UFI51" s="2"/>
      <c r="UFJ51" s="2"/>
      <c r="UFK51" s="2"/>
      <c r="UFL51" s="2"/>
      <c r="UFM51" s="2"/>
      <c r="UFN51" s="2"/>
      <c r="UFO51" s="2"/>
      <c r="UFP51" s="2"/>
      <c r="UFQ51" s="2"/>
      <c r="UFR51" s="2"/>
      <c r="UFS51" s="2"/>
      <c r="UFT51" s="2"/>
      <c r="UFU51" s="2"/>
      <c r="UFV51" s="2"/>
      <c r="UFW51" s="2"/>
      <c r="UFX51" s="2"/>
      <c r="UFY51" s="2"/>
      <c r="UFZ51" s="2"/>
      <c r="UGA51" s="2"/>
      <c r="UGB51" s="2"/>
      <c r="UGC51" s="2"/>
      <c r="UGD51" s="2"/>
      <c r="UGE51" s="2"/>
      <c r="UGF51" s="2"/>
      <c r="UGG51" s="2"/>
      <c r="UGH51" s="2"/>
      <c r="UGI51" s="2"/>
      <c r="UGJ51" s="2"/>
      <c r="UGK51" s="2"/>
      <c r="UGL51" s="2"/>
      <c r="UGM51" s="2"/>
      <c r="UGN51" s="2"/>
      <c r="UGO51" s="2"/>
      <c r="UGP51" s="2"/>
      <c r="UGQ51" s="2"/>
      <c r="UGR51" s="2"/>
      <c r="UGS51" s="2"/>
      <c r="UGT51" s="2"/>
      <c r="UGU51" s="2"/>
      <c r="UGV51" s="2"/>
      <c r="UGW51" s="2"/>
      <c r="UGX51" s="2"/>
      <c r="UGY51" s="2"/>
      <c r="UGZ51" s="2"/>
      <c r="UHA51" s="2"/>
      <c r="UHB51" s="2"/>
      <c r="UHC51" s="2"/>
      <c r="UHD51" s="2"/>
      <c r="UHE51" s="2"/>
      <c r="UHF51" s="2"/>
      <c r="UHG51" s="2"/>
      <c r="UHH51" s="2"/>
      <c r="UHI51" s="2"/>
      <c r="UHJ51" s="2"/>
      <c r="UHK51" s="2"/>
      <c r="UHL51" s="2"/>
      <c r="UHM51" s="2"/>
      <c r="UHN51" s="2"/>
      <c r="UHO51" s="2"/>
      <c r="UHP51" s="2"/>
      <c r="UHQ51" s="2"/>
      <c r="UHR51" s="2"/>
      <c r="UHS51" s="2"/>
      <c r="UHT51" s="2"/>
      <c r="UHU51" s="2"/>
      <c r="UHV51" s="2"/>
      <c r="UHW51" s="2"/>
      <c r="UHX51" s="2"/>
      <c r="UHY51" s="2"/>
      <c r="UHZ51" s="2"/>
      <c r="UIA51" s="2"/>
      <c r="UIB51" s="2"/>
      <c r="UIC51" s="2"/>
      <c r="UID51" s="2"/>
      <c r="UIE51" s="2"/>
      <c r="UIF51" s="2"/>
      <c r="UIG51" s="2"/>
      <c r="UIH51" s="2"/>
      <c r="UII51" s="2"/>
      <c r="UIJ51" s="2"/>
      <c r="UIK51" s="2"/>
      <c r="UIL51" s="2"/>
      <c r="UIM51" s="2"/>
      <c r="UIN51" s="2"/>
      <c r="UIO51" s="2"/>
      <c r="UIP51" s="2"/>
      <c r="UIQ51" s="2"/>
      <c r="UIR51" s="2"/>
      <c r="UIS51" s="2"/>
      <c r="UIT51" s="2"/>
      <c r="UIU51" s="2"/>
      <c r="UIV51" s="2"/>
      <c r="UIW51" s="2"/>
      <c r="UIX51" s="2"/>
      <c r="UIY51" s="2"/>
      <c r="UIZ51" s="2"/>
      <c r="UJA51" s="2"/>
      <c r="UJB51" s="2"/>
      <c r="UJC51" s="2"/>
      <c r="UJD51" s="2"/>
      <c r="UJE51" s="2"/>
      <c r="UJF51" s="2"/>
      <c r="UJG51" s="2"/>
      <c r="UJH51" s="2"/>
      <c r="UJI51" s="2"/>
      <c r="UJJ51" s="2"/>
      <c r="UJK51" s="2"/>
      <c r="UJL51" s="2"/>
      <c r="UJM51" s="2"/>
      <c r="UJN51" s="2"/>
      <c r="UJO51" s="2"/>
      <c r="UJP51" s="2"/>
      <c r="UJQ51" s="2"/>
      <c r="UJR51" s="2"/>
      <c r="UJS51" s="2"/>
      <c r="UJT51" s="2"/>
      <c r="UJU51" s="2"/>
      <c r="UJV51" s="2"/>
      <c r="UJW51" s="2"/>
      <c r="UJX51" s="2"/>
      <c r="UJY51" s="2"/>
      <c r="UJZ51" s="2"/>
      <c r="UKA51" s="2"/>
      <c r="UKB51" s="2"/>
      <c r="UKC51" s="2"/>
      <c r="UKD51" s="2"/>
      <c r="UKE51" s="2"/>
      <c r="UKF51" s="2"/>
      <c r="UKG51" s="2"/>
      <c r="UKH51" s="2"/>
      <c r="UKI51" s="2"/>
      <c r="UKJ51" s="2"/>
      <c r="UKK51" s="2"/>
      <c r="UKL51" s="2"/>
      <c r="UKM51" s="2"/>
      <c r="UKN51" s="2"/>
      <c r="UKO51" s="2"/>
      <c r="UKP51" s="2"/>
      <c r="UKQ51" s="2"/>
      <c r="UKR51" s="2"/>
      <c r="UKS51" s="2"/>
      <c r="UKT51" s="2"/>
      <c r="UKU51" s="2"/>
      <c r="UKV51" s="2"/>
      <c r="UKW51" s="2"/>
      <c r="UKX51" s="2"/>
      <c r="UKY51" s="2"/>
      <c r="UKZ51" s="2"/>
      <c r="ULA51" s="2"/>
      <c r="ULB51" s="2"/>
      <c r="ULC51" s="2"/>
      <c r="ULD51" s="2"/>
      <c r="ULE51" s="2"/>
      <c r="ULF51" s="2"/>
      <c r="ULG51" s="2"/>
      <c r="ULH51" s="2"/>
      <c r="ULI51" s="2"/>
      <c r="ULJ51" s="2"/>
      <c r="ULK51" s="2"/>
      <c r="ULL51" s="2"/>
      <c r="ULM51" s="2"/>
      <c r="ULN51" s="2"/>
      <c r="ULO51" s="2"/>
      <c r="ULP51" s="2"/>
      <c r="ULQ51" s="2"/>
      <c r="ULR51" s="2"/>
      <c r="ULS51" s="2"/>
      <c r="ULT51" s="2"/>
      <c r="ULU51" s="2"/>
      <c r="ULV51" s="2"/>
      <c r="ULW51" s="2"/>
      <c r="ULX51" s="2"/>
      <c r="ULY51" s="2"/>
      <c r="ULZ51" s="2"/>
      <c r="UMA51" s="2"/>
      <c r="UMB51" s="2"/>
      <c r="UMC51" s="2"/>
      <c r="UMD51" s="2"/>
      <c r="UME51" s="2"/>
      <c r="UMF51" s="2"/>
      <c r="UMG51" s="2"/>
      <c r="UMH51" s="2"/>
      <c r="UMI51" s="2"/>
      <c r="UMJ51" s="2"/>
      <c r="UMK51" s="2"/>
      <c r="UML51" s="2"/>
      <c r="UMM51" s="2"/>
      <c r="UMN51" s="2"/>
      <c r="UMO51" s="2"/>
      <c r="UMP51" s="2"/>
      <c r="UMQ51" s="2"/>
      <c r="UMR51" s="2"/>
      <c r="UMS51" s="2"/>
      <c r="UMT51" s="2"/>
      <c r="UMU51" s="2"/>
      <c r="UMV51" s="2"/>
      <c r="UMW51" s="2"/>
      <c r="UMX51" s="2"/>
      <c r="UMY51" s="2"/>
      <c r="UMZ51" s="2"/>
      <c r="UNA51" s="2"/>
      <c r="UNB51" s="2"/>
      <c r="UNC51" s="2"/>
      <c r="UND51" s="2"/>
      <c r="UNE51" s="2"/>
      <c r="UNF51" s="2"/>
      <c r="UNG51" s="2"/>
      <c r="UNH51" s="2"/>
      <c r="UNI51" s="2"/>
      <c r="UNJ51" s="2"/>
      <c r="UNK51" s="2"/>
      <c r="UNL51" s="2"/>
      <c r="UNM51" s="2"/>
      <c r="UNN51" s="2"/>
      <c r="UNO51" s="2"/>
      <c r="UNP51" s="2"/>
      <c r="UNQ51" s="2"/>
      <c r="UNR51" s="2"/>
      <c r="UNS51" s="2"/>
      <c r="UNT51" s="2"/>
      <c r="UNU51" s="2"/>
      <c r="UNV51" s="2"/>
      <c r="UNW51" s="2"/>
      <c r="UNX51" s="2"/>
      <c r="UNY51" s="2"/>
      <c r="UNZ51" s="2"/>
      <c r="UOA51" s="2"/>
      <c r="UOB51" s="2"/>
      <c r="UOC51" s="2"/>
      <c r="UOD51" s="2"/>
      <c r="UOE51" s="2"/>
      <c r="UOF51" s="2"/>
      <c r="UOG51" s="2"/>
      <c r="UOH51" s="2"/>
      <c r="UOI51" s="2"/>
      <c r="UOJ51" s="2"/>
      <c r="UOK51" s="2"/>
      <c r="UOL51" s="2"/>
      <c r="UOM51" s="2"/>
      <c r="UON51" s="2"/>
      <c r="UOO51" s="2"/>
      <c r="UOP51" s="2"/>
      <c r="UOQ51" s="2"/>
      <c r="UOR51" s="2"/>
      <c r="UOS51" s="2"/>
      <c r="UOT51" s="2"/>
      <c r="UOU51" s="2"/>
      <c r="UOV51" s="2"/>
      <c r="UOW51" s="2"/>
      <c r="UOX51" s="2"/>
      <c r="UOY51" s="2"/>
      <c r="UOZ51" s="2"/>
      <c r="UPA51" s="2"/>
      <c r="UPB51" s="2"/>
      <c r="UPC51" s="2"/>
      <c r="UPD51" s="2"/>
      <c r="UPE51" s="2"/>
      <c r="UPF51" s="2"/>
      <c r="UPG51" s="2"/>
      <c r="UPH51" s="2"/>
      <c r="UPI51" s="2"/>
      <c r="UPJ51" s="2"/>
      <c r="UPK51" s="2"/>
      <c r="UPL51" s="2"/>
      <c r="UPM51" s="2"/>
      <c r="UPN51" s="2"/>
      <c r="UPO51" s="2"/>
      <c r="UPP51" s="2"/>
      <c r="UPQ51" s="2"/>
      <c r="UPR51" s="2"/>
      <c r="UPS51" s="2"/>
      <c r="UPT51" s="2"/>
      <c r="UPU51" s="2"/>
      <c r="UPV51" s="2"/>
      <c r="UPW51" s="2"/>
      <c r="UPX51" s="2"/>
      <c r="UPY51" s="2"/>
      <c r="UPZ51" s="2"/>
      <c r="UQA51" s="2"/>
      <c r="UQB51" s="2"/>
      <c r="UQC51" s="2"/>
      <c r="UQD51" s="2"/>
      <c r="UQE51" s="2"/>
      <c r="UQF51" s="2"/>
      <c r="UQG51" s="2"/>
      <c r="UQH51" s="2"/>
      <c r="UQI51" s="2"/>
      <c r="UQJ51" s="2"/>
      <c r="UQK51" s="2"/>
      <c r="UQL51" s="2"/>
      <c r="UQM51" s="2"/>
      <c r="UQN51" s="2"/>
      <c r="UQO51" s="2"/>
      <c r="UQP51" s="2"/>
      <c r="UQQ51" s="2"/>
      <c r="UQR51" s="2"/>
      <c r="UQS51" s="2"/>
      <c r="UQT51" s="2"/>
      <c r="UQU51" s="2"/>
      <c r="UQV51" s="2"/>
      <c r="UQW51" s="2"/>
      <c r="UQX51" s="2"/>
      <c r="UQY51" s="2"/>
      <c r="UQZ51" s="2"/>
      <c r="URA51" s="2"/>
      <c r="URB51" s="2"/>
      <c r="URC51" s="2"/>
      <c r="URD51" s="2"/>
      <c r="URE51" s="2"/>
      <c r="URF51" s="2"/>
      <c r="URG51" s="2"/>
      <c r="URH51" s="2"/>
      <c r="URI51" s="2"/>
      <c r="URJ51" s="2"/>
      <c r="URK51" s="2"/>
      <c r="URL51" s="2"/>
      <c r="URM51" s="2"/>
      <c r="URN51" s="2"/>
      <c r="URO51" s="2"/>
      <c r="URP51" s="2"/>
      <c r="URQ51" s="2"/>
      <c r="URR51" s="2"/>
      <c r="URS51" s="2"/>
      <c r="URT51" s="2"/>
      <c r="URU51" s="2"/>
      <c r="URV51" s="2"/>
      <c r="URW51" s="2"/>
      <c r="URX51" s="2"/>
      <c r="URY51" s="2"/>
      <c r="URZ51" s="2"/>
      <c r="USA51" s="2"/>
      <c r="USB51" s="2"/>
      <c r="USC51" s="2"/>
      <c r="USD51" s="2"/>
      <c r="USE51" s="2"/>
      <c r="USF51" s="2"/>
      <c r="USG51" s="2"/>
      <c r="USH51" s="2"/>
      <c r="USI51" s="2"/>
      <c r="USJ51" s="2"/>
      <c r="USK51" s="2"/>
      <c r="USL51" s="2"/>
      <c r="USM51" s="2"/>
      <c r="USN51" s="2"/>
      <c r="USO51" s="2"/>
      <c r="USP51" s="2"/>
      <c r="USQ51" s="2"/>
      <c r="USR51" s="2"/>
      <c r="USS51" s="2"/>
      <c r="UST51" s="2"/>
      <c r="USU51" s="2"/>
      <c r="USV51" s="2"/>
      <c r="USW51" s="2"/>
      <c r="USX51" s="2"/>
      <c r="USY51" s="2"/>
      <c r="USZ51" s="2"/>
      <c r="UTA51" s="2"/>
      <c r="UTB51" s="2"/>
      <c r="UTC51" s="2"/>
      <c r="UTD51" s="2"/>
      <c r="UTE51" s="2"/>
      <c r="UTF51" s="2"/>
      <c r="UTG51" s="2"/>
      <c r="UTH51" s="2"/>
      <c r="UTI51" s="2"/>
      <c r="UTJ51" s="2"/>
      <c r="UTK51" s="2"/>
      <c r="UTL51" s="2"/>
      <c r="UTM51" s="2"/>
      <c r="UTN51" s="2"/>
      <c r="UTO51" s="2"/>
      <c r="UTP51" s="2"/>
      <c r="UTQ51" s="2"/>
      <c r="UTR51" s="2"/>
      <c r="UTS51" s="2"/>
      <c r="UTT51" s="2"/>
      <c r="UTU51" s="2"/>
      <c r="UTV51" s="2"/>
      <c r="UTW51" s="2"/>
      <c r="UTX51" s="2"/>
      <c r="UTY51" s="2"/>
      <c r="UTZ51" s="2"/>
      <c r="UUA51" s="2"/>
      <c r="UUB51" s="2"/>
      <c r="UUC51" s="2"/>
      <c r="UUD51" s="2"/>
      <c r="UUE51" s="2"/>
      <c r="UUF51" s="2"/>
      <c r="UUG51" s="2"/>
      <c r="UUH51" s="2"/>
      <c r="UUI51" s="2"/>
      <c r="UUJ51" s="2"/>
      <c r="UUK51" s="2"/>
      <c r="UUL51" s="2"/>
      <c r="UUM51" s="2"/>
      <c r="UUN51" s="2"/>
      <c r="UUO51" s="2"/>
      <c r="UUP51" s="2"/>
      <c r="UUQ51" s="2"/>
      <c r="UUR51" s="2"/>
      <c r="UUS51" s="2"/>
      <c r="UUT51" s="2"/>
      <c r="UUU51" s="2"/>
      <c r="UUV51" s="2"/>
      <c r="UUW51" s="2"/>
      <c r="UUX51" s="2"/>
      <c r="UUY51" s="2"/>
      <c r="UUZ51" s="2"/>
      <c r="UVA51" s="2"/>
      <c r="UVB51" s="2"/>
      <c r="UVC51" s="2"/>
      <c r="UVD51" s="2"/>
      <c r="UVE51" s="2"/>
      <c r="UVF51" s="2"/>
      <c r="UVG51" s="2"/>
      <c r="UVH51" s="2"/>
      <c r="UVI51" s="2"/>
      <c r="UVJ51" s="2"/>
      <c r="UVK51" s="2"/>
      <c r="UVL51" s="2"/>
      <c r="UVM51" s="2"/>
      <c r="UVN51" s="2"/>
      <c r="UVO51" s="2"/>
      <c r="UVP51" s="2"/>
      <c r="UVQ51" s="2"/>
      <c r="UVR51" s="2"/>
      <c r="UVS51" s="2"/>
      <c r="UVT51" s="2"/>
      <c r="UVU51" s="2"/>
      <c r="UVV51" s="2"/>
      <c r="UVW51" s="2"/>
      <c r="UVX51" s="2"/>
      <c r="UVY51" s="2"/>
      <c r="UVZ51" s="2"/>
      <c r="UWA51" s="2"/>
      <c r="UWB51" s="2"/>
      <c r="UWC51" s="2"/>
      <c r="UWD51" s="2"/>
      <c r="UWE51" s="2"/>
      <c r="UWF51" s="2"/>
      <c r="UWG51" s="2"/>
      <c r="UWH51" s="2"/>
      <c r="UWI51" s="2"/>
      <c r="UWJ51" s="2"/>
      <c r="UWK51" s="2"/>
      <c r="UWL51" s="2"/>
      <c r="UWM51" s="2"/>
      <c r="UWN51" s="2"/>
      <c r="UWO51" s="2"/>
      <c r="UWP51" s="2"/>
      <c r="UWQ51" s="2"/>
      <c r="UWR51" s="2"/>
      <c r="UWS51" s="2"/>
      <c r="UWT51" s="2"/>
      <c r="UWU51" s="2"/>
      <c r="UWV51" s="2"/>
      <c r="UWW51" s="2"/>
      <c r="UWX51" s="2"/>
      <c r="UWY51" s="2"/>
      <c r="UWZ51" s="2"/>
      <c r="UXA51" s="2"/>
      <c r="UXB51" s="2"/>
      <c r="UXC51" s="2"/>
      <c r="UXD51" s="2"/>
      <c r="UXE51" s="2"/>
      <c r="UXF51" s="2"/>
      <c r="UXG51" s="2"/>
      <c r="UXH51" s="2"/>
      <c r="UXI51" s="2"/>
      <c r="UXJ51" s="2"/>
      <c r="UXK51" s="2"/>
      <c r="UXL51" s="2"/>
      <c r="UXM51" s="2"/>
      <c r="UXN51" s="2"/>
      <c r="UXO51" s="2"/>
      <c r="UXP51" s="2"/>
      <c r="UXQ51" s="2"/>
      <c r="UXR51" s="2"/>
      <c r="UXS51" s="2"/>
      <c r="UXT51" s="2"/>
      <c r="UXU51" s="2"/>
      <c r="UXV51" s="2"/>
      <c r="UXW51" s="2"/>
      <c r="UXX51" s="2"/>
      <c r="UXY51" s="2"/>
      <c r="UXZ51" s="2"/>
      <c r="UYA51" s="2"/>
      <c r="UYB51" s="2"/>
      <c r="UYC51" s="2"/>
      <c r="UYD51" s="2"/>
      <c r="UYE51" s="2"/>
      <c r="UYF51" s="2"/>
      <c r="UYG51" s="2"/>
      <c r="UYH51" s="2"/>
      <c r="UYI51" s="2"/>
      <c r="UYJ51" s="2"/>
      <c r="UYK51" s="2"/>
      <c r="UYL51" s="2"/>
      <c r="UYM51" s="2"/>
      <c r="UYN51" s="2"/>
      <c r="UYO51" s="2"/>
      <c r="UYP51" s="2"/>
      <c r="UYQ51" s="2"/>
      <c r="UYR51" s="2"/>
      <c r="UYS51" s="2"/>
      <c r="UYT51" s="2"/>
      <c r="UYU51" s="2"/>
      <c r="UYV51" s="2"/>
      <c r="UYW51" s="2"/>
      <c r="UYX51" s="2"/>
      <c r="UYY51" s="2"/>
      <c r="UYZ51" s="2"/>
      <c r="UZA51" s="2"/>
      <c r="UZB51" s="2"/>
      <c r="UZC51" s="2"/>
      <c r="UZD51" s="2"/>
      <c r="UZE51" s="2"/>
      <c r="UZF51" s="2"/>
      <c r="UZG51" s="2"/>
      <c r="UZH51" s="2"/>
      <c r="UZI51" s="2"/>
      <c r="UZJ51" s="2"/>
      <c r="UZK51" s="2"/>
      <c r="UZL51" s="2"/>
      <c r="UZM51" s="2"/>
      <c r="UZN51" s="2"/>
      <c r="UZO51" s="2"/>
      <c r="UZP51" s="2"/>
      <c r="UZQ51" s="2"/>
      <c r="UZR51" s="2"/>
      <c r="UZS51" s="2"/>
      <c r="UZT51" s="2"/>
      <c r="UZU51" s="2"/>
      <c r="UZV51" s="2"/>
      <c r="UZW51" s="2"/>
      <c r="UZX51" s="2"/>
      <c r="UZY51" s="2"/>
      <c r="UZZ51" s="2"/>
      <c r="VAA51" s="2"/>
      <c r="VAB51" s="2"/>
      <c r="VAC51" s="2"/>
      <c r="VAD51" s="2"/>
      <c r="VAE51" s="2"/>
      <c r="VAF51" s="2"/>
      <c r="VAG51" s="2"/>
      <c r="VAH51" s="2"/>
      <c r="VAI51" s="2"/>
      <c r="VAJ51" s="2"/>
      <c r="VAK51" s="2"/>
      <c r="VAL51" s="2"/>
      <c r="VAM51" s="2"/>
      <c r="VAN51" s="2"/>
      <c r="VAO51" s="2"/>
      <c r="VAP51" s="2"/>
      <c r="VAQ51" s="2"/>
      <c r="VAR51" s="2"/>
      <c r="VAS51" s="2"/>
      <c r="VAT51" s="2"/>
      <c r="VAU51" s="2"/>
      <c r="VAV51" s="2"/>
      <c r="VAW51" s="2"/>
      <c r="VAX51" s="2"/>
      <c r="VAY51" s="2"/>
      <c r="VAZ51" s="2"/>
      <c r="VBA51" s="2"/>
      <c r="VBB51" s="2"/>
      <c r="VBC51" s="2"/>
      <c r="VBD51" s="2"/>
      <c r="VBE51" s="2"/>
      <c r="VBF51" s="2"/>
      <c r="VBG51" s="2"/>
      <c r="VBH51" s="2"/>
      <c r="VBI51" s="2"/>
      <c r="VBJ51" s="2"/>
      <c r="VBK51" s="2"/>
      <c r="VBL51" s="2"/>
      <c r="VBM51" s="2"/>
      <c r="VBN51" s="2"/>
      <c r="VBO51" s="2"/>
      <c r="VBP51" s="2"/>
      <c r="VBQ51" s="2"/>
      <c r="VBR51" s="2"/>
      <c r="VBS51" s="2"/>
      <c r="VBT51" s="2"/>
      <c r="VBU51" s="2"/>
      <c r="VBV51" s="2"/>
      <c r="VBW51" s="2"/>
      <c r="VBX51" s="2"/>
      <c r="VBY51" s="2"/>
      <c r="VBZ51" s="2"/>
      <c r="VCA51" s="2"/>
      <c r="VCB51" s="2"/>
      <c r="VCC51" s="2"/>
      <c r="VCD51" s="2"/>
      <c r="VCE51" s="2"/>
      <c r="VCF51" s="2"/>
      <c r="VCG51" s="2"/>
      <c r="VCH51" s="2"/>
      <c r="VCI51" s="2"/>
      <c r="VCJ51" s="2"/>
      <c r="VCK51" s="2"/>
      <c r="VCL51" s="2"/>
      <c r="VCM51" s="2"/>
      <c r="VCN51" s="2"/>
      <c r="VCO51" s="2"/>
      <c r="VCP51" s="2"/>
      <c r="VCQ51" s="2"/>
      <c r="VCR51" s="2"/>
      <c r="VCS51" s="2"/>
      <c r="VCT51" s="2"/>
      <c r="VCU51" s="2"/>
      <c r="VCV51" s="2"/>
      <c r="VCW51" s="2"/>
      <c r="VCX51" s="2"/>
      <c r="VCY51" s="2"/>
      <c r="VCZ51" s="2"/>
      <c r="VDA51" s="2"/>
      <c r="VDB51" s="2"/>
      <c r="VDC51" s="2"/>
      <c r="VDD51" s="2"/>
      <c r="VDE51" s="2"/>
      <c r="VDF51" s="2"/>
      <c r="VDG51" s="2"/>
      <c r="VDH51" s="2"/>
      <c r="VDI51" s="2"/>
      <c r="VDJ51" s="2"/>
      <c r="VDK51" s="2"/>
      <c r="VDL51" s="2"/>
      <c r="VDM51" s="2"/>
      <c r="VDN51" s="2"/>
      <c r="VDO51" s="2"/>
      <c r="VDP51" s="2"/>
      <c r="VDQ51" s="2"/>
      <c r="VDR51" s="2"/>
      <c r="VDS51" s="2"/>
      <c r="VDT51" s="2"/>
      <c r="VDU51" s="2"/>
      <c r="VDV51" s="2"/>
      <c r="VDW51" s="2"/>
      <c r="VDX51" s="2"/>
      <c r="VDY51" s="2"/>
      <c r="VDZ51" s="2"/>
      <c r="VEA51" s="2"/>
      <c r="VEB51" s="2"/>
      <c r="VEC51" s="2"/>
      <c r="VED51" s="2"/>
      <c r="VEE51" s="2"/>
      <c r="VEF51" s="2"/>
      <c r="VEG51" s="2"/>
      <c r="VEH51" s="2"/>
      <c r="VEI51" s="2"/>
      <c r="VEJ51" s="2"/>
      <c r="VEK51" s="2"/>
      <c r="VEL51" s="2"/>
      <c r="VEM51" s="2"/>
      <c r="VEN51" s="2"/>
      <c r="VEO51" s="2"/>
      <c r="VEP51" s="2"/>
      <c r="VEQ51" s="2"/>
      <c r="VER51" s="2"/>
      <c r="VES51" s="2"/>
      <c r="VET51" s="2"/>
      <c r="VEU51" s="2"/>
      <c r="VEV51" s="2"/>
      <c r="VEW51" s="2"/>
      <c r="VEX51" s="2"/>
      <c r="VEY51" s="2"/>
      <c r="VEZ51" s="2"/>
      <c r="VFA51" s="2"/>
      <c r="VFB51" s="2"/>
      <c r="VFC51" s="2"/>
      <c r="VFD51" s="2"/>
      <c r="VFE51" s="2"/>
      <c r="VFF51" s="2"/>
      <c r="VFG51" s="2"/>
      <c r="VFH51" s="2"/>
      <c r="VFI51" s="2"/>
      <c r="VFJ51" s="2"/>
      <c r="VFK51" s="2"/>
      <c r="VFL51" s="2"/>
      <c r="VFM51" s="2"/>
      <c r="VFN51" s="2"/>
      <c r="VFO51" s="2"/>
      <c r="VFP51" s="2"/>
      <c r="VFQ51" s="2"/>
      <c r="VFR51" s="2"/>
      <c r="VFS51" s="2"/>
      <c r="VFT51" s="2"/>
      <c r="VFU51" s="2"/>
      <c r="VFV51" s="2"/>
      <c r="VFW51" s="2"/>
      <c r="VFX51" s="2"/>
      <c r="VFY51" s="2"/>
      <c r="VFZ51" s="2"/>
      <c r="VGA51" s="2"/>
      <c r="VGB51" s="2"/>
      <c r="VGC51" s="2"/>
      <c r="VGD51" s="2"/>
      <c r="VGE51" s="2"/>
      <c r="VGF51" s="2"/>
      <c r="VGG51" s="2"/>
      <c r="VGH51" s="2"/>
      <c r="VGI51" s="2"/>
      <c r="VGJ51" s="2"/>
      <c r="VGK51" s="2"/>
      <c r="VGL51" s="2"/>
      <c r="VGM51" s="2"/>
      <c r="VGN51" s="2"/>
      <c r="VGO51" s="2"/>
      <c r="VGP51" s="2"/>
      <c r="VGQ51" s="2"/>
      <c r="VGR51" s="2"/>
      <c r="VGS51" s="2"/>
      <c r="VGT51" s="2"/>
      <c r="VGU51" s="2"/>
      <c r="VGV51" s="2"/>
      <c r="VGW51" s="2"/>
      <c r="VGX51" s="2"/>
      <c r="VGY51" s="2"/>
      <c r="VGZ51" s="2"/>
      <c r="VHA51" s="2"/>
      <c r="VHB51" s="2"/>
      <c r="VHC51" s="2"/>
      <c r="VHD51" s="2"/>
      <c r="VHE51" s="2"/>
      <c r="VHF51" s="2"/>
      <c r="VHG51" s="2"/>
      <c r="VHH51" s="2"/>
      <c r="VHI51" s="2"/>
      <c r="VHJ51" s="2"/>
      <c r="VHK51" s="2"/>
      <c r="VHL51" s="2"/>
      <c r="VHM51" s="2"/>
      <c r="VHN51" s="2"/>
      <c r="VHO51" s="2"/>
      <c r="VHP51" s="2"/>
      <c r="VHQ51" s="2"/>
      <c r="VHR51" s="2"/>
      <c r="VHS51" s="2"/>
      <c r="VHT51" s="2"/>
      <c r="VHU51" s="2"/>
      <c r="VHV51" s="2"/>
      <c r="VHW51" s="2"/>
      <c r="VHX51" s="2"/>
      <c r="VHY51" s="2"/>
      <c r="VHZ51" s="2"/>
      <c r="VIA51" s="2"/>
      <c r="VIB51" s="2"/>
      <c r="VIC51" s="2"/>
      <c r="VID51" s="2"/>
      <c r="VIE51" s="2"/>
      <c r="VIF51" s="2"/>
      <c r="VIG51" s="2"/>
      <c r="VIH51" s="2"/>
      <c r="VII51" s="2"/>
      <c r="VIJ51" s="2"/>
      <c r="VIK51" s="2"/>
      <c r="VIL51" s="2"/>
      <c r="VIM51" s="2"/>
      <c r="VIN51" s="2"/>
      <c r="VIO51" s="2"/>
      <c r="VIP51" s="2"/>
      <c r="VIQ51" s="2"/>
      <c r="VIR51" s="2"/>
      <c r="VIS51" s="2"/>
      <c r="VIT51" s="2"/>
      <c r="VIU51" s="2"/>
      <c r="VIV51" s="2"/>
      <c r="VIW51" s="2"/>
      <c r="VIX51" s="2"/>
      <c r="VIY51" s="2"/>
      <c r="VIZ51" s="2"/>
      <c r="VJA51" s="2"/>
      <c r="VJB51" s="2"/>
      <c r="VJC51" s="2"/>
      <c r="VJD51" s="2"/>
      <c r="VJE51" s="2"/>
      <c r="VJF51" s="2"/>
      <c r="VJG51" s="2"/>
      <c r="VJH51" s="2"/>
      <c r="VJI51" s="2"/>
      <c r="VJJ51" s="2"/>
      <c r="VJK51" s="2"/>
      <c r="VJL51" s="2"/>
      <c r="VJM51" s="2"/>
      <c r="VJN51" s="2"/>
      <c r="VJO51" s="2"/>
      <c r="VJP51" s="2"/>
      <c r="VJQ51" s="2"/>
      <c r="VJR51" s="2"/>
      <c r="VJS51" s="2"/>
      <c r="VJT51" s="2"/>
      <c r="VJU51" s="2"/>
      <c r="VJV51" s="2"/>
      <c r="VJW51" s="2"/>
      <c r="VJX51" s="2"/>
      <c r="VJY51" s="2"/>
      <c r="VJZ51" s="2"/>
      <c r="VKA51" s="2"/>
      <c r="VKB51" s="2"/>
      <c r="VKC51" s="2"/>
      <c r="VKD51" s="2"/>
      <c r="VKE51" s="2"/>
      <c r="VKF51" s="2"/>
      <c r="VKG51" s="2"/>
      <c r="VKH51" s="2"/>
      <c r="VKI51" s="2"/>
      <c r="VKJ51" s="2"/>
      <c r="VKK51" s="2"/>
      <c r="VKL51" s="2"/>
      <c r="VKM51" s="2"/>
      <c r="VKN51" s="2"/>
      <c r="VKO51" s="2"/>
      <c r="VKP51" s="2"/>
      <c r="VKQ51" s="2"/>
      <c r="VKR51" s="2"/>
      <c r="VKS51" s="2"/>
      <c r="VKT51" s="2"/>
      <c r="VKU51" s="2"/>
      <c r="VKV51" s="2"/>
      <c r="VKW51" s="2"/>
      <c r="VKX51" s="2"/>
      <c r="VKY51" s="2"/>
      <c r="VKZ51" s="2"/>
      <c r="VLA51" s="2"/>
      <c r="VLB51" s="2"/>
      <c r="VLC51" s="2"/>
      <c r="VLD51" s="2"/>
      <c r="VLE51" s="2"/>
      <c r="VLF51" s="2"/>
      <c r="VLG51" s="2"/>
      <c r="VLH51" s="2"/>
      <c r="VLI51" s="2"/>
      <c r="VLJ51" s="2"/>
      <c r="VLK51" s="2"/>
      <c r="VLL51" s="2"/>
      <c r="VLM51" s="2"/>
      <c r="VLN51" s="2"/>
      <c r="VLO51" s="2"/>
      <c r="VLP51" s="2"/>
      <c r="VLQ51" s="2"/>
      <c r="VLR51" s="2"/>
      <c r="VLS51" s="2"/>
      <c r="VLT51" s="2"/>
      <c r="VLU51" s="2"/>
      <c r="VLV51" s="2"/>
      <c r="VLW51" s="2"/>
      <c r="VLX51" s="2"/>
      <c r="VLY51" s="2"/>
      <c r="VLZ51" s="2"/>
      <c r="VMA51" s="2"/>
      <c r="VMB51" s="2"/>
      <c r="VMC51" s="2"/>
      <c r="VMD51" s="2"/>
      <c r="VME51" s="2"/>
      <c r="VMF51" s="2"/>
      <c r="VMG51" s="2"/>
      <c r="VMH51" s="2"/>
      <c r="VMI51" s="2"/>
      <c r="VMJ51" s="2"/>
      <c r="VMK51" s="2"/>
      <c r="VML51" s="2"/>
      <c r="VMM51" s="2"/>
      <c r="VMN51" s="2"/>
      <c r="VMO51" s="2"/>
      <c r="VMP51" s="2"/>
      <c r="VMQ51" s="2"/>
      <c r="VMR51" s="2"/>
      <c r="VMS51" s="2"/>
      <c r="VMT51" s="2"/>
      <c r="VMU51" s="2"/>
      <c r="VMV51" s="2"/>
      <c r="VMW51" s="2"/>
      <c r="VMX51" s="2"/>
      <c r="VMY51" s="2"/>
      <c r="VMZ51" s="2"/>
      <c r="VNA51" s="2"/>
      <c r="VNB51" s="2"/>
      <c r="VNC51" s="2"/>
      <c r="VND51" s="2"/>
      <c r="VNE51" s="2"/>
      <c r="VNF51" s="2"/>
      <c r="VNG51" s="2"/>
      <c r="VNH51" s="2"/>
      <c r="VNI51" s="2"/>
      <c r="VNJ51" s="2"/>
      <c r="VNK51" s="2"/>
      <c r="VNL51" s="2"/>
      <c r="VNM51" s="2"/>
      <c r="VNN51" s="2"/>
      <c r="VNO51" s="2"/>
      <c r="VNP51" s="2"/>
      <c r="VNQ51" s="2"/>
      <c r="VNR51" s="2"/>
      <c r="VNS51" s="2"/>
      <c r="VNT51" s="2"/>
      <c r="VNU51" s="2"/>
      <c r="VNV51" s="2"/>
      <c r="VNW51" s="2"/>
      <c r="VNX51" s="2"/>
      <c r="VNY51" s="2"/>
      <c r="VNZ51" s="2"/>
      <c r="VOA51" s="2"/>
      <c r="VOB51" s="2"/>
      <c r="VOC51" s="2"/>
      <c r="VOD51" s="2"/>
      <c r="VOE51" s="2"/>
      <c r="VOF51" s="2"/>
      <c r="VOG51" s="2"/>
      <c r="VOH51" s="2"/>
      <c r="VOI51" s="2"/>
      <c r="VOJ51" s="2"/>
      <c r="VOK51" s="2"/>
      <c r="VOL51" s="2"/>
      <c r="VOM51" s="2"/>
      <c r="VON51" s="2"/>
      <c r="VOO51" s="2"/>
      <c r="VOP51" s="2"/>
      <c r="VOQ51" s="2"/>
      <c r="VOR51" s="2"/>
      <c r="VOS51" s="2"/>
      <c r="VOT51" s="2"/>
      <c r="VOU51" s="2"/>
      <c r="VOV51" s="2"/>
      <c r="VOW51" s="2"/>
      <c r="VOX51" s="2"/>
      <c r="VOY51" s="2"/>
      <c r="VOZ51" s="2"/>
      <c r="VPA51" s="2"/>
      <c r="VPB51" s="2"/>
      <c r="VPC51" s="2"/>
      <c r="VPD51" s="2"/>
      <c r="VPE51" s="2"/>
      <c r="VPF51" s="2"/>
      <c r="VPG51" s="2"/>
      <c r="VPH51" s="2"/>
      <c r="VPI51" s="2"/>
      <c r="VPJ51" s="2"/>
      <c r="VPK51" s="2"/>
      <c r="VPL51" s="2"/>
      <c r="VPM51" s="2"/>
      <c r="VPN51" s="2"/>
      <c r="VPO51" s="2"/>
      <c r="VPP51" s="2"/>
      <c r="VPQ51" s="2"/>
      <c r="VPR51" s="2"/>
      <c r="VPS51" s="2"/>
      <c r="VPT51" s="2"/>
      <c r="VPU51" s="2"/>
      <c r="VPV51" s="2"/>
      <c r="VPW51" s="2"/>
      <c r="VPX51" s="2"/>
      <c r="VPY51" s="2"/>
      <c r="VPZ51" s="2"/>
      <c r="VQA51" s="2"/>
      <c r="VQB51" s="2"/>
      <c r="VQC51" s="2"/>
      <c r="VQD51" s="2"/>
      <c r="VQE51" s="2"/>
      <c r="VQF51" s="2"/>
      <c r="VQG51" s="2"/>
      <c r="VQH51" s="2"/>
      <c r="VQI51" s="2"/>
      <c r="VQJ51" s="2"/>
      <c r="VQK51" s="2"/>
      <c r="VQL51" s="2"/>
      <c r="VQM51" s="2"/>
      <c r="VQN51" s="2"/>
      <c r="VQO51" s="2"/>
      <c r="VQP51" s="2"/>
      <c r="VQQ51" s="2"/>
      <c r="VQR51" s="2"/>
      <c r="VQS51" s="2"/>
      <c r="VQT51" s="2"/>
      <c r="VQU51" s="2"/>
      <c r="VQV51" s="2"/>
      <c r="VQW51" s="2"/>
      <c r="VQX51" s="2"/>
      <c r="VQY51" s="2"/>
      <c r="VQZ51" s="2"/>
      <c r="VRA51" s="2"/>
      <c r="VRB51" s="2"/>
      <c r="VRC51" s="2"/>
      <c r="VRD51" s="2"/>
      <c r="VRE51" s="2"/>
      <c r="VRF51" s="2"/>
      <c r="VRG51" s="2"/>
      <c r="VRH51" s="2"/>
      <c r="VRI51" s="2"/>
      <c r="VRJ51" s="2"/>
      <c r="VRK51" s="2"/>
      <c r="VRL51" s="2"/>
      <c r="VRM51" s="2"/>
      <c r="VRN51" s="2"/>
      <c r="VRO51" s="2"/>
      <c r="VRP51" s="2"/>
      <c r="VRQ51" s="2"/>
      <c r="VRR51" s="2"/>
      <c r="VRS51" s="2"/>
      <c r="VRT51" s="2"/>
      <c r="VRU51" s="2"/>
      <c r="VRV51" s="2"/>
      <c r="VRW51" s="2"/>
      <c r="VRX51" s="2"/>
      <c r="VRY51" s="2"/>
      <c r="VRZ51" s="2"/>
      <c r="VSA51" s="2"/>
      <c r="VSB51" s="2"/>
      <c r="VSC51" s="2"/>
      <c r="VSD51" s="2"/>
      <c r="VSE51" s="2"/>
      <c r="VSF51" s="2"/>
      <c r="VSG51" s="2"/>
      <c r="VSH51" s="2"/>
      <c r="VSI51" s="2"/>
      <c r="VSJ51" s="2"/>
      <c r="VSK51" s="2"/>
      <c r="VSL51" s="2"/>
      <c r="VSM51" s="2"/>
      <c r="VSN51" s="2"/>
      <c r="VSO51" s="2"/>
      <c r="VSP51" s="2"/>
      <c r="VSQ51" s="2"/>
      <c r="VSR51" s="2"/>
      <c r="VSS51" s="2"/>
      <c r="VST51" s="2"/>
      <c r="VSU51" s="2"/>
      <c r="VSV51" s="2"/>
      <c r="VSW51" s="2"/>
      <c r="VSX51" s="2"/>
      <c r="VSY51" s="2"/>
      <c r="VSZ51" s="2"/>
      <c r="VTA51" s="2"/>
      <c r="VTB51" s="2"/>
      <c r="VTC51" s="2"/>
      <c r="VTD51" s="2"/>
      <c r="VTE51" s="2"/>
      <c r="VTF51" s="2"/>
      <c r="VTG51" s="2"/>
      <c r="VTH51" s="2"/>
      <c r="VTI51" s="2"/>
      <c r="VTJ51" s="2"/>
      <c r="VTK51" s="2"/>
      <c r="VTL51" s="2"/>
      <c r="VTM51" s="2"/>
      <c r="VTN51" s="2"/>
      <c r="VTO51" s="2"/>
      <c r="VTP51" s="2"/>
      <c r="VTQ51" s="2"/>
      <c r="VTR51" s="2"/>
      <c r="VTS51" s="2"/>
      <c r="VTT51" s="2"/>
      <c r="VTU51" s="2"/>
      <c r="VTV51" s="2"/>
      <c r="VTW51" s="2"/>
      <c r="VTX51" s="2"/>
      <c r="VTY51" s="2"/>
      <c r="VTZ51" s="2"/>
      <c r="VUA51" s="2"/>
      <c r="VUB51" s="2"/>
      <c r="VUC51" s="2"/>
      <c r="VUD51" s="2"/>
      <c r="VUE51" s="2"/>
      <c r="VUF51" s="2"/>
      <c r="VUG51" s="2"/>
      <c r="VUH51" s="2"/>
      <c r="VUI51" s="2"/>
      <c r="VUJ51" s="2"/>
      <c r="VUK51" s="2"/>
      <c r="VUL51" s="2"/>
      <c r="VUM51" s="2"/>
      <c r="VUN51" s="2"/>
      <c r="VUO51" s="2"/>
      <c r="VUP51" s="2"/>
      <c r="VUQ51" s="2"/>
      <c r="VUR51" s="2"/>
      <c r="VUS51" s="2"/>
      <c r="VUT51" s="2"/>
      <c r="VUU51" s="2"/>
      <c r="VUV51" s="2"/>
      <c r="VUW51" s="2"/>
      <c r="VUX51" s="2"/>
      <c r="VUY51" s="2"/>
      <c r="VUZ51" s="2"/>
      <c r="VVA51" s="2"/>
      <c r="VVB51" s="2"/>
      <c r="VVC51" s="2"/>
      <c r="VVD51" s="2"/>
      <c r="VVE51" s="2"/>
      <c r="VVF51" s="2"/>
      <c r="VVG51" s="2"/>
      <c r="VVH51" s="2"/>
      <c r="VVI51" s="2"/>
      <c r="VVJ51" s="2"/>
      <c r="VVK51" s="2"/>
      <c r="VVL51" s="2"/>
      <c r="VVM51" s="2"/>
      <c r="VVN51" s="2"/>
      <c r="VVO51" s="2"/>
      <c r="VVP51" s="2"/>
      <c r="VVQ51" s="2"/>
      <c r="VVR51" s="2"/>
      <c r="VVS51" s="2"/>
      <c r="VVT51" s="2"/>
      <c r="VVU51" s="2"/>
      <c r="VVV51" s="2"/>
      <c r="VVW51" s="2"/>
      <c r="VVX51" s="2"/>
      <c r="VVY51" s="2"/>
      <c r="VVZ51" s="2"/>
      <c r="VWA51" s="2"/>
      <c r="VWB51" s="2"/>
      <c r="VWC51" s="2"/>
      <c r="VWD51" s="2"/>
      <c r="VWE51" s="2"/>
      <c r="VWF51" s="2"/>
      <c r="VWG51" s="2"/>
      <c r="VWH51" s="2"/>
      <c r="VWI51" s="2"/>
      <c r="VWJ51" s="2"/>
      <c r="VWK51" s="2"/>
      <c r="VWL51" s="2"/>
      <c r="VWM51" s="2"/>
      <c r="VWN51" s="2"/>
      <c r="VWO51" s="2"/>
      <c r="VWP51" s="2"/>
      <c r="VWQ51" s="2"/>
      <c r="VWR51" s="2"/>
      <c r="VWS51" s="2"/>
      <c r="VWT51" s="2"/>
      <c r="VWU51" s="2"/>
      <c r="VWV51" s="2"/>
      <c r="VWW51" s="2"/>
      <c r="VWX51" s="2"/>
      <c r="VWY51" s="2"/>
      <c r="VWZ51" s="2"/>
      <c r="VXA51" s="2"/>
      <c r="VXB51" s="2"/>
      <c r="VXC51" s="2"/>
      <c r="VXD51" s="2"/>
      <c r="VXE51" s="2"/>
      <c r="VXF51" s="2"/>
      <c r="VXG51" s="2"/>
      <c r="VXH51" s="2"/>
      <c r="VXI51" s="2"/>
      <c r="VXJ51" s="2"/>
      <c r="VXK51" s="2"/>
      <c r="VXL51" s="2"/>
      <c r="VXM51" s="2"/>
      <c r="VXN51" s="2"/>
      <c r="VXO51" s="2"/>
      <c r="VXP51" s="2"/>
      <c r="VXQ51" s="2"/>
      <c r="VXR51" s="2"/>
      <c r="VXS51" s="2"/>
      <c r="VXT51" s="2"/>
      <c r="VXU51" s="2"/>
      <c r="VXV51" s="2"/>
      <c r="VXW51" s="2"/>
      <c r="VXX51" s="2"/>
      <c r="VXY51" s="2"/>
      <c r="VXZ51" s="2"/>
      <c r="VYA51" s="2"/>
      <c r="VYB51" s="2"/>
      <c r="VYC51" s="2"/>
      <c r="VYD51" s="2"/>
      <c r="VYE51" s="2"/>
      <c r="VYF51" s="2"/>
      <c r="VYG51" s="2"/>
      <c r="VYH51" s="2"/>
      <c r="VYI51" s="2"/>
      <c r="VYJ51" s="2"/>
      <c r="VYK51" s="2"/>
      <c r="VYL51" s="2"/>
      <c r="VYM51" s="2"/>
      <c r="VYN51" s="2"/>
      <c r="VYO51" s="2"/>
      <c r="VYP51" s="2"/>
      <c r="VYQ51" s="2"/>
      <c r="VYR51" s="2"/>
      <c r="VYS51" s="2"/>
      <c r="VYT51" s="2"/>
      <c r="VYU51" s="2"/>
      <c r="VYV51" s="2"/>
      <c r="VYW51" s="2"/>
      <c r="VYX51" s="2"/>
      <c r="VYY51" s="2"/>
      <c r="VYZ51" s="2"/>
      <c r="VZA51" s="2"/>
      <c r="VZB51" s="2"/>
      <c r="VZC51" s="2"/>
      <c r="VZD51" s="2"/>
      <c r="VZE51" s="2"/>
      <c r="VZF51" s="2"/>
      <c r="VZG51" s="2"/>
      <c r="VZH51" s="2"/>
      <c r="VZI51" s="2"/>
      <c r="VZJ51" s="2"/>
      <c r="VZK51" s="2"/>
      <c r="VZL51" s="2"/>
      <c r="VZM51" s="2"/>
      <c r="VZN51" s="2"/>
      <c r="VZO51" s="2"/>
      <c r="VZP51" s="2"/>
      <c r="VZQ51" s="2"/>
      <c r="VZR51" s="2"/>
      <c r="VZS51" s="2"/>
      <c r="VZT51" s="2"/>
      <c r="VZU51" s="2"/>
      <c r="VZV51" s="2"/>
      <c r="VZW51" s="2"/>
      <c r="VZX51" s="2"/>
      <c r="VZY51" s="2"/>
      <c r="VZZ51" s="2"/>
      <c r="WAA51" s="2"/>
      <c r="WAB51" s="2"/>
      <c r="WAC51" s="2"/>
      <c r="WAD51" s="2"/>
      <c r="WAE51" s="2"/>
      <c r="WAF51" s="2"/>
      <c r="WAG51" s="2"/>
      <c r="WAH51" s="2"/>
      <c r="WAI51" s="2"/>
      <c r="WAJ51" s="2"/>
      <c r="WAK51" s="2"/>
      <c r="WAL51" s="2"/>
      <c r="WAM51" s="2"/>
      <c r="WAN51" s="2"/>
      <c r="WAO51" s="2"/>
      <c r="WAP51" s="2"/>
      <c r="WAQ51" s="2"/>
      <c r="WAR51" s="2"/>
      <c r="WAS51" s="2"/>
      <c r="WAT51" s="2"/>
      <c r="WAU51" s="2"/>
      <c r="WAV51" s="2"/>
      <c r="WAW51" s="2"/>
      <c r="WAX51" s="2"/>
      <c r="WAY51" s="2"/>
      <c r="WAZ51" s="2"/>
      <c r="WBA51" s="2"/>
      <c r="WBB51" s="2"/>
      <c r="WBC51" s="2"/>
      <c r="WBD51" s="2"/>
      <c r="WBE51" s="2"/>
      <c r="WBF51" s="2"/>
      <c r="WBG51" s="2"/>
      <c r="WBH51" s="2"/>
      <c r="WBI51" s="2"/>
      <c r="WBJ51" s="2"/>
      <c r="WBK51" s="2"/>
      <c r="WBL51" s="2"/>
      <c r="WBM51" s="2"/>
      <c r="WBN51" s="2"/>
      <c r="WBO51" s="2"/>
      <c r="WBP51" s="2"/>
      <c r="WBQ51" s="2"/>
      <c r="WBR51" s="2"/>
      <c r="WBS51" s="2"/>
      <c r="WBT51" s="2"/>
      <c r="WBU51" s="2"/>
      <c r="WBV51" s="2"/>
      <c r="WBW51" s="2"/>
      <c r="WBX51" s="2"/>
      <c r="WBY51" s="2"/>
      <c r="WBZ51" s="2"/>
      <c r="WCA51" s="2"/>
      <c r="WCB51" s="2"/>
      <c r="WCC51" s="2"/>
      <c r="WCD51" s="2"/>
      <c r="WCE51" s="2"/>
      <c r="WCF51" s="2"/>
      <c r="WCG51" s="2"/>
      <c r="WCH51" s="2"/>
      <c r="WCI51" s="2"/>
      <c r="WCJ51" s="2"/>
      <c r="WCK51" s="2"/>
      <c r="WCL51" s="2"/>
      <c r="WCM51" s="2"/>
      <c r="WCN51" s="2"/>
      <c r="WCO51" s="2"/>
      <c r="WCP51" s="2"/>
      <c r="WCQ51" s="2"/>
      <c r="WCR51" s="2"/>
      <c r="WCS51" s="2"/>
      <c r="WCT51" s="2"/>
      <c r="WCU51" s="2"/>
      <c r="WCV51" s="2"/>
      <c r="WCW51" s="2"/>
      <c r="WCX51" s="2"/>
      <c r="WCY51" s="2"/>
      <c r="WCZ51" s="2"/>
      <c r="WDA51" s="2"/>
      <c r="WDB51" s="2"/>
      <c r="WDC51" s="2"/>
      <c r="WDD51" s="2"/>
      <c r="WDE51" s="2"/>
      <c r="WDF51" s="2"/>
      <c r="WDG51" s="2"/>
      <c r="WDH51" s="2"/>
      <c r="WDI51" s="2"/>
      <c r="WDJ51" s="2"/>
      <c r="WDK51" s="2"/>
      <c r="WDL51" s="2"/>
      <c r="WDM51" s="2"/>
      <c r="WDN51" s="2"/>
      <c r="WDO51" s="2"/>
      <c r="WDP51" s="2"/>
      <c r="WDQ51" s="2"/>
      <c r="WDR51" s="2"/>
      <c r="WDS51" s="2"/>
      <c r="WDT51" s="2"/>
      <c r="WDU51" s="2"/>
      <c r="WDV51" s="2"/>
      <c r="WDW51" s="2"/>
      <c r="WDX51" s="2"/>
      <c r="WDY51" s="2"/>
      <c r="WDZ51" s="2"/>
      <c r="WEA51" s="2"/>
      <c r="WEB51" s="2"/>
      <c r="WEC51" s="2"/>
      <c r="WED51" s="2"/>
      <c r="WEE51" s="2"/>
      <c r="WEF51" s="2"/>
      <c r="WEG51" s="2"/>
      <c r="WEH51" s="2"/>
      <c r="WEI51" s="2"/>
      <c r="WEJ51" s="2"/>
      <c r="WEK51" s="2"/>
      <c r="WEL51" s="2"/>
      <c r="WEM51" s="2"/>
      <c r="WEN51" s="2"/>
      <c r="WEO51" s="2"/>
      <c r="WEP51" s="2"/>
      <c r="WEQ51" s="2"/>
      <c r="WER51" s="2"/>
      <c r="WES51" s="2"/>
      <c r="WET51" s="2"/>
      <c r="WEU51" s="2"/>
      <c r="WEV51" s="2"/>
      <c r="WEW51" s="2"/>
      <c r="WEX51" s="2"/>
      <c r="WEY51" s="2"/>
      <c r="WEZ51" s="2"/>
      <c r="WFA51" s="2"/>
      <c r="WFB51" s="2"/>
      <c r="WFC51" s="2"/>
      <c r="WFD51" s="2"/>
      <c r="WFE51" s="2"/>
      <c r="WFF51" s="2"/>
      <c r="WFG51" s="2"/>
      <c r="WFH51" s="2"/>
      <c r="WFI51" s="2"/>
      <c r="WFJ51" s="2"/>
      <c r="WFK51" s="2"/>
      <c r="WFL51" s="2"/>
      <c r="WFM51" s="2"/>
      <c r="WFN51" s="2"/>
      <c r="WFO51" s="2"/>
      <c r="WFP51" s="2"/>
      <c r="WFQ51" s="2"/>
      <c r="WFR51" s="2"/>
      <c r="WFS51" s="2"/>
      <c r="WFT51" s="2"/>
      <c r="WFU51" s="2"/>
      <c r="WFV51" s="2"/>
      <c r="WFW51" s="2"/>
      <c r="WFX51" s="2"/>
      <c r="WFY51" s="2"/>
      <c r="WFZ51" s="2"/>
      <c r="WGA51" s="2"/>
      <c r="WGB51" s="2"/>
      <c r="WGC51" s="2"/>
      <c r="WGD51" s="2"/>
      <c r="WGE51" s="2"/>
      <c r="WGF51" s="2"/>
      <c r="WGG51" s="2"/>
      <c r="WGH51" s="2"/>
      <c r="WGI51" s="2"/>
      <c r="WGJ51" s="2"/>
      <c r="WGK51" s="2"/>
      <c r="WGL51" s="2"/>
      <c r="WGM51" s="2"/>
      <c r="WGN51" s="2"/>
      <c r="WGO51" s="2"/>
      <c r="WGP51" s="2"/>
      <c r="WGQ51" s="2"/>
      <c r="WGR51" s="2"/>
      <c r="WGS51" s="2"/>
      <c r="WGT51" s="2"/>
      <c r="WGU51" s="2"/>
      <c r="WGV51" s="2"/>
      <c r="WGW51" s="2"/>
      <c r="WGX51" s="2"/>
      <c r="WGY51" s="2"/>
      <c r="WGZ51" s="2"/>
      <c r="WHA51" s="2"/>
      <c r="WHB51" s="2"/>
      <c r="WHC51" s="2"/>
      <c r="WHD51" s="2"/>
      <c r="WHE51" s="2"/>
      <c r="WHF51" s="2"/>
      <c r="WHG51" s="2"/>
      <c r="WHH51" s="2"/>
      <c r="WHI51" s="2"/>
      <c r="WHJ51" s="2"/>
      <c r="WHK51" s="2"/>
      <c r="WHL51" s="2"/>
      <c r="WHM51" s="2"/>
      <c r="WHN51" s="2"/>
      <c r="WHO51" s="2"/>
      <c r="WHP51" s="2"/>
      <c r="WHQ51" s="2"/>
      <c r="WHR51" s="2"/>
      <c r="WHS51" s="2"/>
      <c r="WHT51" s="2"/>
      <c r="WHU51" s="2"/>
      <c r="WHV51" s="2"/>
      <c r="WHW51" s="2"/>
      <c r="WHX51" s="2"/>
      <c r="WHY51" s="2"/>
      <c r="WHZ51" s="2"/>
      <c r="WIA51" s="2"/>
      <c r="WIB51" s="2"/>
      <c r="WIC51" s="2"/>
      <c r="WID51" s="2"/>
      <c r="WIE51" s="2"/>
      <c r="WIF51" s="2"/>
      <c r="WIG51" s="2"/>
      <c r="WIH51" s="2"/>
      <c r="WII51" s="2"/>
      <c r="WIJ51" s="2"/>
      <c r="WIK51" s="2"/>
      <c r="WIL51" s="2"/>
      <c r="WIM51" s="2"/>
      <c r="WIN51" s="2"/>
      <c r="WIO51" s="2"/>
      <c r="WIP51" s="2"/>
      <c r="WIQ51" s="2"/>
      <c r="WIR51" s="2"/>
      <c r="WIS51" s="2"/>
      <c r="WIT51" s="2"/>
      <c r="WIU51" s="2"/>
      <c r="WIV51" s="2"/>
      <c r="WIW51" s="2"/>
      <c r="WIX51" s="2"/>
      <c r="WIY51" s="2"/>
      <c r="WIZ51" s="2"/>
      <c r="WJA51" s="2"/>
      <c r="WJB51" s="2"/>
      <c r="WJC51" s="2"/>
      <c r="WJD51" s="2"/>
      <c r="WJE51" s="2"/>
      <c r="WJF51" s="2"/>
      <c r="WJG51" s="2"/>
      <c r="WJH51" s="2"/>
      <c r="WJI51" s="2"/>
      <c r="WJJ51" s="2"/>
      <c r="WJK51" s="2"/>
      <c r="WJL51" s="2"/>
      <c r="WJM51" s="2"/>
      <c r="WJN51" s="2"/>
      <c r="WJO51" s="2"/>
      <c r="WJP51" s="2"/>
      <c r="WJQ51" s="2"/>
      <c r="WJR51" s="2"/>
      <c r="WJS51" s="2"/>
      <c r="WJT51" s="2"/>
      <c r="WJU51" s="2"/>
      <c r="WJV51" s="2"/>
      <c r="WJW51" s="2"/>
      <c r="WJX51" s="2"/>
      <c r="WJY51" s="2"/>
      <c r="WJZ51" s="2"/>
      <c r="WKA51" s="2"/>
      <c r="WKB51" s="2"/>
      <c r="WKC51" s="2"/>
      <c r="WKD51" s="2"/>
      <c r="WKE51" s="2"/>
      <c r="WKF51" s="2"/>
      <c r="WKG51" s="2"/>
      <c r="WKH51" s="2"/>
      <c r="WKI51" s="2"/>
      <c r="WKJ51" s="2"/>
      <c r="WKK51" s="2"/>
      <c r="WKL51" s="2"/>
      <c r="WKM51" s="2"/>
      <c r="WKN51" s="2"/>
      <c r="WKO51" s="2"/>
      <c r="WKP51" s="2"/>
      <c r="WKQ51" s="2"/>
      <c r="WKR51" s="2"/>
      <c r="WKS51" s="2"/>
      <c r="WKT51" s="2"/>
      <c r="WKU51" s="2"/>
      <c r="WKV51" s="2"/>
      <c r="WKW51" s="2"/>
      <c r="WKX51" s="2"/>
      <c r="WKY51" s="2"/>
      <c r="WKZ51" s="2"/>
      <c r="WLA51" s="2"/>
      <c r="WLB51" s="2"/>
      <c r="WLC51" s="2"/>
      <c r="WLD51" s="2"/>
      <c r="WLE51" s="2"/>
      <c r="WLF51" s="2"/>
      <c r="WLG51" s="2"/>
      <c r="WLH51" s="2"/>
      <c r="WLI51" s="2"/>
      <c r="WLJ51" s="2"/>
      <c r="WLK51" s="2"/>
      <c r="WLL51" s="2"/>
      <c r="WLM51" s="2"/>
      <c r="WLN51" s="2"/>
      <c r="WLO51" s="2"/>
      <c r="WLP51" s="2"/>
      <c r="WLQ51" s="2"/>
      <c r="WLR51" s="2"/>
      <c r="WLS51" s="2"/>
      <c r="WLT51" s="2"/>
      <c r="WLU51" s="2"/>
      <c r="WLV51" s="2"/>
      <c r="WLW51" s="2"/>
      <c r="WLX51" s="2"/>
      <c r="WLY51" s="2"/>
      <c r="WLZ51" s="2"/>
      <c r="WMA51" s="2"/>
      <c r="WMB51" s="2"/>
      <c r="WMC51" s="2"/>
      <c r="WMD51" s="2"/>
      <c r="WME51" s="2"/>
      <c r="WMF51" s="2"/>
      <c r="WMG51" s="2"/>
      <c r="WMH51" s="2"/>
      <c r="WMI51" s="2"/>
      <c r="WMJ51" s="2"/>
      <c r="WMK51" s="2"/>
      <c r="WML51" s="2"/>
      <c r="WMM51" s="2"/>
      <c r="WMN51" s="2"/>
      <c r="WMO51" s="2"/>
      <c r="WMP51" s="2"/>
      <c r="WMQ51" s="2"/>
      <c r="WMR51" s="2"/>
      <c r="WMS51" s="2"/>
      <c r="WMT51" s="2"/>
      <c r="WMU51" s="2"/>
      <c r="WMV51" s="2"/>
      <c r="WMW51" s="2"/>
      <c r="WMX51" s="2"/>
      <c r="WMY51" s="2"/>
      <c r="WMZ51" s="2"/>
      <c r="WNA51" s="2"/>
      <c r="WNB51" s="2"/>
      <c r="WNC51" s="2"/>
      <c r="WND51" s="2"/>
      <c r="WNE51" s="2"/>
      <c r="WNF51" s="2"/>
      <c r="WNG51" s="2"/>
      <c r="WNH51" s="2"/>
      <c r="WNI51" s="2"/>
      <c r="WNJ51" s="2"/>
      <c r="WNK51" s="2"/>
      <c r="WNL51" s="2"/>
      <c r="WNM51" s="2"/>
      <c r="WNN51" s="2"/>
      <c r="WNO51" s="2"/>
      <c r="WNP51" s="2"/>
      <c r="WNQ51" s="2"/>
      <c r="WNR51" s="2"/>
      <c r="WNS51" s="2"/>
      <c r="WNT51" s="2"/>
      <c r="WNU51" s="2"/>
      <c r="WNV51" s="2"/>
      <c r="WNW51" s="2"/>
      <c r="WNX51" s="2"/>
      <c r="WNY51" s="2"/>
      <c r="WNZ51" s="2"/>
      <c r="WOA51" s="2"/>
      <c r="WOB51" s="2"/>
      <c r="WOC51" s="2"/>
      <c r="WOD51" s="2"/>
      <c r="WOE51" s="2"/>
      <c r="WOF51" s="2"/>
      <c r="WOG51" s="2"/>
      <c r="WOH51" s="2"/>
      <c r="WOI51" s="2"/>
      <c r="WOJ51" s="2"/>
      <c r="WOK51" s="2"/>
      <c r="WOL51" s="2"/>
      <c r="WOM51" s="2"/>
      <c r="WON51" s="2"/>
      <c r="WOO51" s="2"/>
      <c r="WOP51" s="2"/>
      <c r="WOQ51" s="2"/>
      <c r="WOR51" s="2"/>
      <c r="WOS51" s="2"/>
      <c r="WOT51" s="2"/>
      <c r="WOU51" s="2"/>
      <c r="WOV51" s="2"/>
      <c r="WOW51" s="2"/>
      <c r="WOX51" s="2"/>
      <c r="WOY51" s="2"/>
      <c r="WOZ51" s="2"/>
      <c r="WPA51" s="2"/>
      <c r="WPB51" s="2"/>
      <c r="WPC51" s="2"/>
      <c r="WPD51" s="2"/>
      <c r="WPE51" s="2"/>
      <c r="WPF51" s="2"/>
      <c r="WPG51" s="2"/>
      <c r="WPH51" s="2"/>
      <c r="WPI51" s="2"/>
      <c r="WPJ51" s="2"/>
      <c r="WPK51" s="2"/>
      <c r="WPL51" s="2"/>
      <c r="WPM51" s="2"/>
      <c r="WPN51" s="2"/>
      <c r="WPO51" s="2"/>
      <c r="WPP51" s="2"/>
      <c r="WPQ51" s="2"/>
      <c r="WPR51" s="2"/>
      <c r="WPS51" s="2"/>
      <c r="WPT51" s="2"/>
      <c r="WPU51" s="2"/>
      <c r="WPV51" s="2"/>
      <c r="WPW51" s="2"/>
      <c r="WPX51" s="2"/>
      <c r="WPY51" s="2"/>
      <c r="WPZ51" s="2"/>
      <c r="WQA51" s="2"/>
      <c r="WQB51" s="2"/>
      <c r="WQC51" s="2"/>
      <c r="WQD51" s="2"/>
      <c r="WQE51" s="2"/>
      <c r="WQF51" s="2"/>
      <c r="WQG51" s="2"/>
      <c r="WQH51" s="2"/>
      <c r="WQI51" s="2"/>
      <c r="WQJ51" s="2"/>
      <c r="WQK51" s="2"/>
      <c r="WQL51" s="2"/>
      <c r="WQM51" s="2"/>
      <c r="WQN51" s="2"/>
      <c r="WQO51" s="2"/>
      <c r="WQP51" s="2"/>
      <c r="WQQ51" s="2"/>
      <c r="WQR51" s="2"/>
      <c r="WQS51" s="2"/>
      <c r="WQT51" s="2"/>
      <c r="WQU51" s="2"/>
      <c r="WQV51" s="2"/>
      <c r="WQW51" s="2"/>
      <c r="WQX51" s="2"/>
      <c r="WQY51" s="2"/>
      <c r="WQZ51" s="2"/>
      <c r="WRA51" s="2"/>
      <c r="WRB51" s="2"/>
      <c r="WRC51" s="2"/>
      <c r="WRD51" s="2"/>
      <c r="WRE51" s="2"/>
      <c r="WRF51" s="2"/>
      <c r="WRG51" s="2"/>
      <c r="WRH51" s="2"/>
      <c r="WRI51" s="2"/>
      <c r="WRJ51" s="2"/>
      <c r="WRK51" s="2"/>
      <c r="WRL51" s="2"/>
      <c r="WRM51" s="2"/>
      <c r="WRN51" s="2"/>
      <c r="WRO51" s="2"/>
      <c r="WRP51" s="2"/>
      <c r="WRQ51" s="2"/>
      <c r="WRR51" s="2"/>
      <c r="WRS51" s="2"/>
      <c r="WRT51" s="2"/>
      <c r="WRU51" s="2"/>
      <c r="WRV51" s="2"/>
      <c r="WRW51" s="2"/>
      <c r="WRX51" s="2"/>
      <c r="WRY51" s="2"/>
      <c r="WRZ51" s="2"/>
      <c r="WSA51" s="2"/>
      <c r="WSB51" s="2"/>
      <c r="WSC51" s="2"/>
      <c r="WSD51" s="2"/>
      <c r="WSE51" s="2"/>
      <c r="WSF51" s="2"/>
      <c r="WSG51" s="2"/>
      <c r="WSH51" s="2"/>
      <c r="WSI51" s="2"/>
      <c r="WSJ51" s="2"/>
      <c r="WSK51" s="2"/>
      <c r="WSL51" s="2"/>
      <c r="WSM51" s="2"/>
      <c r="WSN51" s="2"/>
      <c r="WSO51" s="2"/>
      <c r="WSP51" s="2"/>
      <c r="WSQ51" s="2"/>
      <c r="WSR51" s="2"/>
      <c r="WSS51" s="2"/>
      <c r="WST51" s="2"/>
      <c r="WSU51" s="2"/>
      <c r="WSV51" s="2"/>
      <c r="WSW51" s="2"/>
      <c r="WSX51" s="2"/>
      <c r="WSY51" s="2"/>
      <c r="WSZ51" s="2"/>
      <c r="WTA51" s="2"/>
      <c r="WTB51" s="2"/>
      <c r="WTC51" s="2"/>
      <c r="WTD51" s="2"/>
      <c r="WTE51" s="2"/>
      <c r="WTF51" s="2"/>
      <c r="WTG51" s="2"/>
      <c r="WTH51" s="2"/>
      <c r="WTI51" s="2"/>
      <c r="WTJ51" s="2"/>
      <c r="WTK51" s="2"/>
      <c r="WTL51" s="2"/>
      <c r="WTM51" s="2"/>
      <c r="WTN51" s="2"/>
      <c r="WTO51" s="2"/>
      <c r="WTP51" s="2"/>
    </row>
    <row r="52" spans="1:16084" x14ac:dyDescent="0.3">
      <c r="A52" s="2" t="s">
        <v>260</v>
      </c>
      <c r="B52" s="3" t="s">
        <v>261</v>
      </c>
      <c r="C52" s="15" t="s">
        <v>262</v>
      </c>
      <c r="D52" s="3" t="s">
        <v>263</v>
      </c>
      <c r="E52" s="1" t="s">
        <v>264</v>
      </c>
      <c r="F52" s="122" t="s">
        <v>265</v>
      </c>
      <c r="G52" s="6" t="s">
        <v>266</v>
      </c>
      <c r="H52" s="190" t="s">
        <v>267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  <c r="ALW52" s="6"/>
      <c r="ALX52" s="6"/>
      <c r="ALY52" s="6"/>
      <c r="ALZ52" s="6"/>
      <c r="AMA52" s="6"/>
      <c r="AMB52" s="6"/>
      <c r="AMC52" s="6"/>
      <c r="AMD52" s="6"/>
      <c r="AME52" s="6"/>
      <c r="AMF52" s="6"/>
      <c r="AMG52" s="6"/>
      <c r="AMH52" s="6"/>
      <c r="AMI52" s="6"/>
      <c r="AMJ52" s="6"/>
      <c r="AMK52" s="6"/>
      <c r="AML52" s="6"/>
      <c r="AMM52" s="6"/>
      <c r="AMN52" s="6"/>
      <c r="AMO52" s="6"/>
      <c r="AMP52" s="6"/>
      <c r="AMQ52" s="6"/>
      <c r="AMR52" s="6"/>
      <c r="AMS52" s="6"/>
      <c r="AMT52" s="6"/>
      <c r="AMU52" s="6"/>
      <c r="AMV52" s="6"/>
      <c r="AMW52" s="6"/>
      <c r="AMX52" s="6"/>
      <c r="AMY52" s="6"/>
      <c r="AMZ52" s="6"/>
      <c r="ANA52" s="6"/>
      <c r="ANB52" s="6"/>
      <c r="ANC52" s="6"/>
      <c r="AND52" s="6"/>
      <c r="ANE52" s="6"/>
      <c r="ANF52" s="6"/>
      <c r="ANG52" s="6"/>
      <c r="ANH52" s="6"/>
      <c r="ANI52" s="6"/>
      <c r="ANJ52" s="6"/>
      <c r="ANK52" s="6"/>
      <c r="ANL52" s="6"/>
      <c r="ANM52" s="6"/>
      <c r="ANN52" s="6"/>
      <c r="ANO52" s="6"/>
      <c r="ANP52" s="6"/>
      <c r="ANQ52" s="6"/>
      <c r="ANR52" s="6"/>
      <c r="ANS52" s="6"/>
      <c r="ANT52" s="6"/>
      <c r="ANU52" s="6"/>
      <c r="ANV52" s="6"/>
      <c r="ANW52" s="6"/>
      <c r="ANX52" s="6"/>
      <c r="ANY52" s="6"/>
      <c r="ANZ52" s="6"/>
      <c r="AOA52" s="6"/>
      <c r="AOB52" s="6"/>
      <c r="AOC52" s="6"/>
      <c r="AOD52" s="6"/>
      <c r="AOE52" s="6"/>
      <c r="AOF52" s="6"/>
      <c r="AOG52" s="6"/>
      <c r="AOH52" s="6"/>
      <c r="AOI52" s="6"/>
      <c r="AOJ52" s="6"/>
      <c r="AOK52" s="6"/>
      <c r="AOL52" s="6"/>
      <c r="AOM52" s="6"/>
      <c r="AON52" s="6"/>
      <c r="AOO52" s="6"/>
      <c r="AOP52" s="6"/>
      <c r="AOQ52" s="6"/>
      <c r="AOR52" s="6"/>
      <c r="AOS52" s="6"/>
      <c r="AOT52" s="6"/>
      <c r="AOU52" s="6"/>
      <c r="AOV52" s="6"/>
      <c r="AOW52" s="6"/>
      <c r="AOX52" s="6"/>
      <c r="AOY52" s="6"/>
      <c r="AOZ52" s="6"/>
      <c r="APA52" s="6"/>
      <c r="APB52" s="6"/>
      <c r="APC52" s="6"/>
      <c r="APD52" s="6"/>
      <c r="APE52" s="6"/>
      <c r="APF52" s="6"/>
      <c r="APG52" s="6"/>
      <c r="APH52" s="6"/>
      <c r="API52" s="6"/>
      <c r="APJ52" s="6"/>
      <c r="APK52" s="6"/>
      <c r="APL52" s="6"/>
      <c r="APM52" s="6"/>
      <c r="APN52" s="6"/>
      <c r="APO52" s="6"/>
      <c r="APP52" s="6"/>
      <c r="APQ52" s="6"/>
      <c r="APR52" s="6"/>
      <c r="APS52" s="6"/>
      <c r="APT52" s="6"/>
      <c r="APU52" s="6"/>
      <c r="APV52" s="6"/>
      <c r="APW52" s="6"/>
      <c r="APX52" s="6"/>
      <c r="APY52" s="6"/>
      <c r="APZ52" s="6"/>
      <c r="AQA52" s="6"/>
      <c r="AQB52" s="6"/>
      <c r="AQC52" s="6"/>
      <c r="AQD52" s="6"/>
      <c r="AQE52" s="6"/>
      <c r="AQF52" s="6"/>
      <c r="AQG52" s="6"/>
      <c r="AQH52" s="6"/>
      <c r="AQI52" s="6"/>
      <c r="AQJ52" s="6"/>
      <c r="AQK52" s="6"/>
      <c r="AQL52" s="6"/>
      <c r="AQM52" s="6"/>
      <c r="AQN52" s="6"/>
      <c r="AQO52" s="6"/>
      <c r="AQP52" s="6"/>
      <c r="AQQ52" s="6"/>
      <c r="AQR52" s="6"/>
      <c r="AQS52" s="6"/>
      <c r="AQT52" s="6"/>
      <c r="AQU52" s="6"/>
      <c r="AQV52" s="6"/>
      <c r="AQW52" s="6"/>
      <c r="AQX52" s="6"/>
      <c r="AQY52" s="6"/>
      <c r="AQZ52" s="6"/>
      <c r="ARA52" s="6"/>
      <c r="ARB52" s="6"/>
      <c r="ARC52" s="6"/>
      <c r="ARD52" s="6"/>
      <c r="ARE52" s="6"/>
      <c r="ARF52" s="6"/>
      <c r="ARG52" s="6"/>
      <c r="ARH52" s="6"/>
      <c r="ARI52" s="6"/>
      <c r="ARJ52" s="6"/>
      <c r="ARK52" s="6"/>
      <c r="ARL52" s="6"/>
      <c r="ARM52" s="6"/>
      <c r="ARN52" s="6"/>
      <c r="ARO52" s="6"/>
      <c r="ARP52" s="6"/>
      <c r="ARQ52" s="6"/>
      <c r="ARR52" s="6"/>
      <c r="ARS52" s="6"/>
      <c r="ART52" s="6"/>
      <c r="ARU52" s="6"/>
      <c r="ARV52" s="6"/>
      <c r="ARW52" s="6"/>
      <c r="ARX52" s="6"/>
      <c r="ARY52" s="6"/>
      <c r="ARZ52" s="6"/>
      <c r="ASA52" s="6"/>
      <c r="ASB52" s="6"/>
      <c r="ASC52" s="6"/>
      <c r="ASD52" s="6"/>
      <c r="ASE52" s="6"/>
      <c r="ASF52" s="6"/>
      <c r="ASG52" s="6"/>
      <c r="ASH52" s="6"/>
      <c r="ASI52" s="6"/>
      <c r="ASJ52" s="6"/>
      <c r="ASK52" s="6"/>
      <c r="ASL52" s="6"/>
      <c r="ASM52" s="6"/>
      <c r="ASN52" s="6"/>
      <c r="ASO52" s="6"/>
      <c r="ASP52" s="6"/>
      <c r="ASQ52" s="6"/>
      <c r="ASR52" s="6"/>
      <c r="ASS52" s="6"/>
      <c r="AST52" s="6"/>
      <c r="ASU52" s="6"/>
      <c r="ASV52" s="6"/>
      <c r="ASW52" s="6"/>
      <c r="ASX52" s="6"/>
      <c r="ASY52" s="6"/>
      <c r="ASZ52" s="6"/>
      <c r="ATA52" s="6"/>
      <c r="ATB52" s="6"/>
      <c r="ATC52" s="6"/>
      <c r="ATD52" s="6"/>
      <c r="ATE52" s="6"/>
      <c r="ATF52" s="6"/>
      <c r="ATG52" s="6"/>
      <c r="ATH52" s="6"/>
      <c r="ATI52" s="6"/>
      <c r="ATJ52" s="6"/>
      <c r="ATK52" s="6"/>
      <c r="ATL52" s="6"/>
      <c r="ATM52" s="6"/>
      <c r="ATN52" s="6"/>
      <c r="ATO52" s="6"/>
      <c r="ATP52" s="6"/>
      <c r="ATQ52" s="6"/>
      <c r="ATR52" s="6"/>
      <c r="ATS52" s="6"/>
      <c r="ATT52" s="6"/>
      <c r="ATU52" s="6"/>
      <c r="ATV52" s="6"/>
      <c r="ATW52" s="6"/>
      <c r="ATX52" s="6"/>
      <c r="ATY52" s="6"/>
      <c r="ATZ52" s="6"/>
      <c r="AUA52" s="6"/>
      <c r="AUB52" s="6"/>
      <c r="AUC52" s="6"/>
      <c r="AUD52" s="6"/>
      <c r="AUE52" s="6"/>
      <c r="AUF52" s="6"/>
      <c r="AUG52" s="6"/>
      <c r="AUH52" s="6"/>
      <c r="AUI52" s="6"/>
      <c r="AUJ52" s="6"/>
      <c r="AUK52" s="6"/>
      <c r="AUL52" s="6"/>
      <c r="AUM52" s="6"/>
      <c r="AUN52" s="6"/>
      <c r="AUO52" s="6"/>
      <c r="AUP52" s="6"/>
      <c r="AUQ52" s="6"/>
      <c r="AUR52" s="6"/>
      <c r="AUS52" s="6"/>
      <c r="AUT52" s="6"/>
      <c r="AUU52" s="6"/>
      <c r="AUV52" s="6"/>
      <c r="AUW52" s="6"/>
      <c r="AUX52" s="6"/>
      <c r="AUY52" s="6"/>
      <c r="AUZ52" s="6"/>
      <c r="AVA52" s="6"/>
      <c r="AVB52" s="6"/>
      <c r="AVC52" s="6"/>
      <c r="AVD52" s="6"/>
      <c r="AVE52" s="6"/>
      <c r="AVF52" s="6"/>
      <c r="AVG52" s="6"/>
      <c r="AVH52" s="6"/>
      <c r="AVI52" s="6"/>
      <c r="AVJ52" s="6"/>
      <c r="AVK52" s="6"/>
      <c r="AVL52" s="6"/>
      <c r="AVM52" s="6"/>
      <c r="AVN52" s="6"/>
      <c r="AVO52" s="6"/>
      <c r="AVP52" s="6"/>
      <c r="AVQ52" s="6"/>
      <c r="AVR52" s="6"/>
      <c r="AVS52" s="6"/>
      <c r="AVT52" s="6"/>
      <c r="AVU52" s="6"/>
      <c r="AVV52" s="6"/>
      <c r="AVW52" s="6"/>
      <c r="AVX52" s="6"/>
      <c r="AVY52" s="6"/>
      <c r="AVZ52" s="6"/>
      <c r="AWA52" s="6"/>
      <c r="AWB52" s="6"/>
      <c r="AWC52" s="6"/>
      <c r="AWD52" s="6"/>
      <c r="AWE52" s="6"/>
      <c r="AWF52" s="6"/>
      <c r="AWG52" s="6"/>
      <c r="AWH52" s="6"/>
      <c r="AWI52" s="6"/>
      <c r="AWJ52" s="6"/>
      <c r="AWK52" s="6"/>
      <c r="AWL52" s="6"/>
      <c r="AWM52" s="6"/>
      <c r="AWN52" s="6"/>
      <c r="AWO52" s="6"/>
      <c r="AWP52" s="6"/>
      <c r="AWQ52" s="6"/>
      <c r="AWR52" s="6"/>
      <c r="AWS52" s="6"/>
      <c r="AWT52" s="6"/>
      <c r="AWU52" s="6"/>
      <c r="AWV52" s="6"/>
      <c r="AWW52" s="6"/>
      <c r="AWX52" s="6"/>
      <c r="AWY52" s="6"/>
      <c r="AWZ52" s="6"/>
      <c r="AXA52" s="6"/>
      <c r="AXB52" s="6"/>
      <c r="AXC52" s="6"/>
      <c r="AXD52" s="6"/>
      <c r="AXE52" s="6"/>
      <c r="AXF52" s="6"/>
      <c r="AXG52" s="6"/>
      <c r="AXH52" s="6"/>
      <c r="AXI52" s="6"/>
      <c r="AXJ52" s="6"/>
      <c r="AXK52" s="6"/>
      <c r="AXL52" s="6"/>
      <c r="AXM52" s="6"/>
      <c r="AXN52" s="6"/>
      <c r="AXO52" s="6"/>
      <c r="AXP52" s="6"/>
      <c r="AXQ52" s="6"/>
      <c r="AXR52" s="6"/>
      <c r="AXS52" s="6"/>
      <c r="AXT52" s="6"/>
      <c r="AXU52" s="6"/>
      <c r="AXV52" s="6"/>
      <c r="AXW52" s="6"/>
      <c r="AXX52" s="6"/>
      <c r="AXY52" s="6"/>
      <c r="AXZ52" s="6"/>
      <c r="AYA52" s="6"/>
      <c r="AYB52" s="6"/>
      <c r="AYC52" s="6"/>
      <c r="AYD52" s="6"/>
      <c r="AYE52" s="6"/>
      <c r="AYF52" s="6"/>
      <c r="AYG52" s="6"/>
      <c r="AYH52" s="6"/>
      <c r="AYI52" s="6"/>
      <c r="AYJ52" s="6"/>
      <c r="AYK52" s="6"/>
      <c r="AYL52" s="6"/>
      <c r="AYM52" s="6"/>
      <c r="AYN52" s="6"/>
      <c r="AYO52" s="6"/>
      <c r="AYP52" s="6"/>
      <c r="AYQ52" s="6"/>
      <c r="AYR52" s="6"/>
      <c r="AYS52" s="6"/>
      <c r="AYT52" s="6"/>
      <c r="AYU52" s="6"/>
      <c r="AYV52" s="6"/>
      <c r="AYW52" s="6"/>
      <c r="AYX52" s="6"/>
      <c r="AYY52" s="6"/>
      <c r="AYZ52" s="6"/>
      <c r="AZA52" s="6"/>
      <c r="AZB52" s="6"/>
      <c r="AZC52" s="6"/>
      <c r="AZD52" s="6"/>
      <c r="AZE52" s="6"/>
      <c r="AZF52" s="6"/>
      <c r="AZG52" s="6"/>
      <c r="AZH52" s="6"/>
      <c r="AZI52" s="6"/>
      <c r="AZJ52" s="6"/>
      <c r="AZK52" s="6"/>
      <c r="AZL52" s="6"/>
      <c r="AZM52" s="6"/>
      <c r="AZN52" s="6"/>
      <c r="AZO52" s="6"/>
      <c r="AZP52" s="6"/>
      <c r="AZQ52" s="6"/>
      <c r="AZR52" s="6"/>
      <c r="AZS52" s="6"/>
      <c r="AZT52" s="6"/>
      <c r="AZU52" s="6"/>
      <c r="AZV52" s="6"/>
      <c r="AZW52" s="6"/>
      <c r="AZX52" s="6"/>
      <c r="AZY52" s="6"/>
      <c r="AZZ52" s="6"/>
      <c r="BAA52" s="6"/>
      <c r="BAB52" s="6"/>
      <c r="BAC52" s="6"/>
      <c r="BAD52" s="6"/>
      <c r="BAE52" s="6"/>
      <c r="BAF52" s="6"/>
      <c r="BAG52" s="6"/>
      <c r="BAH52" s="6"/>
      <c r="BAI52" s="6"/>
      <c r="BAJ52" s="6"/>
      <c r="BAK52" s="6"/>
      <c r="BAL52" s="6"/>
      <c r="BAM52" s="6"/>
      <c r="BAN52" s="6"/>
      <c r="BAO52" s="6"/>
      <c r="BAP52" s="6"/>
      <c r="BAQ52" s="6"/>
      <c r="BAR52" s="6"/>
      <c r="BAS52" s="6"/>
      <c r="BAT52" s="6"/>
      <c r="BAU52" s="6"/>
      <c r="BAV52" s="6"/>
      <c r="BAW52" s="6"/>
      <c r="BAX52" s="6"/>
      <c r="BAY52" s="6"/>
      <c r="BAZ52" s="6"/>
      <c r="BBA52" s="6"/>
      <c r="BBB52" s="6"/>
      <c r="BBC52" s="6"/>
      <c r="BBD52" s="6"/>
      <c r="BBE52" s="6"/>
      <c r="BBF52" s="6"/>
      <c r="BBG52" s="6"/>
      <c r="BBH52" s="6"/>
      <c r="BBI52" s="6"/>
      <c r="BBJ52" s="6"/>
      <c r="BBK52" s="6"/>
      <c r="BBL52" s="6"/>
      <c r="BBM52" s="6"/>
      <c r="BBN52" s="6"/>
      <c r="BBO52" s="6"/>
      <c r="BBP52" s="6"/>
      <c r="BBQ52" s="6"/>
      <c r="BBR52" s="6"/>
      <c r="BBS52" s="6"/>
      <c r="BBT52" s="6"/>
      <c r="BBU52" s="6"/>
      <c r="BBV52" s="6"/>
      <c r="BBW52" s="6"/>
      <c r="BBX52" s="6"/>
      <c r="BBY52" s="6"/>
      <c r="BBZ52" s="6"/>
      <c r="BCA52" s="6"/>
      <c r="BCB52" s="6"/>
      <c r="BCC52" s="6"/>
      <c r="BCD52" s="6"/>
      <c r="BCE52" s="6"/>
      <c r="BCF52" s="6"/>
      <c r="BCG52" s="6"/>
      <c r="BCH52" s="6"/>
      <c r="BCI52" s="6"/>
      <c r="BCJ52" s="6"/>
      <c r="BCK52" s="6"/>
      <c r="BCL52" s="6"/>
      <c r="BCM52" s="6"/>
      <c r="BCN52" s="6"/>
      <c r="BCO52" s="6"/>
      <c r="BCP52" s="6"/>
      <c r="BCQ52" s="6"/>
      <c r="BCR52" s="6"/>
      <c r="BCS52" s="6"/>
      <c r="BCT52" s="6"/>
      <c r="BCU52" s="6"/>
      <c r="BCV52" s="6"/>
      <c r="BCW52" s="6"/>
      <c r="BCX52" s="6"/>
      <c r="BCY52" s="6"/>
      <c r="BCZ52" s="6"/>
      <c r="BDA52" s="6"/>
      <c r="BDB52" s="6"/>
      <c r="BDC52" s="6"/>
      <c r="BDD52" s="6"/>
      <c r="BDE52" s="6"/>
      <c r="BDF52" s="6"/>
      <c r="BDG52" s="6"/>
      <c r="BDH52" s="6"/>
      <c r="BDI52" s="6"/>
      <c r="BDJ52" s="6"/>
      <c r="BDK52" s="6"/>
      <c r="BDL52" s="6"/>
      <c r="BDM52" s="6"/>
      <c r="BDN52" s="6"/>
      <c r="BDO52" s="6"/>
      <c r="BDP52" s="6"/>
      <c r="BDQ52" s="6"/>
      <c r="BDR52" s="6"/>
      <c r="BDS52" s="6"/>
      <c r="BDT52" s="6"/>
      <c r="BDU52" s="6"/>
      <c r="BDV52" s="6"/>
      <c r="BDW52" s="6"/>
      <c r="BDX52" s="6"/>
      <c r="BDY52" s="6"/>
      <c r="BDZ52" s="6"/>
      <c r="BEA52" s="6"/>
      <c r="BEB52" s="6"/>
      <c r="BEC52" s="6"/>
      <c r="BED52" s="6"/>
      <c r="BEE52" s="6"/>
      <c r="BEF52" s="6"/>
      <c r="BEG52" s="6"/>
      <c r="BEH52" s="6"/>
      <c r="BEI52" s="6"/>
      <c r="BEJ52" s="6"/>
      <c r="BEK52" s="6"/>
      <c r="BEL52" s="6"/>
      <c r="BEM52" s="6"/>
      <c r="BEN52" s="6"/>
      <c r="BEO52" s="6"/>
      <c r="BEP52" s="6"/>
      <c r="BEQ52" s="6"/>
      <c r="BER52" s="6"/>
      <c r="BES52" s="6"/>
      <c r="BET52" s="6"/>
      <c r="BEU52" s="6"/>
      <c r="BEV52" s="6"/>
      <c r="BEW52" s="6"/>
      <c r="BEX52" s="6"/>
      <c r="BEY52" s="6"/>
      <c r="BEZ52" s="6"/>
      <c r="BFA52" s="6"/>
      <c r="BFB52" s="6"/>
      <c r="BFC52" s="6"/>
      <c r="BFD52" s="6"/>
      <c r="BFE52" s="6"/>
      <c r="BFF52" s="6"/>
      <c r="BFG52" s="6"/>
      <c r="BFH52" s="6"/>
      <c r="BFI52" s="6"/>
      <c r="BFJ52" s="6"/>
      <c r="BFK52" s="6"/>
      <c r="BFL52" s="6"/>
      <c r="BFM52" s="6"/>
      <c r="BFN52" s="6"/>
      <c r="BFO52" s="6"/>
      <c r="BFP52" s="6"/>
      <c r="BFQ52" s="6"/>
      <c r="BFR52" s="6"/>
      <c r="BFS52" s="6"/>
      <c r="BFT52" s="6"/>
      <c r="BFU52" s="6"/>
      <c r="BFV52" s="6"/>
      <c r="BFW52" s="6"/>
      <c r="BFX52" s="6"/>
      <c r="BFY52" s="6"/>
      <c r="BFZ52" s="6"/>
      <c r="BGA52" s="6"/>
      <c r="BGB52" s="6"/>
      <c r="BGC52" s="6"/>
      <c r="BGD52" s="6"/>
      <c r="BGE52" s="6"/>
      <c r="BGF52" s="6"/>
      <c r="BGG52" s="6"/>
      <c r="BGH52" s="6"/>
      <c r="BGI52" s="6"/>
      <c r="BGJ52" s="6"/>
      <c r="BGK52" s="6"/>
      <c r="BGL52" s="6"/>
      <c r="BGM52" s="6"/>
      <c r="BGN52" s="6"/>
      <c r="BGO52" s="6"/>
      <c r="BGP52" s="6"/>
      <c r="BGQ52" s="6"/>
      <c r="BGR52" s="6"/>
      <c r="BGS52" s="6"/>
      <c r="BGT52" s="6"/>
      <c r="BGU52" s="6"/>
      <c r="BGV52" s="6"/>
      <c r="BGW52" s="6"/>
      <c r="BGX52" s="6"/>
      <c r="BGY52" s="6"/>
      <c r="BGZ52" s="6"/>
      <c r="BHA52" s="6"/>
      <c r="BHB52" s="6"/>
      <c r="BHC52" s="6"/>
      <c r="BHD52" s="6"/>
      <c r="BHE52" s="6"/>
      <c r="BHF52" s="6"/>
      <c r="BHG52" s="6"/>
      <c r="BHH52" s="6"/>
      <c r="BHI52" s="6"/>
      <c r="BHJ52" s="6"/>
      <c r="BHK52" s="6"/>
      <c r="BHL52" s="6"/>
      <c r="BHM52" s="6"/>
      <c r="BHN52" s="6"/>
      <c r="BHO52" s="6"/>
      <c r="BHP52" s="6"/>
      <c r="BHQ52" s="6"/>
      <c r="BHR52" s="6"/>
      <c r="BHS52" s="6"/>
      <c r="BHT52" s="6"/>
      <c r="BHU52" s="6"/>
      <c r="BHV52" s="6"/>
      <c r="BHW52" s="6"/>
      <c r="BHX52" s="6"/>
      <c r="BHY52" s="6"/>
      <c r="BHZ52" s="6"/>
      <c r="BIA52" s="6"/>
      <c r="BIB52" s="6"/>
      <c r="BIC52" s="6"/>
      <c r="BID52" s="6"/>
      <c r="BIE52" s="6"/>
      <c r="BIF52" s="6"/>
      <c r="BIG52" s="6"/>
      <c r="BIH52" s="6"/>
      <c r="BII52" s="6"/>
      <c r="BIJ52" s="6"/>
      <c r="BIK52" s="6"/>
      <c r="BIL52" s="6"/>
      <c r="BIM52" s="6"/>
      <c r="BIN52" s="6"/>
      <c r="BIO52" s="6"/>
      <c r="BIP52" s="6"/>
      <c r="BIQ52" s="6"/>
      <c r="BIR52" s="6"/>
      <c r="BIS52" s="6"/>
      <c r="BIT52" s="6"/>
      <c r="BIU52" s="6"/>
      <c r="BIV52" s="6"/>
      <c r="BIW52" s="6"/>
      <c r="BIX52" s="6"/>
      <c r="BIY52" s="6"/>
      <c r="BIZ52" s="6"/>
      <c r="BJA52" s="6"/>
      <c r="BJB52" s="6"/>
      <c r="BJC52" s="6"/>
      <c r="BJD52" s="6"/>
      <c r="BJE52" s="6"/>
      <c r="BJF52" s="6"/>
      <c r="BJG52" s="6"/>
      <c r="BJH52" s="6"/>
      <c r="BJI52" s="6"/>
      <c r="BJJ52" s="6"/>
      <c r="BJK52" s="6"/>
      <c r="BJL52" s="6"/>
      <c r="BJM52" s="6"/>
      <c r="BJN52" s="6"/>
      <c r="BJO52" s="6"/>
      <c r="BJP52" s="6"/>
      <c r="BJQ52" s="6"/>
      <c r="BJR52" s="6"/>
      <c r="BJS52" s="6"/>
      <c r="BJT52" s="6"/>
      <c r="BJU52" s="6"/>
      <c r="BJV52" s="6"/>
      <c r="BJW52" s="6"/>
      <c r="BJX52" s="6"/>
      <c r="BJY52" s="6"/>
      <c r="BJZ52" s="6"/>
      <c r="BKA52" s="6"/>
      <c r="BKB52" s="6"/>
      <c r="BKC52" s="6"/>
      <c r="BKD52" s="6"/>
      <c r="BKE52" s="6"/>
      <c r="BKF52" s="6"/>
      <c r="BKG52" s="6"/>
      <c r="BKH52" s="6"/>
      <c r="BKI52" s="6"/>
      <c r="BKJ52" s="6"/>
      <c r="BKK52" s="6"/>
      <c r="BKL52" s="6"/>
      <c r="BKM52" s="6"/>
      <c r="BKN52" s="6"/>
      <c r="BKO52" s="6"/>
      <c r="BKP52" s="6"/>
      <c r="BKQ52" s="6"/>
      <c r="BKR52" s="6"/>
      <c r="BKS52" s="6"/>
      <c r="BKT52" s="6"/>
      <c r="BKU52" s="6"/>
      <c r="BKV52" s="6"/>
      <c r="BKW52" s="6"/>
      <c r="BKX52" s="6"/>
      <c r="BKY52" s="6"/>
      <c r="BKZ52" s="6"/>
      <c r="BLA52" s="6"/>
      <c r="BLB52" s="6"/>
      <c r="BLC52" s="6"/>
      <c r="BLD52" s="6"/>
      <c r="BLE52" s="6"/>
      <c r="BLF52" s="6"/>
      <c r="BLG52" s="6"/>
      <c r="BLH52" s="6"/>
      <c r="BLI52" s="6"/>
      <c r="BLJ52" s="6"/>
      <c r="BLK52" s="6"/>
      <c r="BLL52" s="6"/>
      <c r="BLM52" s="6"/>
      <c r="BLN52" s="6"/>
      <c r="BLO52" s="6"/>
      <c r="BLP52" s="6"/>
      <c r="BLQ52" s="6"/>
      <c r="BLR52" s="6"/>
      <c r="BLS52" s="6"/>
      <c r="BLT52" s="6"/>
      <c r="BLU52" s="6"/>
      <c r="BLV52" s="6"/>
      <c r="BLW52" s="6"/>
      <c r="BLX52" s="6"/>
      <c r="BLY52" s="6"/>
      <c r="BLZ52" s="6"/>
      <c r="BMA52" s="6"/>
      <c r="BMB52" s="6"/>
      <c r="BMC52" s="6"/>
      <c r="BMD52" s="6"/>
      <c r="BME52" s="6"/>
      <c r="BMF52" s="6"/>
      <c r="BMG52" s="6"/>
      <c r="BMH52" s="6"/>
      <c r="BMI52" s="6"/>
      <c r="BMJ52" s="6"/>
      <c r="BMK52" s="6"/>
      <c r="BML52" s="6"/>
      <c r="BMM52" s="6"/>
      <c r="BMN52" s="6"/>
      <c r="BMO52" s="6"/>
      <c r="BMP52" s="6"/>
      <c r="BMQ52" s="6"/>
      <c r="BMR52" s="6"/>
      <c r="BMS52" s="6"/>
      <c r="BMT52" s="6"/>
      <c r="BMU52" s="6"/>
      <c r="BMV52" s="6"/>
      <c r="BMW52" s="6"/>
      <c r="BMX52" s="6"/>
      <c r="BMY52" s="6"/>
      <c r="BMZ52" s="6"/>
      <c r="BNA52" s="6"/>
      <c r="BNB52" s="6"/>
      <c r="BNC52" s="6"/>
      <c r="BND52" s="6"/>
      <c r="BNE52" s="6"/>
      <c r="BNF52" s="6"/>
      <c r="BNG52" s="6"/>
      <c r="BNH52" s="6"/>
      <c r="BNI52" s="6"/>
      <c r="BNJ52" s="6"/>
      <c r="BNK52" s="6"/>
      <c r="BNL52" s="6"/>
      <c r="BNM52" s="6"/>
      <c r="BNN52" s="6"/>
      <c r="BNO52" s="6"/>
      <c r="BNP52" s="6"/>
      <c r="BNQ52" s="6"/>
      <c r="BNR52" s="6"/>
      <c r="BNS52" s="6"/>
      <c r="BNT52" s="6"/>
      <c r="BNU52" s="6"/>
      <c r="BNV52" s="6"/>
      <c r="BNW52" s="6"/>
      <c r="BNX52" s="6"/>
      <c r="BNY52" s="6"/>
      <c r="BNZ52" s="6"/>
      <c r="BOA52" s="6"/>
      <c r="BOB52" s="6"/>
      <c r="BOC52" s="6"/>
      <c r="BOD52" s="6"/>
      <c r="BOE52" s="6"/>
      <c r="BOF52" s="6"/>
      <c r="BOG52" s="6"/>
      <c r="BOH52" s="6"/>
      <c r="BOI52" s="6"/>
      <c r="BOJ52" s="6"/>
      <c r="BOK52" s="6"/>
      <c r="BOL52" s="6"/>
      <c r="BOM52" s="6"/>
      <c r="BON52" s="6"/>
      <c r="BOO52" s="6"/>
      <c r="BOP52" s="6"/>
      <c r="BOQ52" s="6"/>
      <c r="BOR52" s="6"/>
      <c r="BOS52" s="6"/>
      <c r="BOT52" s="6"/>
      <c r="BOU52" s="6"/>
      <c r="BOV52" s="6"/>
      <c r="BOW52" s="6"/>
      <c r="BOX52" s="6"/>
      <c r="BOY52" s="6"/>
      <c r="BOZ52" s="6"/>
      <c r="BPA52" s="6"/>
      <c r="BPB52" s="6"/>
      <c r="BPC52" s="6"/>
      <c r="BPD52" s="6"/>
      <c r="BPE52" s="6"/>
      <c r="BPF52" s="6"/>
      <c r="BPG52" s="6"/>
      <c r="BPH52" s="6"/>
      <c r="BPI52" s="6"/>
      <c r="BPJ52" s="6"/>
      <c r="BPK52" s="6"/>
      <c r="BPL52" s="6"/>
      <c r="BPM52" s="6"/>
      <c r="BPN52" s="6"/>
      <c r="BPO52" s="6"/>
      <c r="BPP52" s="6"/>
      <c r="BPQ52" s="6"/>
      <c r="BPR52" s="6"/>
      <c r="BPS52" s="6"/>
      <c r="BPT52" s="6"/>
      <c r="BPU52" s="6"/>
      <c r="BPV52" s="6"/>
      <c r="BPW52" s="6"/>
      <c r="BPX52" s="6"/>
      <c r="BPY52" s="6"/>
      <c r="BPZ52" s="6"/>
      <c r="BQA52" s="6"/>
      <c r="BQB52" s="6"/>
      <c r="BQC52" s="6"/>
      <c r="BQD52" s="6"/>
      <c r="BQE52" s="6"/>
      <c r="BQF52" s="6"/>
      <c r="BQG52" s="6"/>
      <c r="BQH52" s="6"/>
      <c r="BQI52" s="6"/>
      <c r="BQJ52" s="6"/>
      <c r="BQK52" s="6"/>
      <c r="BQL52" s="6"/>
      <c r="BQM52" s="6"/>
      <c r="BQN52" s="6"/>
      <c r="BQO52" s="6"/>
      <c r="BQP52" s="6"/>
      <c r="BQQ52" s="6"/>
      <c r="BQR52" s="6"/>
      <c r="BQS52" s="6"/>
      <c r="BQT52" s="6"/>
      <c r="BQU52" s="6"/>
      <c r="BQV52" s="6"/>
      <c r="BQW52" s="6"/>
      <c r="BQX52" s="6"/>
      <c r="BQY52" s="6"/>
      <c r="BQZ52" s="6"/>
      <c r="BRA52" s="6"/>
      <c r="BRB52" s="6"/>
      <c r="BRC52" s="6"/>
      <c r="BRD52" s="6"/>
      <c r="BRE52" s="6"/>
      <c r="BRF52" s="6"/>
      <c r="BRG52" s="6"/>
      <c r="BRH52" s="6"/>
      <c r="BRI52" s="6"/>
      <c r="BRJ52" s="6"/>
      <c r="BRK52" s="6"/>
      <c r="BRL52" s="6"/>
      <c r="BRM52" s="6"/>
      <c r="BRN52" s="6"/>
      <c r="BRO52" s="6"/>
      <c r="BRP52" s="6"/>
      <c r="BRQ52" s="6"/>
      <c r="BRR52" s="6"/>
      <c r="BRS52" s="6"/>
      <c r="BRT52" s="6"/>
      <c r="BRU52" s="6"/>
      <c r="BRV52" s="6"/>
      <c r="BRW52" s="6"/>
      <c r="BRX52" s="6"/>
      <c r="BRY52" s="6"/>
      <c r="BRZ52" s="6"/>
      <c r="BSA52" s="6"/>
      <c r="BSB52" s="6"/>
      <c r="BSC52" s="6"/>
      <c r="BSD52" s="6"/>
      <c r="BSE52" s="6"/>
      <c r="BSF52" s="6"/>
      <c r="BSG52" s="6"/>
      <c r="BSH52" s="6"/>
      <c r="BSI52" s="6"/>
      <c r="BSJ52" s="6"/>
      <c r="BSK52" s="6"/>
      <c r="BSL52" s="6"/>
      <c r="BSM52" s="6"/>
      <c r="BSN52" s="6"/>
      <c r="BSO52" s="6"/>
      <c r="BSP52" s="6"/>
      <c r="BSQ52" s="6"/>
      <c r="BSR52" s="6"/>
      <c r="BSS52" s="6"/>
      <c r="BST52" s="6"/>
      <c r="BSU52" s="6"/>
      <c r="BSV52" s="6"/>
      <c r="BSW52" s="6"/>
      <c r="BSX52" s="6"/>
      <c r="BSY52" s="6"/>
      <c r="BSZ52" s="6"/>
      <c r="BTA52" s="6"/>
      <c r="BTB52" s="6"/>
      <c r="BTC52" s="6"/>
      <c r="BTD52" s="6"/>
      <c r="BTE52" s="6"/>
      <c r="BTF52" s="6"/>
      <c r="BTG52" s="6"/>
      <c r="BTH52" s="6"/>
      <c r="BTI52" s="6"/>
      <c r="BTJ52" s="6"/>
      <c r="BTK52" s="6"/>
      <c r="BTL52" s="6"/>
      <c r="BTM52" s="6"/>
      <c r="BTN52" s="6"/>
      <c r="BTO52" s="6"/>
      <c r="BTP52" s="6"/>
      <c r="BTQ52" s="6"/>
      <c r="BTR52" s="6"/>
      <c r="BTS52" s="6"/>
      <c r="BTT52" s="6"/>
      <c r="BTU52" s="6"/>
      <c r="BTV52" s="6"/>
      <c r="BTW52" s="6"/>
      <c r="BTX52" s="6"/>
      <c r="BTY52" s="6"/>
      <c r="BTZ52" s="6"/>
      <c r="BUA52" s="6"/>
      <c r="BUB52" s="6"/>
      <c r="BUC52" s="6"/>
      <c r="BUD52" s="6"/>
      <c r="BUE52" s="6"/>
      <c r="BUF52" s="6"/>
      <c r="BUG52" s="6"/>
      <c r="BUH52" s="6"/>
      <c r="BUI52" s="6"/>
      <c r="BUJ52" s="6"/>
      <c r="BUK52" s="6"/>
      <c r="BUL52" s="6"/>
      <c r="BUM52" s="6"/>
      <c r="BUN52" s="6"/>
      <c r="BUO52" s="6"/>
      <c r="BUP52" s="6"/>
      <c r="BUQ52" s="6"/>
      <c r="BUR52" s="6"/>
      <c r="BUS52" s="6"/>
      <c r="BUT52" s="6"/>
      <c r="BUU52" s="6"/>
      <c r="BUV52" s="6"/>
      <c r="BUW52" s="6"/>
      <c r="BUX52" s="6"/>
      <c r="BUY52" s="6"/>
      <c r="BUZ52" s="6"/>
      <c r="BVA52" s="6"/>
      <c r="BVB52" s="6"/>
      <c r="BVC52" s="6"/>
      <c r="BVD52" s="6"/>
      <c r="BVE52" s="6"/>
      <c r="BVF52" s="6"/>
      <c r="BVG52" s="6"/>
      <c r="BVH52" s="6"/>
      <c r="BVI52" s="6"/>
      <c r="BVJ52" s="6"/>
      <c r="BVK52" s="6"/>
      <c r="BVL52" s="6"/>
      <c r="BVM52" s="6"/>
      <c r="BVN52" s="6"/>
      <c r="BVO52" s="6"/>
      <c r="BVP52" s="6"/>
      <c r="BVQ52" s="6"/>
      <c r="BVR52" s="6"/>
      <c r="BVS52" s="6"/>
      <c r="BVT52" s="6"/>
      <c r="BVU52" s="6"/>
      <c r="BVV52" s="6"/>
      <c r="BVW52" s="6"/>
      <c r="BVX52" s="6"/>
      <c r="BVY52" s="6"/>
      <c r="BVZ52" s="6"/>
      <c r="BWA52" s="6"/>
      <c r="BWB52" s="6"/>
      <c r="BWC52" s="6"/>
      <c r="BWD52" s="6"/>
      <c r="BWE52" s="6"/>
      <c r="BWF52" s="6"/>
      <c r="BWG52" s="6"/>
      <c r="BWH52" s="6"/>
      <c r="BWI52" s="6"/>
      <c r="BWJ52" s="6"/>
      <c r="BWK52" s="6"/>
      <c r="BWL52" s="6"/>
      <c r="BWM52" s="6"/>
      <c r="BWN52" s="6"/>
      <c r="BWO52" s="6"/>
      <c r="BWP52" s="6"/>
      <c r="BWQ52" s="6"/>
      <c r="BWR52" s="6"/>
      <c r="BWS52" s="6"/>
      <c r="BWT52" s="6"/>
      <c r="BWU52" s="6"/>
      <c r="BWV52" s="6"/>
      <c r="BWW52" s="6"/>
      <c r="BWX52" s="6"/>
      <c r="BWY52" s="6"/>
      <c r="BWZ52" s="6"/>
      <c r="BXA52" s="6"/>
      <c r="BXB52" s="6"/>
      <c r="BXC52" s="6"/>
      <c r="BXD52" s="6"/>
      <c r="BXE52" s="6"/>
      <c r="BXF52" s="6"/>
      <c r="BXG52" s="6"/>
      <c r="BXH52" s="6"/>
      <c r="BXI52" s="6"/>
      <c r="BXJ52" s="6"/>
      <c r="BXK52" s="6"/>
      <c r="BXL52" s="6"/>
      <c r="BXM52" s="6"/>
      <c r="BXN52" s="6"/>
      <c r="BXO52" s="6"/>
      <c r="BXP52" s="6"/>
      <c r="BXQ52" s="6"/>
      <c r="BXR52" s="6"/>
      <c r="BXS52" s="6"/>
      <c r="BXT52" s="6"/>
      <c r="BXU52" s="6"/>
      <c r="BXV52" s="6"/>
      <c r="BXW52" s="6"/>
      <c r="BXX52" s="6"/>
      <c r="BXY52" s="6"/>
      <c r="BXZ52" s="6"/>
      <c r="BYA52" s="6"/>
      <c r="BYB52" s="6"/>
      <c r="BYC52" s="6"/>
      <c r="BYD52" s="6"/>
      <c r="BYE52" s="6"/>
      <c r="BYF52" s="6"/>
      <c r="BYG52" s="6"/>
      <c r="BYH52" s="6"/>
      <c r="BYI52" s="6"/>
      <c r="BYJ52" s="6"/>
      <c r="BYK52" s="6"/>
      <c r="BYL52" s="6"/>
      <c r="BYM52" s="6"/>
      <c r="BYN52" s="6"/>
      <c r="BYO52" s="6"/>
      <c r="BYP52" s="6"/>
      <c r="BYQ52" s="6"/>
      <c r="BYR52" s="6"/>
      <c r="BYS52" s="6"/>
      <c r="BYT52" s="6"/>
      <c r="BYU52" s="6"/>
      <c r="BYV52" s="6"/>
      <c r="BYW52" s="6"/>
      <c r="BYX52" s="6"/>
      <c r="BYY52" s="6"/>
      <c r="BYZ52" s="6"/>
      <c r="BZA52" s="6"/>
      <c r="BZB52" s="6"/>
      <c r="BZC52" s="6"/>
      <c r="BZD52" s="6"/>
      <c r="BZE52" s="6"/>
      <c r="BZF52" s="6"/>
      <c r="BZG52" s="6"/>
      <c r="BZH52" s="6"/>
      <c r="BZI52" s="6"/>
      <c r="BZJ52" s="6"/>
      <c r="BZK52" s="6"/>
      <c r="BZL52" s="6"/>
      <c r="BZM52" s="6"/>
      <c r="BZN52" s="6"/>
      <c r="BZO52" s="6"/>
      <c r="BZP52" s="6"/>
      <c r="BZQ52" s="6"/>
      <c r="BZR52" s="6"/>
      <c r="BZS52" s="6"/>
      <c r="BZT52" s="6"/>
      <c r="BZU52" s="6"/>
      <c r="BZV52" s="6"/>
      <c r="BZW52" s="6"/>
      <c r="BZX52" s="6"/>
      <c r="BZY52" s="6"/>
      <c r="BZZ52" s="6"/>
      <c r="CAA52" s="6"/>
      <c r="CAB52" s="6"/>
      <c r="CAC52" s="6"/>
      <c r="CAD52" s="6"/>
      <c r="CAE52" s="6"/>
      <c r="CAF52" s="6"/>
      <c r="CAG52" s="6"/>
      <c r="CAH52" s="6"/>
      <c r="CAI52" s="6"/>
      <c r="CAJ52" s="6"/>
      <c r="CAK52" s="6"/>
      <c r="CAL52" s="6"/>
      <c r="CAM52" s="6"/>
      <c r="CAN52" s="6"/>
      <c r="CAO52" s="6"/>
      <c r="CAP52" s="6"/>
      <c r="CAQ52" s="6"/>
      <c r="CAR52" s="6"/>
      <c r="CAS52" s="6"/>
      <c r="CAT52" s="6"/>
      <c r="CAU52" s="6"/>
      <c r="CAV52" s="6"/>
      <c r="CAW52" s="6"/>
      <c r="CAX52" s="6"/>
      <c r="CAY52" s="6"/>
      <c r="CAZ52" s="6"/>
      <c r="CBA52" s="6"/>
      <c r="CBB52" s="6"/>
      <c r="CBC52" s="6"/>
      <c r="CBD52" s="6"/>
      <c r="CBE52" s="6"/>
      <c r="CBF52" s="6"/>
      <c r="CBG52" s="6"/>
      <c r="CBH52" s="6"/>
      <c r="CBI52" s="6"/>
      <c r="CBJ52" s="6"/>
      <c r="CBK52" s="6"/>
      <c r="CBL52" s="6"/>
      <c r="CBM52" s="6"/>
      <c r="CBN52" s="6"/>
      <c r="CBO52" s="6"/>
      <c r="CBP52" s="6"/>
      <c r="CBQ52" s="6"/>
      <c r="CBR52" s="6"/>
      <c r="CBS52" s="6"/>
      <c r="CBT52" s="6"/>
      <c r="CBU52" s="6"/>
      <c r="CBV52" s="6"/>
      <c r="CBW52" s="6"/>
      <c r="CBX52" s="6"/>
      <c r="CBY52" s="6"/>
      <c r="CBZ52" s="6"/>
      <c r="CCA52" s="6"/>
      <c r="CCB52" s="6"/>
      <c r="CCC52" s="6"/>
      <c r="CCD52" s="6"/>
      <c r="CCE52" s="6"/>
      <c r="CCF52" s="6"/>
      <c r="CCG52" s="6"/>
      <c r="CCH52" s="6"/>
      <c r="CCI52" s="6"/>
      <c r="CCJ52" s="6"/>
      <c r="CCK52" s="6"/>
      <c r="CCL52" s="6"/>
      <c r="CCM52" s="6"/>
      <c r="CCN52" s="6"/>
      <c r="CCO52" s="6"/>
      <c r="CCP52" s="6"/>
      <c r="CCQ52" s="6"/>
      <c r="CCR52" s="6"/>
      <c r="CCS52" s="6"/>
      <c r="CCT52" s="6"/>
      <c r="CCU52" s="6"/>
      <c r="CCV52" s="6"/>
      <c r="CCW52" s="6"/>
      <c r="CCX52" s="6"/>
      <c r="CCY52" s="6"/>
      <c r="CCZ52" s="6"/>
      <c r="CDA52" s="6"/>
      <c r="CDB52" s="6"/>
      <c r="CDC52" s="6"/>
      <c r="CDD52" s="6"/>
      <c r="CDE52" s="6"/>
      <c r="CDF52" s="6"/>
      <c r="CDG52" s="6"/>
      <c r="CDH52" s="6"/>
      <c r="CDI52" s="6"/>
      <c r="CDJ52" s="6"/>
      <c r="CDK52" s="6"/>
      <c r="CDL52" s="6"/>
      <c r="CDM52" s="6"/>
      <c r="CDN52" s="6"/>
      <c r="CDO52" s="6"/>
      <c r="CDP52" s="6"/>
      <c r="CDQ52" s="6"/>
      <c r="CDR52" s="6"/>
      <c r="CDS52" s="6"/>
      <c r="CDT52" s="6"/>
      <c r="CDU52" s="6"/>
      <c r="CDV52" s="6"/>
      <c r="CDW52" s="6"/>
      <c r="CDX52" s="6"/>
      <c r="CDY52" s="6"/>
      <c r="CDZ52" s="6"/>
      <c r="CEA52" s="6"/>
      <c r="CEB52" s="6"/>
      <c r="CEC52" s="6"/>
      <c r="CED52" s="6"/>
      <c r="CEE52" s="6"/>
      <c r="CEF52" s="6"/>
      <c r="CEG52" s="6"/>
      <c r="CEH52" s="6"/>
      <c r="CEI52" s="6"/>
      <c r="CEJ52" s="6"/>
      <c r="CEK52" s="6"/>
      <c r="CEL52" s="6"/>
      <c r="CEM52" s="6"/>
      <c r="CEN52" s="6"/>
      <c r="CEO52" s="6"/>
      <c r="CEP52" s="6"/>
      <c r="CEQ52" s="6"/>
      <c r="CER52" s="6"/>
      <c r="CES52" s="6"/>
      <c r="CET52" s="6"/>
      <c r="CEU52" s="6"/>
      <c r="CEV52" s="6"/>
      <c r="CEW52" s="6"/>
      <c r="CEX52" s="6"/>
      <c r="CEY52" s="6"/>
      <c r="CEZ52" s="6"/>
      <c r="CFA52" s="6"/>
      <c r="CFB52" s="6"/>
      <c r="CFC52" s="6"/>
      <c r="CFD52" s="6"/>
      <c r="CFE52" s="6"/>
      <c r="CFF52" s="6"/>
      <c r="CFG52" s="6"/>
      <c r="CFH52" s="6"/>
      <c r="CFI52" s="6"/>
      <c r="CFJ52" s="6"/>
      <c r="CFK52" s="6"/>
      <c r="CFL52" s="6"/>
      <c r="CFM52" s="6"/>
      <c r="CFN52" s="6"/>
      <c r="CFO52" s="6"/>
      <c r="CFP52" s="6"/>
      <c r="CFQ52" s="6"/>
      <c r="CFR52" s="6"/>
      <c r="CFS52" s="6"/>
      <c r="CFT52" s="6"/>
      <c r="CFU52" s="6"/>
      <c r="CFV52" s="6"/>
      <c r="CFW52" s="6"/>
      <c r="CFX52" s="6"/>
      <c r="CFY52" s="6"/>
      <c r="CFZ52" s="6"/>
      <c r="CGA52" s="6"/>
      <c r="CGB52" s="6"/>
      <c r="CGC52" s="6"/>
      <c r="CGD52" s="6"/>
      <c r="CGE52" s="6"/>
      <c r="CGF52" s="6"/>
      <c r="CGG52" s="6"/>
      <c r="CGH52" s="6"/>
      <c r="CGI52" s="6"/>
      <c r="CGJ52" s="6"/>
      <c r="CGK52" s="6"/>
      <c r="CGL52" s="6"/>
      <c r="CGM52" s="6"/>
      <c r="CGN52" s="6"/>
      <c r="CGO52" s="6"/>
      <c r="CGP52" s="6"/>
      <c r="CGQ52" s="6"/>
      <c r="CGR52" s="6"/>
      <c r="CGS52" s="6"/>
      <c r="CGT52" s="6"/>
      <c r="CGU52" s="6"/>
      <c r="CGV52" s="6"/>
      <c r="CGW52" s="6"/>
      <c r="CGX52" s="6"/>
      <c r="CGY52" s="6"/>
      <c r="CGZ52" s="6"/>
      <c r="CHA52" s="6"/>
      <c r="CHB52" s="6"/>
      <c r="CHC52" s="6"/>
      <c r="CHD52" s="6"/>
      <c r="CHE52" s="6"/>
      <c r="CHF52" s="6"/>
      <c r="CHG52" s="6"/>
      <c r="CHH52" s="6"/>
      <c r="CHI52" s="6"/>
      <c r="CHJ52" s="6"/>
      <c r="CHK52" s="6"/>
      <c r="CHL52" s="6"/>
      <c r="CHM52" s="6"/>
      <c r="CHN52" s="6"/>
      <c r="CHO52" s="6"/>
      <c r="CHP52" s="6"/>
      <c r="CHQ52" s="6"/>
      <c r="CHR52" s="6"/>
      <c r="CHS52" s="6"/>
      <c r="CHT52" s="6"/>
      <c r="CHU52" s="6"/>
      <c r="CHV52" s="6"/>
      <c r="CHW52" s="6"/>
      <c r="CHX52" s="6"/>
      <c r="CHY52" s="6"/>
      <c r="CHZ52" s="6"/>
      <c r="CIA52" s="6"/>
      <c r="CIB52" s="6"/>
      <c r="CIC52" s="6"/>
      <c r="CID52" s="6"/>
      <c r="CIE52" s="6"/>
      <c r="CIF52" s="6"/>
      <c r="CIG52" s="6"/>
      <c r="CIH52" s="6"/>
      <c r="CII52" s="6"/>
      <c r="CIJ52" s="6"/>
      <c r="CIK52" s="6"/>
      <c r="CIL52" s="6"/>
      <c r="CIM52" s="6"/>
      <c r="CIN52" s="6"/>
      <c r="CIO52" s="6"/>
      <c r="CIP52" s="6"/>
      <c r="CIQ52" s="6"/>
      <c r="CIR52" s="6"/>
      <c r="CIS52" s="6"/>
      <c r="CIT52" s="6"/>
      <c r="CIU52" s="6"/>
      <c r="CIV52" s="6"/>
      <c r="CIW52" s="6"/>
      <c r="CIX52" s="6"/>
      <c r="CIY52" s="6"/>
      <c r="CIZ52" s="6"/>
      <c r="CJA52" s="6"/>
      <c r="CJB52" s="6"/>
      <c r="CJC52" s="6"/>
      <c r="CJD52" s="6"/>
      <c r="CJE52" s="6"/>
      <c r="CJF52" s="6"/>
      <c r="CJG52" s="6"/>
      <c r="CJH52" s="6"/>
      <c r="CJI52" s="6"/>
      <c r="CJJ52" s="6"/>
      <c r="CJK52" s="6"/>
      <c r="CJL52" s="6"/>
      <c r="CJM52" s="6"/>
      <c r="CJN52" s="6"/>
      <c r="CJO52" s="6"/>
      <c r="CJP52" s="6"/>
      <c r="CJQ52" s="6"/>
      <c r="CJR52" s="6"/>
      <c r="CJS52" s="6"/>
      <c r="CJT52" s="6"/>
      <c r="CJU52" s="6"/>
      <c r="CJV52" s="6"/>
      <c r="CJW52" s="6"/>
      <c r="CJX52" s="6"/>
      <c r="CJY52" s="6"/>
      <c r="CJZ52" s="6"/>
      <c r="CKA52" s="6"/>
      <c r="CKB52" s="6"/>
      <c r="CKC52" s="6"/>
      <c r="CKD52" s="6"/>
      <c r="CKE52" s="6"/>
      <c r="CKF52" s="6"/>
      <c r="CKG52" s="6"/>
      <c r="CKH52" s="6"/>
      <c r="CKI52" s="6"/>
      <c r="CKJ52" s="6"/>
      <c r="CKK52" s="6"/>
      <c r="CKL52" s="6"/>
      <c r="CKM52" s="6"/>
      <c r="CKN52" s="6"/>
      <c r="CKO52" s="6"/>
      <c r="CKP52" s="6"/>
      <c r="CKQ52" s="6"/>
      <c r="CKR52" s="6"/>
      <c r="CKS52" s="6"/>
      <c r="CKT52" s="6"/>
      <c r="CKU52" s="6"/>
      <c r="CKV52" s="6"/>
      <c r="CKW52" s="6"/>
      <c r="CKX52" s="6"/>
      <c r="CKY52" s="6"/>
      <c r="CKZ52" s="6"/>
      <c r="CLA52" s="6"/>
      <c r="CLB52" s="6"/>
      <c r="CLC52" s="6"/>
      <c r="CLD52" s="6"/>
      <c r="CLE52" s="6"/>
      <c r="CLF52" s="6"/>
      <c r="CLG52" s="6"/>
      <c r="CLH52" s="6"/>
      <c r="CLI52" s="6"/>
      <c r="CLJ52" s="6"/>
      <c r="CLK52" s="6"/>
      <c r="CLL52" s="6"/>
      <c r="CLM52" s="6"/>
      <c r="CLN52" s="6"/>
      <c r="CLO52" s="6"/>
      <c r="CLP52" s="6"/>
      <c r="CLQ52" s="6"/>
      <c r="CLR52" s="6"/>
      <c r="CLS52" s="6"/>
      <c r="CLT52" s="6"/>
      <c r="CLU52" s="6"/>
      <c r="CLV52" s="6"/>
      <c r="CLW52" s="6"/>
      <c r="CLX52" s="6"/>
      <c r="CLY52" s="6"/>
      <c r="CLZ52" s="6"/>
      <c r="CMA52" s="6"/>
      <c r="CMB52" s="6"/>
      <c r="CMC52" s="6"/>
      <c r="CMD52" s="6"/>
      <c r="CME52" s="6"/>
      <c r="CMF52" s="6"/>
      <c r="CMG52" s="6"/>
      <c r="CMH52" s="6"/>
      <c r="CMI52" s="6"/>
      <c r="CMJ52" s="6"/>
      <c r="CMK52" s="6"/>
      <c r="CML52" s="6"/>
      <c r="CMM52" s="6"/>
      <c r="CMN52" s="6"/>
      <c r="CMO52" s="6"/>
      <c r="CMP52" s="6"/>
      <c r="CMQ52" s="6"/>
      <c r="CMR52" s="6"/>
      <c r="CMS52" s="6"/>
      <c r="CMT52" s="6"/>
      <c r="CMU52" s="6"/>
      <c r="CMV52" s="6"/>
      <c r="CMW52" s="6"/>
      <c r="CMX52" s="6"/>
      <c r="CMY52" s="6"/>
      <c r="CMZ52" s="6"/>
      <c r="CNA52" s="6"/>
      <c r="CNB52" s="6"/>
      <c r="CNC52" s="6"/>
      <c r="CND52" s="6"/>
      <c r="CNE52" s="6"/>
      <c r="CNF52" s="6"/>
      <c r="CNG52" s="6"/>
      <c r="CNH52" s="6"/>
      <c r="CNI52" s="6"/>
      <c r="CNJ52" s="6"/>
      <c r="CNK52" s="6"/>
      <c r="CNL52" s="6"/>
      <c r="CNM52" s="6"/>
      <c r="CNN52" s="6"/>
      <c r="CNO52" s="6"/>
      <c r="CNP52" s="6"/>
      <c r="CNQ52" s="6"/>
      <c r="CNR52" s="6"/>
      <c r="CNS52" s="6"/>
      <c r="CNT52" s="6"/>
      <c r="CNU52" s="6"/>
      <c r="CNV52" s="6"/>
      <c r="CNW52" s="6"/>
      <c r="CNX52" s="6"/>
      <c r="CNY52" s="6"/>
      <c r="CNZ52" s="6"/>
      <c r="COA52" s="6"/>
      <c r="COB52" s="6"/>
      <c r="COC52" s="6"/>
      <c r="COD52" s="6"/>
      <c r="COE52" s="6"/>
      <c r="COF52" s="6"/>
      <c r="COG52" s="6"/>
      <c r="COH52" s="6"/>
      <c r="COI52" s="6"/>
      <c r="COJ52" s="6"/>
      <c r="COK52" s="6"/>
      <c r="COL52" s="6"/>
      <c r="COM52" s="6"/>
      <c r="CON52" s="6"/>
      <c r="COO52" s="6"/>
      <c r="COP52" s="6"/>
      <c r="COQ52" s="6"/>
      <c r="COR52" s="6"/>
      <c r="COS52" s="6"/>
      <c r="COT52" s="6"/>
      <c r="COU52" s="6"/>
      <c r="COV52" s="6"/>
      <c r="COW52" s="6"/>
      <c r="COX52" s="6"/>
      <c r="COY52" s="6"/>
      <c r="COZ52" s="6"/>
      <c r="CPA52" s="6"/>
      <c r="CPB52" s="6"/>
      <c r="CPC52" s="6"/>
      <c r="CPD52" s="6"/>
      <c r="CPE52" s="6"/>
      <c r="CPF52" s="6"/>
      <c r="CPG52" s="6"/>
      <c r="CPH52" s="6"/>
      <c r="CPI52" s="6"/>
      <c r="CPJ52" s="6"/>
      <c r="CPK52" s="6"/>
      <c r="CPL52" s="6"/>
      <c r="CPM52" s="6"/>
      <c r="CPN52" s="6"/>
      <c r="CPO52" s="6"/>
      <c r="CPP52" s="6"/>
      <c r="CPQ52" s="6"/>
      <c r="CPR52" s="6"/>
      <c r="CPS52" s="6"/>
      <c r="CPT52" s="6"/>
      <c r="CPU52" s="6"/>
      <c r="CPV52" s="6"/>
      <c r="CPW52" s="6"/>
      <c r="CPX52" s="6"/>
      <c r="CPY52" s="6"/>
      <c r="CPZ52" s="6"/>
      <c r="CQA52" s="6"/>
      <c r="CQB52" s="6"/>
      <c r="CQC52" s="6"/>
      <c r="CQD52" s="6"/>
      <c r="CQE52" s="6"/>
      <c r="CQF52" s="6"/>
      <c r="CQG52" s="6"/>
      <c r="CQH52" s="6"/>
      <c r="CQI52" s="6"/>
      <c r="CQJ52" s="6"/>
      <c r="CQK52" s="6"/>
      <c r="CQL52" s="6"/>
      <c r="CQM52" s="6"/>
      <c r="CQN52" s="6"/>
      <c r="CQO52" s="6"/>
      <c r="CQP52" s="6"/>
      <c r="CQQ52" s="6"/>
      <c r="CQR52" s="6"/>
      <c r="CQS52" s="6"/>
      <c r="CQT52" s="6"/>
      <c r="CQU52" s="6"/>
      <c r="CQV52" s="6"/>
      <c r="CQW52" s="6"/>
      <c r="CQX52" s="6"/>
      <c r="CQY52" s="6"/>
      <c r="CQZ52" s="6"/>
      <c r="CRA52" s="6"/>
      <c r="CRB52" s="6"/>
      <c r="CRC52" s="6"/>
      <c r="CRD52" s="6"/>
      <c r="CRE52" s="6"/>
      <c r="CRF52" s="6"/>
      <c r="CRG52" s="6"/>
      <c r="CRH52" s="6"/>
      <c r="CRI52" s="6"/>
      <c r="CRJ52" s="6"/>
      <c r="CRK52" s="6"/>
      <c r="CRL52" s="6"/>
      <c r="CRM52" s="6"/>
      <c r="CRN52" s="6"/>
      <c r="CRO52" s="6"/>
      <c r="CRP52" s="6"/>
      <c r="CRQ52" s="6"/>
      <c r="CRR52" s="6"/>
      <c r="CRS52" s="6"/>
      <c r="CRT52" s="6"/>
      <c r="CRU52" s="6"/>
      <c r="CRV52" s="6"/>
      <c r="CRW52" s="6"/>
      <c r="CRX52" s="6"/>
      <c r="CRY52" s="6"/>
      <c r="CRZ52" s="6"/>
      <c r="CSA52" s="6"/>
      <c r="CSB52" s="6"/>
      <c r="CSC52" s="6"/>
      <c r="CSD52" s="6"/>
      <c r="CSE52" s="6"/>
      <c r="CSF52" s="6"/>
      <c r="CSG52" s="6"/>
      <c r="CSH52" s="6"/>
      <c r="CSI52" s="6"/>
      <c r="CSJ52" s="6"/>
      <c r="CSK52" s="6"/>
      <c r="CSL52" s="6"/>
      <c r="CSM52" s="6"/>
      <c r="CSN52" s="6"/>
      <c r="CSO52" s="6"/>
      <c r="CSP52" s="6"/>
      <c r="CSQ52" s="6"/>
      <c r="CSR52" s="6"/>
      <c r="CSS52" s="6"/>
      <c r="CST52" s="6"/>
      <c r="CSU52" s="6"/>
      <c r="CSV52" s="6"/>
      <c r="CSW52" s="6"/>
      <c r="CSX52" s="6"/>
      <c r="CSY52" s="6"/>
      <c r="CSZ52" s="6"/>
      <c r="CTA52" s="6"/>
      <c r="CTB52" s="6"/>
      <c r="CTC52" s="6"/>
      <c r="CTD52" s="6"/>
      <c r="CTE52" s="6"/>
      <c r="CTF52" s="6"/>
      <c r="CTG52" s="6"/>
      <c r="CTH52" s="6"/>
      <c r="CTI52" s="6"/>
      <c r="CTJ52" s="6"/>
      <c r="CTK52" s="6"/>
      <c r="CTL52" s="6"/>
      <c r="CTM52" s="6"/>
      <c r="CTN52" s="6"/>
      <c r="CTO52" s="6"/>
      <c r="CTP52" s="6"/>
      <c r="CTQ52" s="6"/>
      <c r="CTR52" s="6"/>
      <c r="CTS52" s="6"/>
      <c r="CTT52" s="6"/>
      <c r="CTU52" s="6"/>
      <c r="CTV52" s="6"/>
      <c r="CTW52" s="6"/>
      <c r="CTX52" s="6"/>
      <c r="CTY52" s="6"/>
      <c r="CTZ52" s="6"/>
      <c r="CUA52" s="6"/>
      <c r="CUB52" s="6"/>
      <c r="CUC52" s="6"/>
      <c r="CUD52" s="6"/>
      <c r="CUE52" s="6"/>
      <c r="CUF52" s="6"/>
      <c r="CUG52" s="6"/>
      <c r="CUH52" s="6"/>
      <c r="CUI52" s="6"/>
      <c r="CUJ52" s="6"/>
      <c r="CUK52" s="6"/>
      <c r="CUL52" s="6"/>
      <c r="CUM52" s="6"/>
      <c r="CUN52" s="6"/>
      <c r="CUO52" s="6"/>
      <c r="CUP52" s="6"/>
      <c r="CUQ52" s="6"/>
      <c r="CUR52" s="6"/>
      <c r="CUS52" s="6"/>
      <c r="CUT52" s="6"/>
      <c r="CUU52" s="6"/>
      <c r="CUV52" s="6"/>
      <c r="CUW52" s="6"/>
      <c r="CUX52" s="6"/>
      <c r="CUY52" s="6"/>
      <c r="CUZ52" s="6"/>
      <c r="CVA52" s="6"/>
      <c r="CVB52" s="6"/>
      <c r="CVC52" s="6"/>
      <c r="CVD52" s="6"/>
      <c r="CVE52" s="6"/>
      <c r="CVF52" s="6"/>
      <c r="CVG52" s="6"/>
      <c r="CVH52" s="6"/>
      <c r="CVI52" s="6"/>
      <c r="CVJ52" s="6"/>
      <c r="CVK52" s="6"/>
      <c r="CVL52" s="6"/>
      <c r="CVM52" s="6"/>
      <c r="CVN52" s="6"/>
      <c r="CVO52" s="6"/>
      <c r="CVP52" s="6"/>
      <c r="CVQ52" s="6"/>
      <c r="CVR52" s="6"/>
      <c r="CVS52" s="6"/>
      <c r="CVT52" s="6"/>
      <c r="CVU52" s="6"/>
      <c r="CVV52" s="6"/>
      <c r="CVW52" s="6"/>
      <c r="CVX52" s="6"/>
      <c r="CVY52" s="6"/>
      <c r="CVZ52" s="6"/>
      <c r="CWA52" s="6"/>
      <c r="CWB52" s="6"/>
      <c r="CWC52" s="6"/>
      <c r="CWD52" s="6"/>
      <c r="CWE52" s="6"/>
      <c r="CWF52" s="6"/>
      <c r="CWG52" s="6"/>
      <c r="CWH52" s="6"/>
      <c r="CWI52" s="6"/>
      <c r="CWJ52" s="6"/>
      <c r="CWK52" s="6"/>
      <c r="CWL52" s="6"/>
      <c r="CWM52" s="6"/>
      <c r="CWN52" s="6"/>
      <c r="CWO52" s="6"/>
      <c r="CWP52" s="6"/>
      <c r="CWQ52" s="6"/>
      <c r="CWR52" s="6"/>
      <c r="CWS52" s="6"/>
      <c r="CWT52" s="6"/>
      <c r="CWU52" s="6"/>
      <c r="CWV52" s="6"/>
      <c r="CWW52" s="6"/>
      <c r="CWX52" s="6"/>
      <c r="CWY52" s="6"/>
      <c r="CWZ52" s="6"/>
      <c r="CXA52" s="6"/>
      <c r="CXB52" s="6"/>
      <c r="CXC52" s="6"/>
      <c r="CXD52" s="6"/>
      <c r="CXE52" s="6"/>
      <c r="CXF52" s="6"/>
      <c r="CXG52" s="6"/>
      <c r="CXH52" s="6"/>
      <c r="CXI52" s="6"/>
      <c r="CXJ52" s="6"/>
      <c r="CXK52" s="6"/>
      <c r="CXL52" s="6"/>
      <c r="CXM52" s="6"/>
      <c r="CXN52" s="6"/>
      <c r="CXO52" s="6"/>
      <c r="CXP52" s="6"/>
      <c r="CXQ52" s="6"/>
      <c r="CXR52" s="6"/>
      <c r="CXS52" s="6"/>
      <c r="CXT52" s="6"/>
      <c r="CXU52" s="6"/>
      <c r="CXV52" s="6"/>
      <c r="CXW52" s="6"/>
      <c r="CXX52" s="6"/>
      <c r="CXY52" s="6"/>
      <c r="CXZ52" s="6"/>
      <c r="CYA52" s="6"/>
      <c r="CYB52" s="6"/>
      <c r="CYC52" s="6"/>
      <c r="CYD52" s="6"/>
      <c r="CYE52" s="6"/>
      <c r="CYF52" s="6"/>
      <c r="CYG52" s="6"/>
      <c r="CYH52" s="6"/>
      <c r="CYI52" s="6"/>
      <c r="CYJ52" s="6"/>
      <c r="CYK52" s="6"/>
      <c r="CYL52" s="6"/>
      <c r="CYM52" s="6"/>
      <c r="CYN52" s="6"/>
      <c r="CYO52" s="6"/>
      <c r="CYP52" s="6"/>
      <c r="CYQ52" s="6"/>
      <c r="CYR52" s="6"/>
      <c r="CYS52" s="6"/>
      <c r="CYT52" s="6"/>
      <c r="CYU52" s="6"/>
      <c r="CYV52" s="6"/>
      <c r="CYW52" s="6"/>
      <c r="CYX52" s="6"/>
      <c r="CYY52" s="6"/>
      <c r="CYZ52" s="6"/>
      <c r="CZA52" s="6"/>
      <c r="CZB52" s="6"/>
      <c r="CZC52" s="6"/>
      <c r="CZD52" s="6"/>
      <c r="CZE52" s="6"/>
      <c r="CZF52" s="6"/>
      <c r="CZG52" s="6"/>
      <c r="CZH52" s="6"/>
      <c r="CZI52" s="6"/>
      <c r="CZJ52" s="6"/>
      <c r="CZK52" s="6"/>
      <c r="CZL52" s="6"/>
      <c r="CZM52" s="6"/>
      <c r="CZN52" s="6"/>
      <c r="CZO52" s="6"/>
      <c r="CZP52" s="6"/>
      <c r="CZQ52" s="6"/>
      <c r="CZR52" s="6"/>
      <c r="CZS52" s="6"/>
      <c r="CZT52" s="6"/>
      <c r="CZU52" s="6"/>
      <c r="CZV52" s="6"/>
      <c r="CZW52" s="6"/>
      <c r="CZX52" s="6"/>
      <c r="CZY52" s="6"/>
      <c r="CZZ52" s="6"/>
      <c r="DAA52" s="6"/>
      <c r="DAB52" s="6"/>
      <c r="DAC52" s="6"/>
      <c r="DAD52" s="6"/>
      <c r="DAE52" s="6"/>
      <c r="DAF52" s="6"/>
      <c r="DAG52" s="6"/>
      <c r="DAH52" s="6"/>
      <c r="DAI52" s="6"/>
      <c r="DAJ52" s="6"/>
      <c r="DAK52" s="6"/>
      <c r="DAL52" s="6"/>
      <c r="DAM52" s="6"/>
      <c r="DAN52" s="6"/>
      <c r="DAO52" s="6"/>
      <c r="DAP52" s="6"/>
      <c r="DAQ52" s="6"/>
      <c r="DAR52" s="6"/>
      <c r="DAS52" s="6"/>
      <c r="DAT52" s="6"/>
      <c r="DAU52" s="6"/>
      <c r="DAV52" s="6"/>
      <c r="DAW52" s="6"/>
      <c r="DAX52" s="6"/>
      <c r="DAY52" s="6"/>
      <c r="DAZ52" s="6"/>
      <c r="DBA52" s="6"/>
      <c r="DBB52" s="6"/>
      <c r="DBC52" s="6"/>
      <c r="DBD52" s="6"/>
      <c r="DBE52" s="6"/>
      <c r="DBF52" s="6"/>
      <c r="DBG52" s="6"/>
      <c r="DBH52" s="6"/>
      <c r="DBI52" s="6"/>
      <c r="DBJ52" s="6"/>
      <c r="DBK52" s="6"/>
      <c r="DBL52" s="6"/>
      <c r="DBM52" s="6"/>
      <c r="DBN52" s="6"/>
      <c r="DBO52" s="6"/>
      <c r="DBP52" s="6"/>
      <c r="DBQ52" s="6"/>
      <c r="DBR52" s="6"/>
      <c r="DBS52" s="6"/>
      <c r="DBT52" s="6"/>
      <c r="DBU52" s="6"/>
      <c r="DBV52" s="6"/>
      <c r="DBW52" s="6"/>
      <c r="DBX52" s="6"/>
      <c r="DBY52" s="6"/>
      <c r="DBZ52" s="6"/>
      <c r="DCA52" s="6"/>
      <c r="DCB52" s="6"/>
      <c r="DCC52" s="6"/>
      <c r="DCD52" s="6"/>
      <c r="DCE52" s="6"/>
      <c r="DCF52" s="6"/>
      <c r="DCG52" s="6"/>
      <c r="DCH52" s="6"/>
      <c r="DCI52" s="6"/>
      <c r="DCJ52" s="6"/>
      <c r="DCK52" s="6"/>
      <c r="DCL52" s="6"/>
      <c r="DCM52" s="6"/>
      <c r="DCN52" s="6"/>
      <c r="DCO52" s="6"/>
      <c r="DCP52" s="6"/>
      <c r="DCQ52" s="6"/>
      <c r="DCR52" s="6"/>
      <c r="DCS52" s="6"/>
      <c r="DCT52" s="6"/>
      <c r="DCU52" s="6"/>
      <c r="DCV52" s="6"/>
      <c r="DCW52" s="6"/>
      <c r="DCX52" s="6"/>
      <c r="DCY52" s="6"/>
      <c r="DCZ52" s="6"/>
      <c r="DDA52" s="6"/>
      <c r="DDB52" s="6"/>
      <c r="DDC52" s="6"/>
      <c r="DDD52" s="6"/>
      <c r="DDE52" s="6"/>
      <c r="DDF52" s="6"/>
      <c r="DDG52" s="6"/>
      <c r="DDH52" s="6"/>
      <c r="DDI52" s="6"/>
      <c r="DDJ52" s="6"/>
      <c r="DDK52" s="6"/>
      <c r="DDL52" s="6"/>
      <c r="DDM52" s="6"/>
      <c r="DDN52" s="6"/>
      <c r="DDO52" s="6"/>
      <c r="DDP52" s="6"/>
      <c r="DDQ52" s="6"/>
      <c r="DDR52" s="6"/>
      <c r="DDS52" s="6"/>
      <c r="DDT52" s="6"/>
      <c r="DDU52" s="6"/>
      <c r="DDV52" s="6"/>
      <c r="DDW52" s="6"/>
      <c r="DDX52" s="6"/>
      <c r="DDY52" s="6"/>
      <c r="DDZ52" s="6"/>
      <c r="DEA52" s="6"/>
      <c r="DEB52" s="6"/>
      <c r="DEC52" s="6"/>
      <c r="DED52" s="6"/>
      <c r="DEE52" s="6"/>
      <c r="DEF52" s="6"/>
      <c r="DEG52" s="6"/>
      <c r="DEH52" s="6"/>
      <c r="DEI52" s="6"/>
      <c r="DEJ52" s="6"/>
      <c r="DEK52" s="6"/>
      <c r="DEL52" s="6"/>
      <c r="DEM52" s="6"/>
      <c r="DEN52" s="6"/>
      <c r="DEO52" s="6"/>
      <c r="DEP52" s="6"/>
      <c r="DEQ52" s="6"/>
      <c r="DER52" s="6"/>
      <c r="DES52" s="6"/>
      <c r="DET52" s="6"/>
      <c r="DEU52" s="6"/>
      <c r="DEV52" s="6"/>
      <c r="DEW52" s="6"/>
      <c r="DEX52" s="6"/>
      <c r="DEY52" s="6"/>
      <c r="DEZ52" s="6"/>
      <c r="DFA52" s="6"/>
      <c r="DFB52" s="6"/>
      <c r="DFC52" s="6"/>
      <c r="DFD52" s="6"/>
      <c r="DFE52" s="6"/>
      <c r="DFF52" s="6"/>
      <c r="DFG52" s="6"/>
      <c r="DFH52" s="6"/>
      <c r="DFI52" s="6"/>
      <c r="DFJ52" s="6"/>
      <c r="DFK52" s="6"/>
      <c r="DFL52" s="6"/>
      <c r="DFM52" s="6"/>
      <c r="DFN52" s="6"/>
      <c r="DFO52" s="6"/>
      <c r="DFP52" s="6"/>
      <c r="DFQ52" s="6"/>
      <c r="DFR52" s="6"/>
      <c r="DFS52" s="6"/>
      <c r="DFT52" s="6"/>
      <c r="DFU52" s="6"/>
      <c r="DFV52" s="6"/>
      <c r="DFW52" s="6"/>
      <c r="DFX52" s="6"/>
      <c r="DFY52" s="6"/>
      <c r="DFZ52" s="6"/>
      <c r="DGA52" s="6"/>
      <c r="DGB52" s="6"/>
      <c r="DGC52" s="6"/>
      <c r="DGD52" s="6"/>
      <c r="DGE52" s="6"/>
      <c r="DGF52" s="6"/>
      <c r="DGG52" s="6"/>
      <c r="DGH52" s="6"/>
      <c r="DGI52" s="6"/>
      <c r="DGJ52" s="6"/>
      <c r="DGK52" s="6"/>
      <c r="DGL52" s="6"/>
      <c r="DGM52" s="6"/>
      <c r="DGN52" s="6"/>
      <c r="DGO52" s="6"/>
      <c r="DGP52" s="6"/>
      <c r="DGQ52" s="6"/>
      <c r="DGR52" s="6"/>
      <c r="DGS52" s="6"/>
      <c r="DGT52" s="6"/>
      <c r="DGU52" s="6"/>
      <c r="DGV52" s="6"/>
      <c r="DGW52" s="6"/>
      <c r="DGX52" s="6"/>
      <c r="DGY52" s="6"/>
      <c r="DGZ52" s="6"/>
      <c r="DHA52" s="6"/>
      <c r="DHB52" s="6"/>
      <c r="DHC52" s="6"/>
      <c r="DHD52" s="6"/>
      <c r="DHE52" s="6"/>
      <c r="DHF52" s="6"/>
      <c r="DHG52" s="6"/>
      <c r="DHH52" s="6"/>
      <c r="DHI52" s="6"/>
      <c r="DHJ52" s="6"/>
      <c r="DHK52" s="6"/>
      <c r="DHL52" s="6"/>
      <c r="DHM52" s="6"/>
      <c r="DHN52" s="6"/>
      <c r="DHO52" s="6"/>
      <c r="DHP52" s="6"/>
      <c r="DHQ52" s="6"/>
      <c r="DHR52" s="6"/>
      <c r="DHS52" s="6"/>
      <c r="DHT52" s="6"/>
      <c r="DHU52" s="6"/>
      <c r="DHV52" s="6"/>
      <c r="DHW52" s="6"/>
      <c r="DHX52" s="6"/>
      <c r="DHY52" s="6"/>
      <c r="DHZ52" s="6"/>
      <c r="DIA52" s="6"/>
      <c r="DIB52" s="6"/>
      <c r="DIC52" s="6"/>
      <c r="DID52" s="6"/>
      <c r="DIE52" s="6"/>
      <c r="DIF52" s="6"/>
      <c r="DIG52" s="6"/>
      <c r="DIH52" s="6"/>
      <c r="DII52" s="6"/>
      <c r="DIJ52" s="6"/>
      <c r="DIK52" s="6"/>
      <c r="DIL52" s="6"/>
      <c r="DIM52" s="6"/>
      <c r="DIN52" s="6"/>
      <c r="DIO52" s="6"/>
      <c r="DIP52" s="6"/>
      <c r="DIQ52" s="6"/>
      <c r="DIR52" s="6"/>
      <c r="DIS52" s="6"/>
      <c r="DIT52" s="6"/>
      <c r="DIU52" s="6"/>
      <c r="DIV52" s="6"/>
      <c r="DIW52" s="6"/>
      <c r="DIX52" s="6"/>
      <c r="DIY52" s="6"/>
      <c r="DIZ52" s="6"/>
      <c r="DJA52" s="6"/>
      <c r="DJB52" s="6"/>
      <c r="DJC52" s="6"/>
      <c r="DJD52" s="6"/>
      <c r="DJE52" s="6"/>
      <c r="DJF52" s="6"/>
      <c r="DJG52" s="6"/>
      <c r="DJH52" s="6"/>
      <c r="DJI52" s="6"/>
      <c r="DJJ52" s="6"/>
      <c r="DJK52" s="6"/>
      <c r="DJL52" s="6"/>
      <c r="DJM52" s="6"/>
      <c r="DJN52" s="6"/>
      <c r="DJO52" s="6"/>
      <c r="DJP52" s="6"/>
      <c r="DJQ52" s="6"/>
      <c r="DJR52" s="6"/>
      <c r="DJS52" s="6"/>
      <c r="DJT52" s="6"/>
      <c r="DJU52" s="6"/>
      <c r="DJV52" s="6"/>
      <c r="DJW52" s="6"/>
      <c r="DJX52" s="6"/>
      <c r="DJY52" s="6"/>
      <c r="DJZ52" s="6"/>
      <c r="DKA52" s="6"/>
      <c r="DKB52" s="6"/>
      <c r="DKC52" s="6"/>
      <c r="DKD52" s="6"/>
      <c r="DKE52" s="6"/>
      <c r="DKF52" s="6"/>
      <c r="DKG52" s="6"/>
      <c r="DKH52" s="6"/>
      <c r="DKI52" s="6"/>
      <c r="DKJ52" s="6"/>
      <c r="DKK52" s="6"/>
      <c r="DKL52" s="6"/>
      <c r="DKM52" s="6"/>
      <c r="DKN52" s="6"/>
      <c r="DKO52" s="6"/>
      <c r="DKP52" s="6"/>
      <c r="DKQ52" s="6"/>
      <c r="DKR52" s="6"/>
      <c r="DKS52" s="6"/>
      <c r="DKT52" s="6"/>
      <c r="DKU52" s="6"/>
      <c r="DKV52" s="6"/>
      <c r="DKW52" s="6"/>
      <c r="DKX52" s="6"/>
      <c r="DKY52" s="6"/>
      <c r="DKZ52" s="6"/>
      <c r="DLA52" s="6"/>
      <c r="DLB52" s="6"/>
      <c r="DLC52" s="6"/>
      <c r="DLD52" s="6"/>
      <c r="DLE52" s="6"/>
      <c r="DLF52" s="6"/>
      <c r="DLG52" s="6"/>
      <c r="DLH52" s="6"/>
      <c r="DLI52" s="6"/>
      <c r="DLJ52" s="6"/>
      <c r="DLK52" s="6"/>
      <c r="DLL52" s="6"/>
      <c r="DLM52" s="6"/>
      <c r="DLN52" s="6"/>
      <c r="DLO52" s="6"/>
      <c r="DLP52" s="6"/>
      <c r="DLQ52" s="6"/>
      <c r="DLR52" s="6"/>
      <c r="DLS52" s="6"/>
      <c r="DLT52" s="6"/>
      <c r="DLU52" s="6"/>
      <c r="DLV52" s="6"/>
      <c r="DLW52" s="6"/>
      <c r="DLX52" s="6"/>
      <c r="DLY52" s="6"/>
      <c r="DLZ52" s="6"/>
      <c r="DMA52" s="6"/>
      <c r="DMB52" s="6"/>
      <c r="DMC52" s="6"/>
      <c r="DMD52" s="6"/>
      <c r="DME52" s="6"/>
      <c r="DMF52" s="6"/>
      <c r="DMG52" s="6"/>
      <c r="DMH52" s="6"/>
      <c r="DMI52" s="6"/>
      <c r="DMJ52" s="6"/>
      <c r="DMK52" s="6"/>
      <c r="DML52" s="6"/>
      <c r="DMM52" s="6"/>
      <c r="DMN52" s="6"/>
      <c r="DMO52" s="6"/>
      <c r="DMP52" s="6"/>
      <c r="DMQ52" s="6"/>
      <c r="DMR52" s="6"/>
      <c r="DMS52" s="6"/>
      <c r="DMT52" s="6"/>
      <c r="DMU52" s="6"/>
      <c r="DMV52" s="6"/>
      <c r="DMW52" s="6"/>
      <c r="DMX52" s="6"/>
      <c r="DMY52" s="6"/>
      <c r="DMZ52" s="6"/>
      <c r="DNA52" s="6"/>
      <c r="DNB52" s="6"/>
      <c r="DNC52" s="6"/>
      <c r="DND52" s="6"/>
      <c r="DNE52" s="6"/>
      <c r="DNF52" s="6"/>
      <c r="DNG52" s="6"/>
      <c r="DNH52" s="6"/>
      <c r="DNI52" s="6"/>
      <c r="DNJ52" s="6"/>
      <c r="DNK52" s="6"/>
      <c r="DNL52" s="6"/>
      <c r="DNM52" s="6"/>
      <c r="DNN52" s="6"/>
      <c r="DNO52" s="6"/>
      <c r="DNP52" s="6"/>
      <c r="DNQ52" s="6"/>
      <c r="DNR52" s="6"/>
      <c r="DNS52" s="6"/>
      <c r="DNT52" s="6"/>
      <c r="DNU52" s="6"/>
      <c r="DNV52" s="6"/>
      <c r="DNW52" s="6"/>
      <c r="DNX52" s="6"/>
      <c r="DNY52" s="6"/>
      <c r="DNZ52" s="6"/>
      <c r="DOA52" s="6"/>
      <c r="DOB52" s="6"/>
      <c r="DOC52" s="6"/>
      <c r="DOD52" s="6"/>
      <c r="DOE52" s="6"/>
      <c r="DOF52" s="6"/>
      <c r="DOG52" s="6"/>
      <c r="DOH52" s="6"/>
      <c r="DOI52" s="6"/>
      <c r="DOJ52" s="6"/>
      <c r="DOK52" s="6"/>
      <c r="DOL52" s="6"/>
      <c r="DOM52" s="6"/>
      <c r="DON52" s="6"/>
      <c r="DOO52" s="6"/>
      <c r="DOP52" s="6"/>
      <c r="DOQ52" s="6"/>
      <c r="DOR52" s="6"/>
      <c r="DOS52" s="6"/>
      <c r="DOT52" s="6"/>
      <c r="DOU52" s="6"/>
      <c r="DOV52" s="6"/>
      <c r="DOW52" s="6"/>
      <c r="DOX52" s="6"/>
      <c r="DOY52" s="6"/>
      <c r="DOZ52" s="6"/>
      <c r="DPA52" s="6"/>
      <c r="DPB52" s="6"/>
      <c r="DPC52" s="6"/>
      <c r="DPD52" s="6"/>
      <c r="DPE52" s="6"/>
      <c r="DPF52" s="6"/>
      <c r="DPG52" s="6"/>
      <c r="DPH52" s="6"/>
      <c r="DPI52" s="6"/>
      <c r="DPJ52" s="6"/>
      <c r="DPK52" s="6"/>
      <c r="DPL52" s="6"/>
      <c r="DPM52" s="6"/>
      <c r="DPN52" s="6"/>
      <c r="DPO52" s="6"/>
      <c r="DPP52" s="6"/>
      <c r="DPQ52" s="6"/>
      <c r="DPR52" s="6"/>
      <c r="DPS52" s="6"/>
      <c r="DPT52" s="6"/>
      <c r="DPU52" s="6"/>
      <c r="DPV52" s="6"/>
      <c r="DPW52" s="6"/>
      <c r="DPX52" s="6"/>
      <c r="DPY52" s="6"/>
      <c r="DPZ52" s="6"/>
      <c r="DQA52" s="6"/>
      <c r="DQB52" s="6"/>
      <c r="DQC52" s="6"/>
      <c r="DQD52" s="6"/>
      <c r="DQE52" s="6"/>
      <c r="DQF52" s="6"/>
      <c r="DQG52" s="6"/>
      <c r="DQH52" s="6"/>
      <c r="DQI52" s="6"/>
      <c r="DQJ52" s="6"/>
      <c r="DQK52" s="6"/>
      <c r="DQL52" s="6"/>
      <c r="DQM52" s="6"/>
      <c r="DQN52" s="6"/>
      <c r="DQO52" s="6"/>
      <c r="DQP52" s="6"/>
      <c r="DQQ52" s="6"/>
      <c r="DQR52" s="6"/>
      <c r="DQS52" s="6"/>
      <c r="DQT52" s="6"/>
      <c r="DQU52" s="6"/>
      <c r="DQV52" s="6"/>
      <c r="DQW52" s="6"/>
      <c r="DQX52" s="6"/>
      <c r="DQY52" s="6"/>
      <c r="DQZ52" s="6"/>
      <c r="DRA52" s="6"/>
      <c r="DRB52" s="6"/>
      <c r="DRC52" s="6"/>
      <c r="DRD52" s="6"/>
      <c r="DRE52" s="6"/>
      <c r="DRF52" s="6"/>
      <c r="DRG52" s="6"/>
      <c r="DRH52" s="6"/>
      <c r="DRI52" s="6"/>
      <c r="DRJ52" s="6"/>
      <c r="DRK52" s="6"/>
      <c r="DRL52" s="6"/>
      <c r="DRM52" s="6"/>
      <c r="DRN52" s="6"/>
      <c r="DRO52" s="6"/>
      <c r="DRP52" s="6"/>
      <c r="DRQ52" s="6"/>
      <c r="DRR52" s="6"/>
      <c r="DRS52" s="6"/>
      <c r="DRT52" s="6"/>
      <c r="DRU52" s="6"/>
      <c r="DRV52" s="6"/>
      <c r="DRW52" s="6"/>
      <c r="DRX52" s="6"/>
      <c r="DRY52" s="6"/>
      <c r="DRZ52" s="6"/>
      <c r="DSA52" s="6"/>
      <c r="DSB52" s="6"/>
      <c r="DSC52" s="6"/>
      <c r="DSD52" s="6"/>
      <c r="DSE52" s="6"/>
      <c r="DSF52" s="6"/>
      <c r="DSG52" s="6"/>
      <c r="DSH52" s="6"/>
      <c r="DSI52" s="6"/>
      <c r="DSJ52" s="6"/>
      <c r="DSK52" s="6"/>
      <c r="DSL52" s="6"/>
      <c r="DSM52" s="6"/>
      <c r="DSN52" s="6"/>
      <c r="DSO52" s="6"/>
      <c r="DSP52" s="6"/>
      <c r="DSQ52" s="6"/>
      <c r="DSR52" s="6"/>
      <c r="DSS52" s="6"/>
      <c r="DST52" s="6"/>
      <c r="DSU52" s="6"/>
      <c r="DSV52" s="6"/>
      <c r="DSW52" s="6"/>
      <c r="DSX52" s="6"/>
      <c r="DSY52" s="6"/>
      <c r="DSZ52" s="6"/>
      <c r="DTA52" s="6"/>
      <c r="DTB52" s="6"/>
      <c r="DTC52" s="6"/>
      <c r="DTD52" s="6"/>
      <c r="DTE52" s="6"/>
      <c r="DTF52" s="6"/>
      <c r="DTG52" s="6"/>
      <c r="DTH52" s="6"/>
      <c r="DTI52" s="6"/>
      <c r="DTJ52" s="6"/>
      <c r="DTK52" s="6"/>
      <c r="DTL52" s="6"/>
      <c r="DTM52" s="6"/>
      <c r="DTN52" s="6"/>
      <c r="DTO52" s="6"/>
      <c r="DTP52" s="6"/>
      <c r="DTQ52" s="6"/>
      <c r="DTR52" s="6"/>
      <c r="DTS52" s="6"/>
      <c r="DTT52" s="6"/>
      <c r="DTU52" s="6"/>
      <c r="DTV52" s="6"/>
      <c r="DTW52" s="6"/>
      <c r="DTX52" s="6"/>
      <c r="DTY52" s="6"/>
      <c r="DTZ52" s="6"/>
      <c r="DUA52" s="6"/>
      <c r="DUB52" s="6"/>
      <c r="DUC52" s="6"/>
      <c r="DUD52" s="6"/>
      <c r="DUE52" s="6"/>
      <c r="DUF52" s="6"/>
      <c r="DUG52" s="6"/>
      <c r="DUH52" s="6"/>
      <c r="DUI52" s="6"/>
      <c r="DUJ52" s="6"/>
      <c r="DUK52" s="6"/>
      <c r="DUL52" s="6"/>
      <c r="DUM52" s="6"/>
      <c r="DUN52" s="6"/>
      <c r="DUO52" s="6"/>
      <c r="DUP52" s="6"/>
      <c r="DUQ52" s="6"/>
      <c r="DUR52" s="6"/>
      <c r="DUS52" s="6"/>
      <c r="DUT52" s="6"/>
      <c r="DUU52" s="6"/>
      <c r="DUV52" s="6"/>
      <c r="DUW52" s="6"/>
      <c r="DUX52" s="6"/>
      <c r="DUY52" s="6"/>
      <c r="DUZ52" s="6"/>
      <c r="DVA52" s="6"/>
      <c r="DVB52" s="6"/>
      <c r="DVC52" s="6"/>
      <c r="DVD52" s="6"/>
      <c r="DVE52" s="6"/>
      <c r="DVF52" s="6"/>
      <c r="DVG52" s="6"/>
      <c r="DVH52" s="6"/>
      <c r="DVI52" s="6"/>
      <c r="DVJ52" s="6"/>
      <c r="DVK52" s="6"/>
      <c r="DVL52" s="6"/>
      <c r="DVM52" s="6"/>
      <c r="DVN52" s="6"/>
      <c r="DVO52" s="6"/>
      <c r="DVP52" s="6"/>
      <c r="DVQ52" s="6"/>
      <c r="DVR52" s="6"/>
      <c r="DVS52" s="6"/>
      <c r="DVT52" s="6"/>
      <c r="DVU52" s="6"/>
      <c r="DVV52" s="6"/>
      <c r="DVW52" s="6"/>
      <c r="DVX52" s="6"/>
      <c r="DVY52" s="6"/>
      <c r="DVZ52" s="6"/>
      <c r="DWA52" s="6"/>
      <c r="DWB52" s="6"/>
      <c r="DWC52" s="6"/>
      <c r="DWD52" s="6"/>
      <c r="DWE52" s="6"/>
      <c r="DWF52" s="6"/>
      <c r="DWG52" s="6"/>
      <c r="DWH52" s="6"/>
      <c r="DWI52" s="6"/>
      <c r="DWJ52" s="6"/>
      <c r="DWK52" s="6"/>
      <c r="DWL52" s="6"/>
      <c r="DWM52" s="6"/>
      <c r="DWN52" s="6"/>
      <c r="DWO52" s="6"/>
      <c r="DWP52" s="6"/>
      <c r="DWQ52" s="6"/>
      <c r="DWR52" s="6"/>
      <c r="DWS52" s="6"/>
      <c r="DWT52" s="6"/>
      <c r="DWU52" s="6"/>
      <c r="DWV52" s="6"/>
      <c r="DWW52" s="6"/>
      <c r="DWX52" s="6"/>
      <c r="DWY52" s="6"/>
      <c r="DWZ52" s="6"/>
      <c r="DXA52" s="6"/>
      <c r="DXB52" s="6"/>
      <c r="DXC52" s="6"/>
      <c r="DXD52" s="6"/>
      <c r="DXE52" s="6"/>
      <c r="DXF52" s="6"/>
      <c r="DXG52" s="6"/>
      <c r="DXH52" s="6"/>
      <c r="DXI52" s="6"/>
      <c r="DXJ52" s="6"/>
      <c r="DXK52" s="6"/>
      <c r="DXL52" s="6"/>
      <c r="DXM52" s="6"/>
      <c r="DXN52" s="6"/>
      <c r="DXO52" s="6"/>
      <c r="DXP52" s="6"/>
      <c r="DXQ52" s="6"/>
      <c r="DXR52" s="6"/>
      <c r="DXS52" s="6"/>
      <c r="DXT52" s="6"/>
      <c r="DXU52" s="6"/>
      <c r="DXV52" s="6"/>
      <c r="DXW52" s="6"/>
      <c r="DXX52" s="6"/>
      <c r="DXY52" s="6"/>
      <c r="DXZ52" s="6"/>
      <c r="DYA52" s="6"/>
      <c r="DYB52" s="6"/>
      <c r="DYC52" s="6"/>
      <c r="DYD52" s="6"/>
      <c r="DYE52" s="6"/>
      <c r="DYF52" s="6"/>
      <c r="DYG52" s="6"/>
      <c r="DYH52" s="6"/>
      <c r="DYI52" s="6"/>
      <c r="DYJ52" s="6"/>
      <c r="DYK52" s="6"/>
      <c r="DYL52" s="6"/>
      <c r="DYM52" s="6"/>
      <c r="DYN52" s="6"/>
      <c r="DYO52" s="6"/>
      <c r="DYP52" s="6"/>
      <c r="DYQ52" s="6"/>
      <c r="DYR52" s="6"/>
      <c r="DYS52" s="6"/>
      <c r="DYT52" s="6"/>
      <c r="DYU52" s="6"/>
      <c r="DYV52" s="6"/>
      <c r="DYW52" s="6"/>
      <c r="DYX52" s="6"/>
      <c r="DYY52" s="6"/>
      <c r="DYZ52" s="6"/>
      <c r="DZA52" s="6"/>
      <c r="DZB52" s="6"/>
      <c r="DZC52" s="6"/>
      <c r="DZD52" s="6"/>
      <c r="DZE52" s="6"/>
      <c r="DZF52" s="6"/>
      <c r="DZG52" s="6"/>
      <c r="DZH52" s="6"/>
      <c r="DZI52" s="6"/>
      <c r="DZJ52" s="6"/>
      <c r="DZK52" s="6"/>
      <c r="DZL52" s="6"/>
      <c r="DZM52" s="6"/>
      <c r="DZN52" s="6"/>
      <c r="DZO52" s="6"/>
      <c r="DZP52" s="6"/>
      <c r="DZQ52" s="6"/>
      <c r="DZR52" s="6"/>
      <c r="DZS52" s="6"/>
      <c r="DZT52" s="6"/>
      <c r="DZU52" s="6"/>
      <c r="DZV52" s="6"/>
      <c r="DZW52" s="6"/>
      <c r="DZX52" s="6"/>
      <c r="DZY52" s="6"/>
      <c r="DZZ52" s="6"/>
      <c r="EAA52" s="6"/>
      <c r="EAB52" s="6"/>
      <c r="EAC52" s="6"/>
      <c r="EAD52" s="6"/>
      <c r="EAE52" s="6"/>
      <c r="EAF52" s="6"/>
      <c r="EAG52" s="6"/>
      <c r="EAH52" s="6"/>
      <c r="EAI52" s="6"/>
      <c r="EAJ52" s="6"/>
      <c r="EAK52" s="6"/>
      <c r="EAL52" s="6"/>
      <c r="EAM52" s="6"/>
      <c r="EAN52" s="6"/>
      <c r="EAO52" s="6"/>
      <c r="EAP52" s="6"/>
      <c r="EAQ52" s="6"/>
      <c r="EAR52" s="6"/>
      <c r="EAS52" s="6"/>
      <c r="EAT52" s="6"/>
      <c r="EAU52" s="6"/>
      <c r="EAV52" s="6"/>
      <c r="EAW52" s="6"/>
      <c r="EAX52" s="6"/>
      <c r="EAY52" s="6"/>
      <c r="EAZ52" s="6"/>
      <c r="EBA52" s="6"/>
      <c r="EBB52" s="6"/>
      <c r="EBC52" s="6"/>
      <c r="EBD52" s="6"/>
      <c r="EBE52" s="6"/>
      <c r="EBF52" s="6"/>
      <c r="EBG52" s="6"/>
      <c r="EBH52" s="6"/>
      <c r="EBI52" s="6"/>
      <c r="EBJ52" s="6"/>
      <c r="EBK52" s="6"/>
      <c r="EBL52" s="6"/>
      <c r="EBM52" s="6"/>
      <c r="EBN52" s="6"/>
      <c r="EBO52" s="6"/>
      <c r="EBP52" s="6"/>
      <c r="EBQ52" s="6"/>
      <c r="EBR52" s="6"/>
      <c r="EBS52" s="6"/>
      <c r="EBT52" s="6"/>
      <c r="EBU52" s="6"/>
      <c r="EBV52" s="6"/>
      <c r="EBW52" s="6"/>
      <c r="EBX52" s="6"/>
      <c r="EBY52" s="6"/>
      <c r="EBZ52" s="6"/>
      <c r="ECA52" s="6"/>
      <c r="ECB52" s="6"/>
      <c r="ECC52" s="6"/>
      <c r="ECD52" s="6"/>
      <c r="ECE52" s="6"/>
      <c r="ECF52" s="6"/>
      <c r="ECG52" s="6"/>
      <c r="ECH52" s="6"/>
      <c r="ECI52" s="6"/>
      <c r="ECJ52" s="6"/>
      <c r="ECK52" s="6"/>
      <c r="ECL52" s="6"/>
      <c r="ECM52" s="6"/>
      <c r="ECN52" s="6"/>
      <c r="ECO52" s="6"/>
      <c r="ECP52" s="6"/>
      <c r="ECQ52" s="6"/>
      <c r="ECR52" s="6"/>
      <c r="ECS52" s="6"/>
      <c r="ECT52" s="6"/>
      <c r="ECU52" s="6"/>
      <c r="ECV52" s="6"/>
      <c r="ECW52" s="6"/>
      <c r="ECX52" s="6"/>
      <c r="ECY52" s="6"/>
      <c r="ECZ52" s="6"/>
      <c r="EDA52" s="6"/>
      <c r="EDB52" s="6"/>
      <c r="EDC52" s="6"/>
      <c r="EDD52" s="6"/>
      <c r="EDE52" s="6"/>
      <c r="EDF52" s="6"/>
      <c r="EDG52" s="6"/>
      <c r="EDH52" s="6"/>
      <c r="EDI52" s="6"/>
      <c r="EDJ52" s="6"/>
      <c r="EDK52" s="6"/>
      <c r="EDL52" s="6"/>
      <c r="EDM52" s="6"/>
      <c r="EDN52" s="6"/>
      <c r="EDO52" s="6"/>
      <c r="EDP52" s="6"/>
      <c r="EDQ52" s="6"/>
      <c r="EDR52" s="6"/>
      <c r="EDS52" s="6"/>
      <c r="EDT52" s="6"/>
      <c r="EDU52" s="6"/>
      <c r="EDV52" s="6"/>
      <c r="EDW52" s="6"/>
      <c r="EDX52" s="6"/>
      <c r="EDY52" s="6"/>
      <c r="EDZ52" s="6"/>
      <c r="EEA52" s="6"/>
      <c r="EEB52" s="6"/>
      <c r="EEC52" s="6"/>
      <c r="EED52" s="6"/>
      <c r="EEE52" s="6"/>
      <c r="EEF52" s="6"/>
      <c r="EEG52" s="6"/>
      <c r="EEH52" s="6"/>
      <c r="EEI52" s="6"/>
      <c r="EEJ52" s="6"/>
      <c r="EEK52" s="6"/>
      <c r="EEL52" s="6"/>
      <c r="EEM52" s="6"/>
      <c r="EEN52" s="6"/>
      <c r="EEO52" s="6"/>
      <c r="EEP52" s="6"/>
      <c r="EEQ52" s="6"/>
      <c r="EER52" s="6"/>
      <c r="EES52" s="6"/>
      <c r="EET52" s="6"/>
      <c r="EEU52" s="6"/>
      <c r="EEV52" s="6"/>
      <c r="EEW52" s="6"/>
      <c r="EEX52" s="6"/>
      <c r="EEY52" s="6"/>
      <c r="EEZ52" s="6"/>
      <c r="EFA52" s="6"/>
      <c r="EFB52" s="6"/>
      <c r="EFC52" s="6"/>
      <c r="EFD52" s="6"/>
      <c r="EFE52" s="6"/>
      <c r="EFF52" s="6"/>
      <c r="EFG52" s="6"/>
      <c r="EFH52" s="6"/>
      <c r="EFI52" s="6"/>
      <c r="EFJ52" s="6"/>
      <c r="EFK52" s="6"/>
      <c r="EFL52" s="6"/>
      <c r="EFM52" s="6"/>
      <c r="EFN52" s="6"/>
      <c r="EFO52" s="6"/>
      <c r="EFP52" s="6"/>
      <c r="EFQ52" s="6"/>
      <c r="EFR52" s="6"/>
      <c r="EFS52" s="6"/>
      <c r="EFT52" s="6"/>
      <c r="EFU52" s="6"/>
      <c r="EFV52" s="6"/>
      <c r="EFW52" s="6"/>
      <c r="EFX52" s="6"/>
      <c r="EFY52" s="6"/>
      <c r="EFZ52" s="6"/>
      <c r="EGA52" s="6"/>
      <c r="EGB52" s="6"/>
      <c r="EGC52" s="6"/>
      <c r="EGD52" s="6"/>
      <c r="EGE52" s="6"/>
      <c r="EGF52" s="6"/>
      <c r="EGG52" s="6"/>
      <c r="EGH52" s="6"/>
      <c r="EGI52" s="6"/>
      <c r="EGJ52" s="6"/>
      <c r="EGK52" s="6"/>
      <c r="EGL52" s="6"/>
      <c r="EGM52" s="6"/>
      <c r="EGN52" s="6"/>
      <c r="EGO52" s="6"/>
      <c r="EGP52" s="6"/>
      <c r="EGQ52" s="6"/>
      <c r="EGR52" s="6"/>
      <c r="EGS52" s="6"/>
      <c r="EGT52" s="6"/>
      <c r="EGU52" s="6"/>
      <c r="EGV52" s="6"/>
      <c r="EGW52" s="6"/>
      <c r="EGX52" s="6"/>
      <c r="EGY52" s="6"/>
      <c r="EGZ52" s="6"/>
      <c r="EHA52" s="6"/>
      <c r="EHB52" s="6"/>
      <c r="EHC52" s="6"/>
      <c r="EHD52" s="6"/>
      <c r="EHE52" s="6"/>
      <c r="EHF52" s="6"/>
      <c r="EHG52" s="6"/>
      <c r="EHH52" s="6"/>
      <c r="EHI52" s="6"/>
      <c r="EHJ52" s="6"/>
      <c r="EHK52" s="6"/>
      <c r="EHL52" s="6"/>
      <c r="EHM52" s="6"/>
      <c r="EHN52" s="6"/>
      <c r="EHO52" s="6"/>
      <c r="EHP52" s="6"/>
      <c r="EHQ52" s="6"/>
      <c r="EHR52" s="6"/>
      <c r="EHS52" s="6"/>
      <c r="EHT52" s="6"/>
      <c r="EHU52" s="6"/>
      <c r="EHV52" s="6"/>
      <c r="EHW52" s="6"/>
      <c r="EHX52" s="6"/>
      <c r="EHY52" s="6"/>
      <c r="EHZ52" s="6"/>
      <c r="EIA52" s="6"/>
      <c r="EIB52" s="6"/>
      <c r="EIC52" s="6"/>
      <c r="EID52" s="6"/>
      <c r="EIE52" s="6"/>
      <c r="EIF52" s="6"/>
      <c r="EIG52" s="6"/>
      <c r="EIH52" s="6"/>
      <c r="EII52" s="6"/>
      <c r="EIJ52" s="6"/>
      <c r="EIK52" s="6"/>
      <c r="EIL52" s="6"/>
      <c r="EIM52" s="6"/>
      <c r="EIN52" s="6"/>
      <c r="EIO52" s="6"/>
      <c r="EIP52" s="6"/>
      <c r="EIQ52" s="6"/>
      <c r="EIR52" s="6"/>
      <c r="EIS52" s="6"/>
      <c r="EIT52" s="6"/>
      <c r="EIU52" s="6"/>
      <c r="EIV52" s="6"/>
      <c r="EIW52" s="6"/>
      <c r="EIX52" s="6"/>
      <c r="EIY52" s="6"/>
      <c r="EIZ52" s="6"/>
      <c r="EJA52" s="6"/>
      <c r="EJB52" s="6"/>
      <c r="EJC52" s="6"/>
      <c r="EJD52" s="6"/>
      <c r="EJE52" s="6"/>
      <c r="EJF52" s="6"/>
      <c r="EJG52" s="6"/>
      <c r="EJH52" s="6"/>
      <c r="EJI52" s="6"/>
      <c r="EJJ52" s="6"/>
      <c r="EJK52" s="6"/>
      <c r="EJL52" s="6"/>
      <c r="EJM52" s="6"/>
      <c r="EJN52" s="6"/>
      <c r="EJO52" s="6"/>
      <c r="EJP52" s="6"/>
      <c r="EJQ52" s="6"/>
      <c r="EJR52" s="6"/>
      <c r="EJS52" s="6"/>
      <c r="EJT52" s="6"/>
      <c r="EJU52" s="6"/>
      <c r="EJV52" s="6"/>
      <c r="EJW52" s="6"/>
      <c r="EJX52" s="6"/>
      <c r="EJY52" s="6"/>
      <c r="EJZ52" s="6"/>
      <c r="EKA52" s="6"/>
      <c r="EKB52" s="6"/>
      <c r="EKC52" s="6"/>
      <c r="EKD52" s="6"/>
      <c r="EKE52" s="6"/>
      <c r="EKF52" s="6"/>
      <c r="EKG52" s="6"/>
      <c r="EKH52" s="6"/>
      <c r="EKI52" s="6"/>
      <c r="EKJ52" s="6"/>
      <c r="EKK52" s="6"/>
      <c r="EKL52" s="6"/>
      <c r="EKM52" s="6"/>
      <c r="EKN52" s="6"/>
      <c r="EKO52" s="6"/>
      <c r="EKP52" s="6"/>
      <c r="EKQ52" s="6"/>
      <c r="EKR52" s="6"/>
      <c r="EKS52" s="6"/>
      <c r="EKT52" s="6"/>
      <c r="EKU52" s="6"/>
      <c r="EKV52" s="6"/>
      <c r="EKW52" s="6"/>
      <c r="EKX52" s="6"/>
      <c r="EKY52" s="6"/>
      <c r="EKZ52" s="6"/>
      <c r="ELA52" s="6"/>
      <c r="ELB52" s="6"/>
      <c r="ELC52" s="6"/>
      <c r="ELD52" s="6"/>
      <c r="ELE52" s="6"/>
      <c r="ELF52" s="6"/>
      <c r="ELG52" s="6"/>
      <c r="ELH52" s="6"/>
      <c r="ELI52" s="6"/>
      <c r="ELJ52" s="6"/>
      <c r="ELK52" s="6"/>
      <c r="ELL52" s="6"/>
      <c r="ELM52" s="6"/>
      <c r="ELN52" s="6"/>
      <c r="ELO52" s="6"/>
      <c r="ELP52" s="6"/>
      <c r="ELQ52" s="6"/>
      <c r="ELR52" s="6"/>
      <c r="ELS52" s="6"/>
      <c r="ELT52" s="6"/>
      <c r="ELU52" s="6"/>
      <c r="ELV52" s="6"/>
      <c r="ELW52" s="6"/>
      <c r="ELX52" s="6"/>
      <c r="ELY52" s="6"/>
      <c r="ELZ52" s="6"/>
      <c r="EMA52" s="6"/>
      <c r="EMB52" s="6"/>
      <c r="EMC52" s="6"/>
      <c r="EMD52" s="6"/>
      <c r="EME52" s="6"/>
      <c r="EMF52" s="6"/>
      <c r="EMG52" s="6"/>
      <c r="EMH52" s="6"/>
      <c r="EMI52" s="6"/>
      <c r="EMJ52" s="6"/>
      <c r="EMK52" s="6"/>
      <c r="EML52" s="6"/>
      <c r="EMM52" s="6"/>
      <c r="EMN52" s="6"/>
      <c r="EMO52" s="6"/>
      <c r="EMP52" s="6"/>
      <c r="EMQ52" s="6"/>
      <c r="EMR52" s="6"/>
      <c r="EMS52" s="6"/>
      <c r="EMT52" s="6"/>
      <c r="EMU52" s="6"/>
      <c r="EMV52" s="6"/>
      <c r="EMW52" s="6"/>
      <c r="EMX52" s="6"/>
      <c r="EMY52" s="6"/>
      <c r="EMZ52" s="6"/>
      <c r="ENA52" s="6"/>
      <c r="ENB52" s="6"/>
      <c r="ENC52" s="6"/>
      <c r="END52" s="6"/>
      <c r="ENE52" s="6"/>
      <c r="ENF52" s="6"/>
      <c r="ENG52" s="6"/>
      <c r="ENH52" s="6"/>
      <c r="ENI52" s="6"/>
      <c r="ENJ52" s="6"/>
      <c r="ENK52" s="6"/>
      <c r="ENL52" s="6"/>
      <c r="ENM52" s="6"/>
      <c r="ENN52" s="6"/>
      <c r="ENO52" s="6"/>
      <c r="ENP52" s="6"/>
      <c r="ENQ52" s="6"/>
      <c r="ENR52" s="6"/>
      <c r="ENS52" s="6"/>
      <c r="ENT52" s="6"/>
      <c r="ENU52" s="6"/>
      <c r="ENV52" s="6"/>
      <c r="ENW52" s="6"/>
      <c r="ENX52" s="6"/>
      <c r="ENY52" s="6"/>
      <c r="ENZ52" s="6"/>
      <c r="EOA52" s="6"/>
      <c r="EOB52" s="6"/>
      <c r="EOC52" s="6"/>
      <c r="EOD52" s="6"/>
      <c r="EOE52" s="6"/>
      <c r="EOF52" s="6"/>
      <c r="EOG52" s="6"/>
      <c r="EOH52" s="6"/>
      <c r="EOI52" s="6"/>
      <c r="EOJ52" s="6"/>
      <c r="EOK52" s="6"/>
      <c r="EOL52" s="6"/>
      <c r="EOM52" s="6"/>
      <c r="EON52" s="6"/>
      <c r="EOO52" s="6"/>
      <c r="EOP52" s="6"/>
      <c r="EOQ52" s="6"/>
      <c r="EOR52" s="6"/>
      <c r="EOS52" s="6"/>
      <c r="EOT52" s="6"/>
      <c r="EOU52" s="6"/>
      <c r="EOV52" s="6"/>
      <c r="EOW52" s="6"/>
      <c r="EOX52" s="6"/>
      <c r="EOY52" s="6"/>
      <c r="EOZ52" s="6"/>
      <c r="EPA52" s="6"/>
      <c r="EPB52" s="6"/>
      <c r="EPC52" s="6"/>
      <c r="EPD52" s="6"/>
      <c r="EPE52" s="6"/>
      <c r="EPF52" s="6"/>
      <c r="EPG52" s="6"/>
      <c r="EPH52" s="6"/>
      <c r="EPI52" s="6"/>
      <c r="EPJ52" s="6"/>
      <c r="EPK52" s="6"/>
      <c r="EPL52" s="6"/>
      <c r="EPM52" s="6"/>
      <c r="EPN52" s="6"/>
      <c r="EPO52" s="6"/>
      <c r="EPP52" s="6"/>
      <c r="EPQ52" s="6"/>
      <c r="EPR52" s="6"/>
      <c r="EPS52" s="6"/>
      <c r="EPT52" s="6"/>
      <c r="EPU52" s="6"/>
      <c r="EPV52" s="6"/>
      <c r="EPW52" s="6"/>
      <c r="EPX52" s="6"/>
      <c r="EPY52" s="6"/>
      <c r="EPZ52" s="6"/>
      <c r="EQA52" s="6"/>
      <c r="EQB52" s="6"/>
      <c r="EQC52" s="6"/>
      <c r="EQD52" s="6"/>
      <c r="EQE52" s="6"/>
      <c r="EQF52" s="6"/>
      <c r="EQG52" s="6"/>
      <c r="EQH52" s="6"/>
      <c r="EQI52" s="6"/>
      <c r="EQJ52" s="6"/>
      <c r="EQK52" s="6"/>
      <c r="EQL52" s="6"/>
      <c r="EQM52" s="6"/>
      <c r="EQN52" s="6"/>
      <c r="EQO52" s="6"/>
      <c r="EQP52" s="6"/>
      <c r="EQQ52" s="6"/>
      <c r="EQR52" s="6"/>
      <c r="EQS52" s="6"/>
      <c r="EQT52" s="6"/>
      <c r="EQU52" s="6"/>
      <c r="EQV52" s="6"/>
      <c r="EQW52" s="6"/>
      <c r="EQX52" s="6"/>
      <c r="EQY52" s="6"/>
      <c r="EQZ52" s="6"/>
      <c r="ERA52" s="6"/>
      <c r="ERB52" s="6"/>
      <c r="ERC52" s="6"/>
      <c r="ERD52" s="6"/>
      <c r="ERE52" s="6"/>
      <c r="ERF52" s="6"/>
      <c r="ERG52" s="6"/>
      <c r="ERH52" s="6"/>
      <c r="ERI52" s="6"/>
      <c r="ERJ52" s="6"/>
      <c r="ERK52" s="6"/>
      <c r="ERL52" s="6"/>
      <c r="ERM52" s="6"/>
      <c r="ERN52" s="6"/>
      <c r="ERO52" s="6"/>
      <c r="ERP52" s="6"/>
      <c r="ERQ52" s="6"/>
      <c r="ERR52" s="6"/>
      <c r="ERS52" s="6"/>
      <c r="ERT52" s="6"/>
      <c r="ERU52" s="6"/>
      <c r="ERV52" s="6"/>
      <c r="ERW52" s="6"/>
      <c r="ERX52" s="6"/>
      <c r="ERY52" s="6"/>
      <c r="ERZ52" s="6"/>
      <c r="ESA52" s="6"/>
      <c r="ESB52" s="6"/>
      <c r="ESC52" s="6"/>
      <c r="ESD52" s="6"/>
      <c r="ESE52" s="6"/>
      <c r="ESF52" s="6"/>
      <c r="ESG52" s="6"/>
      <c r="ESH52" s="6"/>
      <c r="ESI52" s="6"/>
      <c r="ESJ52" s="6"/>
      <c r="ESK52" s="6"/>
      <c r="ESL52" s="6"/>
      <c r="ESM52" s="6"/>
      <c r="ESN52" s="6"/>
      <c r="ESO52" s="6"/>
      <c r="ESP52" s="6"/>
      <c r="ESQ52" s="6"/>
      <c r="ESR52" s="6"/>
      <c r="ESS52" s="6"/>
      <c r="EST52" s="6"/>
      <c r="ESU52" s="6"/>
      <c r="ESV52" s="6"/>
      <c r="ESW52" s="6"/>
      <c r="ESX52" s="6"/>
      <c r="ESY52" s="6"/>
      <c r="ESZ52" s="6"/>
      <c r="ETA52" s="6"/>
      <c r="ETB52" s="6"/>
      <c r="ETC52" s="6"/>
      <c r="ETD52" s="6"/>
      <c r="ETE52" s="6"/>
      <c r="ETF52" s="6"/>
      <c r="ETG52" s="6"/>
      <c r="ETH52" s="6"/>
      <c r="ETI52" s="6"/>
      <c r="ETJ52" s="6"/>
      <c r="ETK52" s="6"/>
      <c r="ETL52" s="6"/>
      <c r="ETM52" s="6"/>
      <c r="ETN52" s="6"/>
      <c r="ETO52" s="6"/>
      <c r="ETP52" s="6"/>
      <c r="ETQ52" s="6"/>
      <c r="ETR52" s="6"/>
      <c r="ETS52" s="6"/>
      <c r="ETT52" s="6"/>
      <c r="ETU52" s="6"/>
      <c r="ETV52" s="6"/>
      <c r="ETW52" s="6"/>
      <c r="ETX52" s="6"/>
      <c r="ETY52" s="6"/>
      <c r="ETZ52" s="6"/>
      <c r="EUA52" s="6"/>
      <c r="EUB52" s="6"/>
      <c r="EUC52" s="6"/>
      <c r="EUD52" s="6"/>
      <c r="EUE52" s="6"/>
      <c r="EUF52" s="6"/>
      <c r="EUG52" s="6"/>
      <c r="EUH52" s="6"/>
      <c r="EUI52" s="6"/>
      <c r="EUJ52" s="6"/>
      <c r="EUK52" s="6"/>
      <c r="EUL52" s="6"/>
      <c r="EUM52" s="6"/>
      <c r="EUN52" s="6"/>
      <c r="EUO52" s="6"/>
      <c r="EUP52" s="6"/>
      <c r="EUQ52" s="6"/>
      <c r="EUR52" s="6"/>
      <c r="EUS52" s="6"/>
      <c r="EUT52" s="6"/>
      <c r="EUU52" s="6"/>
      <c r="EUV52" s="6"/>
      <c r="EUW52" s="6"/>
      <c r="EUX52" s="6"/>
      <c r="EUY52" s="6"/>
      <c r="EUZ52" s="6"/>
      <c r="EVA52" s="6"/>
      <c r="EVB52" s="6"/>
      <c r="EVC52" s="6"/>
      <c r="EVD52" s="6"/>
      <c r="EVE52" s="6"/>
      <c r="EVF52" s="6"/>
      <c r="EVG52" s="6"/>
      <c r="EVH52" s="6"/>
      <c r="EVI52" s="6"/>
      <c r="EVJ52" s="6"/>
      <c r="EVK52" s="6"/>
      <c r="EVL52" s="6"/>
      <c r="EVM52" s="6"/>
      <c r="EVN52" s="6"/>
      <c r="EVO52" s="6"/>
      <c r="EVP52" s="6"/>
      <c r="EVQ52" s="6"/>
      <c r="EVR52" s="6"/>
      <c r="EVS52" s="6"/>
      <c r="EVT52" s="6"/>
      <c r="EVU52" s="6"/>
      <c r="EVV52" s="6"/>
      <c r="EVW52" s="6"/>
      <c r="EVX52" s="6"/>
      <c r="EVY52" s="6"/>
      <c r="EVZ52" s="6"/>
      <c r="EWA52" s="6"/>
      <c r="EWB52" s="6"/>
      <c r="EWC52" s="6"/>
      <c r="EWD52" s="6"/>
      <c r="EWE52" s="6"/>
      <c r="EWF52" s="6"/>
      <c r="EWG52" s="6"/>
      <c r="EWH52" s="6"/>
      <c r="EWI52" s="6"/>
      <c r="EWJ52" s="6"/>
      <c r="EWK52" s="6"/>
      <c r="EWL52" s="6"/>
      <c r="EWM52" s="6"/>
      <c r="EWN52" s="6"/>
      <c r="EWO52" s="6"/>
      <c r="EWP52" s="6"/>
      <c r="EWQ52" s="6"/>
      <c r="EWR52" s="6"/>
      <c r="EWS52" s="6"/>
      <c r="EWT52" s="6"/>
      <c r="EWU52" s="6"/>
      <c r="EWV52" s="6"/>
      <c r="EWW52" s="6"/>
      <c r="EWX52" s="6"/>
      <c r="EWY52" s="6"/>
      <c r="EWZ52" s="6"/>
      <c r="EXA52" s="6"/>
      <c r="EXB52" s="6"/>
      <c r="EXC52" s="6"/>
      <c r="EXD52" s="6"/>
      <c r="EXE52" s="6"/>
      <c r="EXF52" s="6"/>
      <c r="EXG52" s="6"/>
      <c r="EXH52" s="6"/>
      <c r="EXI52" s="6"/>
      <c r="EXJ52" s="6"/>
      <c r="EXK52" s="6"/>
      <c r="EXL52" s="6"/>
      <c r="EXM52" s="6"/>
      <c r="EXN52" s="6"/>
      <c r="EXO52" s="6"/>
      <c r="EXP52" s="6"/>
      <c r="EXQ52" s="6"/>
      <c r="EXR52" s="6"/>
      <c r="EXS52" s="6"/>
      <c r="EXT52" s="6"/>
      <c r="EXU52" s="6"/>
      <c r="EXV52" s="6"/>
      <c r="EXW52" s="6"/>
      <c r="EXX52" s="6"/>
      <c r="EXY52" s="6"/>
      <c r="EXZ52" s="6"/>
      <c r="EYA52" s="6"/>
      <c r="EYB52" s="6"/>
      <c r="EYC52" s="6"/>
      <c r="EYD52" s="6"/>
      <c r="EYE52" s="6"/>
      <c r="EYF52" s="6"/>
      <c r="EYG52" s="6"/>
      <c r="EYH52" s="6"/>
      <c r="EYI52" s="6"/>
      <c r="EYJ52" s="6"/>
      <c r="EYK52" s="6"/>
      <c r="EYL52" s="6"/>
      <c r="EYM52" s="6"/>
      <c r="EYN52" s="6"/>
      <c r="EYO52" s="6"/>
      <c r="EYP52" s="6"/>
      <c r="EYQ52" s="6"/>
      <c r="EYR52" s="6"/>
      <c r="EYS52" s="6"/>
      <c r="EYT52" s="6"/>
      <c r="EYU52" s="6"/>
      <c r="EYV52" s="6"/>
      <c r="EYW52" s="6"/>
      <c r="EYX52" s="6"/>
      <c r="EYY52" s="6"/>
      <c r="EYZ52" s="6"/>
      <c r="EZA52" s="6"/>
      <c r="EZB52" s="6"/>
      <c r="EZC52" s="6"/>
      <c r="EZD52" s="6"/>
      <c r="EZE52" s="6"/>
      <c r="EZF52" s="6"/>
      <c r="EZG52" s="6"/>
      <c r="EZH52" s="6"/>
      <c r="EZI52" s="6"/>
      <c r="EZJ52" s="6"/>
      <c r="EZK52" s="6"/>
      <c r="EZL52" s="6"/>
      <c r="EZM52" s="6"/>
      <c r="EZN52" s="6"/>
      <c r="EZO52" s="6"/>
      <c r="EZP52" s="6"/>
      <c r="EZQ52" s="6"/>
      <c r="EZR52" s="6"/>
      <c r="EZS52" s="6"/>
      <c r="EZT52" s="6"/>
      <c r="EZU52" s="6"/>
      <c r="EZV52" s="6"/>
      <c r="EZW52" s="6"/>
      <c r="EZX52" s="6"/>
      <c r="EZY52" s="6"/>
      <c r="EZZ52" s="6"/>
      <c r="FAA52" s="6"/>
      <c r="FAB52" s="6"/>
      <c r="FAC52" s="6"/>
      <c r="FAD52" s="6"/>
      <c r="FAE52" s="6"/>
      <c r="FAF52" s="6"/>
      <c r="FAG52" s="6"/>
      <c r="FAH52" s="6"/>
      <c r="FAI52" s="6"/>
      <c r="FAJ52" s="6"/>
      <c r="FAK52" s="6"/>
      <c r="FAL52" s="6"/>
      <c r="FAM52" s="6"/>
      <c r="FAN52" s="6"/>
      <c r="FAO52" s="6"/>
      <c r="FAP52" s="6"/>
      <c r="FAQ52" s="6"/>
      <c r="FAR52" s="6"/>
      <c r="FAS52" s="6"/>
      <c r="FAT52" s="6"/>
      <c r="FAU52" s="6"/>
      <c r="FAV52" s="6"/>
      <c r="FAW52" s="6"/>
      <c r="FAX52" s="6"/>
      <c r="FAY52" s="6"/>
      <c r="FAZ52" s="6"/>
      <c r="FBA52" s="6"/>
      <c r="FBB52" s="6"/>
      <c r="FBC52" s="6"/>
      <c r="FBD52" s="6"/>
      <c r="FBE52" s="6"/>
      <c r="FBF52" s="6"/>
      <c r="FBG52" s="6"/>
      <c r="FBH52" s="6"/>
      <c r="FBI52" s="6"/>
      <c r="FBJ52" s="6"/>
      <c r="FBK52" s="6"/>
      <c r="FBL52" s="6"/>
      <c r="FBM52" s="6"/>
      <c r="FBN52" s="6"/>
      <c r="FBO52" s="6"/>
      <c r="FBP52" s="6"/>
      <c r="FBQ52" s="6"/>
      <c r="FBR52" s="6"/>
      <c r="FBS52" s="6"/>
      <c r="FBT52" s="6"/>
      <c r="FBU52" s="6"/>
      <c r="FBV52" s="6"/>
      <c r="FBW52" s="6"/>
      <c r="FBX52" s="6"/>
      <c r="FBY52" s="6"/>
      <c r="FBZ52" s="6"/>
      <c r="FCA52" s="6"/>
      <c r="FCB52" s="6"/>
      <c r="FCC52" s="6"/>
      <c r="FCD52" s="6"/>
      <c r="FCE52" s="6"/>
      <c r="FCF52" s="6"/>
      <c r="FCG52" s="6"/>
      <c r="FCH52" s="6"/>
      <c r="FCI52" s="6"/>
      <c r="FCJ52" s="6"/>
      <c r="FCK52" s="6"/>
      <c r="FCL52" s="6"/>
      <c r="FCM52" s="6"/>
      <c r="FCN52" s="6"/>
      <c r="FCO52" s="6"/>
      <c r="FCP52" s="6"/>
      <c r="FCQ52" s="6"/>
      <c r="FCR52" s="6"/>
      <c r="FCS52" s="6"/>
      <c r="FCT52" s="6"/>
      <c r="FCU52" s="6"/>
      <c r="FCV52" s="6"/>
      <c r="FCW52" s="6"/>
      <c r="FCX52" s="6"/>
      <c r="FCY52" s="6"/>
      <c r="FCZ52" s="6"/>
      <c r="FDA52" s="6"/>
      <c r="FDB52" s="6"/>
      <c r="FDC52" s="6"/>
      <c r="FDD52" s="6"/>
      <c r="FDE52" s="6"/>
      <c r="FDF52" s="6"/>
      <c r="FDG52" s="6"/>
      <c r="FDH52" s="6"/>
      <c r="FDI52" s="6"/>
      <c r="FDJ52" s="6"/>
      <c r="FDK52" s="6"/>
      <c r="FDL52" s="6"/>
      <c r="FDM52" s="6"/>
      <c r="FDN52" s="6"/>
      <c r="FDO52" s="6"/>
      <c r="FDP52" s="6"/>
      <c r="FDQ52" s="6"/>
      <c r="FDR52" s="6"/>
      <c r="FDS52" s="6"/>
      <c r="FDT52" s="6"/>
      <c r="FDU52" s="6"/>
      <c r="FDV52" s="6"/>
      <c r="FDW52" s="6"/>
      <c r="FDX52" s="6"/>
      <c r="FDY52" s="6"/>
      <c r="FDZ52" s="6"/>
      <c r="FEA52" s="6"/>
      <c r="FEB52" s="6"/>
      <c r="FEC52" s="6"/>
      <c r="FED52" s="6"/>
      <c r="FEE52" s="6"/>
      <c r="FEF52" s="6"/>
      <c r="FEG52" s="6"/>
      <c r="FEH52" s="6"/>
      <c r="FEI52" s="6"/>
      <c r="FEJ52" s="6"/>
      <c r="FEK52" s="6"/>
      <c r="FEL52" s="6"/>
      <c r="FEM52" s="6"/>
      <c r="FEN52" s="6"/>
      <c r="FEO52" s="6"/>
      <c r="FEP52" s="6"/>
      <c r="FEQ52" s="6"/>
      <c r="FER52" s="6"/>
      <c r="FES52" s="6"/>
      <c r="FET52" s="6"/>
      <c r="FEU52" s="6"/>
      <c r="FEV52" s="6"/>
      <c r="FEW52" s="6"/>
      <c r="FEX52" s="6"/>
      <c r="FEY52" s="6"/>
      <c r="FEZ52" s="6"/>
      <c r="FFA52" s="6"/>
      <c r="FFB52" s="6"/>
      <c r="FFC52" s="6"/>
      <c r="FFD52" s="6"/>
      <c r="FFE52" s="6"/>
      <c r="FFF52" s="6"/>
      <c r="FFG52" s="6"/>
      <c r="FFH52" s="6"/>
      <c r="FFI52" s="6"/>
      <c r="FFJ52" s="6"/>
      <c r="FFK52" s="6"/>
      <c r="FFL52" s="6"/>
      <c r="FFM52" s="6"/>
      <c r="FFN52" s="6"/>
      <c r="FFO52" s="6"/>
      <c r="FFP52" s="6"/>
      <c r="FFQ52" s="6"/>
      <c r="FFR52" s="6"/>
      <c r="FFS52" s="6"/>
      <c r="FFT52" s="6"/>
      <c r="FFU52" s="6"/>
      <c r="FFV52" s="6"/>
      <c r="FFW52" s="6"/>
      <c r="FFX52" s="6"/>
      <c r="FFY52" s="6"/>
      <c r="FFZ52" s="6"/>
      <c r="FGA52" s="6"/>
      <c r="FGB52" s="6"/>
      <c r="FGC52" s="6"/>
      <c r="FGD52" s="6"/>
      <c r="FGE52" s="6"/>
      <c r="FGF52" s="6"/>
      <c r="FGG52" s="6"/>
      <c r="FGH52" s="6"/>
      <c r="FGI52" s="6"/>
      <c r="FGJ52" s="6"/>
      <c r="FGK52" s="6"/>
      <c r="FGL52" s="6"/>
      <c r="FGM52" s="6"/>
      <c r="FGN52" s="6"/>
      <c r="FGO52" s="6"/>
      <c r="FGP52" s="6"/>
      <c r="FGQ52" s="6"/>
      <c r="FGR52" s="6"/>
      <c r="FGS52" s="6"/>
      <c r="FGT52" s="6"/>
      <c r="FGU52" s="6"/>
      <c r="FGV52" s="6"/>
      <c r="FGW52" s="6"/>
      <c r="FGX52" s="6"/>
      <c r="FGY52" s="6"/>
      <c r="FGZ52" s="6"/>
      <c r="FHA52" s="6"/>
      <c r="FHB52" s="6"/>
      <c r="FHC52" s="6"/>
      <c r="FHD52" s="6"/>
      <c r="FHE52" s="6"/>
      <c r="FHF52" s="6"/>
      <c r="FHG52" s="6"/>
      <c r="FHH52" s="6"/>
      <c r="FHI52" s="6"/>
      <c r="FHJ52" s="6"/>
      <c r="FHK52" s="6"/>
      <c r="FHL52" s="6"/>
      <c r="FHM52" s="6"/>
      <c r="FHN52" s="6"/>
      <c r="FHO52" s="6"/>
      <c r="FHP52" s="6"/>
      <c r="FHQ52" s="6"/>
      <c r="FHR52" s="6"/>
      <c r="FHS52" s="6"/>
      <c r="FHT52" s="6"/>
      <c r="FHU52" s="6"/>
      <c r="FHV52" s="6"/>
      <c r="FHW52" s="6"/>
      <c r="FHX52" s="6"/>
      <c r="FHY52" s="6"/>
      <c r="FHZ52" s="6"/>
      <c r="FIA52" s="6"/>
      <c r="FIB52" s="6"/>
      <c r="FIC52" s="6"/>
      <c r="FID52" s="6"/>
      <c r="FIE52" s="6"/>
      <c r="FIF52" s="6"/>
      <c r="FIG52" s="6"/>
      <c r="FIH52" s="6"/>
      <c r="FII52" s="6"/>
      <c r="FIJ52" s="6"/>
      <c r="FIK52" s="6"/>
      <c r="FIL52" s="6"/>
      <c r="FIM52" s="6"/>
      <c r="FIN52" s="6"/>
      <c r="FIO52" s="6"/>
      <c r="FIP52" s="6"/>
      <c r="FIQ52" s="6"/>
      <c r="FIR52" s="6"/>
      <c r="FIS52" s="6"/>
      <c r="FIT52" s="6"/>
      <c r="FIU52" s="6"/>
      <c r="FIV52" s="6"/>
      <c r="FIW52" s="6"/>
      <c r="FIX52" s="6"/>
      <c r="FIY52" s="6"/>
      <c r="FIZ52" s="6"/>
      <c r="FJA52" s="6"/>
      <c r="FJB52" s="6"/>
      <c r="FJC52" s="6"/>
      <c r="FJD52" s="6"/>
      <c r="FJE52" s="6"/>
      <c r="FJF52" s="6"/>
      <c r="FJG52" s="6"/>
      <c r="FJH52" s="6"/>
      <c r="FJI52" s="6"/>
      <c r="FJJ52" s="6"/>
      <c r="FJK52" s="6"/>
      <c r="FJL52" s="6"/>
      <c r="FJM52" s="6"/>
      <c r="FJN52" s="6"/>
      <c r="FJO52" s="6"/>
      <c r="FJP52" s="6"/>
      <c r="FJQ52" s="6"/>
      <c r="FJR52" s="6"/>
      <c r="FJS52" s="6"/>
      <c r="FJT52" s="6"/>
      <c r="FJU52" s="6"/>
      <c r="FJV52" s="6"/>
      <c r="FJW52" s="6"/>
      <c r="FJX52" s="6"/>
      <c r="FJY52" s="6"/>
      <c r="FJZ52" s="6"/>
      <c r="FKA52" s="6"/>
      <c r="FKB52" s="6"/>
      <c r="FKC52" s="6"/>
      <c r="FKD52" s="6"/>
      <c r="FKE52" s="6"/>
      <c r="FKF52" s="6"/>
      <c r="FKG52" s="6"/>
      <c r="FKH52" s="6"/>
      <c r="FKI52" s="6"/>
      <c r="FKJ52" s="6"/>
      <c r="FKK52" s="6"/>
      <c r="FKL52" s="6"/>
      <c r="FKM52" s="6"/>
      <c r="FKN52" s="6"/>
      <c r="FKO52" s="6"/>
      <c r="FKP52" s="6"/>
      <c r="FKQ52" s="6"/>
      <c r="FKR52" s="6"/>
      <c r="FKS52" s="6"/>
      <c r="FKT52" s="6"/>
      <c r="FKU52" s="6"/>
      <c r="FKV52" s="6"/>
      <c r="FKW52" s="6"/>
      <c r="FKX52" s="6"/>
      <c r="FKY52" s="6"/>
      <c r="FKZ52" s="6"/>
      <c r="FLA52" s="6"/>
      <c r="FLB52" s="6"/>
      <c r="FLC52" s="6"/>
      <c r="FLD52" s="6"/>
      <c r="FLE52" s="6"/>
      <c r="FLF52" s="6"/>
      <c r="FLG52" s="6"/>
      <c r="FLH52" s="6"/>
      <c r="FLI52" s="6"/>
      <c r="FLJ52" s="6"/>
      <c r="FLK52" s="6"/>
      <c r="FLL52" s="6"/>
      <c r="FLM52" s="6"/>
      <c r="FLN52" s="6"/>
      <c r="FLO52" s="6"/>
      <c r="FLP52" s="6"/>
      <c r="FLQ52" s="6"/>
      <c r="FLR52" s="6"/>
      <c r="FLS52" s="6"/>
      <c r="FLT52" s="6"/>
      <c r="FLU52" s="6"/>
      <c r="FLV52" s="6"/>
      <c r="FLW52" s="6"/>
      <c r="FLX52" s="6"/>
      <c r="FLY52" s="6"/>
      <c r="FLZ52" s="6"/>
      <c r="FMA52" s="6"/>
      <c r="FMB52" s="6"/>
      <c r="FMC52" s="6"/>
      <c r="FMD52" s="6"/>
      <c r="FME52" s="6"/>
      <c r="FMF52" s="6"/>
      <c r="FMG52" s="6"/>
      <c r="FMH52" s="6"/>
      <c r="FMI52" s="6"/>
      <c r="FMJ52" s="6"/>
      <c r="FMK52" s="6"/>
      <c r="FML52" s="6"/>
      <c r="FMM52" s="6"/>
      <c r="FMN52" s="6"/>
      <c r="FMO52" s="6"/>
      <c r="FMP52" s="6"/>
      <c r="FMQ52" s="6"/>
      <c r="FMR52" s="6"/>
      <c r="FMS52" s="6"/>
      <c r="FMT52" s="6"/>
      <c r="FMU52" s="6"/>
      <c r="FMV52" s="6"/>
      <c r="FMW52" s="6"/>
      <c r="FMX52" s="6"/>
      <c r="FMY52" s="6"/>
      <c r="FMZ52" s="6"/>
      <c r="FNA52" s="6"/>
      <c r="FNB52" s="6"/>
      <c r="FNC52" s="6"/>
      <c r="FND52" s="6"/>
      <c r="FNE52" s="6"/>
      <c r="FNF52" s="6"/>
      <c r="FNG52" s="6"/>
      <c r="FNH52" s="6"/>
      <c r="FNI52" s="6"/>
      <c r="FNJ52" s="6"/>
      <c r="FNK52" s="6"/>
      <c r="FNL52" s="6"/>
      <c r="FNM52" s="6"/>
      <c r="FNN52" s="6"/>
      <c r="FNO52" s="6"/>
      <c r="FNP52" s="6"/>
      <c r="FNQ52" s="6"/>
      <c r="FNR52" s="6"/>
      <c r="FNS52" s="6"/>
      <c r="FNT52" s="6"/>
      <c r="FNU52" s="6"/>
      <c r="FNV52" s="6"/>
      <c r="FNW52" s="6"/>
      <c r="FNX52" s="6"/>
      <c r="FNY52" s="6"/>
      <c r="FNZ52" s="6"/>
      <c r="FOA52" s="6"/>
      <c r="FOB52" s="6"/>
      <c r="FOC52" s="6"/>
      <c r="FOD52" s="6"/>
      <c r="FOE52" s="6"/>
      <c r="FOF52" s="6"/>
      <c r="FOG52" s="6"/>
      <c r="FOH52" s="6"/>
      <c r="FOI52" s="6"/>
      <c r="FOJ52" s="6"/>
      <c r="FOK52" s="6"/>
      <c r="FOL52" s="6"/>
      <c r="FOM52" s="6"/>
      <c r="FON52" s="6"/>
      <c r="FOO52" s="6"/>
      <c r="FOP52" s="6"/>
      <c r="FOQ52" s="6"/>
      <c r="FOR52" s="6"/>
      <c r="FOS52" s="6"/>
      <c r="FOT52" s="6"/>
      <c r="FOU52" s="6"/>
      <c r="FOV52" s="6"/>
      <c r="FOW52" s="6"/>
      <c r="FOX52" s="6"/>
      <c r="FOY52" s="6"/>
      <c r="FOZ52" s="6"/>
      <c r="FPA52" s="6"/>
      <c r="FPB52" s="6"/>
      <c r="FPC52" s="6"/>
      <c r="FPD52" s="6"/>
      <c r="FPE52" s="6"/>
      <c r="FPF52" s="6"/>
      <c r="FPG52" s="6"/>
      <c r="FPH52" s="6"/>
      <c r="FPI52" s="6"/>
      <c r="FPJ52" s="6"/>
      <c r="FPK52" s="6"/>
      <c r="FPL52" s="6"/>
      <c r="FPM52" s="6"/>
      <c r="FPN52" s="6"/>
      <c r="FPO52" s="6"/>
      <c r="FPP52" s="6"/>
      <c r="FPQ52" s="6"/>
      <c r="FPR52" s="6"/>
      <c r="FPS52" s="6"/>
      <c r="FPT52" s="6"/>
      <c r="FPU52" s="6"/>
      <c r="FPV52" s="6"/>
      <c r="FPW52" s="6"/>
      <c r="FPX52" s="6"/>
      <c r="FPY52" s="6"/>
      <c r="FPZ52" s="6"/>
      <c r="FQA52" s="6"/>
      <c r="FQB52" s="6"/>
      <c r="FQC52" s="6"/>
      <c r="FQD52" s="6"/>
      <c r="FQE52" s="6"/>
      <c r="FQF52" s="6"/>
      <c r="FQG52" s="6"/>
      <c r="FQH52" s="6"/>
      <c r="FQI52" s="6"/>
      <c r="FQJ52" s="6"/>
      <c r="FQK52" s="6"/>
      <c r="FQL52" s="6"/>
      <c r="FQM52" s="6"/>
      <c r="FQN52" s="6"/>
      <c r="FQO52" s="6"/>
      <c r="FQP52" s="6"/>
      <c r="FQQ52" s="6"/>
      <c r="FQR52" s="6"/>
      <c r="FQS52" s="6"/>
      <c r="FQT52" s="6"/>
      <c r="FQU52" s="6"/>
      <c r="FQV52" s="6"/>
      <c r="FQW52" s="6"/>
      <c r="FQX52" s="6"/>
      <c r="FQY52" s="6"/>
      <c r="FQZ52" s="6"/>
      <c r="FRA52" s="6"/>
      <c r="FRB52" s="6"/>
      <c r="FRC52" s="6"/>
      <c r="FRD52" s="6"/>
      <c r="FRE52" s="6"/>
      <c r="FRF52" s="6"/>
      <c r="FRG52" s="6"/>
      <c r="FRH52" s="6"/>
      <c r="FRI52" s="6"/>
      <c r="FRJ52" s="6"/>
      <c r="FRK52" s="6"/>
      <c r="FRL52" s="6"/>
      <c r="FRM52" s="6"/>
      <c r="FRN52" s="6"/>
      <c r="FRO52" s="6"/>
      <c r="FRP52" s="6"/>
      <c r="FRQ52" s="6"/>
      <c r="FRR52" s="6"/>
      <c r="FRS52" s="6"/>
      <c r="FRT52" s="6"/>
      <c r="FRU52" s="6"/>
      <c r="FRV52" s="6"/>
      <c r="FRW52" s="6"/>
      <c r="FRX52" s="6"/>
      <c r="FRY52" s="6"/>
      <c r="FRZ52" s="6"/>
      <c r="FSA52" s="6"/>
      <c r="FSB52" s="6"/>
      <c r="FSC52" s="6"/>
      <c r="FSD52" s="6"/>
      <c r="FSE52" s="6"/>
      <c r="FSF52" s="6"/>
      <c r="FSG52" s="6"/>
      <c r="FSH52" s="6"/>
      <c r="FSI52" s="6"/>
      <c r="FSJ52" s="6"/>
      <c r="FSK52" s="6"/>
      <c r="FSL52" s="6"/>
      <c r="FSM52" s="6"/>
      <c r="FSN52" s="6"/>
      <c r="FSO52" s="6"/>
      <c r="FSP52" s="6"/>
      <c r="FSQ52" s="6"/>
      <c r="FSR52" s="6"/>
      <c r="FSS52" s="6"/>
      <c r="FST52" s="6"/>
      <c r="FSU52" s="6"/>
      <c r="FSV52" s="6"/>
      <c r="FSW52" s="6"/>
      <c r="FSX52" s="6"/>
      <c r="FSY52" s="6"/>
      <c r="FSZ52" s="6"/>
      <c r="FTA52" s="6"/>
      <c r="FTB52" s="6"/>
      <c r="FTC52" s="6"/>
      <c r="FTD52" s="6"/>
      <c r="FTE52" s="6"/>
      <c r="FTF52" s="6"/>
      <c r="FTG52" s="6"/>
      <c r="FTH52" s="6"/>
      <c r="FTI52" s="6"/>
      <c r="FTJ52" s="6"/>
      <c r="FTK52" s="6"/>
      <c r="FTL52" s="6"/>
      <c r="FTM52" s="6"/>
      <c r="FTN52" s="6"/>
      <c r="FTO52" s="6"/>
      <c r="FTP52" s="6"/>
      <c r="FTQ52" s="6"/>
      <c r="FTR52" s="6"/>
      <c r="FTS52" s="6"/>
      <c r="FTT52" s="6"/>
      <c r="FTU52" s="6"/>
      <c r="FTV52" s="6"/>
      <c r="FTW52" s="6"/>
      <c r="FTX52" s="6"/>
      <c r="FTY52" s="6"/>
      <c r="FTZ52" s="6"/>
      <c r="FUA52" s="6"/>
      <c r="FUB52" s="6"/>
      <c r="FUC52" s="6"/>
      <c r="FUD52" s="6"/>
      <c r="FUE52" s="6"/>
      <c r="FUF52" s="6"/>
      <c r="FUG52" s="6"/>
      <c r="FUH52" s="6"/>
      <c r="FUI52" s="6"/>
      <c r="FUJ52" s="6"/>
      <c r="FUK52" s="6"/>
      <c r="FUL52" s="6"/>
      <c r="FUM52" s="6"/>
      <c r="FUN52" s="6"/>
      <c r="FUO52" s="6"/>
      <c r="FUP52" s="6"/>
      <c r="FUQ52" s="6"/>
      <c r="FUR52" s="6"/>
      <c r="FUS52" s="6"/>
      <c r="FUT52" s="6"/>
      <c r="FUU52" s="6"/>
      <c r="FUV52" s="6"/>
      <c r="FUW52" s="6"/>
      <c r="FUX52" s="6"/>
      <c r="FUY52" s="6"/>
      <c r="FUZ52" s="6"/>
      <c r="FVA52" s="6"/>
      <c r="FVB52" s="6"/>
      <c r="FVC52" s="6"/>
      <c r="FVD52" s="6"/>
      <c r="FVE52" s="6"/>
      <c r="FVF52" s="6"/>
      <c r="FVG52" s="6"/>
      <c r="FVH52" s="6"/>
      <c r="FVI52" s="6"/>
      <c r="FVJ52" s="6"/>
      <c r="FVK52" s="6"/>
      <c r="FVL52" s="6"/>
      <c r="FVM52" s="6"/>
      <c r="FVN52" s="6"/>
      <c r="FVO52" s="6"/>
      <c r="FVP52" s="6"/>
      <c r="FVQ52" s="6"/>
      <c r="FVR52" s="6"/>
      <c r="FVS52" s="6"/>
      <c r="FVT52" s="6"/>
      <c r="FVU52" s="6"/>
      <c r="FVV52" s="6"/>
      <c r="FVW52" s="6"/>
      <c r="FVX52" s="6"/>
      <c r="FVY52" s="6"/>
      <c r="FVZ52" s="6"/>
      <c r="FWA52" s="6"/>
      <c r="FWB52" s="6"/>
      <c r="FWC52" s="6"/>
      <c r="FWD52" s="6"/>
      <c r="FWE52" s="6"/>
      <c r="FWF52" s="6"/>
      <c r="FWG52" s="6"/>
      <c r="FWH52" s="6"/>
      <c r="FWI52" s="6"/>
      <c r="FWJ52" s="6"/>
      <c r="FWK52" s="6"/>
      <c r="FWL52" s="6"/>
      <c r="FWM52" s="6"/>
      <c r="FWN52" s="6"/>
      <c r="FWO52" s="6"/>
      <c r="FWP52" s="6"/>
      <c r="FWQ52" s="6"/>
      <c r="FWR52" s="6"/>
      <c r="FWS52" s="6"/>
      <c r="FWT52" s="6"/>
      <c r="FWU52" s="6"/>
      <c r="FWV52" s="6"/>
      <c r="FWW52" s="6"/>
      <c r="FWX52" s="6"/>
      <c r="FWY52" s="6"/>
      <c r="FWZ52" s="6"/>
      <c r="FXA52" s="6"/>
      <c r="FXB52" s="6"/>
      <c r="FXC52" s="6"/>
      <c r="FXD52" s="6"/>
      <c r="FXE52" s="6"/>
      <c r="FXF52" s="6"/>
      <c r="FXG52" s="6"/>
      <c r="FXH52" s="6"/>
      <c r="FXI52" s="6"/>
      <c r="FXJ52" s="6"/>
      <c r="FXK52" s="6"/>
      <c r="FXL52" s="6"/>
      <c r="FXM52" s="6"/>
      <c r="FXN52" s="6"/>
      <c r="FXO52" s="6"/>
      <c r="FXP52" s="6"/>
      <c r="FXQ52" s="6"/>
      <c r="FXR52" s="6"/>
      <c r="FXS52" s="6"/>
      <c r="FXT52" s="6"/>
      <c r="FXU52" s="6"/>
      <c r="FXV52" s="6"/>
      <c r="FXW52" s="6"/>
      <c r="FXX52" s="6"/>
      <c r="FXY52" s="6"/>
      <c r="FXZ52" s="6"/>
      <c r="FYA52" s="6"/>
      <c r="FYB52" s="6"/>
      <c r="FYC52" s="6"/>
      <c r="FYD52" s="6"/>
      <c r="FYE52" s="6"/>
      <c r="FYF52" s="6"/>
      <c r="FYG52" s="6"/>
      <c r="FYH52" s="6"/>
      <c r="FYI52" s="6"/>
      <c r="FYJ52" s="6"/>
      <c r="FYK52" s="6"/>
      <c r="FYL52" s="6"/>
      <c r="FYM52" s="6"/>
      <c r="FYN52" s="6"/>
      <c r="FYO52" s="6"/>
      <c r="FYP52" s="6"/>
      <c r="FYQ52" s="6"/>
      <c r="FYR52" s="6"/>
      <c r="FYS52" s="6"/>
      <c r="FYT52" s="6"/>
      <c r="FYU52" s="6"/>
      <c r="FYV52" s="6"/>
      <c r="FYW52" s="6"/>
      <c r="FYX52" s="6"/>
      <c r="FYY52" s="6"/>
      <c r="FYZ52" s="6"/>
      <c r="FZA52" s="6"/>
      <c r="FZB52" s="6"/>
      <c r="FZC52" s="6"/>
      <c r="FZD52" s="6"/>
      <c r="FZE52" s="6"/>
      <c r="FZF52" s="6"/>
      <c r="FZG52" s="6"/>
      <c r="FZH52" s="6"/>
      <c r="FZI52" s="6"/>
      <c r="FZJ52" s="6"/>
      <c r="FZK52" s="6"/>
      <c r="FZL52" s="6"/>
      <c r="FZM52" s="6"/>
      <c r="FZN52" s="6"/>
      <c r="FZO52" s="6"/>
      <c r="FZP52" s="6"/>
      <c r="FZQ52" s="6"/>
      <c r="FZR52" s="6"/>
      <c r="FZS52" s="6"/>
      <c r="FZT52" s="6"/>
      <c r="FZU52" s="6"/>
      <c r="FZV52" s="6"/>
      <c r="FZW52" s="6"/>
      <c r="FZX52" s="6"/>
      <c r="FZY52" s="6"/>
      <c r="FZZ52" s="6"/>
      <c r="GAA52" s="6"/>
      <c r="GAB52" s="6"/>
      <c r="GAC52" s="6"/>
      <c r="GAD52" s="6"/>
      <c r="GAE52" s="6"/>
      <c r="GAF52" s="6"/>
      <c r="GAG52" s="6"/>
      <c r="GAH52" s="6"/>
      <c r="GAI52" s="6"/>
      <c r="GAJ52" s="6"/>
      <c r="GAK52" s="6"/>
      <c r="GAL52" s="6"/>
      <c r="GAM52" s="6"/>
      <c r="GAN52" s="6"/>
      <c r="GAO52" s="6"/>
      <c r="GAP52" s="6"/>
      <c r="GAQ52" s="6"/>
      <c r="GAR52" s="6"/>
      <c r="GAS52" s="6"/>
      <c r="GAT52" s="6"/>
      <c r="GAU52" s="6"/>
      <c r="GAV52" s="6"/>
      <c r="GAW52" s="6"/>
      <c r="GAX52" s="6"/>
      <c r="GAY52" s="6"/>
      <c r="GAZ52" s="6"/>
      <c r="GBA52" s="6"/>
      <c r="GBB52" s="6"/>
      <c r="GBC52" s="6"/>
      <c r="GBD52" s="6"/>
      <c r="GBE52" s="6"/>
      <c r="GBF52" s="6"/>
      <c r="GBG52" s="6"/>
      <c r="GBH52" s="6"/>
      <c r="GBI52" s="6"/>
      <c r="GBJ52" s="6"/>
      <c r="GBK52" s="6"/>
      <c r="GBL52" s="6"/>
      <c r="GBM52" s="6"/>
      <c r="GBN52" s="6"/>
      <c r="GBO52" s="6"/>
      <c r="GBP52" s="6"/>
      <c r="GBQ52" s="6"/>
      <c r="GBR52" s="6"/>
      <c r="GBS52" s="6"/>
      <c r="GBT52" s="6"/>
      <c r="GBU52" s="6"/>
      <c r="GBV52" s="6"/>
      <c r="GBW52" s="6"/>
      <c r="GBX52" s="6"/>
      <c r="GBY52" s="6"/>
      <c r="GBZ52" s="6"/>
      <c r="GCA52" s="6"/>
      <c r="GCB52" s="6"/>
      <c r="GCC52" s="6"/>
      <c r="GCD52" s="6"/>
      <c r="GCE52" s="6"/>
      <c r="GCF52" s="6"/>
      <c r="GCG52" s="6"/>
      <c r="GCH52" s="6"/>
      <c r="GCI52" s="6"/>
      <c r="GCJ52" s="6"/>
      <c r="GCK52" s="6"/>
      <c r="GCL52" s="6"/>
      <c r="GCM52" s="6"/>
      <c r="GCN52" s="6"/>
      <c r="GCO52" s="6"/>
      <c r="GCP52" s="6"/>
      <c r="GCQ52" s="6"/>
      <c r="GCR52" s="6"/>
      <c r="GCS52" s="6"/>
      <c r="GCT52" s="6"/>
      <c r="GCU52" s="6"/>
      <c r="GCV52" s="6"/>
      <c r="GCW52" s="6"/>
      <c r="GCX52" s="6"/>
      <c r="GCY52" s="6"/>
      <c r="GCZ52" s="6"/>
      <c r="GDA52" s="6"/>
      <c r="GDB52" s="6"/>
      <c r="GDC52" s="6"/>
      <c r="GDD52" s="6"/>
      <c r="GDE52" s="6"/>
      <c r="GDF52" s="6"/>
      <c r="GDG52" s="6"/>
      <c r="GDH52" s="6"/>
      <c r="GDI52" s="6"/>
      <c r="GDJ52" s="6"/>
      <c r="GDK52" s="6"/>
      <c r="GDL52" s="6"/>
      <c r="GDM52" s="6"/>
      <c r="GDN52" s="6"/>
      <c r="GDO52" s="6"/>
      <c r="GDP52" s="6"/>
      <c r="GDQ52" s="6"/>
      <c r="GDR52" s="6"/>
      <c r="GDS52" s="6"/>
      <c r="GDT52" s="6"/>
      <c r="GDU52" s="6"/>
      <c r="GDV52" s="6"/>
      <c r="GDW52" s="6"/>
      <c r="GDX52" s="6"/>
      <c r="GDY52" s="6"/>
      <c r="GDZ52" s="6"/>
      <c r="GEA52" s="6"/>
      <c r="GEB52" s="6"/>
      <c r="GEC52" s="6"/>
      <c r="GED52" s="6"/>
      <c r="GEE52" s="6"/>
      <c r="GEF52" s="6"/>
      <c r="GEG52" s="6"/>
      <c r="GEH52" s="6"/>
      <c r="GEI52" s="6"/>
      <c r="GEJ52" s="6"/>
      <c r="GEK52" s="6"/>
      <c r="GEL52" s="6"/>
      <c r="GEM52" s="6"/>
      <c r="GEN52" s="6"/>
      <c r="GEO52" s="6"/>
      <c r="GEP52" s="6"/>
      <c r="GEQ52" s="6"/>
      <c r="GER52" s="6"/>
      <c r="GES52" s="6"/>
      <c r="GET52" s="6"/>
      <c r="GEU52" s="6"/>
      <c r="GEV52" s="6"/>
      <c r="GEW52" s="6"/>
      <c r="GEX52" s="6"/>
      <c r="GEY52" s="6"/>
      <c r="GEZ52" s="6"/>
      <c r="GFA52" s="6"/>
      <c r="GFB52" s="6"/>
      <c r="GFC52" s="6"/>
      <c r="GFD52" s="6"/>
      <c r="GFE52" s="6"/>
      <c r="GFF52" s="6"/>
      <c r="GFG52" s="6"/>
      <c r="GFH52" s="6"/>
      <c r="GFI52" s="6"/>
      <c r="GFJ52" s="6"/>
      <c r="GFK52" s="6"/>
      <c r="GFL52" s="6"/>
      <c r="GFM52" s="6"/>
      <c r="GFN52" s="6"/>
      <c r="GFO52" s="6"/>
      <c r="GFP52" s="6"/>
      <c r="GFQ52" s="6"/>
      <c r="GFR52" s="6"/>
      <c r="GFS52" s="6"/>
      <c r="GFT52" s="6"/>
      <c r="GFU52" s="6"/>
      <c r="GFV52" s="6"/>
      <c r="GFW52" s="6"/>
      <c r="GFX52" s="6"/>
      <c r="GFY52" s="6"/>
      <c r="GFZ52" s="6"/>
      <c r="GGA52" s="6"/>
      <c r="GGB52" s="6"/>
      <c r="GGC52" s="6"/>
      <c r="GGD52" s="6"/>
      <c r="GGE52" s="6"/>
      <c r="GGF52" s="6"/>
      <c r="GGG52" s="6"/>
      <c r="GGH52" s="6"/>
      <c r="GGI52" s="6"/>
      <c r="GGJ52" s="6"/>
      <c r="GGK52" s="6"/>
      <c r="GGL52" s="6"/>
      <c r="GGM52" s="6"/>
      <c r="GGN52" s="6"/>
      <c r="GGO52" s="6"/>
      <c r="GGP52" s="6"/>
      <c r="GGQ52" s="6"/>
      <c r="GGR52" s="6"/>
      <c r="GGS52" s="6"/>
      <c r="GGT52" s="6"/>
      <c r="GGU52" s="6"/>
      <c r="GGV52" s="6"/>
      <c r="GGW52" s="6"/>
      <c r="GGX52" s="6"/>
      <c r="GGY52" s="6"/>
      <c r="GGZ52" s="6"/>
      <c r="GHA52" s="6"/>
      <c r="GHB52" s="6"/>
      <c r="GHC52" s="6"/>
      <c r="GHD52" s="6"/>
      <c r="GHE52" s="6"/>
      <c r="GHF52" s="6"/>
      <c r="GHG52" s="6"/>
      <c r="GHH52" s="6"/>
      <c r="GHI52" s="6"/>
      <c r="GHJ52" s="6"/>
      <c r="GHK52" s="6"/>
      <c r="GHL52" s="6"/>
      <c r="GHM52" s="6"/>
      <c r="GHN52" s="6"/>
      <c r="GHO52" s="6"/>
      <c r="GHP52" s="6"/>
      <c r="GHQ52" s="6"/>
      <c r="GHR52" s="6"/>
      <c r="GHS52" s="6"/>
      <c r="GHT52" s="6"/>
      <c r="GHU52" s="6"/>
      <c r="GHV52" s="6"/>
      <c r="GHW52" s="6"/>
      <c r="GHX52" s="6"/>
      <c r="GHY52" s="6"/>
      <c r="GHZ52" s="6"/>
      <c r="GIA52" s="6"/>
      <c r="GIB52" s="6"/>
      <c r="GIC52" s="6"/>
      <c r="GID52" s="6"/>
      <c r="GIE52" s="6"/>
      <c r="GIF52" s="6"/>
      <c r="GIG52" s="6"/>
      <c r="GIH52" s="6"/>
      <c r="GII52" s="6"/>
      <c r="GIJ52" s="6"/>
      <c r="GIK52" s="6"/>
      <c r="GIL52" s="6"/>
      <c r="GIM52" s="6"/>
      <c r="GIN52" s="6"/>
      <c r="GIO52" s="6"/>
      <c r="GIP52" s="6"/>
      <c r="GIQ52" s="6"/>
      <c r="GIR52" s="6"/>
      <c r="GIS52" s="6"/>
      <c r="GIT52" s="6"/>
      <c r="GIU52" s="6"/>
      <c r="GIV52" s="6"/>
      <c r="GIW52" s="6"/>
      <c r="GIX52" s="6"/>
      <c r="GIY52" s="6"/>
      <c r="GIZ52" s="6"/>
      <c r="GJA52" s="6"/>
      <c r="GJB52" s="6"/>
      <c r="GJC52" s="6"/>
      <c r="GJD52" s="6"/>
      <c r="GJE52" s="6"/>
      <c r="GJF52" s="6"/>
      <c r="GJG52" s="6"/>
      <c r="GJH52" s="6"/>
      <c r="GJI52" s="6"/>
      <c r="GJJ52" s="6"/>
      <c r="GJK52" s="6"/>
      <c r="GJL52" s="6"/>
      <c r="GJM52" s="6"/>
      <c r="GJN52" s="6"/>
      <c r="GJO52" s="6"/>
      <c r="GJP52" s="6"/>
      <c r="GJQ52" s="6"/>
      <c r="GJR52" s="6"/>
      <c r="GJS52" s="6"/>
      <c r="GJT52" s="6"/>
      <c r="GJU52" s="6"/>
      <c r="GJV52" s="6"/>
      <c r="GJW52" s="6"/>
      <c r="GJX52" s="6"/>
      <c r="GJY52" s="6"/>
      <c r="GJZ52" s="6"/>
      <c r="GKA52" s="6"/>
      <c r="GKB52" s="6"/>
      <c r="GKC52" s="6"/>
      <c r="GKD52" s="6"/>
      <c r="GKE52" s="6"/>
      <c r="GKF52" s="6"/>
      <c r="GKG52" s="6"/>
      <c r="GKH52" s="6"/>
      <c r="GKI52" s="6"/>
      <c r="GKJ52" s="6"/>
      <c r="GKK52" s="6"/>
      <c r="GKL52" s="6"/>
      <c r="GKM52" s="6"/>
      <c r="GKN52" s="6"/>
      <c r="GKO52" s="6"/>
      <c r="GKP52" s="6"/>
      <c r="GKQ52" s="6"/>
      <c r="GKR52" s="6"/>
      <c r="GKS52" s="6"/>
      <c r="GKT52" s="6"/>
      <c r="GKU52" s="6"/>
      <c r="GKV52" s="6"/>
      <c r="GKW52" s="6"/>
      <c r="GKX52" s="6"/>
      <c r="GKY52" s="6"/>
      <c r="GKZ52" s="6"/>
      <c r="GLA52" s="6"/>
      <c r="GLB52" s="6"/>
      <c r="GLC52" s="6"/>
      <c r="GLD52" s="6"/>
      <c r="GLE52" s="6"/>
      <c r="GLF52" s="6"/>
      <c r="GLG52" s="6"/>
      <c r="GLH52" s="6"/>
      <c r="GLI52" s="6"/>
      <c r="GLJ52" s="6"/>
      <c r="GLK52" s="6"/>
      <c r="GLL52" s="6"/>
      <c r="GLM52" s="6"/>
      <c r="GLN52" s="6"/>
      <c r="GLO52" s="6"/>
      <c r="GLP52" s="6"/>
      <c r="GLQ52" s="6"/>
      <c r="GLR52" s="6"/>
      <c r="GLS52" s="6"/>
      <c r="GLT52" s="6"/>
      <c r="GLU52" s="6"/>
      <c r="GLV52" s="6"/>
      <c r="GLW52" s="6"/>
      <c r="GLX52" s="6"/>
      <c r="GLY52" s="6"/>
      <c r="GLZ52" s="6"/>
      <c r="GMA52" s="6"/>
      <c r="GMB52" s="6"/>
      <c r="GMC52" s="6"/>
      <c r="GMD52" s="6"/>
      <c r="GME52" s="6"/>
      <c r="GMF52" s="6"/>
      <c r="GMG52" s="6"/>
      <c r="GMH52" s="6"/>
      <c r="GMI52" s="6"/>
      <c r="GMJ52" s="6"/>
      <c r="GMK52" s="6"/>
      <c r="GML52" s="6"/>
      <c r="GMM52" s="6"/>
      <c r="GMN52" s="6"/>
      <c r="GMO52" s="6"/>
      <c r="GMP52" s="6"/>
      <c r="GMQ52" s="6"/>
      <c r="GMR52" s="6"/>
      <c r="GMS52" s="6"/>
      <c r="GMT52" s="6"/>
      <c r="GMU52" s="6"/>
      <c r="GMV52" s="6"/>
      <c r="GMW52" s="6"/>
      <c r="GMX52" s="6"/>
      <c r="GMY52" s="6"/>
      <c r="GMZ52" s="6"/>
      <c r="GNA52" s="6"/>
      <c r="GNB52" s="6"/>
      <c r="GNC52" s="6"/>
      <c r="GND52" s="6"/>
      <c r="GNE52" s="6"/>
      <c r="GNF52" s="6"/>
      <c r="GNG52" s="6"/>
      <c r="GNH52" s="6"/>
      <c r="GNI52" s="6"/>
      <c r="GNJ52" s="6"/>
      <c r="GNK52" s="6"/>
      <c r="GNL52" s="6"/>
      <c r="GNM52" s="6"/>
      <c r="GNN52" s="6"/>
      <c r="GNO52" s="6"/>
      <c r="GNP52" s="6"/>
      <c r="GNQ52" s="6"/>
      <c r="GNR52" s="6"/>
      <c r="GNS52" s="6"/>
      <c r="GNT52" s="6"/>
      <c r="GNU52" s="6"/>
      <c r="GNV52" s="6"/>
      <c r="GNW52" s="6"/>
      <c r="GNX52" s="6"/>
      <c r="GNY52" s="6"/>
      <c r="GNZ52" s="6"/>
      <c r="GOA52" s="6"/>
      <c r="GOB52" s="6"/>
      <c r="GOC52" s="6"/>
      <c r="GOD52" s="6"/>
      <c r="GOE52" s="6"/>
      <c r="GOF52" s="6"/>
      <c r="GOG52" s="6"/>
      <c r="GOH52" s="6"/>
      <c r="GOI52" s="6"/>
      <c r="GOJ52" s="6"/>
      <c r="GOK52" s="6"/>
      <c r="GOL52" s="6"/>
      <c r="GOM52" s="6"/>
      <c r="GON52" s="6"/>
      <c r="GOO52" s="6"/>
      <c r="GOP52" s="6"/>
      <c r="GOQ52" s="6"/>
      <c r="GOR52" s="6"/>
      <c r="GOS52" s="6"/>
      <c r="GOT52" s="6"/>
      <c r="GOU52" s="6"/>
      <c r="GOV52" s="6"/>
      <c r="GOW52" s="6"/>
      <c r="GOX52" s="6"/>
      <c r="GOY52" s="6"/>
      <c r="GOZ52" s="6"/>
      <c r="GPA52" s="6"/>
      <c r="GPB52" s="6"/>
      <c r="GPC52" s="6"/>
      <c r="GPD52" s="6"/>
      <c r="GPE52" s="6"/>
      <c r="GPF52" s="6"/>
      <c r="GPG52" s="6"/>
      <c r="GPH52" s="6"/>
      <c r="GPI52" s="6"/>
      <c r="GPJ52" s="6"/>
      <c r="GPK52" s="6"/>
      <c r="GPL52" s="6"/>
      <c r="GPM52" s="6"/>
      <c r="GPN52" s="6"/>
      <c r="GPO52" s="6"/>
      <c r="GPP52" s="6"/>
      <c r="GPQ52" s="6"/>
      <c r="GPR52" s="6"/>
      <c r="GPS52" s="6"/>
      <c r="GPT52" s="6"/>
      <c r="GPU52" s="6"/>
      <c r="GPV52" s="6"/>
      <c r="GPW52" s="6"/>
      <c r="GPX52" s="6"/>
      <c r="GPY52" s="6"/>
      <c r="GPZ52" s="6"/>
      <c r="GQA52" s="6"/>
      <c r="GQB52" s="6"/>
      <c r="GQC52" s="6"/>
      <c r="GQD52" s="6"/>
      <c r="GQE52" s="6"/>
      <c r="GQF52" s="6"/>
      <c r="GQG52" s="6"/>
      <c r="GQH52" s="6"/>
      <c r="GQI52" s="6"/>
      <c r="GQJ52" s="6"/>
      <c r="GQK52" s="6"/>
      <c r="GQL52" s="6"/>
      <c r="GQM52" s="6"/>
      <c r="GQN52" s="6"/>
      <c r="GQO52" s="6"/>
      <c r="GQP52" s="6"/>
      <c r="GQQ52" s="6"/>
      <c r="GQR52" s="6"/>
      <c r="GQS52" s="6"/>
      <c r="GQT52" s="6"/>
      <c r="GQU52" s="6"/>
      <c r="GQV52" s="6"/>
      <c r="GQW52" s="6"/>
      <c r="GQX52" s="6"/>
      <c r="GQY52" s="6"/>
      <c r="GQZ52" s="6"/>
      <c r="GRA52" s="6"/>
      <c r="GRB52" s="6"/>
      <c r="GRC52" s="6"/>
      <c r="GRD52" s="6"/>
      <c r="GRE52" s="6"/>
      <c r="GRF52" s="6"/>
      <c r="GRG52" s="6"/>
      <c r="GRH52" s="6"/>
      <c r="GRI52" s="6"/>
      <c r="GRJ52" s="6"/>
      <c r="GRK52" s="6"/>
      <c r="GRL52" s="6"/>
      <c r="GRM52" s="6"/>
      <c r="GRN52" s="6"/>
      <c r="GRO52" s="6"/>
      <c r="GRP52" s="6"/>
      <c r="GRQ52" s="6"/>
      <c r="GRR52" s="6"/>
      <c r="GRS52" s="6"/>
      <c r="GRT52" s="6"/>
      <c r="GRU52" s="6"/>
      <c r="GRV52" s="6"/>
      <c r="GRW52" s="6"/>
      <c r="GRX52" s="6"/>
      <c r="GRY52" s="6"/>
      <c r="GRZ52" s="6"/>
      <c r="GSA52" s="6"/>
      <c r="GSB52" s="6"/>
      <c r="GSC52" s="6"/>
      <c r="GSD52" s="6"/>
      <c r="GSE52" s="6"/>
      <c r="GSF52" s="6"/>
      <c r="GSG52" s="6"/>
      <c r="GSH52" s="6"/>
      <c r="GSI52" s="6"/>
      <c r="GSJ52" s="6"/>
      <c r="GSK52" s="6"/>
      <c r="GSL52" s="6"/>
      <c r="GSM52" s="6"/>
      <c r="GSN52" s="6"/>
      <c r="GSO52" s="6"/>
      <c r="GSP52" s="6"/>
      <c r="GSQ52" s="6"/>
      <c r="GSR52" s="6"/>
      <c r="GSS52" s="6"/>
      <c r="GST52" s="6"/>
      <c r="GSU52" s="6"/>
      <c r="GSV52" s="6"/>
      <c r="GSW52" s="6"/>
      <c r="GSX52" s="6"/>
      <c r="GSY52" s="6"/>
      <c r="GSZ52" s="6"/>
      <c r="GTA52" s="6"/>
      <c r="GTB52" s="6"/>
      <c r="GTC52" s="6"/>
      <c r="GTD52" s="6"/>
      <c r="GTE52" s="6"/>
      <c r="GTF52" s="6"/>
      <c r="GTG52" s="6"/>
      <c r="GTH52" s="6"/>
      <c r="GTI52" s="6"/>
      <c r="GTJ52" s="6"/>
      <c r="GTK52" s="6"/>
      <c r="GTL52" s="6"/>
      <c r="GTM52" s="6"/>
      <c r="GTN52" s="6"/>
      <c r="GTO52" s="6"/>
      <c r="GTP52" s="6"/>
      <c r="GTQ52" s="6"/>
      <c r="GTR52" s="6"/>
      <c r="GTS52" s="6"/>
      <c r="GTT52" s="6"/>
      <c r="GTU52" s="6"/>
      <c r="GTV52" s="6"/>
      <c r="GTW52" s="6"/>
      <c r="GTX52" s="6"/>
      <c r="GTY52" s="6"/>
      <c r="GTZ52" s="6"/>
      <c r="GUA52" s="6"/>
      <c r="GUB52" s="6"/>
      <c r="GUC52" s="6"/>
      <c r="GUD52" s="6"/>
      <c r="GUE52" s="6"/>
      <c r="GUF52" s="6"/>
      <c r="GUG52" s="6"/>
      <c r="GUH52" s="6"/>
      <c r="GUI52" s="6"/>
      <c r="GUJ52" s="6"/>
      <c r="GUK52" s="6"/>
      <c r="GUL52" s="6"/>
      <c r="GUM52" s="6"/>
      <c r="GUN52" s="6"/>
      <c r="GUO52" s="6"/>
      <c r="GUP52" s="6"/>
      <c r="GUQ52" s="6"/>
      <c r="GUR52" s="6"/>
      <c r="GUS52" s="6"/>
      <c r="GUT52" s="6"/>
      <c r="GUU52" s="6"/>
      <c r="GUV52" s="6"/>
      <c r="GUW52" s="6"/>
      <c r="GUX52" s="6"/>
      <c r="GUY52" s="6"/>
      <c r="GUZ52" s="6"/>
      <c r="GVA52" s="6"/>
      <c r="GVB52" s="6"/>
      <c r="GVC52" s="6"/>
      <c r="GVD52" s="6"/>
      <c r="GVE52" s="6"/>
      <c r="GVF52" s="6"/>
      <c r="GVG52" s="6"/>
      <c r="GVH52" s="6"/>
      <c r="GVI52" s="6"/>
      <c r="GVJ52" s="6"/>
      <c r="GVK52" s="6"/>
      <c r="GVL52" s="6"/>
      <c r="GVM52" s="6"/>
      <c r="GVN52" s="6"/>
      <c r="GVO52" s="6"/>
      <c r="GVP52" s="6"/>
      <c r="GVQ52" s="6"/>
      <c r="GVR52" s="6"/>
      <c r="GVS52" s="6"/>
      <c r="GVT52" s="6"/>
      <c r="GVU52" s="6"/>
      <c r="GVV52" s="6"/>
      <c r="GVW52" s="6"/>
      <c r="GVX52" s="6"/>
      <c r="GVY52" s="6"/>
      <c r="GVZ52" s="6"/>
      <c r="GWA52" s="6"/>
      <c r="GWB52" s="6"/>
      <c r="GWC52" s="6"/>
      <c r="GWD52" s="6"/>
      <c r="GWE52" s="6"/>
      <c r="GWF52" s="6"/>
      <c r="GWG52" s="6"/>
      <c r="GWH52" s="6"/>
      <c r="GWI52" s="6"/>
      <c r="GWJ52" s="6"/>
      <c r="GWK52" s="6"/>
      <c r="GWL52" s="6"/>
      <c r="GWM52" s="6"/>
      <c r="GWN52" s="6"/>
      <c r="GWO52" s="6"/>
      <c r="GWP52" s="6"/>
      <c r="GWQ52" s="6"/>
      <c r="GWR52" s="6"/>
      <c r="GWS52" s="6"/>
      <c r="GWT52" s="6"/>
      <c r="GWU52" s="6"/>
      <c r="GWV52" s="6"/>
      <c r="GWW52" s="6"/>
      <c r="GWX52" s="6"/>
      <c r="GWY52" s="6"/>
      <c r="GWZ52" s="6"/>
      <c r="GXA52" s="6"/>
      <c r="GXB52" s="6"/>
      <c r="GXC52" s="6"/>
      <c r="GXD52" s="6"/>
      <c r="GXE52" s="6"/>
      <c r="GXF52" s="6"/>
      <c r="GXG52" s="6"/>
      <c r="GXH52" s="6"/>
      <c r="GXI52" s="6"/>
      <c r="GXJ52" s="6"/>
      <c r="GXK52" s="6"/>
      <c r="GXL52" s="6"/>
      <c r="GXM52" s="6"/>
      <c r="GXN52" s="6"/>
      <c r="GXO52" s="6"/>
      <c r="GXP52" s="6"/>
      <c r="GXQ52" s="6"/>
      <c r="GXR52" s="6"/>
      <c r="GXS52" s="6"/>
      <c r="GXT52" s="6"/>
      <c r="GXU52" s="6"/>
      <c r="GXV52" s="6"/>
      <c r="GXW52" s="6"/>
      <c r="GXX52" s="6"/>
      <c r="GXY52" s="6"/>
      <c r="GXZ52" s="6"/>
      <c r="GYA52" s="6"/>
      <c r="GYB52" s="6"/>
      <c r="GYC52" s="6"/>
      <c r="GYD52" s="6"/>
      <c r="GYE52" s="6"/>
      <c r="GYF52" s="6"/>
      <c r="GYG52" s="6"/>
      <c r="GYH52" s="6"/>
      <c r="GYI52" s="6"/>
      <c r="GYJ52" s="6"/>
      <c r="GYK52" s="6"/>
      <c r="GYL52" s="6"/>
      <c r="GYM52" s="6"/>
      <c r="GYN52" s="6"/>
      <c r="GYO52" s="6"/>
      <c r="GYP52" s="6"/>
      <c r="GYQ52" s="6"/>
      <c r="GYR52" s="6"/>
      <c r="GYS52" s="6"/>
      <c r="GYT52" s="6"/>
      <c r="GYU52" s="6"/>
      <c r="GYV52" s="6"/>
      <c r="GYW52" s="6"/>
      <c r="GYX52" s="6"/>
      <c r="GYY52" s="6"/>
      <c r="GYZ52" s="6"/>
      <c r="GZA52" s="6"/>
      <c r="GZB52" s="6"/>
      <c r="GZC52" s="6"/>
      <c r="GZD52" s="6"/>
      <c r="GZE52" s="6"/>
      <c r="GZF52" s="6"/>
      <c r="GZG52" s="6"/>
      <c r="GZH52" s="6"/>
      <c r="GZI52" s="6"/>
      <c r="GZJ52" s="6"/>
      <c r="GZK52" s="6"/>
      <c r="GZL52" s="6"/>
      <c r="GZM52" s="6"/>
      <c r="GZN52" s="6"/>
      <c r="GZO52" s="6"/>
      <c r="GZP52" s="6"/>
      <c r="GZQ52" s="6"/>
      <c r="GZR52" s="6"/>
      <c r="GZS52" s="6"/>
      <c r="GZT52" s="6"/>
      <c r="GZU52" s="6"/>
      <c r="GZV52" s="6"/>
      <c r="GZW52" s="6"/>
      <c r="GZX52" s="6"/>
      <c r="GZY52" s="6"/>
      <c r="GZZ52" s="6"/>
      <c r="HAA52" s="6"/>
      <c r="HAB52" s="6"/>
      <c r="HAC52" s="6"/>
      <c r="HAD52" s="6"/>
      <c r="HAE52" s="6"/>
      <c r="HAF52" s="6"/>
      <c r="HAG52" s="6"/>
      <c r="HAH52" s="6"/>
      <c r="HAI52" s="6"/>
      <c r="HAJ52" s="6"/>
      <c r="HAK52" s="6"/>
      <c r="HAL52" s="6"/>
      <c r="HAM52" s="6"/>
      <c r="HAN52" s="6"/>
      <c r="HAO52" s="6"/>
      <c r="HAP52" s="6"/>
      <c r="HAQ52" s="6"/>
      <c r="HAR52" s="6"/>
      <c r="HAS52" s="6"/>
      <c r="HAT52" s="6"/>
      <c r="HAU52" s="6"/>
      <c r="HAV52" s="6"/>
      <c r="HAW52" s="6"/>
      <c r="HAX52" s="6"/>
      <c r="HAY52" s="6"/>
      <c r="HAZ52" s="6"/>
      <c r="HBA52" s="6"/>
      <c r="HBB52" s="6"/>
      <c r="HBC52" s="6"/>
      <c r="HBD52" s="6"/>
      <c r="HBE52" s="6"/>
      <c r="HBF52" s="6"/>
      <c r="HBG52" s="6"/>
      <c r="HBH52" s="6"/>
      <c r="HBI52" s="6"/>
      <c r="HBJ52" s="6"/>
      <c r="HBK52" s="6"/>
      <c r="HBL52" s="6"/>
      <c r="HBM52" s="6"/>
      <c r="HBN52" s="6"/>
      <c r="HBO52" s="6"/>
      <c r="HBP52" s="6"/>
      <c r="HBQ52" s="6"/>
      <c r="HBR52" s="6"/>
      <c r="HBS52" s="6"/>
      <c r="HBT52" s="6"/>
      <c r="HBU52" s="6"/>
      <c r="HBV52" s="6"/>
      <c r="HBW52" s="6"/>
      <c r="HBX52" s="6"/>
      <c r="HBY52" s="6"/>
      <c r="HBZ52" s="6"/>
      <c r="HCA52" s="6"/>
      <c r="HCB52" s="6"/>
      <c r="HCC52" s="6"/>
      <c r="HCD52" s="6"/>
      <c r="HCE52" s="6"/>
      <c r="HCF52" s="6"/>
      <c r="HCG52" s="6"/>
      <c r="HCH52" s="6"/>
      <c r="HCI52" s="6"/>
      <c r="HCJ52" s="6"/>
      <c r="HCK52" s="6"/>
      <c r="HCL52" s="6"/>
      <c r="HCM52" s="6"/>
      <c r="HCN52" s="6"/>
      <c r="HCO52" s="6"/>
      <c r="HCP52" s="6"/>
      <c r="HCQ52" s="6"/>
      <c r="HCR52" s="6"/>
      <c r="HCS52" s="6"/>
      <c r="HCT52" s="6"/>
      <c r="HCU52" s="6"/>
      <c r="HCV52" s="6"/>
      <c r="HCW52" s="6"/>
      <c r="HCX52" s="6"/>
      <c r="HCY52" s="6"/>
      <c r="HCZ52" s="6"/>
      <c r="HDA52" s="6"/>
      <c r="HDB52" s="6"/>
      <c r="HDC52" s="6"/>
      <c r="HDD52" s="6"/>
      <c r="HDE52" s="6"/>
      <c r="HDF52" s="6"/>
      <c r="HDG52" s="6"/>
      <c r="HDH52" s="6"/>
      <c r="HDI52" s="6"/>
      <c r="HDJ52" s="6"/>
      <c r="HDK52" s="6"/>
      <c r="HDL52" s="6"/>
      <c r="HDM52" s="6"/>
      <c r="HDN52" s="6"/>
      <c r="HDO52" s="6"/>
      <c r="HDP52" s="6"/>
      <c r="HDQ52" s="6"/>
      <c r="HDR52" s="6"/>
      <c r="HDS52" s="6"/>
      <c r="HDT52" s="6"/>
      <c r="HDU52" s="6"/>
      <c r="HDV52" s="6"/>
      <c r="HDW52" s="6"/>
      <c r="HDX52" s="6"/>
      <c r="HDY52" s="6"/>
      <c r="HDZ52" s="6"/>
      <c r="HEA52" s="6"/>
      <c r="HEB52" s="6"/>
      <c r="HEC52" s="6"/>
      <c r="HED52" s="6"/>
      <c r="HEE52" s="6"/>
      <c r="HEF52" s="6"/>
      <c r="HEG52" s="6"/>
      <c r="HEH52" s="6"/>
      <c r="HEI52" s="6"/>
      <c r="HEJ52" s="6"/>
      <c r="HEK52" s="6"/>
      <c r="HEL52" s="6"/>
      <c r="HEM52" s="6"/>
      <c r="HEN52" s="6"/>
      <c r="HEO52" s="6"/>
      <c r="HEP52" s="6"/>
      <c r="HEQ52" s="6"/>
      <c r="HER52" s="6"/>
      <c r="HES52" s="6"/>
      <c r="HET52" s="6"/>
      <c r="HEU52" s="6"/>
      <c r="HEV52" s="6"/>
      <c r="HEW52" s="6"/>
      <c r="HEX52" s="6"/>
      <c r="HEY52" s="6"/>
      <c r="HEZ52" s="6"/>
      <c r="HFA52" s="6"/>
      <c r="HFB52" s="6"/>
      <c r="HFC52" s="6"/>
      <c r="HFD52" s="6"/>
      <c r="HFE52" s="6"/>
      <c r="HFF52" s="6"/>
      <c r="HFG52" s="6"/>
      <c r="HFH52" s="6"/>
      <c r="HFI52" s="6"/>
      <c r="HFJ52" s="6"/>
      <c r="HFK52" s="6"/>
      <c r="HFL52" s="6"/>
      <c r="HFM52" s="6"/>
      <c r="HFN52" s="6"/>
      <c r="HFO52" s="6"/>
      <c r="HFP52" s="6"/>
      <c r="HFQ52" s="6"/>
      <c r="HFR52" s="6"/>
      <c r="HFS52" s="6"/>
      <c r="HFT52" s="6"/>
      <c r="HFU52" s="6"/>
      <c r="HFV52" s="6"/>
      <c r="HFW52" s="6"/>
      <c r="HFX52" s="6"/>
      <c r="HFY52" s="6"/>
      <c r="HFZ52" s="6"/>
      <c r="HGA52" s="6"/>
      <c r="HGB52" s="6"/>
      <c r="HGC52" s="6"/>
      <c r="HGD52" s="6"/>
      <c r="HGE52" s="6"/>
      <c r="HGF52" s="6"/>
      <c r="HGG52" s="6"/>
      <c r="HGH52" s="6"/>
      <c r="HGI52" s="6"/>
      <c r="HGJ52" s="6"/>
      <c r="HGK52" s="6"/>
      <c r="HGL52" s="6"/>
      <c r="HGM52" s="6"/>
      <c r="HGN52" s="6"/>
      <c r="HGO52" s="6"/>
      <c r="HGP52" s="6"/>
      <c r="HGQ52" s="6"/>
      <c r="HGR52" s="6"/>
      <c r="HGS52" s="6"/>
      <c r="HGT52" s="6"/>
      <c r="HGU52" s="6"/>
      <c r="HGV52" s="6"/>
      <c r="HGW52" s="6"/>
      <c r="HGX52" s="6"/>
      <c r="HGY52" s="6"/>
      <c r="HGZ52" s="6"/>
      <c r="HHA52" s="6"/>
      <c r="HHB52" s="6"/>
      <c r="HHC52" s="6"/>
      <c r="HHD52" s="6"/>
      <c r="HHE52" s="6"/>
      <c r="HHF52" s="6"/>
      <c r="HHG52" s="6"/>
      <c r="HHH52" s="6"/>
      <c r="HHI52" s="6"/>
      <c r="HHJ52" s="6"/>
      <c r="HHK52" s="6"/>
      <c r="HHL52" s="6"/>
      <c r="HHM52" s="6"/>
      <c r="HHN52" s="6"/>
      <c r="HHO52" s="6"/>
      <c r="HHP52" s="6"/>
      <c r="HHQ52" s="6"/>
      <c r="HHR52" s="6"/>
      <c r="HHS52" s="6"/>
      <c r="HHT52" s="6"/>
      <c r="HHU52" s="6"/>
      <c r="HHV52" s="6"/>
      <c r="HHW52" s="6"/>
      <c r="HHX52" s="6"/>
      <c r="HHY52" s="6"/>
      <c r="HHZ52" s="6"/>
      <c r="HIA52" s="6"/>
      <c r="HIB52" s="6"/>
      <c r="HIC52" s="6"/>
      <c r="HID52" s="6"/>
      <c r="HIE52" s="6"/>
      <c r="HIF52" s="6"/>
      <c r="HIG52" s="6"/>
      <c r="HIH52" s="6"/>
      <c r="HII52" s="6"/>
      <c r="HIJ52" s="6"/>
      <c r="HIK52" s="6"/>
      <c r="HIL52" s="6"/>
      <c r="HIM52" s="6"/>
      <c r="HIN52" s="6"/>
      <c r="HIO52" s="6"/>
      <c r="HIP52" s="6"/>
      <c r="HIQ52" s="6"/>
      <c r="HIR52" s="6"/>
      <c r="HIS52" s="6"/>
      <c r="HIT52" s="6"/>
      <c r="HIU52" s="6"/>
      <c r="HIV52" s="6"/>
      <c r="HIW52" s="6"/>
      <c r="HIX52" s="6"/>
      <c r="HIY52" s="6"/>
      <c r="HIZ52" s="6"/>
      <c r="HJA52" s="6"/>
      <c r="HJB52" s="6"/>
      <c r="HJC52" s="6"/>
      <c r="HJD52" s="6"/>
      <c r="HJE52" s="6"/>
      <c r="HJF52" s="6"/>
      <c r="HJG52" s="6"/>
      <c r="HJH52" s="6"/>
      <c r="HJI52" s="6"/>
      <c r="HJJ52" s="6"/>
      <c r="HJK52" s="6"/>
      <c r="HJL52" s="6"/>
      <c r="HJM52" s="6"/>
      <c r="HJN52" s="6"/>
      <c r="HJO52" s="6"/>
      <c r="HJP52" s="6"/>
      <c r="HJQ52" s="6"/>
      <c r="HJR52" s="6"/>
      <c r="HJS52" s="6"/>
      <c r="HJT52" s="6"/>
      <c r="HJU52" s="6"/>
      <c r="HJV52" s="6"/>
      <c r="HJW52" s="6"/>
      <c r="HJX52" s="6"/>
      <c r="HJY52" s="6"/>
      <c r="HJZ52" s="6"/>
      <c r="HKA52" s="6"/>
      <c r="HKB52" s="6"/>
      <c r="HKC52" s="6"/>
      <c r="HKD52" s="6"/>
      <c r="HKE52" s="6"/>
      <c r="HKF52" s="6"/>
      <c r="HKG52" s="6"/>
      <c r="HKH52" s="6"/>
      <c r="HKI52" s="6"/>
      <c r="HKJ52" s="6"/>
      <c r="HKK52" s="6"/>
      <c r="HKL52" s="6"/>
      <c r="HKM52" s="6"/>
      <c r="HKN52" s="6"/>
      <c r="HKO52" s="6"/>
      <c r="HKP52" s="6"/>
      <c r="HKQ52" s="6"/>
      <c r="HKR52" s="6"/>
      <c r="HKS52" s="6"/>
      <c r="HKT52" s="6"/>
      <c r="HKU52" s="6"/>
      <c r="HKV52" s="6"/>
      <c r="HKW52" s="6"/>
      <c r="HKX52" s="6"/>
      <c r="HKY52" s="6"/>
      <c r="HKZ52" s="6"/>
      <c r="HLA52" s="6"/>
      <c r="HLB52" s="6"/>
      <c r="HLC52" s="6"/>
      <c r="HLD52" s="6"/>
      <c r="HLE52" s="6"/>
      <c r="HLF52" s="6"/>
      <c r="HLG52" s="6"/>
      <c r="HLH52" s="6"/>
      <c r="HLI52" s="6"/>
      <c r="HLJ52" s="6"/>
      <c r="HLK52" s="6"/>
      <c r="HLL52" s="6"/>
      <c r="HLM52" s="6"/>
      <c r="HLN52" s="6"/>
      <c r="HLO52" s="6"/>
      <c r="HLP52" s="6"/>
      <c r="HLQ52" s="6"/>
      <c r="HLR52" s="6"/>
      <c r="HLS52" s="6"/>
      <c r="HLT52" s="6"/>
      <c r="HLU52" s="6"/>
      <c r="HLV52" s="6"/>
      <c r="HLW52" s="6"/>
      <c r="HLX52" s="6"/>
      <c r="HLY52" s="6"/>
      <c r="HLZ52" s="6"/>
      <c r="HMA52" s="6"/>
      <c r="HMB52" s="6"/>
      <c r="HMC52" s="6"/>
      <c r="HMD52" s="6"/>
      <c r="HME52" s="6"/>
      <c r="HMF52" s="6"/>
      <c r="HMG52" s="6"/>
      <c r="HMH52" s="6"/>
      <c r="HMI52" s="6"/>
      <c r="HMJ52" s="6"/>
      <c r="HMK52" s="6"/>
      <c r="HML52" s="6"/>
      <c r="HMM52" s="6"/>
      <c r="HMN52" s="6"/>
      <c r="HMO52" s="6"/>
      <c r="HMP52" s="6"/>
      <c r="HMQ52" s="6"/>
      <c r="HMR52" s="6"/>
      <c r="HMS52" s="6"/>
      <c r="HMT52" s="6"/>
      <c r="HMU52" s="6"/>
      <c r="HMV52" s="6"/>
      <c r="HMW52" s="6"/>
      <c r="HMX52" s="6"/>
      <c r="HMY52" s="6"/>
      <c r="HMZ52" s="6"/>
      <c r="HNA52" s="6"/>
      <c r="HNB52" s="6"/>
      <c r="HNC52" s="6"/>
      <c r="HND52" s="6"/>
      <c r="HNE52" s="6"/>
      <c r="HNF52" s="6"/>
      <c r="HNG52" s="6"/>
      <c r="HNH52" s="6"/>
      <c r="HNI52" s="6"/>
      <c r="HNJ52" s="6"/>
      <c r="HNK52" s="6"/>
      <c r="HNL52" s="6"/>
      <c r="HNM52" s="6"/>
      <c r="HNN52" s="6"/>
      <c r="HNO52" s="6"/>
      <c r="HNP52" s="6"/>
      <c r="HNQ52" s="6"/>
      <c r="HNR52" s="6"/>
      <c r="HNS52" s="6"/>
      <c r="HNT52" s="6"/>
      <c r="HNU52" s="6"/>
      <c r="HNV52" s="6"/>
      <c r="HNW52" s="6"/>
      <c r="HNX52" s="6"/>
      <c r="HNY52" s="6"/>
      <c r="HNZ52" s="6"/>
      <c r="HOA52" s="6"/>
      <c r="HOB52" s="6"/>
      <c r="HOC52" s="6"/>
      <c r="HOD52" s="6"/>
      <c r="HOE52" s="6"/>
      <c r="HOF52" s="6"/>
      <c r="HOG52" s="6"/>
      <c r="HOH52" s="6"/>
      <c r="HOI52" s="6"/>
      <c r="HOJ52" s="6"/>
      <c r="HOK52" s="6"/>
      <c r="HOL52" s="6"/>
      <c r="HOM52" s="6"/>
      <c r="HON52" s="6"/>
      <c r="HOO52" s="6"/>
      <c r="HOP52" s="6"/>
      <c r="HOQ52" s="6"/>
      <c r="HOR52" s="6"/>
      <c r="HOS52" s="6"/>
      <c r="HOT52" s="6"/>
      <c r="HOU52" s="6"/>
      <c r="HOV52" s="6"/>
      <c r="HOW52" s="6"/>
      <c r="HOX52" s="6"/>
      <c r="HOY52" s="6"/>
      <c r="HOZ52" s="6"/>
      <c r="HPA52" s="6"/>
      <c r="HPB52" s="6"/>
      <c r="HPC52" s="6"/>
      <c r="HPD52" s="6"/>
      <c r="HPE52" s="6"/>
      <c r="HPF52" s="6"/>
      <c r="HPG52" s="6"/>
      <c r="HPH52" s="6"/>
      <c r="HPI52" s="6"/>
      <c r="HPJ52" s="6"/>
      <c r="HPK52" s="6"/>
      <c r="HPL52" s="6"/>
      <c r="HPM52" s="6"/>
      <c r="HPN52" s="6"/>
      <c r="HPO52" s="6"/>
      <c r="HPP52" s="6"/>
      <c r="HPQ52" s="6"/>
      <c r="HPR52" s="6"/>
      <c r="HPS52" s="6"/>
      <c r="HPT52" s="6"/>
      <c r="HPU52" s="6"/>
      <c r="HPV52" s="6"/>
      <c r="HPW52" s="6"/>
      <c r="HPX52" s="6"/>
      <c r="HPY52" s="6"/>
      <c r="HPZ52" s="6"/>
      <c r="HQA52" s="6"/>
      <c r="HQB52" s="6"/>
      <c r="HQC52" s="6"/>
      <c r="HQD52" s="6"/>
      <c r="HQE52" s="6"/>
      <c r="HQF52" s="6"/>
      <c r="HQG52" s="6"/>
      <c r="HQH52" s="6"/>
      <c r="HQI52" s="6"/>
      <c r="HQJ52" s="6"/>
      <c r="HQK52" s="6"/>
      <c r="HQL52" s="6"/>
      <c r="HQM52" s="6"/>
      <c r="HQN52" s="6"/>
      <c r="HQO52" s="6"/>
      <c r="HQP52" s="6"/>
      <c r="HQQ52" s="6"/>
      <c r="HQR52" s="6"/>
      <c r="HQS52" s="6"/>
      <c r="HQT52" s="6"/>
      <c r="HQU52" s="6"/>
      <c r="HQV52" s="6"/>
      <c r="HQW52" s="6"/>
      <c r="HQX52" s="6"/>
      <c r="HQY52" s="6"/>
      <c r="HQZ52" s="6"/>
      <c r="HRA52" s="6"/>
      <c r="HRB52" s="6"/>
      <c r="HRC52" s="6"/>
      <c r="HRD52" s="6"/>
      <c r="HRE52" s="6"/>
      <c r="HRF52" s="6"/>
      <c r="HRG52" s="6"/>
      <c r="HRH52" s="6"/>
      <c r="HRI52" s="6"/>
      <c r="HRJ52" s="6"/>
      <c r="HRK52" s="6"/>
      <c r="HRL52" s="6"/>
      <c r="HRM52" s="6"/>
      <c r="HRN52" s="6"/>
      <c r="HRO52" s="6"/>
      <c r="HRP52" s="6"/>
      <c r="HRQ52" s="6"/>
      <c r="HRR52" s="6"/>
      <c r="HRS52" s="6"/>
      <c r="HRT52" s="6"/>
      <c r="HRU52" s="6"/>
      <c r="HRV52" s="6"/>
      <c r="HRW52" s="6"/>
      <c r="HRX52" s="6"/>
      <c r="HRY52" s="6"/>
      <c r="HRZ52" s="6"/>
      <c r="HSA52" s="6"/>
      <c r="HSB52" s="6"/>
      <c r="HSC52" s="6"/>
      <c r="HSD52" s="6"/>
      <c r="HSE52" s="6"/>
      <c r="HSF52" s="6"/>
      <c r="HSG52" s="6"/>
      <c r="HSH52" s="6"/>
      <c r="HSI52" s="6"/>
      <c r="HSJ52" s="6"/>
      <c r="HSK52" s="6"/>
      <c r="HSL52" s="6"/>
      <c r="HSM52" s="6"/>
      <c r="HSN52" s="6"/>
      <c r="HSO52" s="6"/>
      <c r="HSP52" s="6"/>
      <c r="HSQ52" s="6"/>
      <c r="HSR52" s="6"/>
      <c r="HSS52" s="6"/>
      <c r="HST52" s="6"/>
      <c r="HSU52" s="6"/>
      <c r="HSV52" s="6"/>
      <c r="HSW52" s="6"/>
      <c r="HSX52" s="6"/>
      <c r="HSY52" s="6"/>
      <c r="HSZ52" s="6"/>
      <c r="HTA52" s="6"/>
      <c r="HTB52" s="6"/>
      <c r="HTC52" s="6"/>
      <c r="HTD52" s="6"/>
      <c r="HTE52" s="6"/>
      <c r="HTF52" s="6"/>
      <c r="HTG52" s="6"/>
      <c r="HTH52" s="6"/>
      <c r="HTI52" s="6"/>
      <c r="HTJ52" s="6"/>
      <c r="HTK52" s="6"/>
      <c r="HTL52" s="6"/>
      <c r="HTM52" s="6"/>
      <c r="HTN52" s="6"/>
      <c r="HTO52" s="6"/>
      <c r="HTP52" s="6"/>
      <c r="HTQ52" s="6"/>
      <c r="HTR52" s="6"/>
      <c r="HTS52" s="6"/>
      <c r="HTT52" s="6"/>
      <c r="HTU52" s="6"/>
      <c r="HTV52" s="6"/>
      <c r="HTW52" s="6"/>
      <c r="HTX52" s="6"/>
      <c r="HTY52" s="6"/>
      <c r="HTZ52" s="6"/>
      <c r="HUA52" s="6"/>
      <c r="HUB52" s="6"/>
      <c r="HUC52" s="6"/>
      <c r="HUD52" s="6"/>
      <c r="HUE52" s="6"/>
      <c r="HUF52" s="6"/>
      <c r="HUG52" s="6"/>
      <c r="HUH52" s="6"/>
      <c r="HUI52" s="6"/>
      <c r="HUJ52" s="6"/>
      <c r="HUK52" s="6"/>
      <c r="HUL52" s="6"/>
      <c r="HUM52" s="6"/>
      <c r="HUN52" s="6"/>
      <c r="HUO52" s="6"/>
      <c r="HUP52" s="6"/>
      <c r="HUQ52" s="6"/>
      <c r="HUR52" s="6"/>
      <c r="HUS52" s="6"/>
      <c r="HUT52" s="6"/>
      <c r="HUU52" s="6"/>
      <c r="HUV52" s="6"/>
      <c r="HUW52" s="6"/>
      <c r="HUX52" s="6"/>
      <c r="HUY52" s="6"/>
      <c r="HUZ52" s="6"/>
      <c r="HVA52" s="6"/>
      <c r="HVB52" s="6"/>
      <c r="HVC52" s="6"/>
      <c r="HVD52" s="6"/>
      <c r="HVE52" s="6"/>
      <c r="HVF52" s="6"/>
      <c r="HVG52" s="6"/>
      <c r="HVH52" s="6"/>
      <c r="HVI52" s="6"/>
      <c r="HVJ52" s="6"/>
      <c r="HVK52" s="6"/>
      <c r="HVL52" s="6"/>
      <c r="HVM52" s="6"/>
      <c r="HVN52" s="6"/>
      <c r="HVO52" s="6"/>
      <c r="HVP52" s="6"/>
      <c r="HVQ52" s="6"/>
      <c r="HVR52" s="6"/>
      <c r="HVS52" s="6"/>
      <c r="HVT52" s="6"/>
      <c r="HVU52" s="6"/>
      <c r="HVV52" s="6"/>
      <c r="HVW52" s="6"/>
      <c r="HVX52" s="6"/>
      <c r="HVY52" s="6"/>
      <c r="HVZ52" s="6"/>
      <c r="HWA52" s="6"/>
      <c r="HWB52" s="6"/>
      <c r="HWC52" s="6"/>
      <c r="HWD52" s="6"/>
      <c r="HWE52" s="6"/>
      <c r="HWF52" s="6"/>
      <c r="HWG52" s="6"/>
      <c r="HWH52" s="6"/>
      <c r="HWI52" s="6"/>
      <c r="HWJ52" s="6"/>
      <c r="HWK52" s="6"/>
      <c r="HWL52" s="6"/>
      <c r="HWM52" s="6"/>
      <c r="HWN52" s="6"/>
      <c r="HWO52" s="6"/>
      <c r="HWP52" s="6"/>
      <c r="HWQ52" s="6"/>
      <c r="HWR52" s="6"/>
      <c r="HWS52" s="6"/>
      <c r="HWT52" s="6"/>
      <c r="HWU52" s="6"/>
      <c r="HWV52" s="6"/>
      <c r="HWW52" s="6"/>
      <c r="HWX52" s="6"/>
      <c r="HWY52" s="6"/>
      <c r="HWZ52" s="6"/>
      <c r="HXA52" s="6"/>
      <c r="HXB52" s="6"/>
      <c r="HXC52" s="6"/>
      <c r="HXD52" s="6"/>
      <c r="HXE52" s="6"/>
      <c r="HXF52" s="6"/>
      <c r="HXG52" s="6"/>
      <c r="HXH52" s="6"/>
      <c r="HXI52" s="6"/>
      <c r="HXJ52" s="6"/>
      <c r="HXK52" s="6"/>
      <c r="HXL52" s="6"/>
      <c r="HXM52" s="6"/>
      <c r="HXN52" s="6"/>
      <c r="HXO52" s="6"/>
      <c r="HXP52" s="6"/>
      <c r="HXQ52" s="6"/>
      <c r="HXR52" s="6"/>
      <c r="HXS52" s="6"/>
      <c r="HXT52" s="6"/>
      <c r="HXU52" s="6"/>
      <c r="HXV52" s="6"/>
      <c r="HXW52" s="6"/>
      <c r="HXX52" s="6"/>
      <c r="HXY52" s="6"/>
      <c r="HXZ52" s="6"/>
      <c r="HYA52" s="6"/>
      <c r="HYB52" s="6"/>
      <c r="HYC52" s="6"/>
      <c r="HYD52" s="6"/>
      <c r="HYE52" s="6"/>
      <c r="HYF52" s="6"/>
      <c r="HYG52" s="6"/>
      <c r="HYH52" s="6"/>
      <c r="HYI52" s="6"/>
      <c r="HYJ52" s="6"/>
      <c r="HYK52" s="6"/>
      <c r="HYL52" s="6"/>
      <c r="HYM52" s="6"/>
      <c r="HYN52" s="6"/>
      <c r="HYO52" s="6"/>
      <c r="HYP52" s="6"/>
      <c r="HYQ52" s="6"/>
      <c r="HYR52" s="6"/>
      <c r="HYS52" s="6"/>
      <c r="HYT52" s="6"/>
      <c r="HYU52" s="6"/>
      <c r="HYV52" s="6"/>
      <c r="HYW52" s="6"/>
      <c r="HYX52" s="6"/>
      <c r="HYY52" s="6"/>
      <c r="HYZ52" s="6"/>
      <c r="HZA52" s="6"/>
      <c r="HZB52" s="6"/>
      <c r="HZC52" s="6"/>
      <c r="HZD52" s="6"/>
      <c r="HZE52" s="6"/>
      <c r="HZF52" s="6"/>
      <c r="HZG52" s="6"/>
      <c r="HZH52" s="6"/>
      <c r="HZI52" s="6"/>
      <c r="HZJ52" s="6"/>
      <c r="HZK52" s="6"/>
      <c r="HZL52" s="6"/>
      <c r="HZM52" s="6"/>
      <c r="HZN52" s="6"/>
      <c r="HZO52" s="6"/>
      <c r="HZP52" s="6"/>
      <c r="HZQ52" s="6"/>
      <c r="HZR52" s="6"/>
      <c r="HZS52" s="6"/>
      <c r="HZT52" s="6"/>
      <c r="HZU52" s="6"/>
      <c r="HZV52" s="6"/>
      <c r="HZW52" s="6"/>
      <c r="HZX52" s="6"/>
      <c r="HZY52" s="6"/>
      <c r="HZZ52" s="6"/>
      <c r="IAA52" s="6"/>
      <c r="IAB52" s="6"/>
      <c r="IAC52" s="6"/>
      <c r="IAD52" s="6"/>
      <c r="IAE52" s="6"/>
      <c r="IAF52" s="6"/>
      <c r="IAG52" s="6"/>
      <c r="IAH52" s="6"/>
      <c r="IAI52" s="6"/>
      <c r="IAJ52" s="6"/>
      <c r="IAK52" s="6"/>
      <c r="IAL52" s="6"/>
      <c r="IAM52" s="6"/>
      <c r="IAN52" s="6"/>
      <c r="IAO52" s="6"/>
      <c r="IAP52" s="6"/>
      <c r="IAQ52" s="6"/>
      <c r="IAR52" s="6"/>
      <c r="IAS52" s="6"/>
      <c r="IAT52" s="6"/>
      <c r="IAU52" s="6"/>
      <c r="IAV52" s="6"/>
      <c r="IAW52" s="6"/>
      <c r="IAX52" s="6"/>
      <c r="IAY52" s="6"/>
      <c r="IAZ52" s="6"/>
      <c r="IBA52" s="6"/>
      <c r="IBB52" s="6"/>
      <c r="IBC52" s="6"/>
      <c r="IBD52" s="6"/>
      <c r="IBE52" s="6"/>
      <c r="IBF52" s="6"/>
      <c r="IBG52" s="6"/>
      <c r="IBH52" s="6"/>
      <c r="IBI52" s="6"/>
      <c r="IBJ52" s="6"/>
      <c r="IBK52" s="6"/>
      <c r="IBL52" s="6"/>
      <c r="IBM52" s="6"/>
      <c r="IBN52" s="6"/>
      <c r="IBO52" s="6"/>
      <c r="IBP52" s="6"/>
      <c r="IBQ52" s="6"/>
      <c r="IBR52" s="6"/>
      <c r="IBS52" s="6"/>
      <c r="IBT52" s="6"/>
      <c r="IBU52" s="6"/>
      <c r="IBV52" s="6"/>
      <c r="IBW52" s="6"/>
      <c r="IBX52" s="6"/>
      <c r="IBY52" s="6"/>
      <c r="IBZ52" s="6"/>
      <c r="ICA52" s="6"/>
      <c r="ICB52" s="6"/>
      <c r="ICC52" s="6"/>
      <c r="ICD52" s="6"/>
      <c r="ICE52" s="6"/>
      <c r="ICF52" s="6"/>
      <c r="ICG52" s="6"/>
      <c r="ICH52" s="6"/>
      <c r="ICI52" s="6"/>
      <c r="ICJ52" s="6"/>
      <c r="ICK52" s="6"/>
      <c r="ICL52" s="6"/>
      <c r="ICM52" s="6"/>
      <c r="ICN52" s="6"/>
      <c r="ICO52" s="6"/>
      <c r="ICP52" s="6"/>
      <c r="ICQ52" s="6"/>
      <c r="ICR52" s="6"/>
      <c r="ICS52" s="6"/>
      <c r="ICT52" s="6"/>
      <c r="ICU52" s="6"/>
      <c r="ICV52" s="6"/>
      <c r="ICW52" s="6"/>
      <c r="ICX52" s="6"/>
      <c r="ICY52" s="6"/>
      <c r="ICZ52" s="6"/>
      <c r="IDA52" s="6"/>
      <c r="IDB52" s="6"/>
      <c r="IDC52" s="6"/>
      <c r="IDD52" s="6"/>
      <c r="IDE52" s="6"/>
      <c r="IDF52" s="6"/>
      <c r="IDG52" s="6"/>
      <c r="IDH52" s="6"/>
      <c r="IDI52" s="6"/>
      <c r="IDJ52" s="6"/>
      <c r="IDK52" s="6"/>
      <c r="IDL52" s="6"/>
      <c r="IDM52" s="6"/>
      <c r="IDN52" s="6"/>
      <c r="IDO52" s="6"/>
      <c r="IDP52" s="6"/>
      <c r="IDQ52" s="6"/>
      <c r="IDR52" s="6"/>
      <c r="IDS52" s="6"/>
      <c r="IDT52" s="6"/>
      <c r="IDU52" s="6"/>
      <c r="IDV52" s="6"/>
      <c r="IDW52" s="6"/>
      <c r="IDX52" s="6"/>
      <c r="IDY52" s="6"/>
      <c r="IDZ52" s="6"/>
      <c r="IEA52" s="6"/>
      <c r="IEB52" s="6"/>
      <c r="IEC52" s="6"/>
      <c r="IED52" s="6"/>
      <c r="IEE52" s="6"/>
      <c r="IEF52" s="6"/>
      <c r="IEG52" s="6"/>
      <c r="IEH52" s="6"/>
      <c r="IEI52" s="6"/>
      <c r="IEJ52" s="6"/>
      <c r="IEK52" s="6"/>
      <c r="IEL52" s="6"/>
      <c r="IEM52" s="6"/>
      <c r="IEN52" s="6"/>
      <c r="IEO52" s="6"/>
      <c r="IEP52" s="6"/>
      <c r="IEQ52" s="6"/>
      <c r="IER52" s="6"/>
      <c r="IES52" s="6"/>
      <c r="IET52" s="6"/>
      <c r="IEU52" s="6"/>
      <c r="IEV52" s="6"/>
      <c r="IEW52" s="6"/>
      <c r="IEX52" s="6"/>
      <c r="IEY52" s="6"/>
      <c r="IEZ52" s="6"/>
      <c r="IFA52" s="6"/>
      <c r="IFB52" s="6"/>
      <c r="IFC52" s="6"/>
      <c r="IFD52" s="6"/>
      <c r="IFE52" s="6"/>
      <c r="IFF52" s="6"/>
      <c r="IFG52" s="6"/>
      <c r="IFH52" s="6"/>
      <c r="IFI52" s="6"/>
      <c r="IFJ52" s="6"/>
      <c r="IFK52" s="6"/>
      <c r="IFL52" s="6"/>
      <c r="IFM52" s="6"/>
      <c r="IFN52" s="6"/>
      <c r="IFO52" s="6"/>
      <c r="IFP52" s="6"/>
      <c r="IFQ52" s="6"/>
      <c r="IFR52" s="6"/>
      <c r="IFS52" s="6"/>
      <c r="IFT52" s="6"/>
      <c r="IFU52" s="6"/>
      <c r="IFV52" s="6"/>
      <c r="IFW52" s="6"/>
      <c r="IFX52" s="6"/>
      <c r="IFY52" s="6"/>
      <c r="IFZ52" s="6"/>
      <c r="IGA52" s="6"/>
      <c r="IGB52" s="6"/>
      <c r="IGC52" s="6"/>
      <c r="IGD52" s="6"/>
      <c r="IGE52" s="6"/>
      <c r="IGF52" s="6"/>
      <c r="IGG52" s="6"/>
      <c r="IGH52" s="6"/>
      <c r="IGI52" s="6"/>
      <c r="IGJ52" s="6"/>
      <c r="IGK52" s="6"/>
      <c r="IGL52" s="6"/>
      <c r="IGM52" s="6"/>
      <c r="IGN52" s="6"/>
      <c r="IGO52" s="6"/>
      <c r="IGP52" s="6"/>
      <c r="IGQ52" s="6"/>
      <c r="IGR52" s="6"/>
      <c r="IGS52" s="6"/>
      <c r="IGT52" s="6"/>
      <c r="IGU52" s="6"/>
      <c r="IGV52" s="6"/>
      <c r="IGW52" s="6"/>
      <c r="IGX52" s="6"/>
      <c r="IGY52" s="6"/>
      <c r="IGZ52" s="6"/>
      <c r="IHA52" s="6"/>
      <c r="IHB52" s="6"/>
      <c r="IHC52" s="6"/>
      <c r="IHD52" s="6"/>
      <c r="IHE52" s="6"/>
      <c r="IHF52" s="6"/>
      <c r="IHG52" s="6"/>
      <c r="IHH52" s="6"/>
      <c r="IHI52" s="6"/>
      <c r="IHJ52" s="6"/>
      <c r="IHK52" s="6"/>
      <c r="IHL52" s="6"/>
      <c r="IHM52" s="6"/>
      <c r="IHN52" s="6"/>
      <c r="IHO52" s="6"/>
      <c r="IHP52" s="6"/>
      <c r="IHQ52" s="6"/>
      <c r="IHR52" s="6"/>
      <c r="IHS52" s="6"/>
      <c r="IHT52" s="6"/>
      <c r="IHU52" s="6"/>
      <c r="IHV52" s="6"/>
      <c r="IHW52" s="6"/>
      <c r="IHX52" s="6"/>
      <c r="IHY52" s="6"/>
      <c r="IHZ52" s="6"/>
      <c r="IIA52" s="6"/>
      <c r="IIB52" s="6"/>
      <c r="IIC52" s="6"/>
      <c r="IID52" s="6"/>
      <c r="IIE52" s="6"/>
      <c r="IIF52" s="6"/>
      <c r="IIG52" s="6"/>
      <c r="IIH52" s="6"/>
      <c r="III52" s="6"/>
      <c r="IIJ52" s="6"/>
      <c r="IIK52" s="6"/>
      <c r="IIL52" s="6"/>
      <c r="IIM52" s="6"/>
      <c r="IIN52" s="6"/>
      <c r="IIO52" s="6"/>
      <c r="IIP52" s="6"/>
      <c r="IIQ52" s="6"/>
      <c r="IIR52" s="6"/>
      <c r="IIS52" s="6"/>
      <c r="IIT52" s="6"/>
      <c r="IIU52" s="6"/>
      <c r="IIV52" s="6"/>
      <c r="IIW52" s="6"/>
      <c r="IIX52" s="6"/>
      <c r="IIY52" s="6"/>
      <c r="IIZ52" s="6"/>
      <c r="IJA52" s="6"/>
      <c r="IJB52" s="6"/>
      <c r="IJC52" s="6"/>
      <c r="IJD52" s="6"/>
      <c r="IJE52" s="6"/>
      <c r="IJF52" s="6"/>
      <c r="IJG52" s="6"/>
      <c r="IJH52" s="6"/>
      <c r="IJI52" s="6"/>
      <c r="IJJ52" s="6"/>
      <c r="IJK52" s="6"/>
      <c r="IJL52" s="6"/>
      <c r="IJM52" s="6"/>
      <c r="IJN52" s="6"/>
      <c r="IJO52" s="6"/>
      <c r="IJP52" s="6"/>
      <c r="IJQ52" s="6"/>
      <c r="IJR52" s="6"/>
      <c r="IJS52" s="6"/>
      <c r="IJT52" s="6"/>
      <c r="IJU52" s="6"/>
      <c r="IJV52" s="6"/>
      <c r="IJW52" s="6"/>
      <c r="IJX52" s="6"/>
      <c r="IJY52" s="6"/>
      <c r="IJZ52" s="6"/>
      <c r="IKA52" s="6"/>
      <c r="IKB52" s="6"/>
      <c r="IKC52" s="6"/>
      <c r="IKD52" s="6"/>
      <c r="IKE52" s="6"/>
      <c r="IKF52" s="6"/>
      <c r="IKG52" s="6"/>
      <c r="IKH52" s="6"/>
      <c r="IKI52" s="6"/>
      <c r="IKJ52" s="6"/>
      <c r="IKK52" s="6"/>
      <c r="IKL52" s="6"/>
      <c r="IKM52" s="6"/>
      <c r="IKN52" s="6"/>
      <c r="IKO52" s="6"/>
      <c r="IKP52" s="6"/>
      <c r="IKQ52" s="6"/>
      <c r="IKR52" s="6"/>
      <c r="IKS52" s="6"/>
      <c r="IKT52" s="6"/>
      <c r="IKU52" s="6"/>
      <c r="IKV52" s="6"/>
      <c r="IKW52" s="6"/>
      <c r="IKX52" s="6"/>
      <c r="IKY52" s="6"/>
      <c r="IKZ52" s="6"/>
      <c r="ILA52" s="6"/>
      <c r="ILB52" s="6"/>
      <c r="ILC52" s="6"/>
      <c r="ILD52" s="6"/>
      <c r="ILE52" s="6"/>
      <c r="ILF52" s="6"/>
      <c r="ILG52" s="6"/>
      <c r="ILH52" s="6"/>
      <c r="ILI52" s="6"/>
      <c r="ILJ52" s="6"/>
      <c r="ILK52" s="6"/>
      <c r="ILL52" s="6"/>
      <c r="ILM52" s="6"/>
      <c r="ILN52" s="6"/>
      <c r="ILO52" s="6"/>
      <c r="ILP52" s="6"/>
      <c r="ILQ52" s="6"/>
      <c r="ILR52" s="6"/>
      <c r="ILS52" s="6"/>
      <c r="ILT52" s="6"/>
      <c r="ILU52" s="6"/>
      <c r="ILV52" s="6"/>
      <c r="ILW52" s="6"/>
      <c r="ILX52" s="6"/>
      <c r="ILY52" s="6"/>
      <c r="ILZ52" s="6"/>
      <c r="IMA52" s="6"/>
      <c r="IMB52" s="6"/>
      <c r="IMC52" s="6"/>
      <c r="IMD52" s="6"/>
      <c r="IME52" s="6"/>
      <c r="IMF52" s="6"/>
      <c r="IMG52" s="6"/>
      <c r="IMH52" s="6"/>
      <c r="IMI52" s="6"/>
      <c r="IMJ52" s="6"/>
      <c r="IMK52" s="6"/>
      <c r="IML52" s="6"/>
      <c r="IMM52" s="6"/>
      <c r="IMN52" s="6"/>
      <c r="IMO52" s="6"/>
      <c r="IMP52" s="6"/>
      <c r="IMQ52" s="6"/>
      <c r="IMR52" s="6"/>
      <c r="IMS52" s="6"/>
      <c r="IMT52" s="6"/>
      <c r="IMU52" s="6"/>
      <c r="IMV52" s="6"/>
      <c r="IMW52" s="6"/>
      <c r="IMX52" s="6"/>
      <c r="IMY52" s="6"/>
      <c r="IMZ52" s="6"/>
      <c r="INA52" s="6"/>
      <c r="INB52" s="6"/>
      <c r="INC52" s="6"/>
      <c r="IND52" s="6"/>
      <c r="INE52" s="6"/>
      <c r="INF52" s="6"/>
      <c r="ING52" s="6"/>
      <c r="INH52" s="6"/>
      <c r="INI52" s="6"/>
      <c r="INJ52" s="6"/>
      <c r="INK52" s="6"/>
      <c r="INL52" s="6"/>
      <c r="INM52" s="6"/>
      <c r="INN52" s="6"/>
      <c r="INO52" s="6"/>
      <c r="INP52" s="6"/>
      <c r="INQ52" s="6"/>
      <c r="INR52" s="6"/>
      <c r="INS52" s="6"/>
      <c r="INT52" s="6"/>
      <c r="INU52" s="6"/>
      <c r="INV52" s="6"/>
      <c r="INW52" s="6"/>
      <c r="INX52" s="6"/>
      <c r="INY52" s="6"/>
      <c r="INZ52" s="6"/>
      <c r="IOA52" s="6"/>
      <c r="IOB52" s="6"/>
      <c r="IOC52" s="6"/>
      <c r="IOD52" s="6"/>
      <c r="IOE52" s="6"/>
      <c r="IOF52" s="6"/>
      <c r="IOG52" s="6"/>
      <c r="IOH52" s="6"/>
      <c r="IOI52" s="6"/>
      <c r="IOJ52" s="6"/>
      <c r="IOK52" s="6"/>
      <c r="IOL52" s="6"/>
      <c r="IOM52" s="6"/>
      <c r="ION52" s="6"/>
      <c r="IOO52" s="6"/>
      <c r="IOP52" s="6"/>
      <c r="IOQ52" s="6"/>
      <c r="IOR52" s="6"/>
      <c r="IOS52" s="6"/>
      <c r="IOT52" s="6"/>
      <c r="IOU52" s="6"/>
      <c r="IOV52" s="6"/>
      <c r="IOW52" s="6"/>
      <c r="IOX52" s="6"/>
      <c r="IOY52" s="6"/>
      <c r="IOZ52" s="6"/>
      <c r="IPA52" s="6"/>
      <c r="IPB52" s="6"/>
      <c r="IPC52" s="6"/>
      <c r="IPD52" s="6"/>
      <c r="IPE52" s="6"/>
      <c r="IPF52" s="6"/>
      <c r="IPG52" s="6"/>
      <c r="IPH52" s="6"/>
      <c r="IPI52" s="6"/>
      <c r="IPJ52" s="6"/>
      <c r="IPK52" s="6"/>
      <c r="IPL52" s="6"/>
      <c r="IPM52" s="6"/>
      <c r="IPN52" s="6"/>
      <c r="IPO52" s="6"/>
      <c r="IPP52" s="6"/>
      <c r="IPQ52" s="6"/>
      <c r="IPR52" s="6"/>
      <c r="IPS52" s="6"/>
      <c r="IPT52" s="6"/>
      <c r="IPU52" s="6"/>
      <c r="IPV52" s="6"/>
      <c r="IPW52" s="6"/>
      <c r="IPX52" s="6"/>
      <c r="IPY52" s="6"/>
      <c r="IPZ52" s="6"/>
      <c r="IQA52" s="6"/>
      <c r="IQB52" s="6"/>
      <c r="IQC52" s="6"/>
      <c r="IQD52" s="6"/>
      <c r="IQE52" s="6"/>
      <c r="IQF52" s="6"/>
      <c r="IQG52" s="6"/>
      <c r="IQH52" s="6"/>
      <c r="IQI52" s="6"/>
      <c r="IQJ52" s="6"/>
      <c r="IQK52" s="6"/>
      <c r="IQL52" s="6"/>
      <c r="IQM52" s="6"/>
      <c r="IQN52" s="6"/>
      <c r="IQO52" s="6"/>
      <c r="IQP52" s="6"/>
      <c r="IQQ52" s="6"/>
      <c r="IQR52" s="6"/>
      <c r="IQS52" s="6"/>
      <c r="IQT52" s="6"/>
      <c r="IQU52" s="6"/>
      <c r="IQV52" s="6"/>
      <c r="IQW52" s="6"/>
      <c r="IQX52" s="6"/>
      <c r="IQY52" s="6"/>
      <c r="IQZ52" s="6"/>
      <c r="IRA52" s="6"/>
      <c r="IRB52" s="6"/>
      <c r="IRC52" s="6"/>
      <c r="IRD52" s="6"/>
      <c r="IRE52" s="6"/>
      <c r="IRF52" s="6"/>
      <c r="IRG52" s="6"/>
      <c r="IRH52" s="6"/>
      <c r="IRI52" s="6"/>
      <c r="IRJ52" s="6"/>
      <c r="IRK52" s="6"/>
      <c r="IRL52" s="6"/>
      <c r="IRM52" s="6"/>
      <c r="IRN52" s="6"/>
      <c r="IRO52" s="6"/>
      <c r="IRP52" s="6"/>
      <c r="IRQ52" s="6"/>
      <c r="IRR52" s="6"/>
      <c r="IRS52" s="6"/>
      <c r="IRT52" s="6"/>
      <c r="IRU52" s="6"/>
      <c r="IRV52" s="6"/>
      <c r="IRW52" s="6"/>
      <c r="IRX52" s="6"/>
      <c r="IRY52" s="6"/>
      <c r="IRZ52" s="6"/>
      <c r="ISA52" s="6"/>
      <c r="ISB52" s="6"/>
      <c r="ISC52" s="6"/>
      <c r="ISD52" s="6"/>
      <c r="ISE52" s="6"/>
      <c r="ISF52" s="6"/>
      <c r="ISG52" s="6"/>
      <c r="ISH52" s="6"/>
      <c r="ISI52" s="6"/>
      <c r="ISJ52" s="6"/>
      <c r="ISK52" s="6"/>
      <c r="ISL52" s="6"/>
      <c r="ISM52" s="6"/>
      <c r="ISN52" s="6"/>
      <c r="ISO52" s="6"/>
      <c r="ISP52" s="6"/>
      <c r="ISQ52" s="6"/>
      <c r="ISR52" s="6"/>
      <c r="ISS52" s="6"/>
      <c r="IST52" s="6"/>
      <c r="ISU52" s="6"/>
      <c r="ISV52" s="6"/>
      <c r="ISW52" s="6"/>
      <c r="ISX52" s="6"/>
      <c r="ISY52" s="6"/>
      <c r="ISZ52" s="6"/>
      <c r="ITA52" s="6"/>
      <c r="ITB52" s="6"/>
      <c r="ITC52" s="6"/>
      <c r="ITD52" s="6"/>
      <c r="ITE52" s="6"/>
      <c r="ITF52" s="6"/>
      <c r="ITG52" s="6"/>
      <c r="ITH52" s="6"/>
      <c r="ITI52" s="6"/>
      <c r="ITJ52" s="6"/>
      <c r="ITK52" s="6"/>
      <c r="ITL52" s="6"/>
      <c r="ITM52" s="6"/>
      <c r="ITN52" s="6"/>
      <c r="ITO52" s="6"/>
      <c r="ITP52" s="6"/>
      <c r="ITQ52" s="6"/>
      <c r="ITR52" s="6"/>
      <c r="ITS52" s="6"/>
      <c r="ITT52" s="6"/>
      <c r="ITU52" s="6"/>
      <c r="ITV52" s="6"/>
      <c r="ITW52" s="6"/>
      <c r="ITX52" s="6"/>
      <c r="ITY52" s="6"/>
      <c r="ITZ52" s="6"/>
      <c r="IUA52" s="6"/>
      <c r="IUB52" s="6"/>
      <c r="IUC52" s="6"/>
      <c r="IUD52" s="6"/>
      <c r="IUE52" s="6"/>
      <c r="IUF52" s="6"/>
      <c r="IUG52" s="6"/>
      <c r="IUH52" s="6"/>
      <c r="IUI52" s="6"/>
      <c r="IUJ52" s="6"/>
      <c r="IUK52" s="6"/>
      <c r="IUL52" s="6"/>
      <c r="IUM52" s="6"/>
      <c r="IUN52" s="6"/>
      <c r="IUO52" s="6"/>
      <c r="IUP52" s="6"/>
      <c r="IUQ52" s="6"/>
      <c r="IUR52" s="6"/>
      <c r="IUS52" s="6"/>
      <c r="IUT52" s="6"/>
      <c r="IUU52" s="6"/>
      <c r="IUV52" s="6"/>
      <c r="IUW52" s="6"/>
      <c r="IUX52" s="6"/>
      <c r="IUY52" s="6"/>
      <c r="IUZ52" s="6"/>
      <c r="IVA52" s="6"/>
      <c r="IVB52" s="6"/>
      <c r="IVC52" s="6"/>
      <c r="IVD52" s="6"/>
      <c r="IVE52" s="6"/>
      <c r="IVF52" s="6"/>
      <c r="IVG52" s="6"/>
      <c r="IVH52" s="6"/>
      <c r="IVI52" s="6"/>
      <c r="IVJ52" s="6"/>
      <c r="IVK52" s="6"/>
      <c r="IVL52" s="6"/>
      <c r="IVM52" s="6"/>
      <c r="IVN52" s="6"/>
      <c r="IVO52" s="6"/>
      <c r="IVP52" s="6"/>
      <c r="IVQ52" s="6"/>
      <c r="IVR52" s="6"/>
      <c r="IVS52" s="6"/>
      <c r="IVT52" s="6"/>
      <c r="IVU52" s="6"/>
      <c r="IVV52" s="6"/>
      <c r="IVW52" s="6"/>
      <c r="IVX52" s="6"/>
      <c r="IVY52" s="6"/>
      <c r="IVZ52" s="6"/>
      <c r="IWA52" s="6"/>
      <c r="IWB52" s="6"/>
      <c r="IWC52" s="6"/>
      <c r="IWD52" s="6"/>
      <c r="IWE52" s="6"/>
      <c r="IWF52" s="6"/>
      <c r="IWG52" s="6"/>
      <c r="IWH52" s="6"/>
      <c r="IWI52" s="6"/>
      <c r="IWJ52" s="6"/>
      <c r="IWK52" s="6"/>
      <c r="IWL52" s="6"/>
      <c r="IWM52" s="6"/>
      <c r="IWN52" s="6"/>
      <c r="IWO52" s="6"/>
      <c r="IWP52" s="6"/>
      <c r="IWQ52" s="6"/>
      <c r="IWR52" s="6"/>
      <c r="IWS52" s="6"/>
      <c r="IWT52" s="6"/>
      <c r="IWU52" s="6"/>
      <c r="IWV52" s="6"/>
      <c r="IWW52" s="6"/>
      <c r="IWX52" s="6"/>
      <c r="IWY52" s="6"/>
      <c r="IWZ52" s="6"/>
      <c r="IXA52" s="6"/>
      <c r="IXB52" s="6"/>
      <c r="IXC52" s="6"/>
      <c r="IXD52" s="6"/>
      <c r="IXE52" s="6"/>
      <c r="IXF52" s="6"/>
      <c r="IXG52" s="6"/>
      <c r="IXH52" s="6"/>
      <c r="IXI52" s="6"/>
      <c r="IXJ52" s="6"/>
      <c r="IXK52" s="6"/>
      <c r="IXL52" s="6"/>
      <c r="IXM52" s="6"/>
      <c r="IXN52" s="6"/>
      <c r="IXO52" s="6"/>
      <c r="IXP52" s="6"/>
      <c r="IXQ52" s="6"/>
      <c r="IXR52" s="6"/>
      <c r="IXS52" s="6"/>
      <c r="IXT52" s="6"/>
      <c r="IXU52" s="6"/>
      <c r="IXV52" s="6"/>
      <c r="IXW52" s="6"/>
      <c r="IXX52" s="6"/>
      <c r="IXY52" s="6"/>
      <c r="IXZ52" s="6"/>
      <c r="IYA52" s="6"/>
      <c r="IYB52" s="6"/>
      <c r="IYC52" s="6"/>
      <c r="IYD52" s="6"/>
      <c r="IYE52" s="6"/>
      <c r="IYF52" s="6"/>
      <c r="IYG52" s="6"/>
      <c r="IYH52" s="6"/>
      <c r="IYI52" s="6"/>
      <c r="IYJ52" s="6"/>
      <c r="IYK52" s="6"/>
      <c r="IYL52" s="6"/>
      <c r="IYM52" s="6"/>
      <c r="IYN52" s="6"/>
      <c r="IYO52" s="6"/>
      <c r="IYP52" s="6"/>
      <c r="IYQ52" s="6"/>
      <c r="IYR52" s="6"/>
      <c r="IYS52" s="6"/>
      <c r="IYT52" s="6"/>
      <c r="IYU52" s="6"/>
      <c r="IYV52" s="6"/>
      <c r="IYW52" s="6"/>
      <c r="IYX52" s="6"/>
      <c r="IYY52" s="6"/>
      <c r="IYZ52" s="6"/>
      <c r="IZA52" s="6"/>
      <c r="IZB52" s="6"/>
      <c r="IZC52" s="6"/>
      <c r="IZD52" s="6"/>
      <c r="IZE52" s="6"/>
      <c r="IZF52" s="6"/>
      <c r="IZG52" s="6"/>
      <c r="IZH52" s="6"/>
      <c r="IZI52" s="6"/>
      <c r="IZJ52" s="6"/>
      <c r="IZK52" s="6"/>
      <c r="IZL52" s="6"/>
      <c r="IZM52" s="6"/>
      <c r="IZN52" s="6"/>
      <c r="IZO52" s="6"/>
      <c r="IZP52" s="6"/>
      <c r="IZQ52" s="6"/>
      <c r="IZR52" s="6"/>
      <c r="IZS52" s="6"/>
      <c r="IZT52" s="6"/>
      <c r="IZU52" s="6"/>
      <c r="IZV52" s="6"/>
      <c r="IZW52" s="6"/>
      <c r="IZX52" s="6"/>
      <c r="IZY52" s="6"/>
      <c r="IZZ52" s="6"/>
      <c r="JAA52" s="6"/>
      <c r="JAB52" s="6"/>
      <c r="JAC52" s="6"/>
      <c r="JAD52" s="6"/>
      <c r="JAE52" s="6"/>
      <c r="JAF52" s="6"/>
      <c r="JAG52" s="6"/>
      <c r="JAH52" s="6"/>
      <c r="JAI52" s="6"/>
      <c r="JAJ52" s="6"/>
      <c r="JAK52" s="6"/>
      <c r="JAL52" s="6"/>
      <c r="JAM52" s="6"/>
      <c r="JAN52" s="6"/>
      <c r="JAO52" s="6"/>
      <c r="JAP52" s="6"/>
      <c r="JAQ52" s="6"/>
      <c r="JAR52" s="6"/>
      <c r="JAS52" s="6"/>
      <c r="JAT52" s="6"/>
      <c r="JAU52" s="6"/>
      <c r="JAV52" s="6"/>
      <c r="JAW52" s="6"/>
      <c r="JAX52" s="6"/>
      <c r="JAY52" s="6"/>
      <c r="JAZ52" s="6"/>
      <c r="JBA52" s="6"/>
      <c r="JBB52" s="6"/>
      <c r="JBC52" s="6"/>
      <c r="JBD52" s="6"/>
      <c r="JBE52" s="6"/>
      <c r="JBF52" s="6"/>
      <c r="JBG52" s="6"/>
      <c r="JBH52" s="6"/>
      <c r="JBI52" s="6"/>
      <c r="JBJ52" s="6"/>
      <c r="JBK52" s="6"/>
      <c r="JBL52" s="6"/>
      <c r="JBM52" s="6"/>
      <c r="JBN52" s="6"/>
      <c r="JBO52" s="6"/>
      <c r="JBP52" s="6"/>
      <c r="JBQ52" s="6"/>
      <c r="JBR52" s="6"/>
      <c r="JBS52" s="6"/>
      <c r="JBT52" s="6"/>
      <c r="JBU52" s="6"/>
      <c r="JBV52" s="6"/>
      <c r="JBW52" s="6"/>
      <c r="JBX52" s="6"/>
      <c r="JBY52" s="6"/>
      <c r="JBZ52" s="6"/>
      <c r="JCA52" s="6"/>
      <c r="JCB52" s="6"/>
      <c r="JCC52" s="6"/>
      <c r="JCD52" s="6"/>
      <c r="JCE52" s="6"/>
      <c r="JCF52" s="6"/>
      <c r="JCG52" s="6"/>
      <c r="JCH52" s="6"/>
      <c r="JCI52" s="6"/>
      <c r="JCJ52" s="6"/>
      <c r="JCK52" s="6"/>
      <c r="JCL52" s="6"/>
      <c r="JCM52" s="6"/>
      <c r="JCN52" s="6"/>
      <c r="JCO52" s="6"/>
      <c r="JCP52" s="6"/>
      <c r="JCQ52" s="6"/>
      <c r="JCR52" s="6"/>
      <c r="JCS52" s="6"/>
      <c r="JCT52" s="6"/>
      <c r="JCU52" s="6"/>
      <c r="JCV52" s="6"/>
      <c r="JCW52" s="6"/>
      <c r="JCX52" s="6"/>
      <c r="JCY52" s="6"/>
      <c r="JCZ52" s="6"/>
      <c r="JDA52" s="6"/>
      <c r="JDB52" s="6"/>
      <c r="JDC52" s="6"/>
      <c r="JDD52" s="6"/>
      <c r="JDE52" s="6"/>
      <c r="JDF52" s="6"/>
      <c r="JDG52" s="6"/>
      <c r="JDH52" s="6"/>
      <c r="JDI52" s="6"/>
      <c r="JDJ52" s="6"/>
      <c r="JDK52" s="6"/>
      <c r="JDL52" s="6"/>
      <c r="JDM52" s="6"/>
      <c r="JDN52" s="6"/>
      <c r="JDO52" s="6"/>
      <c r="JDP52" s="6"/>
      <c r="JDQ52" s="6"/>
      <c r="JDR52" s="6"/>
      <c r="JDS52" s="6"/>
      <c r="JDT52" s="6"/>
      <c r="JDU52" s="6"/>
      <c r="JDV52" s="6"/>
      <c r="JDW52" s="6"/>
      <c r="JDX52" s="6"/>
      <c r="JDY52" s="6"/>
      <c r="JDZ52" s="6"/>
      <c r="JEA52" s="6"/>
      <c r="JEB52" s="6"/>
      <c r="JEC52" s="6"/>
      <c r="JED52" s="6"/>
      <c r="JEE52" s="6"/>
      <c r="JEF52" s="6"/>
      <c r="JEG52" s="6"/>
      <c r="JEH52" s="6"/>
      <c r="JEI52" s="6"/>
      <c r="JEJ52" s="6"/>
      <c r="JEK52" s="6"/>
      <c r="JEL52" s="6"/>
      <c r="JEM52" s="6"/>
      <c r="JEN52" s="6"/>
      <c r="JEO52" s="6"/>
      <c r="JEP52" s="6"/>
      <c r="JEQ52" s="6"/>
      <c r="JER52" s="6"/>
      <c r="JES52" s="6"/>
      <c r="JET52" s="6"/>
      <c r="JEU52" s="6"/>
      <c r="JEV52" s="6"/>
      <c r="JEW52" s="6"/>
      <c r="JEX52" s="6"/>
      <c r="JEY52" s="6"/>
      <c r="JEZ52" s="6"/>
      <c r="JFA52" s="6"/>
      <c r="JFB52" s="6"/>
      <c r="JFC52" s="6"/>
      <c r="JFD52" s="6"/>
      <c r="JFE52" s="6"/>
      <c r="JFF52" s="6"/>
      <c r="JFG52" s="6"/>
      <c r="JFH52" s="6"/>
      <c r="JFI52" s="6"/>
      <c r="JFJ52" s="6"/>
      <c r="JFK52" s="6"/>
      <c r="JFL52" s="6"/>
      <c r="JFM52" s="6"/>
      <c r="JFN52" s="6"/>
      <c r="JFO52" s="6"/>
      <c r="JFP52" s="6"/>
      <c r="JFQ52" s="6"/>
      <c r="JFR52" s="6"/>
      <c r="JFS52" s="6"/>
      <c r="JFT52" s="6"/>
      <c r="JFU52" s="6"/>
      <c r="JFV52" s="6"/>
      <c r="JFW52" s="6"/>
      <c r="JFX52" s="6"/>
      <c r="JFY52" s="6"/>
      <c r="JFZ52" s="6"/>
      <c r="JGA52" s="6"/>
      <c r="JGB52" s="6"/>
      <c r="JGC52" s="6"/>
      <c r="JGD52" s="6"/>
      <c r="JGE52" s="6"/>
      <c r="JGF52" s="6"/>
      <c r="JGG52" s="6"/>
      <c r="JGH52" s="6"/>
      <c r="JGI52" s="6"/>
      <c r="JGJ52" s="6"/>
      <c r="JGK52" s="6"/>
      <c r="JGL52" s="6"/>
      <c r="JGM52" s="6"/>
      <c r="JGN52" s="6"/>
      <c r="JGO52" s="6"/>
      <c r="JGP52" s="6"/>
      <c r="JGQ52" s="6"/>
      <c r="JGR52" s="6"/>
      <c r="JGS52" s="6"/>
      <c r="JGT52" s="6"/>
      <c r="JGU52" s="6"/>
      <c r="JGV52" s="6"/>
      <c r="JGW52" s="6"/>
      <c r="JGX52" s="6"/>
      <c r="JGY52" s="6"/>
      <c r="JGZ52" s="6"/>
      <c r="JHA52" s="6"/>
      <c r="JHB52" s="6"/>
      <c r="JHC52" s="6"/>
      <c r="JHD52" s="6"/>
      <c r="JHE52" s="6"/>
      <c r="JHF52" s="6"/>
      <c r="JHG52" s="6"/>
      <c r="JHH52" s="6"/>
      <c r="JHI52" s="6"/>
      <c r="JHJ52" s="6"/>
      <c r="JHK52" s="6"/>
      <c r="JHL52" s="6"/>
      <c r="JHM52" s="6"/>
      <c r="JHN52" s="6"/>
      <c r="JHO52" s="6"/>
      <c r="JHP52" s="6"/>
      <c r="JHQ52" s="6"/>
      <c r="JHR52" s="6"/>
      <c r="JHS52" s="6"/>
      <c r="JHT52" s="6"/>
      <c r="JHU52" s="6"/>
      <c r="JHV52" s="6"/>
      <c r="JHW52" s="6"/>
      <c r="JHX52" s="6"/>
      <c r="JHY52" s="6"/>
      <c r="JHZ52" s="6"/>
      <c r="JIA52" s="6"/>
      <c r="JIB52" s="6"/>
      <c r="JIC52" s="6"/>
      <c r="JID52" s="6"/>
      <c r="JIE52" s="6"/>
      <c r="JIF52" s="6"/>
      <c r="JIG52" s="6"/>
      <c r="JIH52" s="6"/>
      <c r="JII52" s="6"/>
      <c r="JIJ52" s="6"/>
      <c r="JIK52" s="6"/>
      <c r="JIL52" s="6"/>
      <c r="JIM52" s="6"/>
      <c r="JIN52" s="6"/>
      <c r="JIO52" s="6"/>
      <c r="JIP52" s="6"/>
      <c r="JIQ52" s="6"/>
      <c r="JIR52" s="6"/>
      <c r="JIS52" s="6"/>
      <c r="JIT52" s="6"/>
      <c r="JIU52" s="6"/>
      <c r="JIV52" s="6"/>
      <c r="JIW52" s="6"/>
      <c r="JIX52" s="6"/>
      <c r="JIY52" s="6"/>
      <c r="JIZ52" s="6"/>
      <c r="JJA52" s="6"/>
      <c r="JJB52" s="6"/>
      <c r="JJC52" s="6"/>
      <c r="JJD52" s="6"/>
      <c r="JJE52" s="6"/>
      <c r="JJF52" s="6"/>
      <c r="JJG52" s="6"/>
      <c r="JJH52" s="6"/>
      <c r="JJI52" s="6"/>
      <c r="JJJ52" s="6"/>
      <c r="JJK52" s="6"/>
      <c r="JJL52" s="6"/>
      <c r="JJM52" s="6"/>
      <c r="JJN52" s="6"/>
      <c r="JJO52" s="6"/>
      <c r="JJP52" s="6"/>
      <c r="JJQ52" s="6"/>
      <c r="JJR52" s="6"/>
      <c r="JJS52" s="6"/>
      <c r="JJT52" s="6"/>
      <c r="JJU52" s="6"/>
      <c r="JJV52" s="6"/>
      <c r="JJW52" s="6"/>
      <c r="JJX52" s="6"/>
      <c r="JJY52" s="6"/>
      <c r="JJZ52" s="6"/>
      <c r="JKA52" s="6"/>
      <c r="JKB52" s="6"/>
      <c r="JKC52" s="6"/>
      <c r="JKD52" s="6"/>
      <c r="JKE52" s="6"/>
      <c r="JKF52" s="6"/>
      <c r="JKG52" s="6"/>
      <c r="JKH52" s="6"/>
      <c r="JKI52" s="6"/>
      <c r="JKJ52" s="6"/>
      <c r="JKK52" s="6"/>
      <c r="JKL52" s="6"/>
      <c r="JKM52" s="6"/>
      <c r="JKN52" s="6"/>
      <c r="JKO52" s="6"/>
      <c r="JKP52" s="6"/>
      <c r="JKQ52" s="6"/>
      <c r="JKR52" s="6"/>
      <c r="JKS52" s="6"/>
      <c r="JKT52" s="6"/>
      <c r="JKU52" s="6"/>
      <c r="JKV52" s="6"/>
      <c r="JKW52" s="6"/>
      <c r="JKX52" s="6"/>
      <c r="JKY52" s="6"/>
      <c r="JKZ52" s="6"/>
      <c r="JLA52" s="6"/>
      <c r="JLB52" s="6"/>
      <c r="JLC52" s="6"/>
      <c r="JLD52" s="6"/>
      <c r="JLE52" s="6"/>
      <c r="JLF52" s="6"/>
      <c r="JLG52" s="6"/>
      <c r="JLH52" s="6"/>
      <c r="JLI52" s="6"/>
      <c r="JLJ52" s="6"/>
      <c r="JLK52" s="6"/>
      <c r="JLL52" s="6"/>
      <c r="JLM52" s="6"/>
      <c r="JLN52" s="6"/>
      <c r="JLO52" s="6"/>
      <c r="JLP52" s="6"/>
      <c r="JLQ52" s="6"/>
      <c r="JLR52" s="6"/>
      <c r="JLS52" s="6"/>
      <c r="JLT52" s="6"/>
      <c r="JLU52" s="6"/>
      <c r="JLV52" s="6"/>
      <c r="JLW52" s="6"/>
      <c r="JLX52" s="6"/>
      <c r="JLY52" s="6"/>
      <c r="JLZ52" s="6"/>
      <c r="JMA52" s="6"/>
      <c r="JMB52" s="6"/>
      <c r="JMC52" s="6"/>
      <c r="JMD52" s="6"/>
      <c r="JME52" s="6"/>
      <c r="JMF52" s="6"/>
      <c r="JMG52" s="6"/>
      <c r="JMH52" s="6"/>
      <c r="JMI52" s="6"/>
      <c r="JMJ52" s="6"/>
      <c r="JMK52" s="6"/>
      <c r="JML52" s="6"/>
      <c r="JMM52" s="6"/>
      <c r="JMN52" s="6"/>
      <c r="JMO52" s="6"/>
      <c r="JMP52" s="6"/>
      <c r="JMQ52" s="6"/>
      <c r="JMR52" s="6"/>
      <c r="JMS52" s="6"/>
      <c r="JMT52" s="6"/>
      <c r="JMU52" s="6"/>
      <c r="JMV52" s="6"/>
      <c r="JMW52" s="6"/>
      <c r="JMX52" s="6"/>
      <c r="JMY52" s="6"/>
      <c r="JMZ52" s="6"/>
      <c r="JNA52" s="6"/>
      <c r="JNB52" s="6"/>
      <c r="JNC52" s="6"/>
      <c r="JND52" s="6"/>
      <c r="JNE52" s="6"/>
      <c r="JNF52" s="6"/>
      <c r="JNG52" s="6"/>
      <c r="JNH52" s="6"/>
      <c r="JNI52" s="6"/>
      <c r="JNJ52" s="6"/>
      <c r="JNK52" s="6"/>
      <c r="JNL52" s="6"/>
      <c r="JNM52" s="6"/>
      <c r="JNN52" s="6"/>
      <c r="JNO52" s="6"/>
      <c r="JNP52" s="6"/>
      <c r="JNQ52" s="6"/>
      <c r="JNR52" s="6"/>
      <c r="JNS52" s="6"/>
      <c r="JNT52" s="6"/>
      <c r="JNU52" s="6"/>
      <c r="JNV52" s="6"/>
      <c r="JNW52" s="6"/>
      <c r="JNX52" s="6"/>
      <c r="JNY52" s="6"/>
      <c r="JNZ52" s="6"/>
      <c r="JOA52" s="6"/>
      <c r="JOB52" s="6"/>
      <c r="JOC52" s="6"/>
      <c r="JOD52" s="6"/>
      <c r="JOE52" s="6"/>
      <c r="JOF52" s="6"/>
      <c r="JOG52" s="6"/>
      <c r="JOH52" s="6"/>
      <c r="JOI52" s="6"/>
      <c r="JOJ52" s="6"/>
      <c r="JOK52" s="6"/>
      <c r="JOL52" s="6"/>
      <c r="JOM52" s="6"/>
      <c r="JON52" s="6"/>
      <c r="JOO52" s="6"/>
      <c r="JOP52" s="6"/>
      <c r="JOQ52" s="6"/>
      <c r="JOR52" s="6"/>
      <c r="JOS52" s="6"/>
      <c r="JOT52" s="6"/>
      <c r="JOU52" s="6"/>
      <c r="JOV52" s="6"/>
      <c r="JOW52" s="6"/>
      <c r="JOX52" s="6"/>
      <c r="JOY52" s="6"/>
      <c r="JOZ52" s="6"/>
      <c r="JPA52" s="6"/>
      <c r="JPB52" s="6"/>
      <c r="JPC52" s="6"/>
      <c r="JPD52" s="6"/>
      <c r="JPE52" s="6"/>
      <c r="JPF52" s="6"/>
      <c r="JPG52" s="6"/>
      <c r="JPH52" s="6"/>
      <c r="JPI52" s="6"/>
      <c r="JPJ52" s="6"/>
      <c r="JPK52" s="6"/>
      <c r="JPL52" s="6"/>
      <c r="JPM52" s="6"/>
      <c r="JPN52" s="6"/>
      <c r="JPO52" s="6"/>
      <c r="JPP52" s="6"/>
      <c r="JPQ52" s="6"/>
      <c r="JPR52" s="6"/>
      <c r="JPS52" s="6"/>
      <c r="JPT52" s="6"/>
      <c r="JPU52" s="6"/>
      <c r="JPV52" s="6"/>
      <c r="JPW52" s="6"/>
      <c r="JPX52" s="6"/>
      <c r="JPY52" s="6"/>
      <c r="JPZ52" s="6"/>
      <c r="JQA52" s="6"/>
      <c r="JQB52" s="6"/>
      <c r="JQC52" s="6"/>
      <c r="JQD52" s="6"/>
      <c r="JQE52" s="6"/>
      <c r="JQF52" s="6"/>
      <c r="JQG52" s="6"/>
      <c r="JQH52" s="6"/>
      <c r="JQI52" s="6"/>
      <c r="JQJ52" s="6"/>
      <c r="JQK52" s="6"/>
      <c r="JQL52" s="6"/>
      <c r="JQM52" s="6"/>
      <c r="JQN52" s="6"/>
      <c r="JQO52" s="6"/>
      <c r="JQP52" s="6"/>
      <c r="JQQ52" s="6"/>
      <c r="JQR52" s="6"/>
      <c r="JQS52" s="6"/>
      <c r="JQT52" s="6"/>
      <c r="JQU52" s="6"/>
      <c r="JQV52" s="6"/>
      <c r="JQW52" s="6"/>
      <c r="JQX52" s="6"/>
      <c r="JQY52" s="6"/>
      <c r="JQZ52" s="6"/>
      <c r="JRA52" s="6"/>
      <c r="JRB52" s="6"/>
      <c r="JRC52" s="6"/>
      <c r="JRD52" s="6"/>
      <c r="JRE52" s="6"/>
      <c r="JRF52" s="6"/>
      <c r="JRG52" s="6"/>
      <c r="JRH52" s="6"/>
      <c r="JRI52" s="6"/>
      <c r="JRJ52" s="6"/>
      <c r="JRK52" s="6"/>
      <c r="JRL52" s="6"/>
      <c r="JRM52" s="6"/>
      <c r="JRN52" s="6"/>
      <c r="JRO52" s="6"/>
      <c r="JRP52" s="6"/>
      <c r="JRQ52" s="6"/>
      <c r="JRR52" s="6"/>
      <c r="JRS52" s="6"/>
      <c r="JRT52" s="6"/>
      <c r="JRU52" s="6"/>
      <c r="JRV52" s="6"/>
      <c r="JRW52" s="6"/>
      <c r="JRX52" s="6"/>
      <c r="JRY52" s="6"/>
      <c r="JRZ52" s="6"/>
      <c r="JSA52" s="6"/>
      <c r="JSB52" s="6"/>
      <c r="JSC52" s="6"/>
      <c r="JSD52" s="6"/>
      <c r="JSE52" s="6"/>
      <c r="JSF52" s="6"/>
      <c r="JSG52" s="6"/>
      <c r="JSH52" s="6"/>
      <c r="JSI52" s="6"/>
      <c r="JSJ52" s="6"/>
      <c r="JSK52" s="6"/>
      <c r="JSL52" s="6"/>
      <c r="JSM52" s="6"/>
      <c r="JSN52" s="6"/>
      <c r="JSO52" s="6"/>
      <c r="JSP52" s="6"/>
      <c r="JSQ52" s="6"/>
      <c r="JSR52" s="6"/>
      <c r="JSS52" s="6"/>
      <c r="JST52" s="6"/>
      <c r="JSU52" s="6"/>
      <c r="JSV52" s="6"/>
      <c r="JSW52" s="6"/>
      <c r="JSX52" s="6"/>
      <c r="JSY52" s="6"/>
      <c r="JSZ52" s="6"/>
      <c r="JTA52" s="6"/>
      <c r="JTB52" s="6"/>
      <c r="JTC52" s="6"/>
      <c r="JTD52" s="6"/>
      <c r="JTE52" s="6"/>
      <c r="JTF52" s="6"/>
      <c r="JTG52" s="6"/>
      <c r="JTH52" s="6"/>
      <c r="JTI52" s="6"/>
      <c r="JTJ52" s="6"/>
      <c r="JTK52" s="6"/>
      <c r="JTL52" s="6"/>
      <c r="JTM52" s="6"/>
      <c r="JTN52" s="6"/>
      <c r="JTO52" s="6"/>
      <c r="JTP52" s="6"/>
      <c r="JTQ52" s="6"/>
      <c r="JTR52" s="6"/>
      <c r="JTS52" s="6"/>
      <c r="JTT52" s="6"/>
      <c r="JTU52" s="6"/>
      <c r="JTV52" s="6"/>
      <c r="JTW52" s="6"/>
      <c r="JTX52" s="6"/>
      <c r="JTY52" s="6"/>
      <c r="JTZ52" s="6"/>
      <c r="JUA52" s="6"/>
      <c r="JUB52" s="6"/>
      <c r="JUC52" s="6"/>
      <c r="JUD52" s="6"/>
      <c r="JUE52" s="6"/>
      <c r="JUF52" s="6"/>
      <c r="JUG52" s="6"/>
      <c r="JUH52" s="6"/>
      <c r="JUI52" s="6"/>
      <c r="JUJ52" s="6"/>
      <c r="JUK52" s="6"/>
      <c r="JUL52" s="6"/>
      <c r="JUM52" s="6"/>
      <c r="JUN52" s="6"/>
      <c r="JUO52" s="6"/>
      <c r="JUP52" s="6"/>
      <c r="JUQ52" s="6"/>
      <c r="JUR52" s="6"/>
      <c r="JUS52" s="6"/>
      <c r="JUT52" s="6"/>
      <c r="JUU52" s="6"/>
      <c r="JUV52" s="6"/>
      <c r="JUW52" s="6"/>
      <c r="JUX52" s="6"/>
      <c r="JUY52" s="6"/>
      <c r="JUZ52" s="6"/>
      <c r="JVA52" s="6"/>
      <c r="JVB52" s="6"/>
      <c r="JVC52" s="6"/>
      <c r="JVD52" s="6"/>
      <c r="JVE52" s="6"/>
      <c r="JVF52" s="6"/>
      <c r="JVG52" s="6"/>
      <c r="JVH52" s="6"/>
      <c r="JVI52" s="6"/>
      <c r="JVJ52" s="6"/>
      <c r="JVK52" s="6"/>
      <c r="JVL52" s="6"/>
      <c r="JVM52" s="6"/>
      <c r="JVN52" s="6"/>
      <c r="JVO52" s="6"/>
      <c r="JVP52" s="6"/>
      <c r="JVQ52" s="6"/>
      <c r="JVR52" s="6"/>
      <c r="JVS52" s="6"/>
      <c r="JVT52" s="6"/>
      <c r="JVU52" s="6"/>
      <c r="JVV52" s="6"/>
      <c r="JVW52" s="6"/>
      <c r="JVX52" s="6"/>
      <c r="JVY52" s="6"/>
      <c r="JVZ52" s="6"/>
      <c r="JWA52" s="6"/>
      <c r="JWB52" s="6"/>
      <c r="JWC52" s="6"/>
      <c r="JWD52" s="6"/>
      <c r="JWE52" s="6"/>
      <c r="JWF52" s="6"/>
      <c r="JWG52" s="6"/>
      <c r="JWH52" s="6"/>
      <c r="JWI52" s="6"/>
      <c r="JWJ52" s="6"/>
      <c r="JWK52" s="6"/>
      <c r="JWL52" s="6"/>
      <c r="JWM52" s="6"/>
      <c r="JWN52" s="6"/>
      <c r="JWO52" s="6"/>
      <c r="JWP52" s="6"/>
      <c r="JWQ52" s="6"/>
      <c r="JWR52" s="6"/>
      <c r="JWS52" s="6"/>
      <c r="JWT52" s="6"/>
      <c r="JWU52" s="6"/>
      <c r="JWV52" s="6"/>
      <c r="JWW52" s="6"/>
      <c r="JWX52" s="6"/>
      <c r="JWY52" s="6"/>
      <c r="JWZ52" s="6"/>
      <c r="JXA52" s="6"/>
      <c r="JXB52" s="6"/>
      <c r="JXC52" s="6"/>
      <c r="JXD52" s="6"/>
      <c r="JXE52" s="6"/>
      <c r="JXF52" s="6"/>
      <c r="JXG52" s="6"/>
      <c r="JXH52" s="6"/>
      <c r="JXI52" s="6"/>
      <c r="JXJ52" s="6"/>
      <c r="JXK52" s="6"/>
      <c r="JXL52" s="6"/>
      <c r="JXM52" s="6"/>
      <c r="JXN52" s="6"/>
      <c r="JXO52" s="6"/>
      <c r="JXP52" s="6"/>
      <c r="JXQ52" s="6"/>
      <c r="JXR52" s="6"/>
      <c r="JXS52" s="6"/>
      <c r="JXT52" s="6"/>
      <c r="JXU52" s="6"/>
      <c r="JXV52" s="6"/>
      <c r="JXW52" s="6"/>
      <c r="JXX52" s="6"/>
      <c r="JXY52" s="6"/>
      <c r="JXZ52" s="6"/>
      <c r="JYA52" s="6"/>
      <c r="JYB52" s="6"/>
      <c r="JYC52" s="6"/>
      <c r="JYD52" s="6"/>
      <c r="JYE52" s="6"/>
      <c r="JYF52" s="6"/>
      <c r="JYG52" s="6"/>
      <c r="JYH52" s="6"/>
      <c r="JYI52" s="6"/>
      <c r="JYJ52" s="6"/>
      <c r="JYK52" s="6"/>
      <c r="JYL52" s="6"/>
      <c r="JYM52" s="6"/>
      <c r="JYN52" s="6"/>
      <c r="JYO52" s="6"/>
      <c r="JYP52" s="6"/>
      <c r="JYQ52" s="6"/>
      <c r="JYR52" s="6"/>
      <c r="JYS52" s="6"/>
      <c r="JYT52" s="6"/>
      <c r="JYU52" s="6"/>
      <c r="JYV52" s="6"/>
      <c r="JYW52" s="6"/>
      <c r="JYX52" s="6"/>
      <c r="JYY52" s="6"/>
      <c r="JYZ52" s="6"/>
      <c r="JZA52" s="6"/>
      <c r="JZB52" s="6"/>
      <c r="JZC52" s="6"/>
      <c r="JZD52" s="6"/>
      <c r="JZE52" s="6"/>
      <c r="JZF52" s="6"/>
      <c r="JZG52" s="6"/>
      <c r="JZH52" s="6"/>
      <c r="JZI52" s="6"/>
      <c r="JZJ52" s="6"/>
      <c r="JZK52" s="6"/>
      <c r="JZL52" s="6"/>
      <c r="JZM52" s="6"/>
      <c r="JZN52" s="6"/>
      <c r="JZO52" s="6"/>
      <c r="JZP52" s="6"/>
      <c r="JZQ52" s="6"/>
      <c r="JZR52" s="6"/>
      <c r="JZS52" s="6"/>
      <c r="JZT52" s="6"/>
      <c r="JZU52" s="6"/>
      <c r="JZV52" s="6"/>
      <c r="JZW52" s="6"/>
      <c r="JZX52" s="6"/>
      <c r="JZY52" s="6"/>
      <c r="JZZ52" s="6"/>
      <c r="KAA52" s="6"/>
      <c r="KAB52" s="6"/>
      <c r="KAC52" s="6"/>
      <c r="KAD52" s="6"/>
      <c r="KAE52" s="6"/>
      <c r="KAF52" s="6"/>
      <c r="KAG52" s="6"/>
      <c r="KAH52" s="6"/>
      <c r="KAI52" s="6"/>
      <c r="KAJ52" s="6"/>
      <c r="KAK52" s="6"/>
      <c r="KAL52" s="6"/>
      <c r="KAM52" s="6"/>
      <c r="KAN52" s="6"/>
      <c r="KAO52" s="6"/>
      <c r="KAP52" s="6"/>
      <c r="KAQ52" s="6"/>
      <c r="KAR52" s="6"/>
      <c r="KAS52" s="6"/>
      <c r="KAT52" s="6"/>
      <c r="KAU52" s="6"/>
      <c r="KAV52" s="6"/>
      <c r="KAW52" s="6"/>
      <c r="KAX52" s="6"/>
      <c r="KAY52" s="6"/>
      <c r="KAZ52" s="6"/>
      <c r="KBA52" s="6"/>
      <c r="KBB52" s="6"/>
      <c r="KBC52" s="6"/>
      <c r="KBD52" s="6"/>
      <c r="KBE52" s="6"/>
      <c r="KBF52" s="6"/>
      <c r="KBG52" s="6"/>
      <c r="KBH52" s="6"/>
      <c r="KBI52" s="6"/>
      <c r="KBJ52" s="6"/>
      <c r="KBK52" s="6"/>
      <c r="KBL52" s="6"/>
      <c r="KBM52" s="6"/>
      <c r="KBN52" s="6"/>
      <c r="KBO52" s="6"/>
      <c r="KBP52" s="6"/>
      <c r="KBQ52" s="6"/>
      <c r="KBR52" s="6"/>
      <c r="KBS52" s="6"/>
      <c r="KBT52" s="6"/>
      <c r="KBU52" s="6"/>
      <c r="KBV52" s="6"/>
      <c r="KBW52" s="6"/>
      <c r="KBX52" s="6"/>
      <c r="KBY52" s="6"/>
      <c r="KBZ52" s="6"/>
      <c r="KCA52" s="6"/>
      <c r="KCB52" s="6"/>
      <c r="KCC52" s="6"/>
      <c r="KCD52" s="6"/>
      <c r="KCE52" s="6"/>
      <c r="KCF52" s="6"/>
      <c r="KCG52" s="6"/>
      <c r="KCH52" s="6"/>
      <c r="KCI52" s="6"/>
      <c r="KCJ52" s="6"/>
      <c r="KCK52" s="6"/>
      <c r="KCL52" s="6"/>
      <c r="KCM52" s="6"/>
      <c r="KCN52" s="6"/>
      <c r="KCO52" s="6"/>
      <c r="KCP52" s="6"/>
      <c r="KCQ52" s="6"/>
      <c r="KCR52" s="6"/>
      <c r="KCS52" s="6"/>
      <c r="KCT52" s="6"/>
      <c r="KCU52" s="6"/>
      <c r="KCV52" s="6"/>
      <c r="KCW52" s="6"/>
      <c r="KCX52" s="6"/>
      <c r="KCY52" s="6"/>
      <c r="KCZ52" s="6"/>
      <c r="KDA52" s="6"/>
      <c r="KDB52" s="6"/>
      <c r="KDC52" s="6"/>
      <c r="KDD52" s="6"/>
      <c r="KDE52" s="6"/>
      <c r="KDF52" s="6"/>
      <c r="KDG52" s="6"/>
      <c r="KDH52" s="6"/>
      <c r="KDI52" s="6"/>
      <c r="KDJ52" s="6"/>
      <c r="KDK52" s="6"/>
      <c r="KDL52" s="6"/>
      <c r="KDM52" s="6"/>
      <c r="KDN52" s="6"/>
      <c r="KDO52" s="6"/>
      <c r="KDP52" s="6"/>
      <c r="KDQ52" s="6"/>
      <c r="KDR52" s="6"/>
      <c r="KDS52" s="6"/>
      <c r="KDT52" s="6"/>
      <c r="KDU52" s="6"/>
      <c r="KDV52" s="6"/>
      <c r="KDW52" s="6"/>
      <c r="KDX52" s="6"/>
      <c r="KDY52" s="6"/>
      <c r="KDZ52" s="6"/>
      <c r="KEA52" s="6"/>
      <c r="KEB52" s="6"/>
      <c r="KEC52" s="6"/>
      <c r="KED52" s="6"/>
      <c r="KEE52" s="6"/>
      <c r="KEF52" s="6"/>
      <c r="KEG52" s="6"/>
      <c r="KEH52" s="6"/>
      <c r="KEI52" s="6"/>
      <c r="KEJ52" s="6"/>
      <c r="KEK52" s="6"/>
      <c r="KEL52" s="6"/>
      <c r="KEM52" s="6"/>
      <c r="KEN52" s="6"/>
      <c r="KEO52" s="6"/>
      <c r="KEP52" s="6"/>
      <c r="KEQ52" s="6"/>
      <c r="KER52" s="6"/>
      <c r="KES52" s="6"/>
      <c r="KET52" s="6"/>
      <c r="KEU52" s="6"/>
      <c r="KEV52" s="6"/>
      <c r="KEW52" s="6"/>
      <c r="KEX52" s="6"/>
      <c r="KEY52" s="6"/>
      <c r="KEZ52" s="6"/>
      <c r="KFA52" s="6"/>
      <c r="KFB52" s="6"/>
      <c r="KFC52" s="6"/>
      <c r="KFD52" s="6"/>
      <c r="KFE52" s="6"/>
      <c r="KFF52" s="6"/>
      <c r="KFG52" s="6"/>
      <c r="KFH52" s="6"/>
      <c r="KFI52" s="6"/>
      <c r="KFJ52" s="6"/>
      <c r="KFK52" s="6"/>
      <c r="KFL52" s="6"/>
      <c r="KFM52" s="6"/>
      <c r="KFN52" s="6"/>
      <c r="KFO52" s="6"/>
      <c r="KFP52" s="6"/>
      <c r="KFQ52" s="6"/>
      <c r="KFR52" s="6"/>
      <c r="KFS52" s="6"/>
      <c r="KFT52" s="6"/>
      <c r="KFU52" s="6"/>
      <c r="KFV52" s="6"/>
      <c r="KFW52" s="6"/>
      <c r="KFX52" s="6"/>
      <c r="KFY52" s="6"/>
      <c r="KFZ52" s="6"/>
      <c r="KGA52" s="6"/>
      <c r="KGB52" s="6"/>
      <c r="KGC52" s="6"/>
      <c r="KGD52" s="6"/>
      <c r="KGE52" s="6"/>
      <c r="KGF52" s="6"/>
      <c r="KGG52" s="6"/>
      <c r="KGH52" s="6"/>
      <c r="KGI52" s="6"/>
      <c r="KGJ52" s="6"/>
      <c r="KGK52" s="6"/>
      <c r="KGL52" s="6"/>
      <c r="KGM52" s="6"/>
      <c r="KGN52" s="6"/>
      <c r="KGO52" s="6"/>
      <c r="KGP52" s="6"/>
      <c r="KGQ52" s="6"/>
      <c r="KGR52" s="6"/>
      <c r="KGS52" s="6"/>
      <c r="KGT52" s="6"/>
      <c r="KGU52" s="6"/>
      <c r="KGV52" s="6"/>
      <c r="KGW52" s="6"/>
      <c r="KGX52" s="6"/>
      <c r="KGY52" s="6"/>
      <c r="KGZ52" s="6"/>
      <c r="KHA52" s="6"/>
      <c r="KHB52" s="6"/>
      <c r="KHC52" s="6"/>
      <c r="KHD52" s="6"/>
      <c r="KHE52" s="6"/>
      <c r="KHF52" s="6"/>
      <c r="KHG52" s="6"/>
      <c r="KHH52" s="6"/>
      <c r="KHI52" s="6"/>
      <c r="KHJ52" s="6"/>
      <c r="KHK52" s="6"/>
      <c r="KHL52" s="6"/>
      <c r="KHM52" s="6"/>
      <c r="KHN52" s="6"/>
      <c r="KHO52" s="6"/>
      <c r="KHP52" s="6"/>
      <c r="KHQ52" s="6"/>
      <c r="KHR52" s="6"/>
      <c r="KHS52" s="6"/>
      <c r="KHT52" s="6"/>
      <c r="KHU52" s="6"/>
      <c r="KHV52" s="6"/>
      <c r="KHW52" s="6"/>
      <c r="KHX52" s="6"/>
      <c r="KHY52" s="6"/>
      <c r="KHZ52" s="6"/>
      <c r="KIA52" s="6"/>
      <c r="KIB52" s="6"/>
      <c r="KIC52" s="6"/>
      <c r="KID52" s="6"/>
      <c r="KIE52" s="6"/>
      <c r="KIF52" s="6"/>
      <c r="KIG52" s="6"/>
      <c r="KIH52" s="6"/>
      <c r="KII52" s="6"/>
      <c r="KIJ52" s="6"/>
      <c r="KIK52" s="6"/>
      <c r="KIL52" s="6"/>
      <c r="KIM52" s="6"/>
      <c r="KIN52" s="6"/>
      <c r="KIO52" s="6"/>
      <c r="KIP52" s="6"/>
      <c r="KIQ52" s="6"/>
      <c r="KIR52" s="6"/>
      <c r="KIS52" s="6"/>
      <c r="KIT52" s="6"/>
      <c r="KIU52" s="6"/>
      <c r="KIV52" s="6"/>
      <c r="KIW52" s="6"/>
      <c r="KIX52" s="6"/>
      <c r="KIY52" s="6"/>
      <c r="KIZ52" s="6"/>
      <c r="KJA52" s="6"/>
      <c r="KJB52" s="6"/>
      <c r="KJC52" s="6"/>
      <c r="KJD52" s="6"/>
      <c r="KJE52" s="6"/>
      <c r="KJF52" s="6"/>
      <c r="KJG52" s="6"/>
      <c r="KJH52" s="6"/>
      <c r="KJI52" s="6"/>
      <c r="KJJ52" s="6"/>
      <c r="KJK52" s="6"/>
      <c r="KJL52" s="6"/>
      <c r="KJM52" s="6"/>
      <c r="KJN52" s="6"/>
      <c r="KJO52" s="6"/>
      <c r="KJP52" s="6"/>
      <c r="KJQ52" s="6"/>
      <c r="KJR52" s="6"/>
      <c r="KJS52" s="6"/>
      <c r="KJT52" s="6"/>
      <c r="KJU52" s="6"/>
      <c r="KJV52" s="6"/>
      <c r="KJW52" s="6"/>
      <c r="KJX52" s="6"/>
      <c r="KJY52" s="6"/>
      <c r="KJZ52" s="6"/>
      <c r="KKA52" s="6"/>
      <c r="KKB52" s="6"/>
      <c r="KKC52" s="6"/>
      <c r="KKD52" s="6"/>
      <c r="KKE52" s="6"/>
      <c r="KKF52" s="6"/>
      <c r="KKG52" s="6"/>
      <c r="KKH52" s="6"/>
      <c r="KKI52" s="6"/>
      <c r="KKJ52" s="6"/>
      <c r="KKK52" s="6"/>
      <c r="KKL52" s="6"/>
      <c r="KKM52" s="6"/>
      <c r="KKN52" s="6"/>
      <c r="KKO52" s="6"/>
      <c r="KKP52" s="6"/>
      <c r="KKQ52" s="6"/>
      <c r="KKR52" s="6"/>
      <c r="KKS52" s="6"/>
      <c r="KKT52" s="6"/>
      <c r="KKU52" s="6"/>
      <c r="KKV52" s="6"/>
      <c r="KKW52" s="6"/>
      <c r="KKX52" s="6"/>
      <c r="KKY52" s="6"/>
      <c r="KKZ52" s="6"/>
      <c r="KLA52" s="6"/>
      <c r="KLB52" s="6"/>
      <c r="KLC52" s="6"/>
      <c r="KLD52" s="6"/>
      <c r="KLE52" s="6"/>
      <c r="KLF52" s="6"/>
      <c r="KLG52" s="6"/>
      <c r="KLH52" s="6"/>
      <c r="KLI52" s="6"/>
      <c r="KLJ52" s="6"/>
      <c r="KLK52" s="6"/>
      <c r="KLL52" s="6"/>
      <c r="KLM52" s="6"/>
      <c r="KLN52" s="6"/>
      <c r="KLO52" s="6"/>
      <c r="KLP52" s="6"/>
      <c r="KLQ52" s="6"/>
      <c r="KLR52" s="6"/>
      <c r="KLS52" s="6"/>
      <c r="KLT52" s="6"/>
      <c r="KLU52" s="6"/>
      <c r="KLV52" s="6"/>
      <c r="KLW52" s="6"/>
      <c r="KLX52" s="6"/>
      <c r="KLY52" s="6"/>
      <c r="KLZ52" s="6"/>
      <c r="KMA52" s="6"/>
      <c r="KMB52" s="6"/>
      <c r="KMC52" s="6"/>
      <c r="KMD52" s="6"/>
      <c r="KME52" s="6"/>
      <c r="KMF52" s="6"/>
      <c r="KMG52" s="6"/>
      <c r="KMH52" s="6"/>
      <c r="KMI52" s="6"/>
      <c r="KMJ52" s="6"/>
      <c r="KMK52" s="6"/>
      <c r="KML52" s="6"/>
      <c r="KMM52" s="6"/>
      <c r="KMN52" s="6"/>
      <c r="KMO52" s="6"/>
      <c r="KMP52" s="6"/>
      <c r="KMQ52" s="6"/>
      <c r="KMR52" s="6"/>
      <c r="KMS52" s="6"/>
      <c r="KMT52" s="6"/>
      <c r="KMU52" s="6"/>
      <c r="KMV52" s="6"/>
      <c r="KMW52" s="6"/>
      <c r="KMX52" s="6"/>
      <c r="KMY52" s="6"/>
      <c r="KMZ52" s="6"/>
      <c r="KNA52" s="6"/>
      <c r="KNB52" s="6"/>
      <c r="KNC52" s="6"/>
      <c r="KND52" s="6"/>
      <c r="KNE52" s="6"/>
      <c r="KNF52" s="6"/>
      <c r="KNG52" s="6"/>
      <c r="KNH52" s="6"/>
      <c r="KNI52" s="6"/>
      <c r="KNJ52" s="6"/>
      <c r="KNK52" s="6"/>
      <c r="KNL52" s="6"/>
      <c r="KNM52" s="6"/>
      <c r="KNN52" s="6"/>
      <c r="KNO52" s="6"/>
      <c r="KNP52" s="6"/>
      <c r="KNQ52" s="6"/>
      <c r="KNR52" s="6"/>
      <c r="KNS52" s="6"/>
      <c r="KNT52" s="6"/>
      <c r="KNU52" s="6"/>
      <c r="KNV52" s="6"/>
      <c r="KNW52" s="6"/>
      <c r="KNX52" s="6"/>
      <c r="KNY52" s="6"/>
      <c r="KNZ52" s="6"/>
      <c r="KOA52" s="6"/>
      <c r="KOB52" s="6"/>
      <c r="KOC52" s="6"/>
      <c r="KOD52" s="6"/>
      <c r="KOE52" s="6"/>
      <c r="KOF52" s="6"/>
      <c r="KOG52" s="6"/>
      <c r="KOH52" s="6"/>
      <c r="KOI52" s="6"/>
      <c r="KOJ52" s="6"/>
      <c r="KOK52" s="6"/>
      <c r="KOL52" s="6"/>
      <c r="KOM52" s="6"/>
      <c r="KON52" s="6"/>
      <c r="KOO52" s="6"/>
      <c r="KOP52" s="6"/>
      <c r="KOQ52" s="6"/>
      <c r="KOR52" s="6"/>
      <c r="KOS52" s="6"/>
      <c r="KOT52" s="6"/>
      <c r="KOU52" s="6"/>
      <c r="KOV52" s="6"/>
      <c r="KOW52" s="6"/>
      <c r="KOX52" s="6"/>
      <c r="KOY52" s="6"/>
      <c r="KOZ52" s="6"/>
      <c r="KPA52" s="6"/>
      <c r="KPB52" s="6"/>
      <c r="KPC52" s="6"/>
      <c r="KPD52" s="6"/>
      <c r="KPE52" s="6"/>
      <c r="KPF52" s="6"/>
      <c r="KPG52" s="6"/>
      <c r="KPH52" s="6"/>
      <c r="KPI52" s="6"/>
      <c r="KPJ52" s="6"/>
      <c r="KPK52" s="6"/>
      <c r="KPL52" s="6"/>
      <c r="KPM52" s="6"/>
      <c r="KPN52" s="6"/>
      <c r="KPO52" s="6"/>
      <c r="KPP52" s="6"/>
      <c r="KPQ52" s="6"/>
      <c r="KPR52" s="6"/>
      <c r="KPS52" s="6"/>
      <c r="KPT52" s="6"/>
      <c r="KPU52" s="6"/>
      <c r="KPV52" s="6"/>
      <c r="KPW52" s="6"/>
      <c r="KPX52" s="6"/>
      <c r="KPY52" s="6"/>
      <c r="KPZ52" s="6"/>
      <c r="KQA52" s="6"/>
      <c r="KQB52" s="6"/>
      <c r="KQC52" s="6"/>
      <c r="KQD52" s="6"/>
      <c r="KQE52" s="6"/>
      <c r="KQF52" s="6"/>
      <c r="KQG52" s="6"/>
      <c r="KQH52" s="6"/>
      <c r="KQI52" s="6"/>
      <c r="KQJ52" s="6"/>
      <c r="KQK52" s="6"/>
      <c r="KQL52" s="6"/>
      <c r="KQM52" s="6"/>
      <c r="KQN52" s="6"/>
      <c r="KQO52" s="6"/>
      <c r="KQP52" s="6"/>
      <c r="KQQ52" s="6"/>
      <c r="KQR52" s="6"/>
      <c r="KQS52" s="6"/>
      <c r="KQT52" s="6"/>
      <c r="KQU52" s="6"/>
      <c r="KQV52" s="6"/>
      <c r="KQW52" s="6"/>
      <c r="KQX52" s="6"/>
      <c r="KQY52" s="6"/>
      <c r="KQZ52" s="6"/>
      <c r="KRA52" s="6"/>
      <c r="KRB52" s="6"/>
      <c r="KRC52" s="6"/>
      <c r="KRD52" s="6"/>
      <c r="KRE52" s="6"/>
      <c r="KRF52" s="6"/>
      <c r="KRG52" s="6"/>
      <c r="KRH52" s="6"/>
      <c r="KRI52" s="6"/>
      <c r="KRJ52" s="6"/>
      <c r="KRK52" s="6"/>
      <c r="KRL52" s="6"/>
      <c r="KRM52" s="6"/>
      <c r="KRN52" s="6"/>
      <c r="KRO52" s="6"/>
      <c r="KRP52" s="6"/>
      <c r="KRQ52" s="6"/>
      <c r="KRR52" s="6"/>
      <c r="KRS52" s="6"/>
      <c r="KRT52" s="6"/>
      <c r="KRU52" s="6"/>
      <c r="KRV52" s="6"/>
      <c r="KRW52" s="6"/>
      <c r="KRX52" s="6"/>
      <c r="KRY52" s="6"/>
      <c r="KRZ52" s="6"/>
      <c r="KSA52" s="6"/>
      <c r="KSB52" s="6"/>
      <c r="KSC52" s="6"/>
      <c r="KSD52" s="6"/>
      <c r="KSE52" s="6"/>
      <c r="KSF52" s="6"/>
      <c r="KSG52" s="6"/>
      <c r="KSH52" s="6"/>
      <c r="KSI52" s="6"/>
      <c r="KSJ52" s="6"/>
      <c r="KSK52" s="6"/>
      <c r="KSL52" s="6"/>
      <c r="KSM52" s="6"/>
      <c r="KSN52" s="6"/>
      <c r="KSO52" s="6"/>
      <c r="KSP52" s="6"/>
      <c r="KSQ52" s="6"/>
      <c r="KSR52" s="6"/>
      <c r="KSS52" s="6"/>
      <c r="KST52" s="6"/>
      <c r="KSU52" s="6"/>
      <c r="KSV52" s="6"/>
      <c r="KSW52" s="6"/>
      <c r="KSX52" s="6"/>
      <c r="KSY52" s="6"/>
      <c r="KSZ52" s="6"/>
      <c r="KTA52" s="6"/>
      <c r="KTB52" s="6"/>
      <c r="KTC52" s="6"/>
      <c r="KTD52" s="6"/>
      <c r="KTE52" s="6"/>
      <c r="KTF52" s="6"/>
      <c r="KTG52" s="6"/>
      <c r="KTH52" s="6"/>
      <c r="KTI52" s="6"/>
      <c r="KTJ52" s="6"/>
      <c r="KTK52" s="6"/>
      <c r="KTL52" s="6"/>
      <c r="KTM52" s="6"/>
      <c r="KTN52" s="6"/>
      <c r="KTO52" s="6"/>
      <c r="KTP52" s="6"/>
      <c r="KTQ52" s="6"/>
      <c r="KTR52" s="6"/>
      <c r="KTS52" s="6"/>
      <c r="KTT52" s="6"/>
      <c r="KTU52" s="6"/>
      <c r="KTV52" s="6"/>
      <c r="KTW52" s="6"/>
      <c r="KTX52" s="6"/>
      <c r="KTY52" s="6"/>
      <c r="KTZ52" s="6"/>
      <c r="KUA52" s="6"/>
      <c r="KUB52" s="6"/>
      <c r="KUC52" s="6"/>
      <c r="KUD52" s="6"/>
      <c r="KUE52" s="6"/>
      <c r="KUF52" s="6"/>
      <c r="KUG52" s="6"/>
      <c r="KUH52" s="6"/>
      <c r="KUI52" s="6"/>
      <c r="KUJ52" s="6"/>
      <c r="KUK52" s="6"/>
      <c r="KUL52" s="6"/>
      <c r="KUM52" s="6"/>
      <c r="KUN52" s="6"/>
      <c r="KUO52" s="6"/>
      <c r="KUP52" s="6"/>
      <c r="KUQ52" s="6"/>
      <c r="KUR52" s="6"/>
      <c r="KUS52" s="6"/>
      <c r="KUT52" s="6"/>
      <c r="KUU52" s="6"/>
      <c r="KUV52" s="6"/>
      <c r="KUW52" s="6"/>
      <c r="KUX52" s="6"/>
      <c r="KUY52" s="6"/>
      <c r="KUZ52" s="6"/>
      <c r="KVA52" s="6"/>
      <c r="KVB52" s="6"/>
      <c r="KVC52" s="6"/>
      <c r="KVD52" s="6"/>
      <c r="KVE52" s="6"/>
      <c r="KVF52" s="6"/>
      <c r="KVG52" s="6"/>
      <c r="KVH52" s="6"/>
      <c r="KVI52" s="6"/>
      <c r="KVJ52" s="6"/>
      <c r="KVK52" s="6"/>
      <c r="KVL52" s="6"/>
      <c r="KVM52" s="6"/>
      <c r="KVN52" s="6"/>
      <c r="KVO52" s="6"/>
      <c r="KVP52" s="6"/>
      <c r="KVQ52" s="6"/>
      <c r="KVR52" s="6"/>
      <c r="KVS52" s="6"/>
      <c r="KVT52" s="6"/>
      <c r="KVU52" s="6"/>
      <c r="KVV52" s="6"/>
      <c r="KVW52" s="6"/>
      <c r="KVX52" s="6"/>
      <c r="KVY52" s="6"/>
      <c r="KVZ52" s="6"/>
      <c r="KWA52" s="6"/>
      <c r="KWB52" s="6"/>
      <c r="KWC52" s="6"/>
      <c r="KWD52" s="6"/>
      <c r="KWE52" s="6"/>
      <c r="KWF52" s="6"/>
      <c r="KWG52" s="6"/>
      <c r="KWH52" s="6"/>
      <c r="KWI52" s="6"/>
      <c r="KWJ52" s="6"/>
      <c r="KWK52" s="6"/>
      <c r="KWL52" s="6"/>
      <c r="KWM52" s="6"/>
      <c r="KWN52" s="6"/>
      <c r="KWO52" s="6"/>
      <c r="KWP52" s="6"/>
      <c r="KWQ52" s="6"/>
      <c r="KWR52" s="6"/>
      <c r="KWS52" s="6"/>
      <c r="KWT52" s="6"/>
      <c r="KWU52" s="6"/>
      <c r="KWV52" s="6"/>
      <c r="KWW52" s="6"/>
      <c r="KWX52" s="6"/>
      <c r="KWY52" s="6"/>
      <c r="KWZ52" s="6"/>
      <c r="KXA52" s="6"/>
      <c r="KXB52" s="6"/>
      <c r="KXC52" s="6"/>
      <c r="KXD52" s="6"/>
      <c r="KXE52" s="6"/>
      <c r="KXF52" s="6"/>
      <c r="KXG52" s="6"/>
      <c r="KXH52" s="6"/>
      <c r="KXI52" s="6"/>
      <c r="KXJ52" s="6"/>
      <c r="KXK52" s="6"/>
      <c r="KXL52" s="6"/>
      <c r="KXM52" s="6"/>
      <c r="KXN52" s="6"/>
      <c r="KXO52" s="6"/>
      <c r="KXP52" s="6"/>
      <c r="KXQ52" s="6"/>
      <c r="KXR52" s="6"/>
      <c r="KXS52" s="6"/>
      <c r="KXT52" s="6"/>
      <c r="KXU52" s="6"/>
      <c r="KXV52" s="6"/>
      <c r="KXW52" s="6"/>
      <c r="KXX52" s="6"/>
      <c r="KXY52" s="6"/>
      <c r="KXZ52" s="6"/>
      <c r="KYA52" s="6"/>
      <c r="KYB52" s="6"/>
      <c r="KYC52" s="6"/>
      <c r="KYD52" s="6"/>
      <c r="KYE52" s="6"/>
      <c r="KYF52" s="6"/>
      <c r="KYG52" s="6"/>
      <c r="KYH52" s="6"/>
      <c r="KYI52" s="6"/>
      <c r="KYJ52" s="6"/>
      <c r="KYK52" s="6"/>
      <c r="KYL52" s="6"/>
      <c r="KYM52" s="6"/>
      <c r="KYN52" s="6"/>
      <c r="KYO52" s="6"/>
      <c r="KYP52" s="6"/>
      <c r="KYQ52" s="6"/>
      <c r="KYR52" s="6"/>
      <c r="KYS52" s="6"/>
      <c r="KYT52" s="6"/>
      <c r="KYU52" s="6"/>
      <c r="KYV52" s="6"/>
      <c r="KYW52" s="6"/>
      <c r="KYX52" s="6"/>
      <c r="KYY52" s="6"/>
      <c r="KYZ52" s="6"/>
      <c r="KZA52" s="6"/>
      <c r="KZB52" s="6"/>
      <c r="KZC52" s="6"/>
      <c r="KZD52" s="6"/>
      <c r="KZE52" s="6"/>
      <c r="KZF52" s="6"/>
      <c r="KZG52" s="6"/>
      <c r="KZH52" s="6"/>
      <c r="KZI52" s="6"/>
      <c r="KZJ52" s="6"/>
      <c r="KZK52" s="6"/>
      <c r="KZL52" s="6"/>
      <c r="KZM52" s="6"/>
      <c r="KZN52" s="6"/>
      <c r="KZO52" s="6"/>
      <c r="KZP52" s="6"/>
      <c r="KZQ52" s="6"/>
      <c r="KZR52" s="6"/>
      <c r="KZS52" s="6"/>
      <c r="KZT52" s="6"/>
      <c r="KZU52" s="6"/>
      <c r="KZV52" s="6"/>
      <c r="KZW52" s="6"/>
      <c r="KZX52" s="6"/>
      <c r="KZY52" s="6"/>
      <c r="KZZ52" s="6"/>
      <c r="LAA52" s="6"/>
      <c r="LAB52" s="6"/>
      <c r="LAC52" s="6"/>
      <c r="LAD52" s="6"/>
      <c r="LAE52" s="6"/>
      <c r="LAF52" s="6"/>
      <c r="LAG52" s="6"/>
      <c r="LAH52" s="6"/>
      <c r="LAI52" s="6"/>
      <c r="LAJ52" s="6"/>
      <c r="LAK52" s="6"/>
      <c r="LAL52" s="6"/>
      <c r="LAM52" s="6"/>
      <c r="LAN52" s="6"/>
      <c r="LAO52" s="6"/>
      <c r="LAP52" s="6"/>
      <c r="LAQ52" s="6"/>
      <c r="LAR52" s="6"/>
      <c r="LAS52" s="6"/>
      <c r="LAT52" s="6"/>
      <c r="LAU52" s="6"/>
      <c r="LAV52" s="6"/>
      <c r="LAW52" s="6"/>
      <c r="LAX52" s="6"/>
      <c r="LAY52" s="6"/>
      <c r="LAZ52" s="6"/>
      <c r="LBA52" s="6"/>
      <c r="LBB52" s="6"/>
      <c r="LBC52" s="6"/>
      <c r="LBD52" s="6"/>
      <c r="LBE52" s="6"/>
      <c r="LBF52" s="6"/>
      <c r="LBG52" s="6"/>
      <c r="LBH52" s="6"/>
      <c r="LBI52" s="6"/>
      <c r="LBJ52" s="6"/>
      <c r="LBK52" s="6"/>
      <c r="LBL52" s="6"/>
      <c r="LBM52" s="6"/>
      <c r="LBN52" s="6"/>
      <c r="LBO52" s="6"/>
      <c r="LBP52" s="6"/>
      <c r="LBQ52" s="6"/>
      <c r="LBR52" s="6"/>
      <c r="LBS52" s="6"/>
      <c r="LBT52" s="6"/>
      <c r="LBU52" s="6"/>
      <c r="LBV52" s="6"/>
      <c r="LBW52" s="6"/>
      <c r="LBX52" s="6"/>
      <c r="LBY52" s="6"/>
      <c r="LBZ52" s="6"/>
      <c r="LCA52" s="6"/>
      <c r="LCB52" s="6"/>
      <c r="LCC52" s="6"/>
      <c r="LCD52" s="6"/>
      <c r="LCE52" s="6"/>
      <c r="LCF52" s="6"/>
      <c r="LCG52" s="6"/>
      <c r="LCH52" s="6"/>
      <c r="LCI52" s="6"/>
      <c r="LCJ52" s="6"/>
      <c r="LCK52" s="6"/>
      <c r="LCL52" s="6"/>
      <c r="LCM52" s="6"/>
      <c r="LCN52" s="6"/>
      <c r="LCO52" s="6"/>
      <c r="LCP52" s="6"/>
      <c r="LCQ52" s="6"/>
      <c r="LCR52" s="6"/>
      <c r="LCS52" s="6"/>
      <c r="LCT52" s="6"/>
      <c r="LCU52" s="6"/>
      <c r="LCV52" s="6"/>
      <c r="LCW52" s="6"/>
      <c r="LCX52" s="6"/>
      <c r="LCY52" s="6"/>
      <c r="LCZ52" s="6"/>
      <c r="LDA52" s="6"/>
      <c r="LDB52" s="6"/>
      <c r="LDC52" s="6"/>
      <c r="LDD52" s="6"/>
      <c r="LDE52" s="6"/>
      <c r="LDF52" s="6"/>
      <c r="LDG52" s="6"/>
      <c r="LDH52" s="6"/>
      <c r="LDI52" s="6"/>
      <c r="LDJ52" s="6"/>
      <c r="LDK52" s="6"/>
      <c r="LDL52" s="6"/>
      <c r="LDM52" s="6"/>
      <c r="LDN52" s="6"/>
      <c r="LDO52" s="6"/>
      <c r="LDP52" s="6"/>
      <c r="LDQ52" s="6"/>
      <c r="LDR52" s="6"/>
      <c r="LDS52" s="6"/>
      <c r="LDT52" s="6"/>
      <c r="LDU52" s="6"/>
      <c r="LDV52" s="6"/>
      <c r="LDW52" s="6"/>
      <c r="LDX52" s="6"/>
      <c r="LDY52" s="6"/>
      <c r="LDZ52" s="6"/>
      <c r="LEA52" s="6"/>
      <c r="LEB52" s="6"/>
      <c r="LEC52" s="6"/>
      <c r="LED52" s="6"/>
      <c r="LEE52" s="6"/>
      <c r="LEF52" s="6"/>
      <c r="LEG52" s="6"/>
      <c r="LEH52" s="6"/>
      <c r="LEI52" s="6"/>
      <c r="LEJ52" s="6"/>
      <c r="LEK52" s="6"/>
      <c r="LEL52" s="6"/>
      <c r="LEM52" s="6"/>
      <c r="LEN52" s="6"/>
      <c r="LEO52" s="6"/>
      <c r="LEP52" s="6"/>
      <c r="LEQ52" s="6"/>
      <c r="LER52" s="6"/>
      <c r="LES52" s="6"/>
      <c r="LET52" s="6"/>
      <c r="LEU52" s="6"/>
      <c r="LEV52" s="6"/>
      <c r="LEW52" s="6"/>
      <c r="LEX52" s="6"/>
      <c r="LEY52" s="6"/>
      <c r="LEZ52" s="6"/>
      <c r="LFA52" s="6"/>
      <c r="LFB52" s="6"/>
      <c r="LFC52" s="6"/>
      <c r="LFD52" s="6"/>
      <c r="LFE52" s="6"/>
      <c r="LFF52" s="6"/>
      <c r="LFG52" s="6"/>
      <c r="LFH52" s="6"/>
      <c r="LFI52" s="6"/>
      <c r="LFJ52" s="6"/>
      <c r="LFK52" s="6"/>
      <c r="LFL52" s="6"/>
      <c r="LFM52" s="6"/>
      <c r="LFN52" s="6"/>
      <c r="LFO52" s="6"/>
      <c r="LFP52" s="6"/>
      <c r="LFQ52" s="6"/>
      <c r="LFR52" s="6"/>
      <c r="LFS52" s="6"/>
      <c r="LFT52" s="6"/>
      <c r="LFU52" s="6"/>
      <c r="LFV52" s="6"/>
      <c r="LFW52" s="6"/>
      <c r="LFX52" s="6"/>
      <c r="LFY52" s="6"/>
      <c r="LFZ52" s="6"/>
      <c r="LGA52" s="6"/>
      <c r="LGB52" s="6"/>
      <c r="LGC52" s="6"/>
      <c r="LGD52" s="6"/>
      <c r="LGE52" s="6"/>
      <c r="LGF52" s="6"/>
      <c r="LGG52" s="6"/>
      <c r="LGH52" s="6"/>
      <c r="LGI52" s="6"/>
      <c r="LGJ52" s="6"/>
      <c r="LGK52" s="6"/>
      <c r="LGL52" s="6"/>
      <c r="LGM52" s="6"/>
      <c r="LGN52" s="6"/>
      <c r="LGO52" s="6"/>
      <c r="LGP52" s="6"/>
      <c r="LGQ52" s="6"/>
      <c r="LGR52" s="6"/>
      <c r="LGS52" s="6"/>
      <c r="LGT52" s="6"/>
      <c r="LGU52" s="6"/>
      <c r="LGV52" s="6"/>
      <c r="LGW52" s="6"/>
      <c r="LGX52" s="6"/>
      <c r="LGY52" s="6"/>
      <c r="LGZ52" s="6"/>
      <c r="LHA52" s="6"/>
      <c r="LHB52" s="6"/>
      <c r="LHC52" s="6"/>
      <c r="LHD52" s="6"/>
      <c r="LHE52" s="6"/>
      <c r="LHF52" s="6"/>
      <c r="LHG52" s="6"/>
      <c r="LHH52" s="6"/>
      <c r="LHI52" s="6"/>
      <c r="LHJ52" s="6"/>
      <c r="LHK52" s="6"/>
      <c r="LHL52" s="6"/>
      <c r="LHM52" s="6"/>
      <c r="LHN52" s="6"/>
      <c r="LHO52" s="6"/>
      <c r="LHP52" s="6"/>
      <c r="LHQ52" s="6"/>
      <c r="LHR52" s="6"/>
      <c r="LHS52" s="6"/>
      <c r="LHT52" s="6"/>
      <c r="LHU52" s="6"/>
      <c r="LHV52" s="6"/>
      <c r="LHW52" s="6"/>
      <c r="LHX52" s="6"/>
      <c r="LHY52" s="6"/>
      <c r="LHZ52" s="6"/>
      <c r="LIA52" s="6"/>
      <c r="LIB52" s="6"/>
      <c r="LIC52" s="6"/>
      <c r="LID52" s="6"/>
      <c r="LIE52" s="6"/>
      <c r="LIF52" s="6"/>
      <c r="LIG52" s="6"/>
      <c r="LIH52" s="6"/>
      <c r="LII52" s="6"/>
      <c r="LIJ52" s="6"/>
      <c r="LIK52" s="6"/>
      <c r="LIL52" s="6"/>
      <c r="LIM52" s="6"/>
      <c r="LIN52" s="6"/>
      <c r="LIO52" s="6"/>
      <c r="LIP52" s="6"/>
      <c r="LIQ52" s="6"/>
      <c r="LIR52" s="6"/>
      <c r="LIS52" s="6"/>
      <c r="LIT52" s="6"/>
      <c r="LIU52" s="6"/>
      <c r="LIV52" s="6"/>
      <c r="LIW52" s="6"/>
      <c r="LIX52" s="6"/>
      <c r="LIY52" s="6"/>
      <c r="LIZ52" s="6"/>
      <c r="LJA52" s="6"/>
      <c r="LJB52" s="6"/>
      <c r="LJC52" s="6"/>
      <c r="LJD52" s="6"/>
      <c r="LJE52" s="6"/>
      <c r="LJF52" s="6"/>
      <c r="LJG52" s="6"/>
      <c r="LJH52" s="6"/>
      <c r="LJI52" s="6"/>
      <c r="LJJ52" s="6"/>
      <c r="LJK52" s="6"/>
      <c r="LJL52" s="6"/>
      <c r="LJM52" s="6"/>
      <c r="LJN52" s="6"/>
      <c r="LJO52" s="6"/>
      <c r="LJP52" s="6"/>
      <c r="LJQ52" s="6"/>
      <c r="LJR52" s="6"/>
      <c r="LJS52" s="6"/>
      <c r="LJT52" s="6"/>
      <c r="LJU52" s="6"/>
      <c r="LJV52" s="6"/>
      <c r="LJW52" s="6"/>
      <c r="LJX52" s="6"/>
      <c r="LJY52" s="6"/>
      <c r="LJZ52" s="6"/>
      <c r="LKA52" s="6"/>
      <c r="LKB52" s="6"/>
      <c r="LKC52" s="6"/>
      <c r="LKD52" s="6"/>
      <c r="LKE52" s="6"/>
      <c r="LKF52" s="6"/>
      <c r="LKG52" s="6"/>
      <c r="LKH52" s="6"/>
      <c r="LKI52" s="6"/>
      <c r="LKJ52" s="6"/>
      <c r="LKK52" s="6"/>
      <c r="LKL52" s="6"/>
      <c r="LKM52" s="6"/>
      <c r="LKN52" s="6"/>
      <c r="LKO52" s="6"/>
      <c r="LKP52" s="6"/>
      <c r="LKQ52" s="6"/>
      <c r="LKR52" s="6"/>
      <c r="LKS52" s="6"/>
      <c r="LKT52" s="6"/>
      <c r="LKU52" s="6"/>
      <c r="LKV52" s="6"/>
      <c r="LKW52" s="6"/>
      <c r="LKX52" s="6"/>
      <c r="LKY52" s="6"/>
      <c r="LKZ52" s="6"/>
      <c r="LLA52" s="6"/>
      <c r="LLB52" s="6"/>
      <c r="LLC52" s="6"/>
      <c r="LLD52" s="6"/>
      <c r="LLE52" s="6"/>
      <c r="LLF52" s="6"/>
      <c r="LLG52" s="6"/>
      <c r="LLH52" s="6"/>
      <c r="LLI52" s="6"/>
      <c r="LLJ52" s="6"/>
      <c r="LLK52" s="6"/>
      <c r="LLL52" s="6"/>
      <c r="LLM52" s="6"/>
      <c r="LLN52" s="6"/>
      <c r="LLO52" s="6"/>
      <c r="LLP52" s="6"/>
      <c r="LLQ52" s="6"/>
      <c r="LLR52" s="6"/>
      <c r="LLS52" s="6"/>
      <c r="LLT52" s="6"/>
      <c r="LLU52" s="6"/>
      <c r="LLV52" s="6"/>
      <c r="LLW52" s="6"/>
      <c r="LLX52" s="6"/>
      <c r="LLY52" s="6"/>
      <c r="LLZ52" s="6"/>
      <c r="LMA52" s="6"/>
      <c r="LMB52" s="6"/>
      <c r="LMC52" s="6"/>
      <c r="LMD52" s="6"/>
      <c r="LME52" s="6"/>
      <c r="LMF52" s="6"/>
      <c r="LMG52" s="6"/>
      <c r="LMH52" s="6"/>
      <c r="LMI52" s="6"/>
      <c r="LMJ52" s="6"/>
      <c r="LMK52" s="6"/>
      <c r="LML52" s="6"/>
      <c r="LMM52" s="6"/>
      <c r="LMN52" s="6"/>
      <c r="LMO52" s="6"/>
      <c r="LMP52" s="6"/>
      <c r="LMQ52" s="6"/>
      <c r="LMR52" s="6"/>
      <c r="LMS52" s="6"/>
      <c r="LMT52" s="6"/>
      <c r="LMU52" s="6"/>
      <c r="LMV52" s="6"/>
      <c r="LMW52" s="6"/>
      <c r="LMX52" s="6"/>
      <c r="LMY52" s="6"/>
      <c r="LMZ52" s="6"/>
      <c r="LNA52" s="6"/>
      <c r="LNB52" s="6"/>
      <c r="LNC52" s="6"/>
      <c r="LND52" s="6"/>
      <c r="LNE52" s="6"/>
      <c r="LNF52" s="6"/>
      <c r="LNG52" s="6"/>
      <c r="LNH52" s="6"/>
      <c r="LNI52" s="6"/>
      <c r="LNJ52" s="6"/>
      <c r="LNK52" s="6"/>
      <c r="LNL52" s="6"/>
      <c r="LNM52" s="6"/>
      <c r="LNN52" s="6"/>
      <c r="LNO52" s="6"/>
      <c r="LNP52" s="6"/>
      <c r="LNQ52" s="6"/>
      <c r="LNR52" s="6"/>
      <c r="LNS52" s="6"/>
      <c r="LNT52" s="6"/>
      <c r="LNU52" s="6"/>
      <c r="LNV52" s="6"/>
      <c r="LNW52" s="6"/>
      <c r="LNX52" s="6"/>
      <c r="LNY52" s="6"/>
      <c r="LNZ52" s="6"/>
      <c r="LOA52" s="6"/>
      <c r="LOB52" s="6"/>
      <c r="LOC52" s="6"/>
      <c r="LOD52" s="6"/>
      <c r="LOE52" s="6"/>
      <c r="LOF52" s="6"/>
      <c r="LOG52" s="6"/>
      <c r="LOH52" s="6"/>
      <c r="LOI52" s="6"/>
      <c r="LOJ52" s="6"/>
      <c r="LOK52" s="6"/>
      <c r="LOL52" s="6"/>
      <c r="LOM52" s="6"/>
      <c r="LON52" s="6"/>
      <c r="LOO52" s="6"/>
      <c r="LOP52" s="6"/>
      <c r="LOQ52" s="6"/>
      <c r="LOR52" s="6"/>
      <c r="LOS52" s="6"/>
      <c r="LOT52" s="6"/>
      <c r="LOU52" s="6"/>
      <c r="LOV52" s="6"/>
      <c r="LOW52" s="6"/>
      <c r="LOX52" s="6"/>
      <c r="LOY52" s="6"/>
      <c r="LOZ52" s="6"/>
      <c r="LPA52" s="6"/>
      <c r="LPB52" s="6"/>
      <c r="LPC52" s="6"/>
      <c r="LPD52" s="6"/>
      <c r="LPE52" s="6"/>
      <c r="LPF52" s="6"/>
      <c r="LPG52" s="6"/>
      <c r="LPH52" s="6"/>
      <c r="LPI52" s="6"/>
      <c r="LPJ52" s="6"/>
      <c r="LPK52" s="6"/>
      <c r="LPL52" s="6"/>
      <c r="LPM52" s="6"/>
      <c r="LPN52" s="6"/>
      <c r="LPO52" s="6"/>
      <c r="LPP52" s="6"/>
      <c r="LPQ52" s="6"/>
      <c r="LPR52" s="6"/>
      <c r="LPS52" s="6"/>
      <c r="LPT52" s="6"/>
      <c r="LPU52" s="6"/>
      <c r="LPV52" s="6"/>
      <c r="LPW52" s="6"/>
      <c r="LPX52" s="6"/>
      <c r="LPY52" s="6"/>
      <c r="LPZ52" s="6"/>
      <c r="LQA52" s="6"/>
      <c r="LQB52" s="6"/>
      <c r="LQC52" s="6"/>
      <c r="LQD52" s="6"/>
      <c r="LQE52" s="6"/>
      <c r="LQF52" s="6"/>
      <c r="LQG52" s="6"/>
      <c r="LQH52" s="6"/>
      <c r="LQI52" s="6"/>
      <c r="LQJ52" s="6"/>
      <c r="LQK52" s="6"/>
      <c r="LQL52" s="6"/>
      <c r="LQM52" s="6"/>
      <c r="LQN52" s="6"/>
      <c r="LQO52" s="6"/>
      <c r="LQP52" s="6"/>
      <c r="LQQ52" s="6"/>
      <c r="LQR52" s="6"/>
      <c r="LQS52" s="6"/>
      <c r="LQT52" s="6"/>
      <c r="LQU52" s="6"/>
      <c r="LQV52" s="6"/>
      <c r="LQW52" s="6"/>
      <c r="LQX52" s="6"/>
      <c r="LQY52" s="6"/>
      <c r="LQZ52" s="6"/>
      <c r="LRA52" s="6"/>
      <c r="LRB52" s="6"/>
      <c r="LRC52" s="6"/>
      <c r="LRD52" s="6"/>
      <c r="LRE52" s="6"/>
      <c r="LRF52" s="6"/>
      <c r="LRG52" s="6"/>
      <c r="LRH52" s="6"/>
      <c r="LRI52" s="6"/>
      <c r="LRJ52" s="6"/>
      <c r="LRK52" s="6"/>
      <c r="LRL52" s="6"/>
      <c r="LRM52" s="6"/>
      <c r="LRN52" s="6"/>
      <c r="LRO52" s="6"/>
      <c r="LRP52" s="6"/>
      <c r="LRQ52" s="6"/>
      <c r="LRR52" s="6"/>
      <c r="LRS52" s="6"/>
      <c r="LRT52" s="6"/>
      <c r="LRU52" s="6"/>
      <c r="LRV52" s="6"/>
      <c r="LRW52" s="6"/>
      <c r="LRX52" s="6"/>
      <c r="LRY52" s="6"/>
      <c r="LRZ52" s="6"/>
      <c r="LSA52" s="6"/>
      <c r="LSB52" s="6"/>
      <c r="LSC52" s="6"/>
      <c r="LSD52" s="6"/>
      <c r="LSE52" s="6"/>
      <c r="LSF52" s="6"/>
      <c r="LSG52" s="6"/>
      <c r="LSH52" s="6"/>
      <c r="LSI52" s="6"/>
      <c r="LSJ52" s="6"/>
      <c r="LSK52" s="6"/>
      <c r="LSL52" s="6"/>
      <c r="LSM52" s="6"/>
      <c r="LSN52" s="6"/>
      <c r="LSO52" s="6"/>
      <c r="LSP52" s="6"/>
      <c r="LSQ52" s="6"/>
      <c r="LSR52" s="6"/>
      <c r="LSS52" s="6"/>
      <c r="LST52" s="6"/>
      <c r="LSU52" s="6"/>
      <c r="LSV52" s="6"/>
      <c r="LSW52" s="6"/>
      <c r="LSX52" s="6"/>
      <c r="LSY52" s="6"/>
      <c r="LSZ52" s="6"/>
      <c r="LTA52" s="6"/>
      <c r="LTB52" s="6"/>
      <c r="LTC52" s="6"/>
      <c r="LTD52" s="6"/>
      <c r="LTE52" s="6"/>
      <c r="LTF52" s="6"/>
      <c r="LTG52" s="6"/>
      <c r="LTH52" s="6"/>
      <c r="LTI52" s="6"/>
      <c r="LTJ52" s="6"/>
      <c r="LTK52" s="6"/>
      <c r="LTL52" s="6"/>
      <c r="LTM52" s="6"/>
      <c r="LTN52" s="6"/>
      <c r="LTO52" s="6"/>
      <c r="LTP52" s="6"/>
      <c r="LTQ52" s="6"/>
      <c r="LTR52" s="6"/>
      <c r="LTS52" s="6"/>
      <c r="LTT52" s="6"/>
      <c r="LTU52" s="6"/>
      <c r="LTV52" s="6"/>
      <c r="LTW52" s="6"/>
      <c r="LTX52" s="6"/>
      <c r="LTY52" s="6"/>
      <c r="LTZ52" s="6"/>
      <c r="LUA52" s="6"/>
      <c r="LUB52" s="6"/>
      <c r="LUC52" s="6"/>
      <c r="LUD52" s="6"/>
      <c r="LUE52" s="6"/>
      <c r="LUF52" s="6"/>
      <c r="LUG52" s="6"/>
      <c r="LUH52" s="6"/>
      <c r="LUI52" s="6"/>
      <c r="LUJ52" s="6"/>
      <c r="LUK52" s="6"/>
      <c r="LUL52" s="6"/>
      <c r="LUM52" s="6"/>
      <c r="LUN52" s="6"/>
      <c r="LUO52" s="6"/>
      <c r="LUP52" s="6"/>
      <c r="LUQ52" s="6"/>
      <c r="LUR52" s="6"/>
      <c r="LUS52" s="6"/>
      <c r="LUT52" s="6"/>
      <c r="LUU52" s="6"/>
      <c r="LUV52" s="6"/>
      <c r="LUW52" s="6"/>
      <c r="LUX52" s="6"/>
      <c r="LUY52" s="6"/>
      <c r="LUZ52" s="6"/>
      <c r="LVA52" s="6"/>
      <c r="LVB52" s="6"/>
      <c r="LVC52" s="6"/>
      <c r="LVD52" s="6"/>
      <c r="LVE52" s="6"/>
      <c r="LVF52" s="6"/>
      <c r="LVG52" s="6"/>
      <c r="LVH52" s="6"/>
      <c r="LVI52" s="6"/>
      <c r="LVJ52" s="6"/>
      <c r="LVK52" s="6"/>
      <c r="LVL52" s="6"/>
      <c r="LVM52" s="6"/>
      <c r="LVN52" s="6"/>
      <c r="LVO52" s="6"/>
      <c r="LVP52" s="6"/>
      <c r="LVQ52" s="6"/>
      <c r="LVR52" s="6"/>
      <c r="LVS52" s="6"/>
      <c r="LVT52" s="6"/>
      <c r="LVU52" s="6"/>
      <c r="LVV52" s="6"/>
      <c r="LVW52" s="6"/>
      <c r="LVX52" s="6"/>
      <c r="LVY52" s="6"/>
      <c r="LVZ52" s="6"/>
      <c r="LWA52" s="6"/>
      <c r="LWB52" s="6"/>
      <c r="LWC52" s="6"/>
      <c r="LWD52" s="6"/>
      <c r="LWE52" s="6"/>
      <c r="LWF52" s="6"/>
      <c r="LWG52" s="6"/>
      <c r="LWH52" s="6"/>
      <c r="LWI52" s="6"/>
      <c r="LWJ52" s="6"/>
      <c r="LWK52" s="6"/>
      <c r="LWL52" s="6"/>
      <c r="LWM52" s="6"/>
      <c r="LWN52" s="6"/>
      <c r="LWO52" s="6"/>
      <c r="LWP52" s="6"/>
      <c r="LWQ52" s="6"/>
      <c r="LWR52" s="6"/>
      <c r="LWS52" s="6"/>
      <c r="LWT52" s="6"/>
      <c r="LWU52" s="6"/>
      <c r="LWV52" s="6"/>
      <c r="LWW52" s="6"/>
      <c r="LWX52" s="6"/>
      <c r="LWY52" s="6"/>
      <c r="LWZ52" s="6"/>
      <c r="LXA52" s="6"/>
      <c r="LXB52" s="6"/>
      <c r="LXC52" s="6"/>
      <c r="LXD52" s="6"/>
      <c r="LXE52" s="6"/>
      <c r="LXF52" s="6"/>
      <c r="LXG52" s="6"/>
      <c r="LXH52" s="6"/>
      <c r="LXI52" s="6"/>
      <c r="LXJ52" s="6"/>
      <c r="LXK52" s="6"/>
      <c r="LXL52" s="6"/>
      <c r="LXM52" s="6"/>
      <c r="LXN52" s="6"/>
      <c r="LXO52" s="6"/>
      <c r="LXP52" s="6"/>
      <c r="LXQ52" s="6"/>
      <c r="LXR52" s="6"/>
      <c r="LXS52" s="6"/>
      <c r="LXT52" s="6"/>
      <c r="LXU52" s="6"/>
      <c r="LXV52" s="6"/>
      <c r="LXW52" s="6"/>
      <c r="LXX52" s="6"/>
      <c r="LXY52" s="6"/>
      <c r="LXZ52" s="6"/>
      <c r="LYA52" s="6"/>
      <c r="LYB52" s="6"/>
      <c r="LYC52" s="6"/>
      <c r="LYD52" s="6"/>
      <c r="LYE52" s="6"/>
      <c r="LYF52" s="6"/>
      <c r="LYG52" s="6"/>
      <c r="LYH52" s="6"/>
      <c r="LYI52" s="6"/>
      <c r="LYJ52" s="6"/>
      <c r="LYK52" s="6"/>
      <c r="LYL52" s="6"/>
      <c r="LYM52" s="6"/>
      <c r="LYN52" s="6"/>
      <c r="LYO52" s="6"/>
      <c r="LYP52" s="6"/>
      <c r="LYQ52" s="6"/>
      <c r="LYR52" s="6"/>
      <c r="LYS52" s="6"/>
      <c r="LYT52" s="6"/>
      <c r="LYU52" s="6"/>
      <c r="LYV52" s="6"/>
      <c r="LYW52" s="6"/>
      <c r="LYX52" s="6"/>
      <c r="LYY52" s="6"/>
      <c r="LYZ52" s="6"/>
      <c r="LZA52" s="6"/>
      <c r="LZB52" s="6"/>
      <c r="LZC52" s="6"/>
      <c r="LZD52" s="6"/>
      <c r="LZE52" s="6"/>
      <c r="LZF52" s="6"/>
      <c r="LZG52" s="6"/>
      <c r="LZH52" s="6"/>
      <c r="LZI52" s="6"/>
      <c r="LZJ52" s="6"/>
      <c r="LZK52" s="6"/>
      <c r="LZL52" s="6"/>
      <c r="LZM52" s="6"/>
      <c r="LZN52" s="6"/>
      <c r="LZO52" s="6"/>
      <c r="LZP52" s="6"/>
      <c r="LZQ52" s="6"/>
      <c r="LZR52" s="6"/>
      <c r="LZS52" s="6"/>
      <c r="LZT52" s="6"/>
      <c r="LZU52" s="6"/>
      <c r="LZV52" s="6"/>
      <c r="LZW52" s="6"/>
      <c r="LZX52" s="6"/>
      <c r="LZY52" s="6"/>
      <c r="LZZ52" s="6"/>
      <c r="MAA52" s="6"/>
      <c r="MAB52" s="6"/>
      <c r="MAC52" s="6"/>
      <c r="MAD52" s="6"/>
      <c r="MAE52" s="6"/>
      <c r="MAF52" s="6"/>
      <c r="MAG52" s="6"/>
      <c r="MAH52" s="6"/>
      <c r="MAI52" s="6"/>
      <c r="MAJ52" s="6"/>
      <c r="MAK52" s="6"/>
      <c r="MAL52" s="6"/>
      <c r="MAM52" s="6"/>
      <c r="MAN52" s="6"/>
      <c r="MAO52" s="6"/>
      <c r="MAP52" s="6"/>
      <c r="MAQ52" s="6"/>
      <c r="MAR52" s="6"/>
      <c r="MAS52" s="6"/>
      <c r="MAT52" s="6"/>
      <c r="MAU52" s="6"/>
      <c r="MAV52" s="6"/>
      <c r="MAW52" s="6"/>
      <c r="MAX52" s="6"/>
      <c r="MAY52" s="6"/>
      <c r="MAZ52" s="6"/>
      <c r="MBA52" s="6"/>
      <c r="MBB52" s="6"/>
      <c r="MBC52" s="6"/>
      <c r="MBD52" s="6"/>
      <c r="MBE52" s="6"/>
      <c r="MBF52" s="6"/>
      <c r="MBG52" s="6"/>
      <c r="MBH52" s="6"/>
      <c r="MBI52" s="6"/>
      <c r="MBJ52" s="6"/>
      <c r="MBK52" s="6"/>
      <c r="MBL52" s="6"/>
      <c r="MBM52" s="6"/>
      <c r="MBN52" s="6"/>
      <c r="MBO52" s="6"/>
      <c r="MBP52" s="6"/>
      <c r="MBQ52" s="6"/>
      <c r="MBR52" s="6"/>
      <c r="MBS52" s="6"/>
      <c r="MBT52" s="6"/>
      <c r="MBU52" s="6"/>
      <c r="MBV52" s="6"/>
      <c r="MBW52" s="6"/>
      <c r="MBX52" s="6"/>
      <c r="MBY52" s="6"/>
      <c r="MBZ52" s="6"/>
      <c r="MCA52" s="6"/>
      <c r="MCB52" s="6"/>
      <c r="MCC52" s="6"/>
      <c r="MCD52" s="6"/>
      <c r="MCE52" s="6"/>
      <c r="MCF52" s="6"/>
      <c r="MCG52" s="6"/>
      <c r="MCH52" s="6"/>
      <c r="MCI52" s="6"/>
      <c r="MCJ52" s="6"/>
      <c r="MCK52" s="6"/>
      <c r="MCL52" s="6"/>
      <c r="MCM52" s="6"/>
      <c r="MCN52" s="6"/>
      <c r="MCO52" s="6"/>
      <c r="MCP52" s="6"/>
      <c r="MCQ52" s="6"/>
      <c r="MCR52" s="6"/>
      <c r="MCS52" s="6"/>
      <c r="MCT52" s="6"/>
      <c r="MCU52" s="6"/>
      <c r="MCV52" s="6"/>
      <c r="MCW52" s="6"/>
      <c r="MCX52" s="6"/>
      <c r="MCY52" s="6"/>
      <c r="MCZ52" s="6"/>
      <c r="MDA52" s="6"/>
      <c r="MDB52" s="6"/>
      <c r="MDC52" s="6"/>
      <c r="MDD52" s="6"/>
      <c r="MDE52" s="6"/>
      <c r="MDF52" s="6"/>
      <c r="MDG52" s="6"/>
      <c r="MDH52" s="6"/>
      <c r="MDI52" s="6"/>
      <c r="MDJ52" s="6"/>
      <c r="MDK52" s="6"/>
      <c r="MDL52" s="6"/>
      <c r="MDM52" s="6"/>
      <c r="MDN52" s="6"/>
      <c r="MDO52" s="6"/>
      <c r="MDP52" s="6"/>
      <c r="MDQ52" s="6"/>
      <c r="MDR52" s="6"/>
      <c r="MDS52" s="6"/>
      <c r="MDT52" s="6"/>
      <c r="MDU52" s="6"/>
      <c r="MDV52" s="6"/>
      <c r="MDW52" s="6"/>
      <c r="MDX52" s="6"/>
      <c r="MDY52" s="6"/>
      <c r="MDZ52" s="6"/>
      <c r="MEA52" s="6"/>
      <c r="MEB52" s="6"/>
      <c r="MEC52" s="6"/>
      <c r="MED52" s="6"/>
      <c r="MEE52" s="6"/>
      <c r="MEF52" s="6"/>
      <c r="MEG52" s="6"/>
      <c r="MEH52" s="6"/>
      <c r="MEI52" s="6"/>
      <c r="MEJ52" s="6"/>
      <c r="MEK52" s="6"/>
      <c r="MEL52" s="6"/>
      <c r="MEM52" s="6"/>
      <c r="MEN52" s="6"/>
      <c r="MEO52" s="6"/>
      <c r="MEP52" s="6"/>
      <c r="MEQ52" s="6"/>
      <c r="MER52" s="6"/>
      <c r="MES52" s="6"/>
      <c r="MET52" s="6"/>
      <c r="MEU52" s="6"/>
      <c r="MEV52" s="6"/>
      <c r="MEW52" s="6"/>
      <c r="MEX52" s="6"/>
      <c r="MEY52" s="6"/>
      <c r="MEZ52" s="6"/>
      <c r="MFA52" s="6"/>
      <c r="MFB52" s="6"/>
      <c r="MFC52" s="6"/>
      <c r="MFD52" s="6"/>
      <c r="MFE52" s="6"/>
      <c r="MFF52" s="6"/>
      <c r="MFG52" s="6"/>
      <c r="MFH52" s="6"/>
      <c r="MFI52" s="6"/>
      <c r="MFJ52" s="6"/>
      <c r="MFK52" s="6"/>
      <c r="MFL52" s="6"/>
      <c r="MFM52" s="6"/>
      <c r="MFN52" s="6"/>
      <c r="MFO52" s="6"/>
      <c r="MFP52" s="6"/>
      <c r="MFQ52" s="6"/>
      <c r="MFR52" s="6"/>
      <c r="MFS52" s="6"/>
      <c r="MFT52" s="6"/>
      <c r="MFU52" s="6"/>
      <c r="MFV52" s="6"/>
      <c r="MFW52" s="6"/>
      <c r="MFX52" s="6"/>
      <c r="MFY52" s="6"/>
      <c r="MFZ52" s="6"/>
      <c r="MGA52" s="6"/>
      <c r="MGB52" s="6"/>
      <c r="MGC52" s="6"/>
      <c r="MGD52" s="6"/>
      <c r="MGE52" s="6"/>
      <c r="MGF52" s="6"/>
      <c r="MGG52" s="6"/>
      <c r="MGH52" s="6"/>
      <c r="MGI52" s="6"/>
      <c r="MGJ52" s="6"/>
      <c r="MGK52" s="6"/>
      <c r="MGL52" s="6"/>
      <c r="MGM52" s="6"/>
      <c r="MGN52" s="6"/>
      <c r="MGO52" s="6"/>
      <c r="MGP52" s="6"/>
      <c r="MGQ52" s="6"/>
      <c r="MGR52" s="6"/>
      <c r="MGS52" s="6"/>
      <c r="MGT52" s="6"/>
      <c r="MGU52" s="6"/>
      <c r="MGV52" s="6"/>
      <c r="MGW52" s="6"/>
      <c r="MGX52" s="6"/>
      <c r="MGY52" s="6"/>
      <c r="MGZ52" s="6"/>
      <c r="MHA52" s="6"/>
      <c r="MHB52" s="6"/>
      <c r="MHC52" s="6"/>
      <c r="MHD52" s="6"/>
      <c r="MHE52" s="6"/>
      <c r="MHF52" s="6"/>
      <c r="MHG52" s="6"/>
      <c r="MHH52" s="6"/>
      <c r="MHI52" s="6"/>
      <c r="MHJ52" s="6"/>
      <c r="MHK52" s="6"/>
      <c r="MHL52" s="6"/>
      <c r="MHM52" s="6"/>
      <c r="MHN52" s="6"/>
      <c r="MHO52" s="6"/>
      <c r="MHP52" s="6"/>
      <c r="MHQ52" s="6"/>
      <c r="MHR52" s="6"/>
      <c r="MHS52" s="6"/>
      <c r="MHT52" s="6"/>
      <c r="MHU52" s="6"/>
      <c r="MHV52" s="6"/>
      <c r="MHW52" s="6"/>
      <c r="MHX52" s="6"/>
      <c r="MHY52" s="6"/>
      <c r="MHZ52" s="6"/>
      <c r="MIA52" s="6"/>
      <c r="MIB52" s="6"/>
      <c r="MIC52" s="6"/>
      <c r="MID52" s="6"/>
      <c r="MIE52" s="6"/>
      <c r="MIF52" s="6"/>
      <c r="MIG52" s="6"/>
      <c r="MIH52" s="6"/>
      <c r="MII52" s="6"/>
      <c r="MIJ52" s="6"/>
      <c r="MIK52" s="6"/>
      <c r="MIL52" s="6"/>
      <c r="MIM52" s="6"/>
      <c r="MIN52" s="6"/>
      <c r="MIO52" s="6"/>
      <c r="MIP52" s="6"/>
      <c r="MIQ52" s="6"/>
      <c r="MIR52" s="6"/>
      <c r="MIS52" s="6"/>
      <c r="MIT52" s="6"/>
      <c r="MIU52" s="6"/>
      <c r="MIV52" s="6"/>
      <c r="MIW52" s="6"/>
      <c r="MIX52" s="6"/>
      <c r="MIY52" s="6"/>
      <c r="MIZ52" s="6"/>
      <c r="MJA52" s="6"/>
      <c r="MJB52" s="6"/>
      <c r="MJC52" s="6"/>
      <c r="MJD52" s="6"/>
      <c r="MJE52" s="6"/>
      <c r="MJF52" s="6"/>
      <c r="MJG52" s="6"/>
      <c r="MJH52" s="6"/>
      <c r="MJI52" s="6"/>
      <c r="MJJ52" s="6"/>
      <c r="MJK52" s="6"/>
      <c r="MJL52" s="6"/>
      <c r="MJM52" s="6"/>
      <c r="MJN52" s="6"/>
      <c r="MJO52" s="6"/>
      <c r="MJP52" s="6"/>
      <c r="MJQ52" s="6"/>
      <c r="MJR52" s="6"/>
      <c r="MJS52" s="6"/>
      <c r="MJT52" s="6"/>
      <c r="MJU52" s="6"/>
      <c r="MJV52" s="6"/>
      <c r="MJW52" s="6"/>
      <c r="MJX52" s="6"/>
      <c r="MJY52" s="6"/>
      <c r="MJZ52" s="6"/>
      <c r="MKA52" s="6"/>
      <c r="MKB52" s="6"/>
      <c r="MKC52" s="6"/>
      <c r="MKD52" s="6"/>
      <c r="MKE52" s="6"/>
      <c r="MKF52" s="6"/>
      <c r="MKG52" s="6"/>
      <c r="MKH52" s="6"/>
      <c r="MKI52" s="6"/>
      <c r="MKJ52" s="6"/>
      <c r="MKK52" s="6"/>
      <c r="MKL52" s="6"/>
      <c r="MKM52" s="6"/>
      <c r="MKN52" s="6"/>
      <c r="MKO52" s="6"/>
      <c r="MKP52" s="6"/>
      <c r="MKQ52" s="6"/>
      <c r="MKR52" s="6"/>
      <c r="MKS52" s="6"/>
      <c r="MKT52" s="6"/>
      <c r="MKU52" s="6"/>
      <c r="MKV52" s="6"/>
      <c r="MKW52" s="6"/>
      <c r="MKX52" s="6"/>
      <c r="MKY52" s="6"/>
      <c r="MKZ52" s="6"/>
      <c r="MLA52" s="6"/>
      <c r="MLB52" s="6"/>
      <c r="MLC52" s="6"/>
      <c r="MLD52" s="6"/>
      <c r="MLE52" s="6"/>
      <c r="MLF52" s="6"/>
      <c r="MLG52" s="6"/>
      <c r="MLH52" s="6"/>
      <c r="MLI52" s="6"/>
      <c r="MLJ52" s="6"/>
      <c r="MLK52" s="6"/>
      <c r="MLL52" s="6"/>
      <c r="MLM52" s="6"/>
      <c r="MLN52" s="6"/>
      <c r="MLO52" s="6"/>
      <c r="MLP52" s="6"/>
      <c r="MLQ52" s="6"/>
      <c r="MLR52" s="6"/>
      <c r="MLS52" s="6"/>
      <c r="MLT52" s="6"/>
      <c r="MLU52" s="6"/>
      <c r="MLV52" s="6"/>
      <c r="MLW52" s="6"/>
      <c r="MLX52" s="6"/>
      <c r="MLY52" s="6"/>
      <c r="MLZ52" s="6"/>
      <c r="MMA52" s="6"/>
      <c r="MMB52" s="6"/>
      <c r="MMC52" s="6"/>
      <c r="MMD52" s="6"/>
      <c r="MME52" s="6"/>
      <c r="MMF52" s="6"/>
      <c r="MMG52" s="6"/>
      <c r="MMH52" s="6"/>
      <c r="MMI52" s="6"/>
      <c r="MMJ52" s="6"/>
      <c r="MMK52" s="6"/>
      <c r="MML52" s="6"/>
      <c r="MMM52" s="6"/>
      <c r="MMN52" s="6"/>
      <c r="MMO52" s="6"/>
      <c r="MMP52" s="6"/>
      <c r="MMQ52" s="6"/>
      <c r="MMR52" s="6"/>
      <c r="MMS52" s="6"/>
      <c r="MMT52" s="6"/>
      <c r="MMU52" s="6"/>
      <c r="MMV52" s="6"/>
      <c r="MMW52" s="6"/>
      <c r="MMX52" s="6"/>
      <c r="MMY52" s="6"/>
      <c r="MMZ52" s="6"/>
      <c r="MNA52" s="6"/>
      <c r="MNB52" s="6"/>
      <c r="MNC52" s="6"/>
      <c r="MND52" s="6"/>
      <c r="MNE52" s="6"/>
      <c r="MNF52" s="6"/>
      <c r="MNG52" s="6"/>
      <c r="MNH52" s="6"/>
      <c r="MNI52" s="6"/>
      <c r="MNJ52" s="6"/>
      <c r="MNK52" s="6"/>
      <c r="MNL52" s="6"/>
      <c r="MNM52" s="6"/>
      <c r="MNN52" s="6"/>
      <c r="MNO52" s="6"/>
      <c r="MNP52" s="6"/>
      <c r="MNQ52" s="6"/>
      <c r="MNR52" s="6"/>
      <c r="MNS52" s="6"/>
      <c r="MNT52" s="6"/>
      <c r="MNU52" s="6"/>
      <c r="MNV52" s="6"/>
      <c r="MNW52" s="6"/>
      <c r="MNX52" s="6"/>
      <c r="MNY52" s="6"/>
      <c r="MNZ52" s="6"/>
      <c r="MOA52" s="6"/>
      <c r="MOB52" s="6"/>
      <c r="MOC52" s="6"/>
      <c r="MOD52" s="6"/>
      <c r="MOE52" s="6"/>
      <c r="MOF52" s="6"/>
      <c r="MOG52" s="6"/>
      <c r="MOH52" s="6"/>
      <c r="MOI52" s="6"/>
      <c r="MOJ52" s="6"/>
      <c r="MOK52" s="6"/>
      <c r="MOL52" s="6"/>
      <c r="MOM52" s="6"/>
      <c r="MON52" s="6"/>
      <c r="MOO52" s="6"/>
      <c r="MOP52" s="6"/>
      <c r="MOQ52" s="6"/>
      <c r="MOR52" s="6"/>
      <c r="MOS52" s="6"/>
      <c r="MOT52" s="6"/>
      <c r="MOU52" s="6"/>
      <c r="MOV52" s="6"/>
      <c r="MOW52" s="6"/>
      <c r="MOX52" s="6"/>
      <c r="MOY52" s="6"/>
      <c r="MOZ52" s="6"/>
      <c r="MPA52" s="6"/>
      <c r="MPB52" s="6"/>
      <c r="MPC52" s="6"/>
      <c r="MPD52" s="6"/>
      <c r="MPE52" s="6"/>
      <c r="MPF52" s="6"/>
      <c r="MPG52" s="6"/>
      <c r="MPH52" s="6"/>
      <c r="MPI52" s="6"/>
      <c r="MPJ52" s="6"/>
      <c r="MPK52" s="6"/>
      <c r="MPL52" s="6"/>
      <c r="MPM52" s="6"/>
      <c r="MPN52" s="6"/>
      <c r="MPO52" s="6"/>
      <c r="MPP52" s="6"/>
      <c r="MPQ52" s="6"/>
      <c r="MPR52" s="6"/>
      <c r="MPS52" s="6"/>
      <c r="MPT52" s="6"/>
      <c r="MPU52" s="6"/>
      <c r="MPV52" s="6"/>
      <c r="MPW52" s="6"/>
      <c r="MPX52" s="6"/>
      <c r="MPY52" s="6"/>
      <c r="MPZ52" s="6"/>
      <c r="MQA52" s="6"/>
      <c r="MQB52" s="6"/>
      <c r="MQC52" s="6"/>
      <c r="MQD52" s="6"/>
      <c r="MQE52" s="6"/>
      <c r="MQF52" s="6"/>
      <c r="MQG52" s="6"/>
      <c r="MQH52" s="6"/>
      <c r="MQI52" s="6"/>
      <c r="MQJ52" s="6"/>
      <c r="MQK52" s="6"/>
      <c r="MQL52" s="6"/>
      <c r="MQM52" s="6"/>
      <c r="MQN52" s="6"/>
      <c r="MQO52" s="6"/>
      <c r="MQP52" s="6"/>
      <c r="MQQ52" s="6"/>
      <c r="MQR52" s="6"/>
      <c r="MQS52" s="6"/>
      <c r="MQT52" s="6"/>
      <c r="MQU52" s="6"/>
      <c r="MQV52" s="6"/>
      <c r="MQW52" s="6"/>
      <c r="MQX52" s="6"/>
      <c r="MQY52" s="6"/>
      <c r="MQZ52" s="6"/>
      <c r="MRA52" s="6"/>
      <c r="MRB52" s="6"/>
      <c r="MRC52" s="6"/>
      <c r="MRD52" s="6"/>
      <c r="MRE52" s="6"/>
      <c r="MRF52" s="6"/>
      <c r="MRG52" s="6"/>
      <c r="MRH52" s="6"/>
      <c r="MRI52" s="6"/>
      <c r="MRJ52" s="6"/>
      <c r="MRK52" s="6"/>
      <c r="MRL52" s="6"/>
      <c r="MRM52" s="6"/>
      <c r="MRN52" s="6"/>
      <c r="MRO52" s="6"/>
      <c r="MRP52" s="6"/>
      <c r="MRQ52" s="6"/>
      <c r="MRR52" s="6"/>
      <c r="MRS52" s="6"/>
      <c r="MRT52" s="6"/>
      <c r="MRU52" s="6"/>
      <c r="MRV52" s="6"/>
      <c r="MRW52" s="6"/>
      <c r="MRX52" s="6"/>
      <c r="MRY52" s="6"/>
      <c r="MRZ52" s="6"/>
      <c r="MSA52" s="6"/>
      <c r="MSB52" s="6"/>
      <c r="MSC52" s="6"/>
      <c r="MSD52" s="6"/>
      <c r="MSE52" s="6"/>
      <c r="MSF52" s="6"/>
      <c r="MSG52" s="6"/>
      <c r="MSH52" s="6"/>
      <c r="MSI52" s="6"/>
      <c r="MSJ52" s="6"/>
      <c r="MSK52" s="6"/>
      <c r="MSL52" s="6"/>
      <c r="MSM52" s="6"/>
      <c r="MSN52" s="6"/>
      <c r="MSO52" s="6"/>
      <c r="MSP52" s="6"/>
      <c r="MSQ52" s="6"/>
      <c r="MSR52" s="6"/>
      <c r="MSS52" s="6"/>
      <c r="MST52" s="6"/>
      <c r="MSU52" s="6"/>
      <c r="MSV52" s="6"/>
      <c r="MSW52" s="6"/>
      <c r="MSX52" s="6"/>
      <c r="MSY52" s="6"/>
      <c r="MSZ52" s="6"/>
      <c r="MTA52" s="6"/>
      <c r="MTB52" s="6"/>
      <c r="MTC52" s="6"/>
      <c r="MTD52" s="6"/>
      <c r="MTE52" s="6"/>
      <c r="MTF52" s="6"/>
      <c r="MTG52" s="6"/>
      <c r="MTH52" s="6"/>
      <c r="MTI52" s="6"/>
      <c r="MTJ52" s="6"/>
      <c r="MTK52" s="6"/>
      <c r="MTL52" s="6"/>
      <c r="MTM52" s="6"/>
      <c r="MTN52" s="6"/>
      <c r="MTO52" s="6"/>
      <c r="MTP52" s="6"/>
      <c r="MTQ52" s="6"/>
      <c r="MTR52" s="6"/>
      <c r="MTS52" s="6"/>
      <c r="MTT52" s="6"/>
      <c r="MTU52" s="6"/>
      <c r="MTV52" s="6"/>
      <c r="MTW52" s="6"/>
      <c r="MTX52" s="6"/>
      <c r="MTY52" s="6"/>
      <c r="MTZ52" s="6"/>
      <c r="MUA52" s="6"/>
      <c r="MUB52" s="6"/>
      <c r="MUC52" s="6"/>
      <c r="MUD52" s="6"/>
      <c r="MUE52" s="6"/>
      <c r="MUF52" s="6"/>
      <c r="MUG52" s="6"/>
      <c r="MUH52" s="6"/>
      <c r="MUI52" s="6"/>
      <c r="MUJ52" s="6"/>
      <c r="MUK52" s="6"/>
      <c r="MUL52" s="6"/>
      <c r="MUM52" s="6"/>
      <c r="MUN52" s="6"/>
      <c r="MUO52" s="6"/>
      <c r="MUP52" s="6"/>
      <c r="MUQ52" s="6"/>
      <c r="MUR52" s="6"/>
      <c r="MUS52" s="6"/>
      <c r="MUT52" s="6"/>
      <c r="MUU52" s="6"/>
      <c r="MUV52" s="6"/>
      <c r="MUW52" s="6"/>
      <c r="MUX52" s="6"/>
      <c r="MUY52" s="6"/>
      <c r="MUZ52" s="6"/>
      <c r="MVA52" s="6"/>
      <c r="MVB52" s="6"/>
      <c r="MVC52" s="6"/>
      <c r="MVD52" s="6"/>
      <c r="MVE52" s="6"/>
      <c r="MVF52" s="6"/>
      <c r="MVG52" s="6"/>
      <c r="MVH52" s="6"/>
      <c r="MVI52" s="6"/>
      <c r="MVJ52" s="6"/>
      <c r="MVK52" s="6"/>
      <c r="MVL52" s="6"/>
      <c r="MVM52" s="6"/>
      <c r="MVN52" s="6"/>
      <c r="MVO52" s="6"/>
      <c r="MVP52" s="6"/>
      <c r="MVQ52" s="6"/>
      <c r="MVR52" s="6"/>
      <c r="MVS52" s="6"/>
      <c r="MVT52" s="6"/>
      <c r="MVU52" s="6"/>
      <c r="MVV52" s="6"/>
      <c r="MVW52" s="6"/>
      <c r="MVX52" s="6"/>
      <c r="MVY52" s="6"/>
      <c r="MVZ52" s="6"/>
      <c r="MWA52" s="6"/>
      <c r="MWB52" s="6"/>
      <c r="MWC52" s="6"/>
      <c r="MWD52" s="6"/>
      <c r="MWE52" s="6"/>
      <c r="MWF52" s="6"/>
      <c r="MWG52" s="6"/>
      <c r="MWH52" s="6"/>
      <c r="MWI52" s="6"/>
      <c r="MWJ52" s="6"/>
      <c r="MWK52" s="6"/>
      <c r="MWL52" s="6"/>
      <c r="MWM52" s="6"/>
      <c r="MWN52" s="6"/>
      <c r="MWO52" s="6"/>
      <c r="MWP52" s="6"/>
      <c r="MWQ52" s="6"/>
      <c r="MWR52" s="6"/>
      <c r="MWS52" s="6"/>
      <c r="MWT52" s="6"/>
      <c r="MWU52" s="6"/>
      <c r="MWV52" s="6"/>
      <c r="MWW52" s="6"/>
      <c r="MWX52" s="6"/>
      <c r="MWY52" s="6"/>
      <c r="MWZ52" s="6"/>
      <c r="MXA52" s="6"/>
      <c r="MXB52" s="6"/>
      <c r="MXC52" s="6"/>
      <c r="MXD52" s="6"/>
      <c r="MXE52" s="6"/>
      <c r="MXF52" s="6"/>
      <c r="MXG52" s="6"/>
      <c r="MXH52" s="6"/>
      <c r="MXI52" s="6"/>
      <c r="MXJ52" s="6"/>
      <c r="MXK52" s="6"/>
      <c r="MXL52" s="6"/>
      <c r="MXM52" s="6"/>
      <c r="MXN52" s="6"/>
      <c r="MXO52" s="6"/>
      <c r="MXP52" s="6"/>
      <c r="MXQ52" s="6"/>
      <c r="MXR52" s="6"/>
      <c r="MXS52" s="6"/>
      <c r="MXT52" s="6"/>
      <c r="MXU52" s="6"/>
      <c r="MXV52" s="6"/>
      <c r="MXW52" s="6"/>
      <c r="MXX52" s="6"/>
      <c r="MXY52" s="6"/>
      <c r="MXZ52" s="6"/>
      <c r="MYA52" s="6"/>
      <c r="MYB52" s="6"/>
      <c r="MYC52" s="6"/>
      <c r="MYD52" s="6"/>
      <c r="MYE52" s="6"/>
      <c r="MYF52" s="6"/>
      <c r="MYG52" s="6"/>
      <c r="MYH52" s="6"/>
      <c r="MYI52" s="6"/>
      <c r="MYJ52" s="6"/>
      <c r="MYK52" s="6"/>
      <c r="MYL52" s="6"/>
      <c r="MYM52" s="6"/>
      <c r="MYN52" s="6"/>
      <c r="MYO52" s="6"/>
      <c r="MYP52" s="6"/>
      <c r="MYQ52" s="6"/>
      <c r="MYR52" s="6"/>
      <c r="MYS52" s="6"/>
      <c r="MYT52" s="6"/>
      <c r="MYU52" s="6"/>
      <c r="MYV52" s="6"/>
      <c r="MYW52" s="6"/>
      <c r="MYX52" s="6"/>
      <c r="MYY52" s="6"/>
      <c r="MYZ52" s="6"/>
      <c r="MZA52" s="6"/>
      <c r="MZB52" s="6"/>
      <c r="MZC52" s="6"/>
      <c r="MZD52" s="6"/>
      <c r="MZE52" s="6"/>
      <c r="MZF52" s="6"/>
      <c r="MZG52" s="6"/>
      <c r="MZH52" s="6"/>
      <c r="MZI52" s="6"/>
      <c r="MZJ52" s="6"/>
      <c r="MZK52" s="6"/>
      <c r="MZL52" s="6"/>
      <c r="MZM52" s="6"/>
      <c r="MZN52" s="6"/>
      <c r="MZO52" s="6"/>
      <c r="MZP52" s="6"/>
      <c r="MZQ52" s="6"/>
      <c r="MZR52" s="6"/>
      <c r="MZS52" s="6"/>
      <c r="MZT52" s="6"/>
      <c r="MZU52" s="6"/>
      <c r="MZV52" s="6"/>
      <c r="MZW52" s="6"/>
      <c r="MZX52" s="6"/>
      <c r="MZY52" s="6"/>
      <c r="MZZ52" s="6"/>
      <c r="NAA52" s="6"/>
      <c r="NAB52" s="6"/>
      <c r="NAC52" s="6"/>
      <c r="NAD52" s="6"/>
      <c r="NAE52" s="6"/>
      <c r="NAF52" s="6"/>
      <c r="NAG52" s="6"/>
      <c r="NAH52" s="6"/>
      <c r="NAI52" s="6"/>
      <c r="NAJ52" s="6"/>
      <c r="NAK52" s="6"/>
      <c r="NAL52" s="6"/>
      <c r="NAM52" s="6"/>
      <c r="NAN52" s="6"/>
      <c r="NAO52" s="6"/>
      <c r="NAP52" s="6"/>
      <c r="NAQ52" s="6"/>
      <c r="NAR52" s="6"/>
      <c r="NAS52" s="6"/>
      <c r="NAT52" s="6"/>
      <c r="NAU52" s="6"/>
      <c r="NAV52" s="6"/>
      <c r="NAW52" s="6"/>
      <c r="NAX52" s="6"/>
      <c r="NAY52" s="6"/>
      <c r="NAZ52" s="6"/>
      <c r="NBA52" s="6"/>
      <c r="NBB52" s="6"/>
      <c r="NBC52" s="6"/>
      <c r="NBD52" s="6"/>
      <c r="NBE52" s="6"/>
      <c r="NBF52" s="6"/>
      <c r="NBG52" s="6"/>
      <c r="NBH52" s="6"/>
      <c r="NBI52" s="6"/>
      <c r="NBJ52" s="6"/>
      <c r="NBK52" s="6"/>
      <c r="NBL52" s="6"/>
      <c r="NBM52" s="6"/>
      <c r="NBN52" s="6"/>
      <c r="NBO52" s="6"/>
      <c r="NBP52" s="6"/>
      <c r="NBQ52" s="6"/>
      <c r="NBR52" s="6"/>
      <c r="NBS52" s="6"/>
      <c r="NBT52" s="6"/>
      <c r="NBU52" s="6"/>
      <c r="NBV52" s="6"/>
      <c r="NBW52" s="6"/>
      <c r="NBX52" s="6"/>
      <c r="NBY52" s="6"/>
      <c r="NBZ52" s="6"/>
      <c r="NCA52" s="6"/>
      <c r="NCB52" s="6"/>
      <c r="NCC52" s="6"/>
      <c r="NCD52" s="6"/>
      <c r="NCE52" s="6"/>
      <c r="NCF52" s="6"/>
      <c r="NCG52" s="6"/>
      <c r="NCH52" s="6"/>
      <c r="NCI52" s="6"/>
      <c r="NCJ52" s="6"/>
      <c r="NCK52" s="6"/>
      <c r="NCL52" s="6"/>
      <c r="NCM52" s="6"/>
      <c r="NCN52" s="6"/>
      <c r="NCO52" s="6"/>
      <c r="NCP52" s="6"/>
      <c r="NCQ52" s="6"/>
      <c r="NCR52" s="6"/>
      <c r="NCS52" s="6"/>
      <c r="NCT52" s="6"/>
      <c r="NCU52" s="6"/>
      <c r="NCV52" s="6"/>
      <c r="NCW52" s="6"/>
      <c r="NCX52" s="6"/>
      <c r="NCY52" s="6"/>
      <c r="NCZ52" s="6"/>
      <c r="NDA52" s="6"/>
      <c r="NDB52" s="6"/>
      <c r="NDC52" s="6"/>
      <c r="NDD52" s="6"/>
      <c r="NDE52" s="6"/>
      <c r="NDF52" s="6"/>
      <c r="NDG52" s="6"/>
      <c r="NDH52" s="6"/>
      <c r="NDI52" s="6"/>
      <c r="NDJ52" s="6"/>
      <c r="NDK52" s="6"/>
      <c r="NDL52" s="6"/>
      <c r="NDM52" s="6"/>
      <c r="NDN52" s="6"/>
      <c r="NDO52" s="6"/>
      <c r="NDP52" s="6"/>
      <c r="NDQ52" s="6"/>
      <c r="NDR52" s="6"/>
      <c r="NDS52" s="6"/>
      <c r="NDT52" s="6"/>
      <c r="NDU52" s="6"/>
      <c r="NDV52" s="6"/>
      <c r="NDW52" s="6"/>
      <c r="NDX52" s="6"/>
      <c r="NDY52" s="6"/>
      <c r="NDZ52" s="6"/>
      <c r="NEA52" s="6"/>
      <c r="NEB52" s="6"/>
      <c r="NEC52" s="6"/>
      <c r="NED52" s="6"/>
      <c r="NEE52" s="6"/>
      <c r="NEF52" s="6"/>
      <c r="NEG52" s="6"/>
      <c r="NEH52" s="6"/>
      <c r="NEI52" s="6"/>
      <c r="NEJ52" s="6"/>
      <c r="NEK52" s="6"/>
      <c r="NEL52" s="6"/>
      <c r="NEM52" s="6"/>
      <c r="NEN52" s="6"/>
      <c r="NEO52" s="6"/>
      <c r="NEP52" s="6"/>
      <c r="NEQ52" s="6"/>
      <c r="NER52" s="6"/>
      <c r="NES52" s="6"/>
      <c r="NET52" s="6"/>
      <c r="NEU52" s="6"/>
      <c r="NEV52" s="6"/>
      <c r="NEW52" s="6"/>
      <c r="NEX52" s="6"/>
      <c r="NEY52" s="6"/>
      <c r="NEZ52" s="6"/>
      <c r="NFA52" s="6"/>
      <c r="NFB52" s="6"/>
      <c r="NFC52" s="6"/>
      <c r="NFD52" s="6"/>
      <c r="NFE52" s="6"/>
      <c r="NFF52" s="6"/>
      <c r="NFG52" s="6"/>
      <c r="NFH52" s="6"/>
      <c r="NFI52" s="6"/>
      <c r="NFJ52" s="6"/>
      <c r="NFK52" s="6"/>
      <c r="NFL52" s="6"/>
      <c r="NFM52" s="6"/>
      <c r="NFN52" s="6"/>
      <c r="NFO52" s="6"/>
      <c r="NFP52" s="6"/>
      <c r="NFQ52" s="6"/>
      <c r="NFR52" s="6"/>
      <c r="NFS52" s="6"/>
      <c r="NFT52" s="6"/>
      <c r="NFU52" s="6"/>
      <c r="NFV52" s="6"/>
      <c r="NFW52" s="6"/>
      <c r="NFX52" s="6"/>
      <c r="NFY52" s="6"/>
      <c r="NFZ52" s="6"/>
      <c r="NGA52" s="6"/>
      <c r="NGB52" s="6"/>
      <c r="NGC52" s="6"/>
      <c r="NGD52" s="6"/>
      <c r="NGE52" s="6"/>
      <c r="NGF52" s="6"/>
      <c r="NGG52" s="6"/>
      <c r="NGH52" s="6"/>
      <c r="NGI52" s="6"/>
      <c r="NGJ52" s="6"/>
      <c r="NGK52" s="6"/>
      <c r="NGL52" s="6"/>
      <c r="NGM52" s="6"/>
      <c r="NGN52" s="6"/>
      <c r="NGO52" s="6"/>
      <c r="NGP52" s="6"/>
      <c r="NGQ52" s="6"/>
      <c r="NGR52" s="6"/>
      <c r="NGS52" s="6"/>
      <c r="NGT52" s="6"/>
      <c r="NGU52" s="6"/>
      <c r="NGV52" s="6"/>
      <c r="NGW52" s="6"/>
      <c r="NGX52" s="6"/>
      <c r="NGY52" s="6"/>
      <c r="NGZ52" s="6"/>
      <c r="NHA52" s="6"/>
      <c r="NHB52" s="6"/>
      <c r="NHC52" s="6"/>
      <c r="NHD52" s="6"/>
      <c r="NHE52" s="6"/>
      <c r="NHF52" s="6"/>
      <c r="NHG52" s="6"/>
      <c r="NHH52" s="6"/>
      <c r="NHI52" s="6"/>
      <c r="NHJ52" s="6"/>
      <c r="NHK52" s="6"/>
      <c r="NHL52" s="6"/>
      <c r="NHM52" s="6"/>
      <c r="NHN52" s="6"/>
      <c r="NHO52" s="6"/>
      <c r="NHP52" s="6"/>
      <c r="NHQ52" s="6"/>
      <c r="NHR52" s="6"/>
      <c r="NHS52" s="6"/>
      <c r="NHT52" s="6"/>
      <c r="NHU52" s="6"/>
      <c r="NHV52" s="6"/>
      <c r="NHW52" s="6"/>
      <c r="NHX52" s="6"/>
      <c r="NHY52" s="6"/>
      <c r="NHZ52" s="6"/>
      <c r="NIA52" s="6"/>
      <c r="NIB52" s="6"/>
      <c r="NIC52" s="6"/>
      <c r="NID52" s="6"/>
      <c r="NIE52" s="6"/>
      <c r="NIF52" s="6"/>
      <c r="NIG52" s="6"/>
      <c r="NIH52" s="6"/>
      <c r="NII52" s="6"/>
      <c r="NIJ52" s="6"/>
      <c r="NIK52" s="6"/>
      <c r="NIL52" s="6"/>
      <c r="NIM52" s="6"/>
      <c r="NIN52" s="6"/>
      <c r="NIO52" s="6"/>
      <c r="NIP52" s="6"/>
      <c r="NIQ52" s="6"/>
      <c r="NIR52" s="6"/>
      <c r="NIS52" s="6"/>
      <c r="NIT52" s="6"/>
      <c r="NIU52" s="6"/>
      <c r="NIV52" s="6"/>
      <c r="NIW52" s="6"/>
      <c r="NIX52" s="6"/>
      <c r="NIY52" s="6"/>
      <c r="NIZ52" s="6"/>
      <c r="NJA52" s="6"/>
      <c r="NJB52" s="6"/>
      <c r="NJC52" s="6"/>
      <c r="NJD52" s="6"/>
      <c r="NJE52" s="6"/>
      <c r="NJF52" s="6"/>
      <c r="NJG52" s="6"/>
      <c r="NJH52" s="6"/>
      <c r="NJI52" s="6"/>
      <c r="NJJ52" s="6"/>
      <c r="NJK52" s="6"/>
      <c r="NJL52" s="6"/>
      <c r="NJM52" s="6"/>
      <c r="NJN52" s="6"/>
      <c r="NJO52" s="6"/>
      <c r="NJP52" s="6"/>
      <c r="NJQ52" s="6"/>
      <c r="NJR52" s="6"/>
      <c r="NJS52" s="6"/>
      <c r="NJT52" s="6"/>
      <c r="NJU52" s="6"/>
      <c r="NJV52" s="6"/>
      <c r="NJW52" s="6"/>
      <c r="NJX52" s="6"/>
      <c r="NJY52" s="6"/>
      <c r="NJZ52" s="6"/>
      <c r="NKA52" s="6"/>
      <c r="NKB52" s="6"/>
      <c r="NKC52" s="6"/>
      <c r="NKD52" s="6"/>
      <c r="NKE52" s="6"/>
      <c r="NKF52" s="6"/>
      <c r="NKG52" s="6"/>
      <c r="NKH52" s="6"/>
      <c r="NKI52" s="6"/>
      <c r="NKJ52" s="6"/>
      <c r="NKK52" s="6"/>
      <c r="NKL52" s="6"/>
      <c r="NKM52" s="6"/>
      <c r="NKN52" s="6"/>
      <c r="NKO52" s="6"/>
      <c r="NKP52" s="6"/>
      <c r="NKQ52" s="6"/>
      <c r="NKR52" s="6"/>
      <c r="NKS52" s="6"/>
      <c r="NKT52" s="6"/>
      <c r="NKU52" s="6"/>
      <c r="NKV52" s="6"/>
      <c r="NKW52" s="6"/>
      <c r="NKX52" s="6"/>
      <c r="NKY52" s="6"/>
      <c r="NKZ52" s="6"/>
      <c r="NLA52" s="6"/>
      <c r="NLB52" s="6"/>
      <c r="NLC52" s="6"/>
      <c r="NLD52" s="6"/>
      <c r="NLE52" s="6"/>
      <c r="NLF52" s="6"/>
      <c r="NLG52" s="6"/>
      <c r="NLH52" s="6"/>
      <c r="NLI52" s="6"/>
      <c r="NLJ52" s="6"/>
      <c r="NLK52" s="6"/>
      <c r="NLL52" s="6"/>
      <c r="NLM52" s="6"/>
      <c r="NLN52" s="6"/>
      <c r="NLO52" s="6"/>
      <c r="NLP52" s="6"/>
      <c r="NLQ52" s="6"/>
      <c r="NLR52" s="6"/>
      <c r="NLS52" s="6"/>
      <c r="NLT52" s="6"/>
      <c r="NLU52" s="6"/>
      <c r="NLV52" s="6"/>
      <c r="NLW52" s="6"/>
      <c r="NLX52" s="6"/>
      <c r="NLY52" s="6"/>
      <c r="NLZ52" s="6"/>
      <c r="NMA52" s="6"/>
      <c r="NMB52" s="6"/>
      <c r="NMC52" s="6"/>
      <c r="NMD52" s="6"/>
      <c r="NME52" s="6"/>
      <c r="NMF52" s="6"/>
      <c r="NMG52" s="6"/>
      <c r="NMH52" s="6"/>
      <c r="NMI52" s="6"/>
      <c r="NMJ52" s="6"/>
      <c r="NMK52" s="6"/>
      <c r="NML52" s="6"/>
      <c r="NMM52" s="6"/>
      <c r="NMN52" s="6"/>
      <c r="NMO52" s="6"/>
      <c r="NMP52" s="6"/>
      <c r="NMQ52" s="6"/>
      <c r="NMR52" s="6"/>
      <c r="NMS52" s="6"/>
      <c r="NMT52" s="6"/>
      <c r="NMU52" s="6"/>
      <c r="NMV52" s="6"/>
      <c r="NMW52" s="6"/>
      <c r="NMX52" s="6"/>
      <c r="NMY52" s="6"/>
      <c r="NMZ52" s="6"/>
      <c r="NNA52" s="6"/>
      <c r="NNB52" s="6"/>
      <c r="NNC52" s="6"/>
      <c r="NND52" s="6"/>
      <c r="NNE52" s="6"/>
      <c r="NNF52" s="6"/>
      <c r="NNG52" s="6"/>
      <c r="NNH52" s="6"/>
      <c r="NNI52" s="6"/>
      <c r="NNJ52" s="6"/>
      <c r="NNK52" s="6"/>
      <c r="NNL52" s="6"/>
      <c r="NNM52" s="6"/>
      <c r="NNN52" s="6"/>
      <c r="NNO52" s="6"/>
      <c r="NNP52" s="6"/>
      <c r="NNQ52" s="6"/>
      <c r="NNR52" s="6"/>
      <c r="NNS52" s="6"/>
      <c r="NNT52" s="6"/>
      <c r="NNU52" s="6"/>
      <c r="NNV52" s="6"/>
      <c r="NNW52" s="6"/>
      <c r="NNX52" s="6"/>
      <c r="NNY52" s="6"/>
      <c r="NNZ52" s="6"/>
      <c r="NOA52" s="6"/>
      <c r="NOB52" s="6"/>
      <c r="NOC52" s="6"/>
      <c r="NOD52" s="6"/>
      <c r="NOE52" s="6"/>
      <c r="NOF52" s="6"/>
      <c r="NOG52" s="6"/>
      <c r="NOH52" s="6"/>
      <c r="NOI52" s="6"/>
      <c r="NOJ52" s="6"/>
      <c r="NOK52" s="6"/>
      <c r="NOL52" s="6"/>
      <c r="NOM52" s="6"/>
      <c r="NON52" s="6"/>
      <c r="NOO52" s="6"/>
      <c r="NOP52" s="6"/>
      <c r="NOQ52" s="6"/>
      <c r="NOR52" s="6"/>
      <c r="NOS52" s="6"/>
      <c r="NOT52" s="6"/>
      <c r="NOU52" s="6"/>
      <c r="NOV52" s="6"/>
      <c r="NOW52" s="6"/>
      <c r="NOX52" s="6"/>
      <c r="NOY52" s="6"/>
      <c r="NOZ52" s="6"/>
      <c r="NPA52" s="6"/>
      <c r="NPB52" s="6"/>
      <c r="NPC52" s="6"/>
      <c r="NPD52" s="6"/>
      <c r="NPE52" s="6"/>
      <c r="NPF52" s="6"/>
      <c r="NPG52" s="6"/>
      <c r="NPH52" s="6"/>
      <c r="NPI52" s="6"/>
      <c r="NPJ52" s="6"/>
      <c r="NPK52" s="6"/>
      <c r="NPL52" s="6"/>
      <c r="NPM52" s="6"/>
      <c r="NPN52" s="6"/>
      <c r="NPO52" s="6"/>
      <c r="NPP52" s="6"/>
      <c r="NPQ52" s="6"/>
      <c r="NPR52" s="6"/>
      <c r="NPS52" s="6"/>
      <c r="NPT52" s="6"/>
      <c r="NPU52" s="6"/>
      <c r="NPV52" s="6"/>
      <c r="NPW52" s="6"/>
      <c r="NPX52" s="6"/>
      <c r="NPY52" s="6"/>
      <c r="NPZ52" s="6"/>
      <c r="NQA52" s="6"/>
      <c r="NQB52" s="6"/>
      <c r="NQC52" s="6"/>
      <c r="NQD52" s="6"/>
      <c r="NQE52" s="6"/>
      <c r="NQF52" s="6"/>
      <c r="NQG52" s="6"/>
      <c r="NQH52" s="6"/>
      <c r="NQI52" s="6"/>
      <c r="NQJ52" s="6"/>
      <c r="NQK52" s="6"/>
      <c r="NQL52" s="6"/>
      <c r="NQM52" s="6"/>
      <c r="NQN52" s="6"/>
      <c r="NQO52" s="6"/>
      <c r="NQP52" s="6"/>
      <c r="NQQ52" s="6"/>
      <c r="NQR52" s="6"/>
      <c r="NQS52" s="6"/>
      <c r="NQT52" s="6"/>
      <c r="NQU52" s="6"/>
      <c r="NQV52" s="6"/>
      <c r="NQW52" s="6"/>
      <c r="NQX52" s="6"/>
      <c r="NQY52" s="6"/>
      <c r="NQZ52" s="6"/>
      <c r="NRA52" s="6"/>
      <c r="NRB52" s="6"/>
      <c r="NRC52" s="6"/>
      <c r="NRD52" s="6"/>
      <c r="NRE52" s="6"/>
      <c r="NRF52" s="6"/>
      <c r="NRG52" s="6"/>
      <c r="NRH52" s="6"/>
      <c r="NRI52" s="6"/>
      <c r="NRJ52" s="6"/>
      <c r="NRK52" s="6"/>
      <c r="NRL52" s="6"/>
      <c r="NRM52" s="6"/>
      <c r="NRN52" s="6"/>
      <c r="NRO52" s="6"/>
      <c r="NRP52" s="6"/>
      <c r="NRQ52" s="6"/>
      <c r="NRR52" s="6"/>
      <c r="NRS52" s="6"/>
      <c r="NRT52" s="6"/>
      <c r="NRU52" s="6"/>
      <c r="NRV52" s="6"/>
      <c r="NRW52" s="6"/>
      <c r="NRX52" s="6"/>
      <c r="NRY52" s="6"/>
      <c r="NRZ52" s="6"/>
      <c r="NSA52" s="6"/>
      <c r="NSB52" s="6"/>
      <c r="NSC52" s="6"/>
      <c r="NSD52" s="6"/>
      <c r="NSE52" s="6"/>
      <c r="NSF52" s="6"/>
      <c r="NSG52" s="6"/>
      <c r="NSH52" s="6"/>
      <c r="NSI52" s="6"/>
      <c r="NSJ52" s="6"/>
      <c r="NSK52" s="6"/>
      <c r="NSL52" s="6"/>
      <c r="NSM52" s="6"/>
      <c r="NSN52" s="6"/>
      <c r="NSO52" s="6"/>
      <c r="NSP52" s="6"/>
      <c r="NSQ52" s="6"/>
      <c r="NSR52" s="6"/>
      <c r="NSS52" s="6"/>
      <c r="NST52" s="6"/>
      <c r="NSU52" s="6"/>
      <c r="NSV52" s="6"/>
      <c r="NSW52" s="6"/>
      <c r="NSX52" s="6"/>
      <c r="NSY52" s="6"/>
      <c r="NSZ52" s="6"/>
      <c r="NTA52" s="6"/>
      <c r="NTB52" s="6"/>
      <c r="NTC52" s="6"/>
      <c r="NTD52" s="6"/>
      <c r="NTE52" s="6"/>
      <c r="NTF52" s="6"/>
      <c r="NTG52" s="6"/>
      <c r="NTH52" s="6"/>
      <c r="NTI52" s="6"/>
      <c r="NTJ52" s="6"/>
      <c r="NTK52" s="6"/>
      <c r="NTL52" s="6"/>
      <c r="NTM52" s="6"/>
      <c r="NTN52" s="6"/>
      <c r="NTO52" s="6"/>
      <c r="NTP52" s="6"/>
      <c r="NTQ52" s="6"/>
      <c r="NTR52" s="6"/>
      <c r="NTS52" s="6"/>
      <c r="NTT52" s="6"/>
      <c r="NTU52" s="6"/>
      <c r="NTV52" s="6"/>
      <c r="NTW52" s="6"/>
      <c r="NTX52" s="6"/>
      <c r="NTY52" s="6"/>
      <c r="NTZ52" s="6"/>
      <c r="NUA52" s="6"/>
      <c r="NUB52" s="6"/>
      <c r="NUC52" s="6"/>
      <c r="NUD52" s="6"/>
      <c r="NUE52" s="6"/>
      <c r="NUF52" s="6"/>
      <c r="NUG52" s="6"/>
      <c r="NUH52" s="6"/>
      <c r="NUI52" s="6"/>
      <c r="NUJ52" s="6"/>
      <c r="NUK52" s="6"/>
      <c r="NUL52" s="6"/>
      <c r="NUM52" s="6"/>
      <c r="NUN52" s="6"/>
      <c r="NUO52" s="6"/>
      <c r="NUP52" s="6"/>
      <c r="NUQ52" s="6"/>
      <c r="NUR52" s="6"/>
      <c r="NUS52" s="6"/>
      <c r="NUT52" s="6"/>
      <c r="NUU52" s="6"/>
      <c r="NUV52" s="6"/>
      <c r="NUW52" s="6"/>
      <c r="NUX52" s="6"/>
      <c r="NUY52" s="6"/>
      <c r="NUZ52" s="6"/>
      <c r="NVA52" s="6"/>
      <c r="NVB52" s="6"/>
      <c r="NVC52" s="6"/>
      <c r="NVD52" s="6"/>
      <c r="NVE52" s="6"/>
      <c r="NVF52" s="6"/>
      <c r="NVG52" s="6"/>
      <c r="NVH52" s="6"/>
      <c r="NVI52" s="6"/>
      <c r="NVJ52" s="6"/>
      <c r="NVK52" s="6"/>
      <c r="NVL52" s="6"/>
      <c r="NVM52" s="6"/>
      <c r="NVN52" s="6"/>
      <c r="NVO52" s="6"/>
      <c r="NVP52" s="6"/>
      <c r="NVQ52" s="6"/>
      <c r="NVR52" s="6"/>
      <c r="NVS52" s="6"/>
      <c r="NVT52" s="6"/>
      <c r="NVU52" s="6"/>
      <c r="NVV52" s="6"/>
      <c r="NVW52" s="6"/>
      <c r="NVX52" s="6"/>
      <c r="NVY52" s="6"/>
      <c r="NVZ52" s="6"/>
      <c r="NWA52" s="6"/>
      <c r="NWB52" s="6"/>
      <c r="NWC52" s="6"/>
      <c r="NWD52" s="6"/>
      <c r="NWE52" s="6"/>
      <c r="NWF52" s="6"/>
      <c r="NWG52" s="6"/>
      <c r="NWH52" s="6"/>
      <c r="NWI52" s="6"/>
      <c r="NWJ52" s="6"/>
      <c r="NWK52" s="6"/>
      <c r="NWL52" s="6"/>
      <c r="NWM52" s="6"/>
      <c r="NWN52" s="6"/>
      <c r="NWO52" s="6"/>
      <c r="NWP52" s="6"/>
      <c r="NWQ52" s="6"/>
      <c r="NWR52" s="6"/>
      <c r="NWS52" s="6"/>
      <c r="NWT52" s="6"/>
      <c r="NWU52" s="6"/>
      <c r="NWV52" s="6"/>
      <c r="NWW52" s="6"/>
      <c r="NWX52" s="6"/>
      <c r="NWY52" s="6"/>
      <c r="NWZ52" s="6"/>
      <c r="NXA52" s="6"/>
      <c r="NXB52" s="6"/>
      <c r="NXC52" s="6"/>
      <c r="NXD52" s="6"/>
      <c r="NXE52" s="6"/>
      <c r="NXF52" s="6"/>
      <c r="NXG52" s="6"/>
      <c r="NXH52" s="6"/>
      <c r="NXI52" s="6"/>
      <c r="NXJ52" s="6"/>
      <c r="NXK52" s="6"/>
      <c r="NXL52" s="6"/>
      <c r="NXM52" s="6"/>
      <c r="NXN52" s="6"/>
      <c r="NXO52" s="6"/>
      <c r="NXP52" s="6"/>
      <c r="NXQ52" s="6"/>
      <c r="NXR52" s="6"/>
      <c r="NXS52" s="6"/>
      <c r="NXT52" s="6"/>
      <c r="NXU52" s="6"/>
      <c r="NXV52" s="6"/>
      <c r="NXW52" s="6"/>
      <c r="NXX52" s="6"/>
      <c r="NXY52" s="6"/>
      <c r="NXZ52" s="6"/>
      <c r="NYA52" s="6"/>
      <c r="NYB52" s="6"/>
      <c r="NYC52" s="6"/>
      <c r="NYD52" s="6"/>
      <c r="NYE52" s="6"/>
      <c r="NYF52" s="6"/>
      <c r="NYG52" s="6"/>
      <c r="NYH52" s="6"/>
      <c r="NYI52" s="6"/>
      <c r="NYJ52" s="6"/>
      <c r="NYK52" s="6"/>
      <c r="NYL52" s="6"/>
      <c r="NYM52" s="6"/>
      <c r="NYN52" s="6"/>
      <c r="NYO52" s="6"/>
      <c r="NYP52" s="6"/>
      <c r="NYQ52" s="6"/>
      <c r="NYR52" s="6"/>
      <c r="NYS52" s="6"/>
      <c r="NYT52" s="6"/>
      <c r="NYU52" s="6"/>
      <c r="NYV52" s="6"/>
      <c r="NYW52" s="6"/>
      <c r="NYX52" s="6"/>
      <c r="NYY52" s="6"/>
      <c r="NYZ52" s="6"/>
      <c r="NZA52" s="6"/>
      <c r="NZB52" s="6"/>
      <c r="NZC52" s="6"/>
      <c r="NZD52" s="6"/>
      <c r="NZE52" s="6"/>
      <c r="NZF52" s="6"/>
      <c r="NZG52" s="6"/>
      <c r="NZH52" s="6"/>
      <c r="NZI52" s="6"/>
      <c r="NZJ52" s="6"/>
      <c r="NZK52" s="6"/>
      <c r="NZL52" s="6"/>
      <c r="NZM52" s="6"/>
      <c r="NZN52" s="6"/>
      <c r="NZO52" s="6"/>
      <c r="NZP52" s="6"/>
      <c r="NZQ52" s="6"/>
      <c r="NZR52" s="6"/>
      <c r="NZS52" s="6"/>
      <c r="NZT52" s="6"/>
      <c r="NZU52" s="6"/>
      <c r="NZV52" s="6"/>
      <c r="NZW52" s="6"/>
      <c r="NZX52" s="6"/>
      <c r="NZY52" s="6"/>
      <c r="NZZ52" s="6"/>
      <c r="OAA52" s="6"/>
      <c r="OAB52" s="6"/>
      <c r="OAC52" s="6"/>
      <c r="OAD52" s="6"/>
      <c r="OAE52" s="6"/>
      <c r="OAF52" s="6"/>
      <c r="OAG52" s="6"/>
      <c r="OAH52" s="6"/>
      <c r="OAI52" s="6"/>
      <c r="OAJ52" s="6"/>
      <c r="OAK52" s="6"/>
      <c r="OAL52" s="6"/>
      <c r="OAM52" s="6"/>
      <c r="OAN52" s="6"/>
      <c r="OAO52" s="6"/>
      <c r="OAP52" s="6"/>
      <c r="OAQ52" s="6"/>
      <c r="OAR52" s="6"/>
      <c r="OAS52" s="6"/>
      <c r="OAT52" s="6"/>
      <c r="OAU52" s="6"/>
      <c r="OAV52" s="6"/>
      <c r="OAW52" s="6"/>
      <c r="OAX52" s="6"/>
      <c r="OAY52" s="6"/>
      <c r="OAZ52" s="6"/>
      <c r="OBA52" s="6"/>
      <c r="OBB52" s="6"/>
      <c r="OBC52" s="6"/>
      <c r="OBD52" s="6"/>
      <c r="OBE52" s="6"/>
      <c r="OBF52" s="6"/>
      <c r="OBG52" s="6"/>
      <c r="OBH52" s="6"/>
      <c r="OBI52" s="6"/>
      <c r="OBJ52" s="6"/>
      <c r="OBK52" s="6"/>
      <c r="OBL52" s="6"/>
      <c r="OBM52" s="6"/>
      <c r="OBN52" s="6"/>
      <c r="OBO52" s="6"/>
      <c r="OBP52" s="6"/>
      <c r="OBQ52" s="6"/>
      <c r="OBR52" s="6"/>
      <c r="OBS52" s="6"/>
      <c r="OBT52" s="6"/>
      <c r="OBU52" s="6"/>
      <c r="OBV52" s="6"/>
      <c r="OBW52" s="6"/>
      <c r="OBX52" s="6"/>
      <c r="OBY52" s="6"/>
      <c r="OBZ52" s="6"/>
      <c r="OCA52" s="6"/>
      <c r="OCB52" s="6"/>
      <c r="OCC52" s="6"/>
      <c r="OCD52" s="6"/>
      <c r="OCE52" s="6"/>
      <c r="OCF52" s="6"/>
      <c r="OCG52" s="6"/>
      <c r="OCH52" s="6"/>
      <c r="OCI52" s="6"/>
      <c r="OCJ52" s="6"/>
      <c r="OCK52" s="6"/>
      <c r="OCL52" s="6"/>
      <c r="OCM52" s="6"/>
      <c r="OCN52" s="6"/>
      <c r="OCO52" s="6"/>
      <c r="OCP52" s="6"/>
      <c r="OCQ52" s="6"/>
      <c r="OCR52" s="6"/>
      <c r="OCS52" s="6"/>
      <c r="OCT52" s="6"/>
      <c r="OCU52" s="6"/>
      <c r="OCV52" s="6"/>
      <c r="OCW52" s="6"/>
      <c r="OCX52" s="6"/>
      <c r="OCY52" s="6"/>
      <c r="OCZ52" s="6"/>
      <c r="ODA52" s="6"/>
      <c r="ODB52" s="6"/>
      <c r="ODC52" s="6"/>
      <c r="ODD52" s="6"/>
      <c r="ODE52" s="6"/>
      <c r="ODF52" s="6"/>
      <c r="ODG52" s="6"/>
      <c r="ODH52" s="6"/>
      <c r="ODI52" s="6"/>
      <c r="ODJ52" s="6"/>
      <c r="ODK52" s="6"/>
      <c r="ODL52" s="6"/>
      <c r="ODM52" s="6"/>
      <c r="ODN52" s="6"/>
      <c r="ODO52" s="6"/>
      <c r="ODP52" s="6"/>
      <c r="ODQ52" s="6"/>
      <c r="ODR52" s="6"/>
      <c r="ODS52" s="6"/>
      <c r="ODT52" s="6"/>
      <c r="ODU52" s="6"/>
      <c r="ODV52" s="6"/>
      <c r="ODW52" s="6"/>
      <c r="ODX52" s="6"/>
      <c r="ODY52" s="6"/>
      <c r="ODZ52" s="6"/>
      <c r="OEA52" s="6"/>
      <c r="OEB52" s="6"/>
      <c r="OEC52" s="6"/>
      <c r="OED52" s="6"/>
      <c r="OEE52" s="6"/>
      <c r="OEF52" s="6"/>
      <c r="OEG52" s="6"/>
      <c r="OEH52" s="6"/>
      <c r="OEI52" s="6"/>
      <c r="OEJ52" s="6"/>
      <c r="OEK52" s="6"/>
      <c r="OEL52" s="6"/>
      <c r="OEM52" s="6"/>
      <c r="OEN52" s="6"/>
      <c r="OEO52" s="6"/>
      <c r="OEP52" s="6"/>
      <c r="OEQ52" s="6"/>
      <c r="OER52" s="6"/>
      <c r="OES52" s="6"/>
      <c r="OET52" s="6"/>
      <c r="OEU52" s="6"/>
      <c r="OEV52" s="6"/>
      <c r="OEW52" s="6"/>
      <c r="OEX52" s="6"/>
      <c r="OEY52" s="6"/>
      <c r="OEZ52" s="6"/>
      <c r="OFA52" s="6"/>
      <c r="OFB52" s="6"/>
      <c r="OFC52" s="6"/>
      <c r="OFD52" s="6"/>
      <c r="OFE52" s="6"/>
      <c r="OFF52" s="6"/>
      <c r="OFG52" s="6"/>
      <c r="OFH52" s="6"/>
      <c r="OFI52" s="6"/>
      <c r="OFJ52" s="6"/>
      <c r="OFK52" s="6"/>
      <c r="OFL52" s="6"/>
      <c r="OFM52" s="6"/>
      <c r="OFN52" s="6"/>
      <c r="OFO52" s="6"/>
      <c r="OFP52" s="6"/>
      <c r="OFQ52" s="6"/>
      <c r="OFR52" s="6"/>
      <c r="OFS52" s="6"/>
      <c r="OFT52" s="6"/>
      <c r="OFU52" s="6"/>
      <c r="OFV52" s="6"/>
      <c r="OFW52" s="6"/>
      <c r="OFX52" s="6"/>
      <c r="OFY52" s="6"/>
      <c r="OFZ52" s="6"/>
      <c r="OGA52" s="6"/>
      <c r="OGB52" s="6"/>
      <c r="OGC52" s="6"/>
      <c r="OGD52" s="6"/>
      <c r="OGE52" s="6"/>
      <c r="OGF52" s="6"/>
      <c r="OGG52" s="6"/>
      <c r="OGH52" s="6"/>
      <c r="OGI52" s="6"/>
      <c r="OGJ52" s="6"/>
      <c r="OGK52" s="6"/>
      <c r="OGL52" s="6"/>
      <c r="OGM52" s="6"/>
      <c r="OGN52" s="6"/>
      <c r="OGO52" s="6"/>
      <c r="OGP52" s="6"/>
      <c r="OGQ52" s="6"/>
      <c r="OGR52" s="6"/>
      <c r="OGS52" s="6"/>
      <c r="OGT52" s="6"/>
      <c r="OGU52" s="6"/>
      <c r="OGV52" s="6"/>
      <c r="OGW52" s="6"/>
      <c r="OGX52" s="6"/>
      <c r="OGY52" s="6"/>
      <c r="OGZ52" s="6"/>
      <c r="OHA52" s="6"/>
      <c r="OHB52" s="6"/>
      <c r="OHC52" s="6"/>
      <c r="OHD52" s="6"/>
      <c r="OHE52" s="6"/>
      <c r="OHF52" s="6"/>
      <c r="OHG52" s="6"/>
      <c r="OHH52" s="6"/>
      <c r="OHI52" s="6"/>
      <c r="OHJ52" s="6"/>
      <c r="OHK52" s="6"/>
      <c r="OHL52" s="6"/>
      <c r="OHM52" s="6"/>
      <c r="OHN52" s="6"/>
      <c r="OHO52" s="6"/>
      <c r="OHP52" s="6"/>
      <c r="OHQ52" s="6"/>
      <c r="OHR52" s="6"/>
      <c r="OHS52" s="6"/>
      <c r="OHT52" s="6"/>
      <c r="OHU52" s="6"/>
      <c r="OHV52" s="6"/>
      <c r="OHW52" s="6"/>
      <c r="OHX52" s="6"/>
      <c r="OHY52" s="6"/>
      <c r="OHZ52" s="6"/>
      <c r="OIA52" s="6"/>
      <c r="OIB52" s="6"/>
      <c r="OIC52" s="6"/>
      <c r="OID52" s="6"/>
      <c r="OIE52" s="6"/>
      <c r="OIF52" s="6"/>
      <c r="OIG52" s="6"/>
      <c r="OIH52" s="6"/>
      <c r="OII52" s="6"/>
      <c r="OIJ52" s="6"/>
      <c r="OIK52" s="6"/>
      <c r="OIL52" s="6"/>
      <c r="OIM52" s="6"/>
      <c r="OIN52" s="6"/>
      <c r="OIO52" s="6"/>
      <c r="OIP52" s="6"/>
      <c r="OIQ52" s="6"/>
      <c r="OIR52" s="6"/>
      <c r="OIS52" s="6"/>
      <c r="OIT52" s="6"/>
      <c r="OIU52" s="6"/>
      <c r="OIV52" s="6"/>
      <c r="OIW52" s="6"/>
      <c r="OIX52" s="6"/>
      <c r="OIY52" s="6"/>
      <c r="OIZ52" s="6"/>
      <c r="OJA52" s="6"/>
      <c r="OJB52" s="6"/>
      <c r="OJC52" s="6"/>
      <c r="OJD52" s="6"/>
      <c r="OJE52" s="6"/>
      <c r="OJF52" s="6"/>
      <c r="OJG52" s="6"/>
      <c r="OJH52" s="6"/>
      <c r="OJI52" s="6"/>
      <c r="OJJ52" s="6"/>
      <c r="OJK52" s="6"/>
      <c r="OJL52" s="6"/>
      <c r="OJM52" s="6"/>
      <c r="OJN52" s="6"/>
      <c r="OJO52" s="6"/>
      <c r="OJP52" s="6"/>
      <c r="OJQ52" s="6"/>
      <c r="OJR52" s="6"/>
      <c r="OJS52" s="6"/>
      <c r="OJT52" s="6"/>
      <c r="OJU52" s="6"/>
      <c r="OJV52" s="6"/>
      <c r="OJW52" s="6"/>
      <c r="OJX52" s="6"/>
      <c r="OJY52" s="6"/>
      <c r="OJZ52" s="6"/>
      <c r="OKA52" s="6"/>
      <c r="OKB52" s="6"/>
      <c r="OKC52" s="6"/>
      <c r="OKD52" s="6"/>
      <c r="OKE52" s="6"/>
      <c r="OKF52" s="6"/>
      <c r="OKG52" s="6"/>
      <c r="OKH52" s="6"/>
      <c r="OKI52" s="6"/>
      <c r="OKJ52" s="6"/>
      <c r="OKK52" s="6"/>
      <c r="OKL52" s="6"/>
      <c r="OKM52" s="6"/>
      <c r="OKN52" s="6"/>
      <c r="OKO52" s="6"/>
      <c r="OKP52" s="6"/>
      <c r="OKQ52" s="6"/>
      <c r="OKR52" s="6"/>
      <c r="OKS52" s="6"/>
      <c r="OKT52" s="6"/>
      <c r="OKU52" s="6"/>
      <c r="OKV52" s="6"/>
      <c r="OKW52" s="6"/>
      <c r="OKX52" s="6"/>
      <c r="OKY52" s="6"/>
      <c r="OKZ52" s="6"/>
      <c r="OLA52" s="6"/>
      <c r="OLB52" s="6"/>
      <c r="OLC52" s="6"/>
      <c r="OLD52" s="6"/>
      <c r="OLE52" s="6"/>
      <c r="OLF52" s="6"/>
      <c r="OLG52" s="6"/>
      <c r="OLH52" s="6"/>
      <c r="OLI52" s="6"/>
      <c r="OLJ52" s="6"/>
      <c r="OLK52" s="6"/>
      <c r="OLL52" s="6"/>
      <c r="OLM52" s="6"/>
      <c r="OLN52" s="6"/>
      <c r="OLO52" s="6"/>
      <c r="OLP52" s="6"/>
      <c r="OLQ52" s="6"/>
      <c r="OLR52" s="6"/>
      <c r="OLS52" s="6"/>
      <c r="OLT52" s="6"/>
      <c r="OLU52" s="6"/>
      <c r="OLV52" s="6"/>
      <c r="OLW52" s="6"/>
      <c r="OLX52" s="6"/>
      <c r="OLY52" s="6"/>
      <c r="OLZ52" s="6"/>
      <c r="OMA52" s="6"/>
      <c r="OMB52" s="6"/>
      <c r="OMC52" s="6"/>
      <c r="OMD52" s="6"/>
      <c r="OME52" s="6"/>
      <c r="OMF52" s="6"/>
      <c r="OMG52" s="6"/>
      <c r="OMH52" s="6"/>
      <c r="OMI52" s="6"/>
      <c r="OMJ52" s="6"/>
      <c r="OMK52" s="6"/>
      <c r="OML52" s="6"/>
      <c r="OMM52" s="6"/>
      <c r="OMN52" s="6"/>
      <c r="OMO52" s="6"/>
      <c r="OMP52" s="6"/>
      <c r="OMQ52" s="6"/>
      <c r="OMR52" s="6"/>
      <c r="OMS52" s="6"/>
      <c r="OMT52" s="6"/>
      <c r="OMU52" s="6"/>
      <c r="OMV52" s="6"/>
      <c r="OMW52" s="6"/>
      <c r="OMX52" s="6"/>
      <c r="OMY52" s="6"/>
      <c r="OMZ52" s="6"/>
      <c r="ONA52" s="6"/>
      <c r="ONB52" s="6"/>
      <c r="ONC52" s="6"/>
      <c r="OND52" s="6"/>
      <c r="ONE52" s="6"/>
      <c r="ONF52" s="6"/>
      <c r="ONG52" s="6"/>
      <c r="ONH52" s="6"/>
      <c r="ONI52" s="6"/>
      <c r="ONJ52" s="6"/>
      <c r="ONK52" s="6"/>
      <c r="ONL52" s="6"/>
      <c r="ONM52" s="6"/>
      <c r="ONN52" s="6"/>
      <c r="ONO52" s="6"/>
      <c r="ONP52" s="6"/>
      <c r="ONQ52" s="6"/>
      <c r="ONR52" s="6"/>
      <c r="ONS52" s="6"/>
      <c r="ONT52" s="6"/>
      <c r="ONU52" s="6"/>
      <c r="ONV52" s="6"/>
      <c r="ONW52" s="6"/>
      <c r="ONX52" s="6"/>
      <c r="ONY52" s="6"/>
      <c r="ONZ52" s="6"/>
      <c r="OOA52" s="6"/>
      <c r="OOB52" s="6"/>
      <c r="OOC52" s="6"/>
      <c r="OOD52" s="6"/>
      <c r="OOE52" s="6"/>
      <c r="OOF52" s="6"/>
      <c r="OOG52" s="6"/>
      <c r="OOH52" s="6"/>
      <c r="OOI52" s="6"/>
      <c r="OOJ52" s="6"/>
      <c r="OOK52" s="6"/>
      <c r="OOL52" s="6"/>
      <c r="OOM52" s="6"/>
      <c r="OON52" s="6"/>
      <c r="OOO52" s="6"/>
      <c r="OOP52" s="6"/>
      <c r="OOQ52" s="6"/>
      <c r="OOR52" s="6"/>
      <c r="OOS52" s="6"/>
      <c r="OOT52" s="6"/>
      <c r="OOU52" s="6"/>
      <c r="OOV52" s="6"/>
      <c r="OOW52" s="6"/>
      <c r="OOX52" s="6"/>
      <c r="OOY52" s="6"/>
      <c r="OOZ52" s="6"/>
      <c r="OPA52" s="6"/>
      <c r="OPB52" s="6"/>
      <c r="OPC52" s="6"/>
      <c r="OPD52" s="6"/>
      <c r="OPE52" s="6"/>
      <c r="OPF52" s="6"/>
      <c r="OPG52" s="6"/>
      <c r="OPH52" s="6"/>
      <c r="OPI52" s="6"/>
      <c r="OPJ52" s="6"/>
      <c r="OPK52" s="6"/>
      <c r="OPL52" s="6"/>
      <c r="OPM52" s="6"/>
      <c r="OPN52" s="6"/>
      <c r="OPO52" s="6"/>
      <c r="OPP52" s="6"/>
      <c r="OPQ52" s="6"/>
      <c r="OPR52" s="6"/>
      <c r="OPS52" s="6"/>
      <c r="OPT52" s="6"/>
      <c r="OPU52" s="6"/>
      <c r="OPV52" s="6"/>
      <c r="OPW52" s="6"/>
      <c r="OPX52" s="6"/>
      <c r="OPY52" s="6"/>
      <c r="OPZ52" s="6"/>
      <c r="OQA52" s="6"/>
      <c r="OQB52" s="6"/>
      <c r="OQC52" s="6"/>
      <c r="OQD52" s="6"/>
      <c r="OQE52" s="6"/>
      <c r="OQF52" s="6"/>
      <c r="OQG52" s="6"/>
      <c r="OQH52" s="6"/>
      <c r="OQI52" s="6"/>
      <c r="OQJ52" s="6"/>
      <c r="OQK52" s="6"/>
      <c r="OQL52" s="6"/>
      <c r="OQM52" s="6"/>
      <c r="OQN52" s="6"/>
      <c r="OQO52" s="6"/>
      <c r="OQP52" s="6"/>
      <c r="OQQ52" s="6"/>
      <c r="OQR52" s="6"/>
      <c r="OQS52" s="6"/>
      <c r="OQT52" s="6"/>
      <c r="OQU52" s="6"/>
      <c r="OQV52" s="6"/>
      <c r="OQW52" s="6"/>
      <c r="OQX52" s="6"/>
      <c r="OQY52" s="6"/>
      <c r="OQZ52" s="6"/>
      <c r="ORA52" s="6"/>
      <c r="ORB52" s="6"/>
      <c r="ORC52" s="6"/>
      <c r="ORD52" s="6"/>
      <c r="ORE52" s="6"/>
      <c r="ORF52" s="6"/>
      <c r="ORG52" s="6"/>
      <c r="ORH52" s="6"/>
      <c r="ORI52" s="6"/>
      <c r="ORJ52" s="6"/>
      <c r="ORK52" s="6"/>
      <c r="ORL52" s="6"/>
      <c r="ORM52" s="6"/>
      <c r="ORN52" s="6"/>
      <c r="ORO52" s="6"/>
      <c r="ORP52" s="6"/>
      <c r="ORQ52" s="6"/>
      <c r="ORR52" s="6"/>
      <c r="ORS52" s="6"/>
      <c r="ORT52" s="6"/>
      <c r="ORU52" s="6"/>
      <c r="ORV52" s="6"/>
      <c r="ORW52" s="6"/>
      <c r="ORX52" s="6"/>
      <c r="ORY52" s="6"/>
      <c r="ORZ52" s="6"/>
      <c r="OSA52" s="6"/>
      <c r="OSB52" s="6"/>
      <c r="OSC52" s="6"/>
      <c r="OSD52" s="6"/>
      <c r="OSE52" s="6"/>
      <c r="OSF52" s="6"/>
      <c r="OSG52" s="6"/>
      <c r="OSH52" s="6"/>
      <c r="OSI52" s="6"/>
      <c r="OSJ52" s="6"/>
      <c r="OSK52" s="6"/>
      <c r="OSL52" s="6"/>
      <c r="OSM52" s="6"/>
      <c r="OSN52" s="6"/>
      <c r="OSO52" s="6"/>
      <c r="OSP52" s="6"/>
      <c r="OSQ52" s="6"/>
      <c r="OSR52" s="6"/>
      <c r="OSS52" s="6"/>
      <c r="OST52" s="6"/>
      <c r="OSU52" s="6"/>
      <c r="OSV52" s="6"/>
      <c r="OSW52" s="6"/>
      <c r="OSX52" s="6"/>
      <c r="OSY52" s="6"/>
      <c r="OSZ52" s="6"/>
      <c r="OTA52" s="6"/>
      <c r="OTB52" s="6"/>
      <c r="OTC52" s="6"/>
      <c r="OTD52" s="6"/>
      <c r="OTE52" s="6"/>
      <c r="OTF52" s="6"/>
      <c r="OTG52" s="6"/>
      <c r="OTH52" s="6"/>
      <c r="OTI52" s="6"/>
      <c r="OTJ52" s="6"/>
      <c r="OTK52" s="6"/>
      <c r="OTL52" s="6"/>
      <c r="OTM52" s="6"/>
      <c r="OTN52" s="6"/>
      <c r="OTO52" s="6"/>
      <c r="OTP52" s="6"/>
      <c r="OTQ52" s="6"/>
      <c r="OTR52" s="6"/>
      <c r="OTS52" s="6"/>
      <c r="OTT52" s="6"/>
      <c r="OTU52" s="6"/>
      <c r="OTV52" s="6"/>
      <c r="OTW52" s="6"/>
      <c r="OTX52" s="6"/>
      <c r="OTY52" s="6"/>
      <c r="OTZ52" s="6"/>
      <c r="OUA52" s="6"/>
      <c r="OUB52" s="6"/>
      <c r="OUC52" s="6"/>
      <c r="OUD52" s="6"/>
      <c r="OUE52" s="6"/>
      <c r="OUF52" s="6"/>
      <c r="OUG52" s="6"/>
      <c r="OUH52" s="6"/>
      <c r="OUI52" s="6"/>
      <c r="OUJ52" s="6"/>
      <c r="OUK52" s="6"/>
      <c r="OUL52" s="6"/>
      <c r="OUM52" s="6"/>
      <c r="OUN52" s="6"/>
      <c r="OUO52" s="6"/>
      <c r="OUP52" s="6"/>
      <c r="OUQ52" s="6"/>
      <c r="OUR52" s="6"/>
      <c r="OUS52" s="6"/>
      <c r="OUT52" s="6"/>
      <c r="OUU52" s="6"/>
      <c r="OUV52" s="6"/>
      <c r="OUW52" s="6"/>
      <c r="OUX52" s="6"/>
      <c r="OUY52" s="6"/>
      <c r="OUZ52" s="6"/>
      <c r="OVA52" s="6"/>
      <c r="OVB52" s="6"/>
      <c r="OVC52" s="6"/>
      <c r="OVD52" s="6"/>
      <c r="OVE52" s="6"/>
      <c r="OVF52" s="6"/>
      <c r="OVG52" s="6"/>
      <c r="OVH52" s="6"/>
      <c r="OVI52" s="6"/>
      <c r="OVJ52" s="6"/>
      <c r="OVK52" s="6"/>
      <c r="OVL52" s="6"/>
      <c r="OVM52" s="6"/>
      <c r="OVN52" s="6"/>
      <c r="OVO52" s="6"/>
      <c r="OVP52" s="6"/>
      <c r="OVQ52" s="6"/>
      <c r="OVR52" s="6"/>
      <c r="OVS52" s="6"/>
      <c r="OVT52" s="6"/>
      <c r="OVU52" s="6"/>
      <c r="OVV52" s="6"/>
      <c r="OVW52" s="6"/>
      <c r="OVX52" s="6"/>
      <c r="OVY52" s="6"/>
      <c r="OVZ52" s="6"/>
      <c r="OWA52" s="6"/>
      <c r="OWB52" s="6"/>
      <c r="OWC52" s="6"/>
      <c r="OWD52" s="6"/>
      <c r="OWE52" s="6"/>
      <c r="OWF52" s="6"/>
      <c r="OWG52" s="6"/>
      <c r="OWH52" s="6"/>
      <c r="OWI52" s="6"/>
      <c r="OWJ52" s="6"/>
      <c r="OWK52" s="6"/>
      <c r="OWL52" s="6"/>
      <c r="OWM52" s="6"/>
      <c r="OWN52" s="6"/>
      <c r="OWO52" s="6"/>
      <c r="OWP52" s="6"/>
      <c r="OWQ52" s="6"/>
      <c r="OWR52" s="6"/>
      <c r="OWS52" s="6"/>
      <c r="OWT52" s="6"/>
      <c r="OWU52" s="6"/>
      <c r="OWV52" s="6"/>
      <c r="OWW52" s="6"/>
      <c r="OWX52" s="6"/>
      <c r="OWY52" s="6"/>
      <c r="OWZ52" s="6"/>
      <c r="OXA52" s="6"/>
      <c r="OXB52" s="6"/>
      <c r="OXC52" s="6"/>
      <c r="OXD52" s="6"/>
      <c r="OXE52" s="6"/>
      <c r="OXF52" s="6"/>
      <c r="OXG52" s="6"/>
      <c r="OXH52" s="6"/>
      <c r="OXI52" s="6"/>
      <c r="OXJ52" s="6"/>
      <c r="OXK52" s="6"/>
      <c r="OXL52" s="6"/>
      <c r="OXM52" s="6"/>
      <c r="OXN52" s="6"/>
      <c r="OXO52" s="6"/>
      <c r="OXP52" s="6"/>
      <c r="OXQ52" s="6"/>
      <c r="OXR52" s="6"/>
      <c r="OXS52" s="6"/>
      <c r="OXT52" s="6"/>
      <c r="OXU52" s="6"/>
      <c r="OXV52" s="6"/>
      <c r="OXW52" s="6"/>
      <c r="OXX52" s="6"/>
      <c r="OXY52" s="6"/>
      <c r="OXZ52" s="6"/>
      <c r="OYA52" s="6"/>
      <c r="OYB52" s="6"/>
      <c r="OYC52" s="6"/>
      <c r="OYD52" s="6"/>
      <c r="OYE52" s="6"/>
      <c r="OYF52" s="6"/>
      <c r="OYG52" s="6"/>
      <c r="OYH52" s="6"/>
      <c r="OYI52" s="6"/>
      <c r="OYJ52" s="6"/>
      <c r="OYK52" s="6"/>
      <c r="OYL52" s="6"/>
      <c r="OYM52" s="6"/>
      <c r="OYN52" s="6"/>
      <c r="OYO52" s="6"/>
      <c r="OYP52" s="6"/>
      <c r="OYQ52" s="6"/>
      <c r="OYR52" s="6"/>
      <c r="OYS52" s="6"/>
      <c r="OYT52" s="6"/>
      <c r="OYU52" s="6"/>
      <c r="OYV52" s="6"/>
      <c r="OYW52" s="6"/>
      <c r="OYX52" s="6"/>
      <c r="OYY52" s="6"/>
      <c r="OYZ52" s="6"/>
      <c r="OZA52" s="6"/>
      <c r="OZB52" s="6"/>
      <c r="OZC52" s="6"/>
      <c r="OZD52" s="6"/>
      <c r="OZE52" s="6"/>
      <c r="OZF52" s="6"/>
      <c r="OZG52" s="6"/>
      <c r="OZH52" s="6"/>
      <c r="OZI52" s="6"/>
      <c r="OZJ52" s="6"/>
      <c r="OZK52" s="6"/>
      <c r="OZL52" s="6"/>
      <c r="OZM52" s="6"/>
      <c r="OZN52" s="6"/>
      <c r="OZO52" s="6"/>
      <c r="OZP52" s="6"/>
      <c r="OZQ52" s="6"/>
      <c r="OZR52" s="6"/>
      <c r="OZS52" s="6"/>
      <c r="OZT52" s="6"/>
      <c r="OZU52" s="6"/>
      <c r="OZV52" s="6"/>
      <c r="OZW52" s="6"/>
      <c r="OZX52" s="6"/>
      <c r="OZY52" s="6"/>
      <c r="OZZ52" s="6"/>
      <c r="PAA52" s="6"/>
      <c r="PAB52" s="6"/>
      <c r="PAC52" s="6"/>
      <c r="PAD52" s="6"/>
      <c r="PAE52" s="6"/>
      <c r="PAF52" s="6"/>
      <c r="PAG52" s="6"/>
      <c r="PAH52" s="6"/>
      <c r="PAI52" s="6"/>
      <c r="PAJ52" s="6"/>
      <c r="PAK52" s="6"/>
      <c r="PAL52" s="6"/>
      <c r="PAM52" s="6"/>
      <c r="PAN52" s="6"/>
      <c r="PAO52" s="6"/>
      <c r="PAP52" s="6"/>
      <c r="PAQ52" s="6"/>
      <c r="PAR52" s="6"/>
      <c r="PAS52" s="6"/>
      <c r="PAT52" s="6"/>
      <c r="PAU52" s="6"/>
      <c r="PAV52" s="6"/>
      <c r="PAW52" s="6"/>
      <c r="PAX52" s="6"/>
      <c r="PAY52" s="6"/>
      <c r="PAZ52" s="6"/>
      <c r="PBA52" s="6"/>
      <c r="PBB52" s="6"/>
      <c r="PBC52" s="6"/>
      <c r="PBD52" s="6"/>
      <c r="PBE52" s="6"/>
      <c r="PBF52" s="6"/>
      <c r="PBG52" s="6"/>
      <c r="PBH52" s="6"/>
      <c r="PBI52" s="6"/>
      <c r="PBJ52" s="6"/>
      <c r="PBK52" s="6"/>
      <c r="PBL52" s="6"/>
      <c r="PBM52" s="6"/>
      <c r="PBN52" s="6"/>
      <c r="PBO52" s="6"/>
      <c r="PBP52" s="6"/>
      <c r="PBQ52" s="6"/>
      <c r="PBR52" s="6"/>
      <c r="PBS52" s="6"/>
      <c r="PBT52" s="6"/>
      <c r="PBU52" s="6"/>
      <c r="PBV52" s="6"/>
      <c r="PBW52" s="6"/>
      <c r="PBX52" s="6"/>
      <c r="PBY52" s="6"/>
      <c r="PBZ52" s="6"/>
      <c r="PCA52" s="6"/>
      <c r="PCB52" s="6"/>
      <c r="PCC52" s="6"/>
      <c r="PCD52" s="6"/>
      <c r="PCE52" s="6"/>
      <c r="PCF52" s="6"/>
      <c r="PCG52" s="6"/>
      <c r="PCH52" s="6"/>
      <c r="PCI52" s="6"/>
      <c r="PCJ52" s="6"/>
      <c r="PCK52" s="6"/>
      <c r="PCL52" s="6"/>
      <c r="PCM52" s="6"/>
      <c r="PCN52" s="6"/>
      <c r="PCO52" s="6"/>
      <c r="PCP52" s="6"/>
      <c r="PCQ52" s="6"/>
      <c r="PCR52" s="6"/>
      <c r="PCS52" s="6"/>
      <c r="PCT52" s="6"/>
      <c r="PCU52" s="6"/>
      <c r="PCV52" s="6"/>
      <c r="PCW52" s="6"/>
      <c r="PCX52" s="6"/>
      <c r="PCY52" s="6"/>
      <c r="PCZ52" s="6"/>
      <c r="PDA52" s="6"/>
      <c r="PDB52" s="6"/>
      <c r="PDC52" s="6"/>
      <c r="PDD52" s="6"/>
      <c r="PDE52" s="6"/>
      <c r="PDF52" s="6"/>
      <c r="PDG52" s="6"/>
      <c r="PDH52" s="6"/>
      <c r="PDI52" s="6"/>
      <c r="PDJ52" s="6"/>
      <c r="PDK52" s="6"/>
      <c r="PDL52" s="6"/>
      <c r="PDM52" s="6"/>
      <c r="PDN52" s="6"/>
      <c r="PDO52" s="6"/>
      <c r="PDP52" s="6"/>
      <c r="PDQ52" s="6"/>
      <c r="PDR52" s="6"/>
      <c r="PDS52" s="6"/>
      <c r="PDT52" s="6"/>
      <c r="PDU52" s="6"/>
      <c r="PDV52" s="6"/>
      <c r="PDW52" s="6"/>
      <c r="PDX52" s="6"/>
      <c r="PDY52" s="6"/>
      <c r="PDZ52" s="6"/>
      <c r="PEA52" s="6"/>
      <c r="PEB52" s="6"/>
      <c r="PEC52" s="6"/>
      <c r="PED52" s="6"/>
      <c r="PEE52" s="6"/>
      <c r="PEF52" s="6"/>
      <c r="PEG52" s="6"/>
      <c r="PEH52" s="6"/>
      <c r="PEI52" s="6"/>
      <c r="PEJ52" s="6"/>
      <c r="PEK52" s="6"/>
      <c r="PEL52" s="6"/>
      <c r="PEM52" s="6"/>
      <c r="PEN52" s="6"/>
      <c r="PEO52" s="6"/>
      <c r="PEP52" s="6"/>
      <c r="PEQ52" s="6"/>
      <c r="PER52" s="6"/>
      <c r="PES52" s="6"/>
      <c r="PET52" s="6"/>
      <c r="PEU52" s="6"/>
      <c r="PEV52" s="6"/>
      <c r="PEW52" s="6"/>
      <c r="PEX52" s="6"/>
      <c r="PEY52" s="6"/>
      <c r="PEZ52" s="6"/>
      <c r="PFA52" s="6"/>
      <c r="PFB52" s="6"/>
      <c r="PFC52" s="6"/>
      <c r="PFD52" s="6"/>
      <c r="PFE52" s="6"/>
      <c r="PFF52" s="6"/>
      <c r="PFG52" s="6"/>
      <c r="PFH52" s="6"/>
      <c r="PFI52" s="6"/>
      <c r="PFJ52" s="6"/>
      <c r="PFK52" s="6"/>
      <c r="PFL52" s="6"/>
      <c r="PFM52" s="6"/>
      <c r="PFN52" s="6"/>
      <c r="PFO52" s="6"/>
      <c r="PFP52" s="6"/>
      <c r="PFQ52" s="6"/>
      <c r="PFR52" s="6"/>
      <c r="PFS52" s="6"/>
      <c r="PFT52" s="6"/>
      <c r="PFU52" s="6"/>
      <c r="PFV52" s="6"/>
      <c r="PFW52" s="6"/>
      <c r="PFX52" s="6"/>
      <c r="PFY52" s="6"/>
      <c r="PFZ52" s="6"/>
      <c r="PGA52" s="6"/>
      <c r="PGB52" s="6"/>
      <c r="PGC52" s="6"/>
      <c r="PGD52" s="6"/>
      <c r="PGE52" s="6"/>
      <c r="PGF52" s="6"/>
      <c r="PGG52" s="6"/>
      <c r="PGH52" s="6"/>
      <c r="PGI52" s="6"/>
      <c r="PGJ52" s="6"/>
      <c r="PGK52" s="6"/>
      <c r="PGL52" s="6"/>
      <c r="PGM52" s="6"/>
      <c r="PGN52" s="6"/>
      <c r="PGO52" s="6"/>
      <c r="PGP52" s="6"/>
      <c r="PGQ52" s="6"/>
      <c r="PGR52" s="6"/>
      <c r="PGS52" s="6"/>
      <c r="PGT52" s="6"/>
      <c r="PGU52" s="6"/>
      <c r="PGV52" s="6"/>
      <c r="PGW52" s="6"/>
      <c r="PGX52" s="6"/>
      <c r="PGY52" s="6"/>
      <c r="PGZ52" s="6"/>
      <c r="PHA52" s="6"/>
      <c r="PHB52" s="6"/>
      <c r="PHC52" s="6"/>
      <c r="PHD52" s="6"/>
      <c r="PHE52" s="6"/>
      <c r="PHF52" s="6"/>
      <c r="PHG52" s="6"/>
      <c r="PHH52" s="6"/>
      <c r="PHI52" s="6"/>
      <c r="PHJ52" s="6"/>
      <c r="PHK52" s="6"/>
      <c r="PHL52" s="6"/>
      <c r="PHM52" s="6"/>
      <c r="PHN52" s="6"/>
      <c r="PHO52" s="6"/>
      <c r="PHP52" s="6"/>
      <c r="PHQ52" s="6"/>
      <c r="PHR52" s="6"/>
      <c r="PHS52" s="6"/>
      <c r="PHT52" s="6"/>
      <c r="PHU52" s="6"/>
      <c r="PHV52" s="6"/>
      <c r="PHW52" s="6"/>
      <c r="PHX52" s="6"/>
      <c r="PHY52" s="6"/>
      <c r="PHZ52" s="6"/>
      <c r="PIA52" s="6"/>
      <c r="PIB52" s="6"/>
      <c r="PIC52" s="6"/>
      <c r="PID52" s="6"/>
      <c r="PIE52" s="6"/>
      <c r="PIF52" s="6"/>
      <c r="PIG52" s="6"/>
      <c r="PIH52" s="6"/>
      <c r="PII52" s="6"/>
      <c r="PIJ52" s="6"/>
      <c r="PIK52" s="6"/>
      <c r="PIL52" s="6"/>
      <c r="PIM52" s="6"/>
      <c r="PIN52" s="6"/>
      <c r="PIO52" s="6"/>
      <c r="PIP52" s="6"/>
      <c r="PIQ52" s="6"/>
      <c r="PIR52" s="6"/>
      <c r="PIS52" s="6"/>
      <c r="PIT52" s="6"/>
      <c r="PIU52" s="6"/>
      <c r="PIV52" s="6"/>
      <c r="PIW52" s="6"/>
      <c r="PIX52" s="6"/>
      <c r="PIY52" s="6"/>
      <c r="PIZ52" s="6"/>
      <c r="PJA52" s="6"/>
      <c r="PJB52" s="6"/>
      <c r="PJC52" s="6"/>
      <c r="PJD52" s="6"/>
      <c r="PJE52" s="6"/>
      <c r="PJF52" s="6"/>
      <c r="PJG52" s="6"/>
      <c r="PJH52" s="6"/>
      <c r="PJI52" s="6"/>
      <c r="PJJ52" s="6"/>
      <c r="PJK52" s="6"/>
      <c r="PJL52" s="6"/>
      <c r="PJM52" s="6"/>
      <c r="PJN52" s="6"/>
      <c r="PJO52" s="6"/>
      <c r="PJP52" s="6"/>
      <c r="PJQ52" s="6"/>
      <c r="PJR52" s="6"/>
      <c r="PJS52" s="6"/>
      <c r="PJT52" s="6"/>
      <c r="PJU52" s="6"/>
      <c r="PJV52" s="6"/>
      <c r="PJW52" s="6"/>
      <c r="PJX52" s="6"/>
      <c r="PJY52" s="6"/>
      <c r="PJZ52" s="6"/>
      <c r="PKA52" s="6"/>
      <c r="PKB52" s="6"/>
      <c r="PKC52" s="6"/>
      <c r="PKD52" s="6"/>
      <c r="PKE52" s="6"/>
      <c r="PKF52" s="6"/>
      <c r="PKG52" s="6"/>
      <c r="PKH52" s="6"/>
      <c r="PKI52" s="6"/>
      <c r="PKJ52" s="6"/>
      <c r="PKK52" s="6"/>
      <c r="PKL52" s="6"/>
      <c r="PKM52" s="6"/>
      <c r="PKN52" s="6"/>
      <c r="PKO52" s="6"/>
      <c r="PKP52" s="6"/>
      <c r="PKQ52" s="6"/>
      <c r="PKR52" s="6"/>
      <c r="PKS52" s="6"/>
      <c r="PKT52" s="6"/>
      <c r="PKU52" s="6"/>
      <c r="PKV52" s="6"/>
      <c r="PKW52" s="6"/>
      <c r="PKX52" s="6"/>
      <c r="PKY52" s="6"/>
      <c r="PKZ52" s="6"/>
      <c r="PLA52" s="6"/>
      <c r="PLB52" s="6"/>
      <c r="PLC52" s="6"/>
      <c r="PLD52" s="6"/>
      <c r="PLE52" s="6"/>
      <c r="PLF52" s="6"/>
      <c r="PLG52" s="6"/>
      <c r="PLH52" s="6"/>
      <c r="PLI52" s="6"/>
      <c r="PLJ52" s="6"/>
      <c r="PLK52" s="6"/>
      <c r="PLL52" s="6"/>
      <c r="PLM52" s="6"/>
      <c r="PLN52" s="6"/>
      <c r="PLO52" s="6"/>
      <c r="PLP52" s="6"/>
      <c r="PLQ52" s="6"/>
      <c r="PLR52" s="6"/>
      <c r="PLS52" s="6"/>
      <c r="PLT52" s="6"/>
      <c r="PLU52" s="6"/>
      <c r="PLV52" s="6"/>
      <c r="PLW52" s="6"/>
      <c r="PLX52" s="6"/>
      <c r="PLY52" s="6"/>
      <c r="PLZ52" s="6"/>
      <c r="PMA52" s="6"/>
      <c r="PMB52" s="6"/>
      <c r="PMC52" s="6"/>
      <c r="PMD52" s="6"/>
      <c r="PME52" s="6"/>
      <c r="PMF52" s="6"/>
      <c r="PMG52" s="6"/>
      <c r="PMH52" s="6"/>
      <c r="PMI52" s="6"/>
      <c r="PMJ52" s="6"/>
      <c r="PMK52" s="6"/>
      <c r="PML52" s="6"/>
      <c r="PMM52" s="6"/>
      <c r="PMN52" s="6"/>
      <c r="PMO52" s="6"/>
      <c r="PMP52" s="6"/>
      <c r="PMQ52" s="6"/>
      <c r="PMR52" s="6"/>
      <c r="PMS52" s="6"/>
      <c r="PMT52" s="6"/>
      <c r="PMU52" s="6"/>
      <c r="PMV52" s="6"/>
      <c r="PMW52" s="6"/>
      <c r="PMX52" s="6"/>
      <c r="PMY52" s="6"/>
      <c r="PMZ52" s="6"/>
      <c r="PNA52" s="6"/>
      <c r="PNB52" s="6"/>
      <c r="PNC52" s="6"/>
      <c r="PND52" s="6"/>
      <c r="PNE52" s="6"/>
      <c r="PNF52" s="6"/>
      <c r="PNG52" s="6"/>
      <c r="PNH52" s="6"/>
      <c r="PNI52" s="6"/>
      <c r="PNJ52" s="6"/>
      <c r="PNK52" s="6"/>
      <c r="PNL52" s="6"/>
      <c r="PNM52" s="6"/>
      <c r="PNN52" s="6"/>
      <c r="PNO52" s="6"/>
      <c r="PNP52" s="6"/>
      <c r="PNQ52" s="6"/>
      <c r="PNR52" s="6"/>
      <c r="PNS52" s="6"/>
      <c r="PNT52" s="6"/>
      <c r="PNU52" s="6"/>
      <c r="PNV52" s="6"/>
      <c r="PNW52" s="6"/>
      <c r="PNX52" s="6"/>
      <c r="PNY52" s="6"/>
      <c r="PNZ52" s="6"/>
      <c r="POA52" s="6"/>
      <c r="POB52" s="6"/>
      <c r="POC52" s="6"/>
      <c r="POD52" s="6"/>
      <c r="POE52" s="6"/>
      <c r="POF52" s="6"/>
      <c r="POG52" s="6"/>
      <c r="POH52" s="6"/>
      <c r="POI52" s="6"/>
      <c r="POJ52" s="6"/>
      <c r="POK52" s="6"/>
      <c r="POL52" s="6"/>
      <c r="POM52" s="6"/>
      <c r="PON52" s="6"/>
      <c r="POO52" s="6"/>
      <c r="POP52" s="6"/>
      <c r="POQ52" s="6"/>
      <c r="POR52" s="6"/>
      <c r="POS52" s="6"/>
      <c r="POT52" s="6"/>
      <c r="POU52" s="6"/>
      <c r="POV52" s="6"/>
      <c r="POW52" s="6"/>
      <c r="POX52" s="6"/>
      <c r="POY52" s="6"/>
      <c r="POZ52" s="6"/>
      <c r="PPA52" s="6"/>
      <c r="PPB52" s="6"/>
      <c r="PPC52" s="6"/>
      <c r="PPD52" s="6"/>
      <c r="PPE52" s="6"/>
      <c r="PPF52" s="6"/>
      <c r="PPG52" s="6"/>
      <c r="PPH52" s="6"/>
      <c r="PPI52" s="6"/>
      <c r="PPJ52" s="6"/>
      <c r="PPK52" s="6"/>
      <c r="PPL52" s="6"/>
      <c r="PPM52" s="6"/>
      <c r="PPN52" s="6"/>
      <c r="PPO52" s="6"/>
      <c r="PPP52" s="6"/>
      <c r="PPQ52" s="6"/>
      <c r="PPR52" s="6"/>
      <c r="PPS52" s="6"/>
      <c r="PPT52" s="6"/>
      <c r="PPU52" s="6"/>
      <c r="PPV52" s="6"/>
      <c r="PPW52" s="6"/>
      <c r="PPX52" s="6"/>
      <c r="PPY52" s="6"/>
      <c r="PPZ52" s="6"/>
      <c r="PQA52" s="6"/>
      <c r="PQB52" s="6"/>
      <c r="PQC52" s="6"/>
      <c r="PQD52" s="6"/>
      <c r="PQE52" s="6"/>
      <c r="PQF52" s="6"/>
      <c r="PQG52" s="6"/>
      <c r="PQH52" s="6"/>
      <c r="PQI52" s="6"/>
      <c r="PQJ52" s="6"/>
      <c r="PQK52" s="6"/>
      <c r="PQL52" s="6"/>
      <c r="PQM52" s="6"/>
      <c r="PQN52" s="6"/>
      <c r="PQO52" s="6"/>
      <c r="PQP52" s="6"/>
      <c r="PQQ52" s="6"/>
      <c r="PQR52" s="6"/>
      <c r="PQS52" s="6"/>
      <c r="PQT52" s="6"/>
      <c r="PQU52" s="6"/>
      <c r="PQV52" s="6"/>
      <c r="PQW52" s="6"/>
      <c r="PQX52" s="6"/>
      <c r="PQY52" s="6"/>
      <c r="PQZ52" s="6"/>
      <c r="PRA52" s="6"/>
      <c r="PRB52" s="6"/>
      <c r="PRC52" s="6"/>
      <c r="PRD52" s="6"/>
      <c r="PRE52" s="6"/>
      <c r="PRF52" s="6"/>
      <c r="PRG52" s="6"/>
      <c r="PRH52" s="6"/>
      <c r="PRI52" s="6"/>
      <c r="PRJ52" s="6"/>
      <c r="PRK52" s="6"/>
      <c r="PRL52" s="6"/>
      <c r="PRM52" s="6"/>
      <c r="PRN52" s="6"/>
      <c r="PRO52" s="6"/>
      <c r="PRP52" s="6"/>
      <c r="PRQ52" s="6"/>
      <c r="PRR52" s="6"/>
      <c r="PRS52" s="6"/>
      <c r="PRT52" s="6"/>
      <c r="PRU52" s="6"/>
      <c r="PRV52" s="6"/>
      <c r="PRW52" s="6"/>
      <c r="PRX52" s="6"/>
      <c r="PRY52" s="6"/>
      <c r="PRZ52" s="6"/>
      <c r="PSA52" s="6"/>
      <c r="PSB52" s="6"/>
      <c r="PSC52" s="6"/>
      <c r="PSD52" s="6"/>
      <c r="PSE52" s="6"/>
      <c r="PSF52" s="6"/>
      <c r="PSG52" s="6"/>
      <c r="PSH52" s="6"/>
      <c r="PSI52" s="6"/>
      <c r="PSJ52" s="6"/>
      <c r="PSK52" s="6"/>
      <c r="PSL52" s="6"/>
      <c r="PSM52" s="6"/>
      <c r="PSN52" s="6"/>
      <c r="PSO52" s="6"/>
      <c r="PSP52" s="6"/>
      <c r="PSQ52" s="6"/>
      <c r="PSR52" s="6"/>
      <c r="PSS52" s="6"/>
      <c r="PST52" s="6"/>
      <c r="PSU52" s="6"/>
      <c r="PSV52" s="6"/>
      <c r="PSW52" s="6"/>
      <c r="PSX52" s="6"/>
      <c r="PSY52" s="6"/>
      <c r="PSZ52" s="6"/>
      <c r="PTA52" s="6"/>
      <c r="PTB52" s="6"/>
      <c r="PTC52" s="6"/>
      <c r="PTD52" s="6"/>
      <c r="PTE52" s="6"/>
      <c r="PTF52" s="6"/>
      <c r="PTG52" s="6"/>
      <c r="PTH52" s="6"/>
      <c r="PTI52" s="6"/>
      <c r="PTJ52" s="6"/>
      <c r="PTK52" s="6"/>
      <c r="PTL52" s="6"/>
      <c r="PTM52" s="6"/>
      <c r="PTN52" s="6"/>
      <c r="PTO52" s="6"/>
      <c r="PTP52" s="6"/>
      <c r="PTQ52" s="6"/>
      <c r="PTR52" s="6"/>
      <c r="PTS52" s="6"/>
      <c r="PTT52" s="6"/>
      <c r="PTU52" s="6"/>
      <c r="PTV52" s="6"/>
      <c r="PTW52" s="6"/>
      <c r="PTX52" s="6"/>
      <c r="PTY52" s="6"/>
      <c r="PTZ52" s="6"/>
      <c r="PUA52" s="6"/>
      <c r="PUB52" s="6"/>
      <c r="PUC52" s="6"/>
      <c r="PUD52" s="6"/>
      <c r="PUE52" s="6"/>
      <c r="PUF52" s="6"/>
      <c r="PUG52" s="6"/>
      <c r="PUH52" s="6"/>
      <c r="PUI52" s="6"/>
      <c r="PUJ52" s="6"/>
      <c r="PUK52" s="6"/>
      <c r="PUL52" s="6"/>
      <c r="PUM52" s="6"/>
      <c r="PUN52" s="6"/>
      <c r="PUO52" s="6"/>
      <c r="PUP52" s="6"/>
      <c r="PUQ52" s="6"/>
      <c r="PUR52" s="6"/>
      <c r="PUS52" s="6"/>
      <c r="PUT52" s="6"/>
      <c r="PUU52" s="6"/>
      <c r="PUV52" s="6"/>
      <c r="PUW52" s="6"/>
      <c r="PUX52" s="6"/>
      <c r="PUY52" s="6"/>
      <c r="PUZ52" s="6"/>
      <c r="PVA52" s="6"/>
      <c r="PVB52" s="6"/>
      <c r="PVC52" s="6"/>
      <c r="PVD52" s="6"/>
      <c r="PVE52" s="6"/>
      <c r="PVF52" s="6"/>
      <c r="PVG52" s="6"/>
      <c r="PVH52" s="6"/>
      <c r="PVI52" s="6"/>
      <c r="PVJ52" s="6"/>
      <c r="PVK52" s="6"/>
      <c r="PVL52" s="6"/>
      <c r="PVM52" s="6"/>
      <c r="PVN52" s="6"/>
      <c r="PVO52" s="6"/>
      <c r="PVP52" s="6"/>
      <c r="PVQ52" s="6"/>
      <c r="PVR52" s="6"/>
      <c r="PVS52" s="6"/>
      <c r="PVT52" s="6"/>
      <c r="PVU52" s="6"/>
      <c r="PVV52" s="6"/>
      <c r="PVW52" s="6"/>
      <c r="PVX52" s="6"/>
      <c r="PVY52" s="6"/>
      <c r="PVZ52" s="6"/>
      <c r="PWA52" s="6"/>
      <c r="PWB52" s="6"/>
      <c r="PWC52" s="6"/>
      <c r="PWD52" s="6"/>
      <c r="PWE52" s="6"/>
      <c r="PWF52" s="6"/>
      <c r="PWG52" s="6"/>
      <c r="PWH52" s="6"/>
      <c r="PWI52" s="6"/>
      <c r="PWJ52" s="6"/>
      <c r="PWK52" s="6"/>
      <c r="PWL52" s="6"/>
      <c r="PWM52" s="6"/>
      <c r="PWN52" s="6"/>
      <c r="PWO52" s="6"/>
      <c r="PWP52" s="6"/>
      <c r="PWQ52" s="6"/>
      <c r="PWR52" s="6"/>
      <c r="PWS52" s="6"/>
      <c r="PWT52" s="6"/>
      <c r="PWU52" s="6"/>
      <c r="PWV52" s="6"/>
      <c r="PWW52" s="6"/>
      <c r="PWX52" s="6"/>
      <c r="PWY52" s="6"/>
      <c r="PWZ52" s="6"/>
      <c r="PXA52" s="6"/>
      <c r="PXB52" s="6"/>
      <c r="PXC52" s="6"/>
      <c r="PXD52" s="6"/>
      <c r="PXE52" s="6"/>
      <c r="PXF52" s="6"/>
      <c r="PXG52" s="6"/>
      <c r="PXH52" s="6"/>
      <c r="PXI52" s="6"/>
      <c r="PXJ52" s="6"/>
      <c r="PXK52" s="6"/>
      <c r="PXL52" s="6"/>
      <c r="PXM52" s="6"/>
      <c r="PXN52" s="6"/>
      <c r="PXO52" s="6"/>
      <c r="PXP52" s="6"/>
      <c r="PXQ52" s="6"/>
      <c r="PXR52" s="6"/>
      <c r="PXS52" s="6"/>
      <c r="PXT52" s="6"/>
      <c r="PXU52" s="6"/>
      <c r="PXV52" s="6"/>
      <c r="PXW52" s="6"/>
      <c r="PXX52" s="6"/>
      <c r="PXY52" s="6"/>
      <c r="PXZ52" s="6"/>
      <c r="PYA52" s="6"/>
      <c r="PYB52" s="6"/>
      <c r="PYC52" s="6"/>
      <c r="PYD52" s="6"/>
      <c r="PYE52" s="6"/>
      <c r="PYF52" s="6"/>
      <c r="PYG52" s="6"/>
      <c r="PYH52" s="6"/>
      <c r="PYI52" s="6"/>
      <c r="PYJ52" s="6"/>
      <c r="PYK52" s="6"/>
      <c r="PYL52" s="6"/>
      <c r="PYM52" s="6"/>
      <c r="PYN52" s="6"/>
      <c r="PYO52" s="6"/>
      <c r="PYP52" s="6"/>
      <c r="PYQ52" s="6"/>
      <c r="PYR52" s="6"/>
      <c r="PYS52" s="6"/>
      <c r="PYT52" s="6"/>
      <c r="PYU52" s="6"/>
      <c r="PYV52" s="6"/>
      <c r="PYW52" s="6"/>
      <c r="PYX52" s="6"/>
      <c r="PYY52" s="6"/>
      <c r="PYZ52" s="6"/>
      <c r="PZA52" s="6"/>
      <c r="PZB52" s="6"/>
      <c r="PZC52" s="6"/>
      <c r="PZD52" s="6"/>
      <c r="PZE52" s="6"/>
      <c r="PZF52" s="6"/>
      <c r="PZG52" s="6"/>
      <c r="PZH52" s="6"/>
      <c r="PZI52" s="6"/>
      <c r="PZJ52" s="6"/>
      <c r="PZK52" s="6"/>
      <c r="PZL52" s="6"/>
      <c r="PZM52" s="6"/>
      <c r="PZN52" s="6"/>
      <c r="PZO52" s="6"/>
      <c r="PZP52" s="6"/>
      <c r="PZQ52" s="6"/>
      <c r="PZR52" s="6"/>
      <c r="PZS52" s="6"/>
      <c r="PZT52" s="6"/>
      <c r="PZU52" s="6"/>
      <c r="PZV52" s="6"/>
      <c r="PZW52" s="6"/>
      <c r="PZX52" s="6"/>
      <c r="PZY52" s="6"/>
      <c r="PZZ52" s="6"/>
      <c r="QAA52" s="6"/>
      <c r="QAB52" s="6"/>
      <c r="QAC52" s="6"/>
      <c r="QAD52" s="6"/>
      <c r="QAE52" s="6"/>
      <c r="QAF52" s="6"/>
      <c r="QAG52" s="6"/>
      <c r="QAH52" s="6"/>
      <c r="QAI52" s="6"/>
      <c r="QAJ52" s="6"/>
      <c r="QAK52" s="6"/>
      <c r="QAL52" s="6"/>
      <c r="QAM52" s="6"/>
      <c r="QAN52" s="6"/>
      <c r="QAO52" s="6"/>
      <c r="QAP52" s="6"/>
      <c r="QAQ52" s="6"/>
      <c r="QAR52" s="6"/>
      <c r="QAS52" s="6"/>
      <c r="QAT52" s="6"/>
      <c r="QAU52" s="6"/>
      <c r="QAV52" s="6"/>
      <c r="QAW52" s="6"/>
      <c r="QAX52" s="6"/>
      <c r="QAY52" s="6"/>
      <c r="QAZ52" s="6"/>
      <c r="QBA52" s="6"/>
      <c r="QBB52" s="6"/>
      <c r="QBC52" s="6"/>
      <c r="QBD52" s="6"/>
      <c r="QBE52" s="6"/>
      <c r="QBF52" s="6"/>
      <c r="QBG52" s="6"/>
      <c r="QBH52" s="6"/>
      <c r="QBI52" s="6"/>
      <c r="QBJ52" s="6"/>
      <c r="QBK52" s="6"/>
      <c r="QBL52" s="6"/>
      <c r="QBM52" s="6"/>
      <c r="QBN52" s="6"/>
      <c r="QBO52" s="6"/>
      <c r="QBP52" s="6"/>
      <c r="QBQ52" s="6"/>
      <c r="QBR52" s="6"/>
      <c r="QBS52" s="6"/>
      <c r="QBT52" s="6"/>
      <c r="QBU52" s="6"/>
      <c r="QBV52" s="6"/>
      <c r="QBW52" s="6"/>
      <c r="QBX52" s="6"/>
      <c r="QBY52" s="6"/>
      <c r="QBZ52" s="6"/>
      <c r="QCA52" s="6"/>
      <c r="QCB52" s="6"/>
      <c r="QCC52" s="6"/>
      <c r="QCD52" s="6"/>
      <c r="QCE52" s="6"/>
      <c r="QCF52" s="6"/>
      <c r="QCG52" s="6"/>
      <c r="QCH52" s="6"/>
      <c r="QCI52" s="6"/>
      <c r="QCJ52" s="6"/>
      <c r="QCK52" s="6"/>
      <c r="QCL52" s="6"/>
      <c r="QCM52" s="6"/>
      <c r="QCN52" s="6"/>
      <c r="QCO52" s="6"/>
      <c r="QCP52" s="6"/>
      <c r="QCQ52" s="6"/>
      <c r="QCR52" s="6"/>
      <c r="QCS52" s="6"/>
      <c r="QCT52" s="6"/>
      <c r="QCU52" s="6"/>
      <c r="QCV52" s="6"/>
      <c r="QCW52" s="6"/>
      <c r="QCX52" s="6"/>
      <c r="QCY52" s="6"/>
      <c r="QCZ52" s="6"/>
      <c r="QDA52" s="6"/>
      <c r="QDB52" s="6"/>
      <c r="QDC52" s="6"/>
      <c r="QDD52" s="6"/>
      <c r="QDE52" s="6"/>
      <c r="QDF52" s="6"/>
      <c r="QDG52" s="6"/>
      <c r="QDH52" s="6"/>
      <c r="QDI52" s="6"/>
      <c r="QDJ52" s="6"/>
      <c r="QDK52" s="6"/>
      <c r="QDL52" s="6"/>
      <c r="QDM52" s="6"/>
      <c r="QDN52" s="6"/>
      <c r="QDO52" s="6"/>
      <c r="QDP52" s="6"/>
      <c r="QDQ52" s="6"/>
      <c r="QDR52" s="6"/>
      <c r="QDS52" s="6"/>
      <c r="QDT52" s="6"/>
      <c r="QDU52" s="6"/>
      <c r="QDV52" s="6"/>
      <c r="QDW52" s="6"/>
      <c r="QDX52" s="6"/>
      <c r="QDY52" s="6"/>
      <c r="QDZ52" s="6"/>
      <c r="QEA52" s="6"/>
      <c r="QEB52" s="6"/>
      <c r="QEC52" s="6"/>
      <c r="QED52" s="6"/>
      <c r="QEE52" s="6"/>
      <c r="QEF52" s="6"/>
      <c r="QEG52" s="6"/>
      <c r="QEH52" s="6"/>
      <c r="QEI52" s="6"/>
      <c r="QEJ52" s="6"/>
      <c r="QEK52" s="6"/>
      <c r="QEL52" s="6"/>
      <c r="QEM52" s="6"/>
      <c r="QEN52" s="6"/>
      <c r="QEO52" s="6"/>
      <c r="QEP52" s="6"/>
      <c r="QEQ52" s="6"/>
      <c r="QER52" s="6"/>
      <c r="QES52" s="6"/>
      <c r="QET52" s="6"/>
      <c r="QEU52" s="6"/>
      <c r="QEV52" s="6"/>
      <c r="QEW52" s="6"/>
      <c r="QEX52" s="6"/>
      <c r="QEY52" s="6"/>
      <c r="QEZ52" s="6"/>
      <c r="QFA52" s="6"/>
      <c r="QFB52" s="6"/>
      <c r="QFC52" s="6"/>
      <c r="QFD52" s="6"/>
      <c r="QFE52" s="6"/>
      <c r="QFF52" s="6"/>
      <c r="QFG52" s="6"/>
      <c r="QFH52" s="6"/>
      <c r="QFI52" s="6"/>
      <c r="QFJ52" s="6"/>
      <c r="QFK52" s="6"/>
      <c r="QFL52" s="6"/>
      <c r="QFM52" s="6"/>
      <c r="QFN52" s="6"/>
      <c r="QFO52" s="6"/>
      <c r="QFP52" s="6"/>
      <c r="QFQ52" s="6"/>
      <c r="QFR52" s="6"/>
      <c r="QFS52" s="6"/>
      <c r="QFT52" s="6"/>
      <c r="QFU52" s="6"/>
      <c r="QFV52" s="6"/>
      <c r="QFW52" s="6"/>
      <c r="QFX52" s="6"/>
      <c r="QFY52" s="6"/>
      <c r="QFZ52" s="6"/>
      <c r="QGA52" s="6"/>
      <c r="QGB52" s="6"/>
      <c r="QGC52" s="6"/>
      <c r="QGD52" s="6"/>
      <c r="QGE52" s="6"/>
      <c r="QGF52" s="6"/>
      <c r="QGG52" s="6"/>
      <c r="QGH52" s="6"/>
      <c r="QGI52" s="6"/>
      <c r="QGJ52" s="6"/>
      <c r="QGK52" s="6"/>
      <c r="QGL52" s="6"/>
      <c r="QGM52" s="6"/>
      <c r="QGN52" s="6"/>
      <c r="QGO52" s="6"/>
      <c r="QGP52" s="6"/>
      <c r="QGQ52" s="6"/>
      <c r="QGR52" s="6"/>
      <c r="QGS52" s="6"/>
      <c r="QGT52" s="6"/>
      <c r="QGU52" s="6"/>
      <c r="QGV52" s="6"/>
      <c r="QGW52" s="6"/>
      <c r="QGX52" s="6"/>
      <c r="QGY52" s="6"/>
      <c r="QGZ52" s="6"/>
      <c r="QHA52" s="6"/>
      <c r="QHB52" s="6"/>
      <c r="QHC52" s="6"/>
      <c r="QHD52" s="6"/>
      <c r="QHE52" s="6"/>
      <c r="QHF52" s="6"/>
      <c r="QHG52" s="6"/>
      <c r="QHH52" s="6"/>
      <c r="QHI52" s="6"/>
      <c r="QHJ52" s="6"/>
      <c r="QHK52" s="6"/>
      <c r="QHL52" s="6"/>
      <c r="QHM52" s="6"/>
      <c r="QHN52" s="6"/>
      <c r="QHO52" s="6"/>
      <c r="QHP52" s="6"/>
      <c r="QHQ52" s="6"/>
      <c r="QHR52" s="6"/>
      <c r="QHS52" s="6"/>
      <c r="QHT52" s="6"/>
      <c r="QHU52" s="6"/>
      <c r="QHV52" s="6"/>
      <c r="QHW52" s="6"/>
      <c r="QHX52" s="6"/>
      <c r="QHY52" s="6"/>
      <c r="QHZ52" s="6"/>
      <c r="QIA52" s="6"/>
      <c r="QIB52" s="6"/>
      <c r="QIC52" s="6"/>
      <c r="QID52" s="6"/>
      <c r="QIE52" s="6"/>
      <c r="QIF52" s="6"/>
      <c r="QIG52" s="6"/>
      <c r="QIH52" s="6"/>
      <c r="QII52" s="6"/>
      <c r="QIJ52" s="6"/>
      <c r="QIK52" s="6"/>
      <c r="QIL52" s="6"/>
      <c r="QIM52" s="6"/>
      <c r="QIN52" s="6"/>
      <c r="QIO52" s="6"/>
      <c r="QIP52" s="6"/>
      <c r="QIQ52" s="6"/>
      <c r="QIR52" s="6"/>
      <c r="QIS52" s="6"/>
      <c r="QIT52" s="6"/>
      <c r="QIU52" s="6"/>
      <c r="QIV52" s="6"/>
      <c r="QIW52" s="6"/>
      <c r="QIX52" s="6"/>
      <c r="QIY52" s="6"/>
      <c r="QIZ52" s="6"/>
      <c r="QJA52" s="6"/>
      <c r="QJB52" s="6"/>
      <c r="QJC52" s="6"/>
      <c r="QJD52" s="6"/>
      <c r="QJE52" s="6"/>
      <c r="QJF52" s="6"/>
      <c r="QJG52" s="6"/>
      <c r="QJH52" s="6"/>
      <c r="QJI52" s="6"/>
      <c r="QJJ52" s="6"/>
      <c r="QJK52" s="6"/>
      <c r="QJL52" s="6"/>
      <c r="QJM52" s="6"/>
      <c r="QJN52" s="6"/>
      <c r="QJO52" s="6"/>
      <c r="QJP52" s="6"/>
      <c r="QJQ52" s="6"/>
      <c r="QJR52" s="6"/>
      <c r="QJS52" s="6"/>
      <c r="QJT52" s="6"/>
      <c r="QJU52" s="6"/>
      <c r="QJV52" s="6"/>
      <c r="QJW52" s="6"/>
      <c r="QJX52" s="6"/>
      <c r="QJY52" s="6"/>
      <c r="QJZ52" s="6"/>
      <c r="QKA52" s="6"/>
      <c r="QKB52" s="6"/>
      <c r="QKC52" s="6"/>
      <c r="QKD52" s="6"/>
      <c r="QKE52" s="6"/>
      <c r="QKF52" s="6"/>
      <c r="QKG52" s="6"/>
      <c r="QKH52" s="6"/>
      <c r="QKI52" s="6"/>
      <c r="QKJ52" s="6"/>
      <c r="QKK52" s="6"/>
      <c r="QKL52" s="6"/>
      <c r="QKM52" s="6"/>
      <c r="QKN52" s="6"/>
      <c r="QKO52" s="6"/>
      <c r="QKP52" s="6"/>
      <c r="QKQ52" s="6"/>
      <c r="QKR52" s="6"/>
      <c r="QKS52" s="6"/>
      <c r="QKT52" s="6"/>
      <c r="QKU52" s="6"/>
      <c r="QKV52" s="6"/>
      <c r="QKW52" s="6"/>
      <c r="QKX52" s="6"/>
      <c r="QKY52" s="6"/>
      <c r="QKZ52" s="6"/>
      <c r="QLA52" s="6"/>
      <c r="QLB52" s="6"/>
      <c r="QLC52" s="6"/>
      <c r="QLD52" s="6"/>
      <c r="QLE52" s="6"/>
      <c r="QLF52" s="6"/>
      <c r="QLG52" s="6"/>
      <c r="QLH52" s="6"/>
      <c r="QLI52" s="6"/>
      <c r="QLJ52" s="6"/>
      <c r="QLK52" s="6"/>
      <c r="QLL52" s="6"/>
      <c r="QLM52" s="6"/>
      <c r="QLN52" s="6"/>
      <c r="QLO52" s="6"/>
      <c r="QLP52" s="6"/>
      <c r="QLQ52" s="6"/>
      <c r="QLR52" s="6"/>
      <c r="QLS52" s="6"/>
      <c r="QLT52" s="6"/>
      <c r="QLU52" s="6"/>
      <c r="QLV52" s="6"/>
      <c r="QLW52" s="6"/>
      <c r="QLX52" s="6"/>
      <c r="QLY52" s="6"/>
      <c r="QLZ52" s="6"/>
      <c r="QMA52" s="6"/>
      <c r="QMB52" s="6"/>
      <c r="QMC52" s="6"/>
      <c r="QMD52" s="6"/>
      <c r="QME52" s="6"/>
      <c r="QMF52" s="6"/>
      <c r="QMG52" s="6"/>
      <c r="QMH52" s="6"/>
      <c r="QMI52" s="6"/>
      <c r="QMJ52" s="6"/>
      <c r="QMK52" s="6"/>
      <c r="QML52" s="6"/>
      <c r="QMM52" s="6"/>
      <c r="QMN52" s="6"/>
      <c r="QMO52" s="6"/>
      <c r="QMP52" s="6"/>
      <c r="QMQ52" s="6"/>
      <c r="QMR52" s="6"/>
      <c r="QMS52" s="6"/>
      <c r="QMT52" s="6"/>
      <c r="QMU52" s="6"/>
      <c r="QMV52" s="6"/>
      <c r="QMW52" s="6"/>
      <c r="QMX52" s="6"/>
      <c r="QMY52" s="6"/>
      <c r="QMZ52" s="6"/>
      <c r="QNA52" s="6"/>
      <c r="QNB52" s="6"/>
      <c r="QNC52" s="6"/>
      <c r="QND52" s="6"/>
      <c r="QNE52" s="6"/>
      <c r="QNF52" s="6"/>
      <c r="QNG52" s="6"/>
      <c r="QNH52" s="6"/>
      <c r="QNI52" s="6"/>
      <c r="QNJ52" s="6"/>
      <c r="QNK52" s="6"/>
      <c r="QNL52" s="6"/>
      <c r="QNM52" s="6"/>
      <c r="QNN52" s="6"/>
      <c r="QNO52" s="6"/>
      <c r="QNP52" s="6"/>
      <c r="QNQ52" s="6"/>
      <c r="QNR52" s="6"/>
      <c r="QNS52" s="6"/>
      <c r="QNT52" s="6"/>
      <c r="QNU52" s="6"/>
      <c r="QNV52" s="6"/>
      <c r="QNW52" s="6"/>
      <c r="QNX52" s="6"/>
      <c r="QNY52" s="6"/>
      <c r="QNZ52" s="6"/>
      <c r="QOA52" s="6"/>
      <c r="QOB52" s="6"/>
      <c r="QOC52" s="6"/>
      <c r="QOD52" s="6"/>
      <c r="QOE52" s="6"/>
      <c r="QOF52" s="6"/>
      <c r="QOG52" s="6"/>
      <c r="QOH52" s="6"/>
      <c r="QOI52" s="6"/>
      <c r="QOJ52" s="6"/>
      <c r="QOK52" s="6"/>
      <c r="QOL52" s="6"/>
      <c r="QOM52" s="6"/>
      <c r="QON52" s="6"/>
      <c r="QOO52" s="6"/>
      <c r="QOP52" s="6"/>
      <c r="QOQ52" s="6"/>
      <c r="QOR52" s="6"/>
      <c r="QOS52" s="6"/>
      <c r="QOT52" s="6"/>
      <c r="QOU52" s="6"/>
      <c r="QOV52" s="6"/>
      <c r="QOW52" s="6"/>
      <c r="QOX52" s="6"/>
      <c r="QOY52" s="6"/>
      <c r="QOZ52" s="6"/>
      <c r="QPA52" s="6"/>
      <c r="QPB52" s="6"/>
      <c r="QPC52" s="6"/>
      <c r="QPD52" s="6"/>
      <c r="QPE52" s="6"/>
      <c r="QPF52" s="6"/>
      <c r="QPG52" s="6"/>
      <c r="QPH52" s="6"/>
      <c r="QPI52" s="6"/>
      <c r="QPJ52" s="6"/>
      <c r="QPK52" s="6"/>
      <c r="QPL52" s="6"/>
      <c r="QPM52" s="6"/>
      <c r="QPN52" s="6"/>
      <c r="QPO52" s="6"/>
      <c r="QPP52" s="6"/>
      <c r="QPQ52" s="6"/>
      <c r="QPR52" s="6"/>
      <c r="QPS52" s="6"/>
      <c r="QPT52" s="6"/>
      <c r="QPU52" s="6"/>
      <c r="QPV52" s="6"/>
      <c r="QPW52" s="6"/>
      <c r="QPX52" s="6"/>
      <c r="QPY52" s="6"/>
      <c r="QPZ52" s="6"/>
      <c r="QQA52" s="6"/>
      <c r="QQB52" s="6"/>
      <c r="QQC52" s="6"/>
      <c r="QQD52" s="6"/>
      <c r="QQE52" s="6"/>
      <c r="QQF52" s="6"/>
      <c r="QQG52" s="6"/>
      <c r="QQH52" s="6"/>
      <c r="QQI52" s="6"/>
      <c r="QQJ52" s="6"/>
      <c r="QQK52" s="6"/>
      <c r="QQL52" s="6"/>
      <c r="QQM52" s="6"/>
      <c r="QQN52" s="6"/>
      <c r="QQO52" s="6"/>
      <c r="QQP52" s="6"/>
      <c r="QQQ52" s="6"/>
      <c r="QQR52" s="6"/>
      <c r="QQS52" s="6"/>
      <c r="QQT52" s="6"/>
      <c r="QQU52" s="6"/>
      <c r="QQV52" s="6"/>
      <c r="QQW52" s="6"/>
      <c r="QQX52" s="6"/>
      <c r="QQY52" s="6"/>
      <c r="QQZ52" s="6"/>
      <c r="QRA52" s="6"/>
      <c r="QRB52" s="6"/>
      <c r="QRC52" s="6"/>
      <c r="QRD52" s="6"/>
      <c r="QRE52" s="6"/>
      <c r="QRF52" s="6"/>
      <c r="QRG52" s="6"/>
      <c r="QRH52" s="6"/>
      <c r="QRI52" s="6"/>
      <c r="QRJ52" s="6"/>
      <c r="QRK52" s="6"/>
      <c r="QRL52" s="6"/>
      <c r="QRM52" s="6"/>
      <c r="QRN52" s="6"/>
      <c r="QRO52" s="6"/>
      <c r="QRP52" s="6"/>
      <c r="QRQ52" s="6"/>
      <c r="QRR52" s="6"/>
      <c r="QRS52" s="6"/>
      <c r="QRT52" s="6"/>
      <c r="QRU52" s="6"/>
      <c r="QRV52" s="6"/>
      <c r="QRW52" s="6"/>
      <c r="QRX52" s="6"/>
      <c r="QRY52" s="6"/>
      <c r="QRZ52" s="6"/>
      <c r="QSA52" s="6"/>
      <c r="QSB52" s="6"/>
      <c r="QSC52" s="6"/>
      <c r="QSD52" s="6"/>
      <c r="QSE52" s="6"/>
      <c r="QSF52" s="6"/>
      <c r="QSG52" s="6"/>
      <c r="QSH52" s="6"/>
      <c r="QSI52" s="6"/>
      <c r="QSJ52" s="6"/>
      <c r="QSK52" s="6"/>
      <c r="QSL52" s="6"/>
      <c r="QSM52" s="6"/>
      <c r="QSN52" s="6"/>
      <c r="QSO52" s="6"/>
      <c r="QSP52" s="6"/>
      <c r="QSQ52" s="6"/>
      <c r="QSR52" s="6"/>
      <c r="QSS52" s="6"/>
      <c r="QST52" s="6"/>
      <c r="QSU52" s="6"/>
      <c r="QSV52" s="6"/>
      <c r="QSW52" s="6"/>
      <c r="QSX52" s="6"/>
      <c r="QSY52" s="6"/>
      <c r="QSZ52" s="6"/>
      <c r="QTA52" s="6"/>
      <c r="QTB52" s="6"/>
      <c r="QTC52" s="6"/>
      <c r="QTD52" s="6"/>
      <c r="QTE52" s="6"/>
      <c r="QTF52" s="6"/>
      <c r="QTG52" s="6"/>
      <c r="QTH52" s="6"/>
      <c r="QTI52" s="6"/>
      <c r="QTJ52" s="6"/>
      <c r="QTK52" s="6"/>
      <c r="QTL52" s="6"/>
      <c r="QTM52" s="6"/>
      <c r="QTN52" s="6"/>
      <c r="QTO52" s="6"/>
      <c r="QTP52" s="6"/>
      <c r="QTQ52" s="6"/>
      <c r="QTR52" s="6"/>
      <c r="QTS52" s="6"/>
      <c r="QTT52" s="6"/>
      <c r="QTU52" s="6"/>
      <c r="QTV52" s="6"/>
      <c r="QTW52" s="6"/>
      <c r="QTX52" s="6"/>
      <c r="QTY52" s="6"/>
      <c r="QTZ52" s="6"/>
      <c r="QUA52" s="6"/>
      <c r="QUB52" s="6"/>
      <c r="QUC52" s="6"/>
      <c r="QUD52" s="6"/>
      <c r="QUE52" s="6"/>
      <c r="QUF52" s="6"/>
      <c r="QUG52" s="6"/>
      <c r="QUH52" s="6"/>
      <c r="QUI52" s="6"/>
      <c r="QUJ52" s="6"/>
      <c r="QUK52" s="6"/>
      <c r="QUL52" s="6"/>
      <c r="QUM52" s="6"/>
      <c r="QUN52" s="6"/>
      <c r="QUO52" s="6"/>
      <c r="QUP52" s="6"/>
      <c r="QUQ52" s="6"/>
      <c r="QUR52" s="6"/>
      <c r="QUS52" s="6"/>
      <c r="QUT52" s="6"/>
      <c r="QUU52" s="6"/>
      <c r="QUV52" s="6"/>
      <c r="QUW52" s="6"/>
      <c r="QUX52" s="6"/>
      <c r="QUY52" s="6"/>
      <c r="QUZ52" s="6"/>
      <c r="QVA52" s="6"/>
      <c r="QVB52" s="6"/>
      <c r="QVC52" s="6"/>
      <c r="QVD52" s="6"/>
      <c r="QVE52" s="6"/>
      <c r="QVF52" s="6"/>
      <c r="QVG52" s="6"/>
      <c r="QVH52" s="6"/>
      <c r="QVI52" s="6"/>
      <c r="QVJ52" s="6"/>
      <c r="QVK52" s="6"/>
      <c r="QVL52" s="6"/>
      <c r="QVM52" s="6"/>
      <c r="QVN52" s="6"/>
      <c r="QVO52" s="6"/>
      <c r="QVP52" s="6"/>
      <c r="QVQ52" s="6"/>
      <c r="QVR52" s="6"/>
      <c r="QVS52" s="6"/>
      <c r="QVT52" s="6"/>
      <c r="QVU52" s="6"/>
      <c r="QVV52" s="6"/>
      <c r="QVW52" s="6"/>
      <c r="QVX52" s="6"/>
      <c r="QVY52" s="6"/>
      <c r="QVZ52" s="6"/>
      <c r="QWA52" s="6"/>
      <c r="QWB52" s="6"/>
      <c r="QWC52" s="6"/>
      <c r="QWD52" s="6"/>
      <c r="QWE52" s="6"/>
      <c r="QWF52" s="6"/>
      <c r="QWG52" s="6"/>
      <c r="QWH52" s="6"/>
      <c r="QWI52" s="6"/>
      <c r="QWJ52" s="6"/>
      <c r="QWK52" s="6"/>
      <c r="QWL52" s="6"/>
      <c r="QWM52" s="6"/>
      <c r="QWN52" s="6"/>
      <c r="QWO52" s="6"/>
      <c r="QWP52" s="6"/>
      <c r="QWQ52" s="6"/>
      <c r="QWR52" s="6"/>
      <c r="QWS52" s="6"/>
      <c r="QWT52" s="6"/>
      <c r="QWU52" s="6"/>
      <c r="QWV52" s="6"/>
      <c r="QWW52" s="6"/>
      <c r="QWX52" s="6"/>
      <c r="QWY52" s="6"/>
      <c r="QWZ52" s="6"/>
      <c r="QXA52" s="6"/>
      <c r="QXB52" s="6"/>
      <c r="QXC52" s="6"/>
      <c r="QXD52" s="6"/>
      <c r="QXE52" s="6"/>
      <c r="QXF52" s="6"/>
      <c r="QXG52" s="6"/>
      <c r="QXH52" s="6"/>
      <c r="QXI52" s="6"/>
      <c r="QXJ52" s="6"/>
      <c r="QXK52" s="6"/>
      <c r="QXL52" s="6"/>
      <c r="QXM52" s="6"/>
      <c r="QXN52" s="6"/>
      <c r="QXO52" s="6"/>
      <c r="QXP52" s="6"/>
      <c r="QXQ52" s="6"/>
      <c r="QXR52" s="6"/>
      <c r="QXS52" s="6"/>
      <c r="QXT52" s="6"/>
      <c r="QXU52" s="6"/>
      <c r="QXV52" s="6"/>
      <c r="QXW52" s="6"/>
      <c r="QXX52" s="6"/>
      <c r="QXY52" s="6"/>
      <c r="QXZ52" s="6"/>
      <c r="QYA52" s="6"/>
      <c r="QYB52" s="6"/>
      <c r="QYC52" s="6"/>
      <c r="QYD52" s="6"/>
      <c r="QYE52" s="6"/>
      <c r="QYF52" s="6"/>
      <c r="QYG52" s="6"/>
      <c r="QYH52" s="6"/>
      <c r="QYI52" s="6"/>
      <c r="QYJ52" s="6"/>
      <c r="QYK52" s="6"/>
      <c r="QYL52" s="6"/>
      <c r="QYM52" s="6"/>
      <c r="QYN52" s="6"/>
      <c r="QYO52" s="6"/>
      <c r="QYP52" s="6"/>
      <c r="QYQ52" s="6"/>
      <c r="QYR52" s="6"/>
      <c r="QYS52" s="6"/>
      <c r="QYT52" s="6"/>
      <c r="QYU52" s="6"/>
      <c r="QYV52" s="6"/>
      <c r="QYW52" s="6"/>
      <c r="QYX52" s="6"/>
      <c r="QYY52" s="6"/>
      <c r="QYZ52" s="6"/>
      <c r="QZA52" s="6"/>
      <c r="QZB52" s="6"/>
      <c r="QZC52" s="6"/>
      <c r="QZD52" s="6"/>
      <c r="QZE52" s="6"/>
      <c r="QZF52" s="6"/>
      <c r="QZG52" s="6"/>
      <c r="QZH52" s="6"/>
      <c r="QZI52" s="6"/>
      <c r="QZJ52" s="6"/>
      <c r="QZK52" s="6"/>
      <c r="QZL52" s="6"/>
      <c r="QZM52" s="6"/>
      <c r="QZN52" s="6"/>
      <c r="QZO52" s="6"/>
      <c r="QZP52" s="6"/>
      <c r="QZQ52" s="6"/>
      <c r="QZR52" s="6"/>
      <c r="QZS52" s="6"/>
      <c r="QZT52" s="6"/>
      <c r="QZU52" s="6"/>
      <c r="QZV52" s="6"/>
      <c r="QZW52" s="6"/>
      <c r="QZX52" s="6"/>
      <c r="QZY52" s="6"/>
      <c r="QZZ52" s="6"/>
      <c r="RAA52" s="6"/>
      <c r="RAB52" s="6"/>
      <c r="RAC52" s="6"/>
      <c r="RAD52" s="6"/>
      <c r="RAE52" s="6"/>
      <c r="RAF52" s="6"/>
      <c r="RAG52" s="6"/>
      <c r="RAH52" s="6"/>
      <c r="RAI52" s="6"/>
      <c r="RAJ52" s="6"/>
      <c r="RAK52" s="6"/>
      <c r="RAL52" s="6"/>
      <c r="RAM52" s="6"/>
      <c r="RAN52" s="6"/>
      <c r="RAO52" s="6"/>
      <c r="RAP52" s="6"/>
      <c r="RAQ52" s="6"/>
      <c r="RAR52" s="6"/>
      <c r="RAS52" s="6"/>
      <c r="RAT52" s="6"/>
      <c r="RAU52" s="6"/>
      <c r="RAV52" s="6"/>
      <c r="RAW52" s="6"/>
      <c r="RAX52" s="6"/>
      <c r="RAY52" s="6"/>
      <c r="RAZ52" s="6"/>
      <c r="RBA52" s="6"/>
      <c r="RBB52" s="6"/>
      <c r="RBC52" s="6"/>
      <c r="RBD52" s="6"/>
      <c r="RBE52" s="6"/>
      <c r="RBF52" s="6"/>
      <c r="RBG52" s="6"/>
      <c r="RBH52" s="6"/>
      <c r="RBI52" s="6"/>
      <c r="RBJ52" s="6"/>
      <c r="RBK52" s="6"/>
      <c r="RBL52" s="6"/>
      <c r="RBM52" s="6"/>
      <c r="RBN52" s="6"/>
      <c r="RBO52" s="6"/>
      <c r="RBP52" s="6"/>
      <c r="RBQ52" s="6"/>
      <c r="RBR52" s="6"/>
      <c r="RBS52" s="6"/>
      <c r="RBT52" s="6"/>
      <c r="RBU52" s="6"/>
      <c r="RBV52" s="6"/>
      <c r="RBW52" s="6"/>
      <c r="RBX52" s="6"/>
      <c r="RBY52" s="6"/>
      <c r="RBZ52" s="6"/>
      <c r="RCA52" s="6"/>
      <c r="RCB52" s="6"/>
      <c r="RCC52" s="6"/>
      <c r="RCD52" s="6"/>
      <c r="RCE52" s="6"/>
      <c r="RCF52" s="6"/>
      <c r="RCG52" s="6"/>
      <c r="RCH52" s="6"/>
      <c r="RCI52" s="6"/>
      <c r="RCJ52" s="6"/>
      <c r="RCK52" s="6"/>
      <c r="RCL52" s="6"/>
      <c r="RCM52" s="6"/>
      <c r="RCN52" s="6"/>
      <c r="RCO52" s="6"/>
      <c r="RCP52" s="6"/>
      <c r="RCQ52" s="6"/>
      <c r="RCR52" s="6"/>
      <c r="RCS52" s="6"/>
      <c r="RCT52" s="6"/>
      <c r="RCU52" s="6"/>
      <c r="RCV52" s="6"/>
      <c r="RCW52" s="6"/>
      <c r="RCX52" s="6"/>
      <c r="RCY52" s="6"/>
      <c r="RCZ52" s="6"/>
      <c r="RDA52" s="6"/>
      <c r="RDB52" s="6"/>
      <c r="RDC52" s="6"/>
      <c r="RDD52" s="6"/>
      <c r="RDE52" s="6"/>
      <c r="RDF52" s="6"/>
      <c r="RDG52" s="6"/>
      <c r="RDH52" s="6"/>
      <c r="RDI52" s="6"/>
      <c r="RDJ52" s="6"/>
      <c r="RDK52" s="6"/>
      <c r="RDL52" s="6"/>
      <c r="RDM52" s="6"/>
      <c r="RDN52" s="6"/>
      <c r="RDO52" s="6"/>
      <c r="RDP52" s="6"/>
      <c r="RDQ52" s="6"/>
      <c r="RDR52" s="6"/>
      <c r="RDS52" s="6"/>
      <c r="RDT52" s="6"/>
      <c r="RDU52" s="6"/>
      <c r="RDV52" s="6"/>
      <c r="RDW52" s="6"/>
      <c r="RDX52" s="6"/>
      <c r="RDY52" s="6"/>
      <c r="RDZ52" s="6"/>
      <c r="REA52" s="6"/>
      <c r="REB52" s="6"/>
      <c r="REC52" s="6"/>
      <c r="RED52" s="6"/>
      <c r="REE52" s="6"/>
      <c r="REF52" s="6"/>
      <c r="REG52" s="6"/>
      <c r="REH52" s="6"/>
      <c r="REI52" s="6"/>
      <c r="REJ52" s="6"/>
      <c r="REK52" s="6"/>
      <c r="REL52" s="6"/>
      <c r="REM52" s="6"/>
      <c r="REN52" s="6"/>
      <c r="REO52" s="6"/>
      <c r="REP52" s="6"/>
      <c r="REQ52" s="6"/>
      <c r="RER52" s="6"/>
      <c r="RES52" s="6"/>
      <c r="RET52" s="6"/>
      <c r="REU52" s="6"/>
      <c r="REV52" s="6"/>
      <c r="REW52" s="6"/>
      <c r="REX52" s="6"/>
      <c r="REY52" s="6"/>
      <c r="REZ52" s="6"/>
      <c r="RFA52" s="6"/>
      <c r="RFB52" s="6"/>
      <c r="RFC52" s="6"/>
      <c r="RFD52" s="6"/>
      <c r="RFE52" s="6"/>
      <c r="RFF52" s="6"/>
      <c r="RFG52" s="6"/>
      <c r="RFH52" s="6"/>
      <c r="RFI52" s="6"/>
      <c r="RFJ52" s="6"/>
      <c r="RFK52" s="6"/>
      <c r="RFL52" s="6"/>
      <c r="RFM52" s="6"/>
      <c r="RFN52" s="6"/>
      <c r="RFO52" s="6"/>
      <c r="RFP52" s="6"/>
      <c r="RFQ52" s="6"/>
      <c r="RFR52" s="6"/>
      <c r="RFS52" s="6"/>
      <c r="RFT52" s="6"/>
      <c r="RFU52" s="6"/>
      <c r="RFV52" s="6"/>
      <c r="RFW52" s="6"/>
      <c r="RFX52" s="6"/>
      <c r="RFY52" s="6"/>
      <c r="RFZ52" s="6"/>
      <c r="RGA52" s="6"/>
      <c r="RGB52" s="6"/>
      <c r="RGC52" s="6"/>
      <c r="RGD52" s="6"/>
      <c r="RGE52" s="6"/>
      <c r="RGF52" s="6"/>
      <c r="RGG52" s="6"/>
      <c r="RGH52" s="6"/>
      <c r="RGI52" s="6"/>
      <c r="RGJ52" s="6"/>
      <c r="RGK52" s="6"/>
      <c r="RGL52" s="6"/>
      <c r="RGM52" s="6"/>
      <c r="RGN52" s="6"/>
      <c r="RGO52" s="6"/>
      <c r="RGP52" s="6"/>
      <c r="RGQ52" s="6"/>
      <c r="RGR52" s="6"/>
      <c r="RGS52" s="6"/>
      <c r="RGT52" s="6"/>
      <c r="RGU52" s="6"/>
      <c r="RGV52" s="6"/>
      <c r="RGW52" s="6"/>
      <c r="RGX52" s="6"/>
      <c r="RGY52" s="6"/>
      <c r="RGZ52" s="6"/>
      <c r="RHA52" s="6"/>
      <c r="RHB52" s="6"/>
      <c r="RHC52" s="6"/>
      <c r="RHD52" s="6"/>
      <c r="RHE52" s="6"/>
      <c r="RHF52" s="6"/>
      <c r="RHG52" s="6"/>
      <c r="RHH52" s="6"/>
      <c r="RHI52" s="6"/>
      <c r="RHJ52" s="6"/>
      <c r="RHK52" s="6"/>
      <c r="RHL52" s="6"/>
      <c r="RHM52" s="6"/>
      <c r="RHN52" s="6"/>
      <c r="RHO52" s="6"/>
      <c r="RHP52" s="6"/>
      <c r="RHQ52" s="6"/>
      <c r="RHR52" s="6"/>
      <c r="RHS52" s="6"/>
      <c r="RHT52" s="6"/>
      <c r="RHU52" s="6"/>
      <c r="RHV52" s="6"/>
      <c r="RHW52" s="6"/>
      <c r="RHX52" s="6"/>
      <c r="RHY52" s="6"/>
      <c r="RHZ52" s="6"/>
      <c r="RIA52" s="6"/>
      <c r="RIB52" s="6"/>
      <c r="RIC52" s="6"/>
      <c r="RID52" s="6"/>
      <c r="RIE52" s="6"/>
      <c r="RIF52" s="6"/>
      <c r="RIG52" s="6"/>
      <c r="RIH52" s="6"/>
      <c r="RII52" s="6"/>
      <c r="RIJ52" s="6"/>
      <c r="RIK52" s="6"/>
      <c r="RIL52" s="6"/>
      <c r="RIM52" s="6"/>
      <c r="RIN52" s="6"/>
      <c r="RIO52" s="6"/>
      <c r="RIP52" s="6"/>
      <c r="RIQ52" s="6"/>
      <c r="RIR52" s="6"/>
      <c r="RIS52" s="6"/>
      <c r="RIT52" s="6"/>
      <c r="RIU52" s="6"/>
      <c r="RIV52" s="6"/>
      <c r="RIW52" s="6"/>
      <c r="RIX52" s="6"/>
      <c r="RIY52" s="6"/>
      <c r="RIZ52" s="6"/>
      <c r="RJA52" s="6"/>
      <c r="RJB52" s="6"/>
      <c r="RJC52" s="6"/>
      <c r="RJD52" s="6"/>
      <c r="RJE52" s="6"/>
      <c r="RJF52" s="6"/>
      <c r="RJG52" s="6"/>
      <c r="RJH52" s="6"/>
      <c r="RJI52" s="6"/>
      <c r="RJJ52" s="6"/>
      <c r="RJK52" s="6"/>
      <c r="RJL52" s="6"/>
      <c r="RJM52" s="6"/>
      <c r="RJN52" s="6"/>
      <c r="RJO52" s="6"/>
      <c r="RJP52" s="6"/>
      <c r="RJQ52" s="6"/>
      <c r="RJR52" s="6"/>
      <c r="RJS52" s="6"/>
      <c r="RJT52" s="6"/>
      <c r="RJU52" s="6"/>
      <c r="RJV52" s="6"/>
      <c r="RJW52" s="6"/>
      <c r="RJX52" s="6"/>
      <c r="RJY52" s="6"/>
      <c r="RJZ52" s="6"/>
      <c r="RKA52" s="6"/>
      <c r="RKB52" s="6"/>
      <c r="RKC52" s="6"/>
      <c r="RKD52" s="6"/>
      <c r="RKE52" s="6"/>
      <c r="RKF52" s="6"/>
      <c r="RKG52" s="6"/>
      <c r="RKH52" s="6"/>
      <c r="RKI52" s="6"/>
      <c r="RKJ52" s="6"/>
      <c r="RKK52" s="6"/>
      <c r="RKL52" s="6"/>
      <c r="RKM52" s="6"/>
      <c r="RKN52" s="6"/>
      <c r="RKO52" s="6"/>
      <c r="RKP52" s="6"/>
      <c r="RKQ52" s="6"/>
      <c r="RKR52" s="6"/>
      <c r="RKS52" s="6"/>
      <c r="RKT52" s="6"/>
      <c r="RKU52" s="6"/>
      <c r="RKV52" s="6"/>
      <c r="RKW52" s="6"/>
      <c r="RKX52" s="6"/>
      <c r="RKY52" s="6"/>
      <c r="RKZ52" s="6"/>
      <c r="RLA52" s="6"/>
      <c r="RLB52" s="6"/>
      <c r="RLC52" s="6"/>
      <c r="RLD52" s="6"/>
      <c r="RLE52" s="6"/>
      <c r="RLF52" s="6"/>
      <c r="RLG52" s="6"/>
      <c r="RLH52" s="6"/>
      <c r="RLI52" s="6"/>
      <c r="RLJ52" s="6"/>
      <c r="RLK52" s="6"/>
      <c r="RLL52" s="6"/>
      <c r="RLM52" s="6"/>
      <c r="RLN52" s="6"/>
      <c r="RLO52" s="6"/>
      <c r="RLP52" s="6"/>
      <c r="RLQ52" s="6"/>
      <c r="RLR52" s="6"/>
      <c r="RLS52" s="6"/>
      <c r="RLT52" s="6"/>
      <c r="RLU52" s="6"/>
      <c r="RLV52" s="6"/>
      <c r="RLW52" s="6"/>
      <c r="RLX52" s="6"/>
      <c r="RLY52" s="6"/>
      <c r="RLZ52" s="6"/>
      <c r="RMA52" s="6"/>
      <c r="RMB52" s="6"/>
      <c r="RMC52" s="6"/>
      <c r="RMD52" s="6"/>
      <c r="RME52" s="6"/>
      <c r="RMF52" s="6"/>
      <c r="RMG52" s="6"/>
      <c r="RMH52" s="6"/>
      <c r="RMI52" s="6"/>
      <c r="RMJ52" s="6"/>
      <c r="RMK52" s="6"/>
      <c r="RML52" s="6"/>
      <c r="RMM52" s="6"/>
      <c r="RMN52" s="6"/>
      <c r="RMO52" s="6"/>
      <c r="RMP52" s="6"/>
      <c r="RMQ52" s="6"/>
      <c r="RMR52" s="6"/>
      <c r="RMS52" s="6"/>
      <c r="RMT52" s="6"/>
      <c r="RMU52" s="6"/>
      <c r="RMV52" s="6"/>
      <c r="RMW52" s="6"/>
      <c r="RMX52" s="6"/>
      <c r="RMY52" s="6"/>
      <c r="RMZ52" s="6"/>
      <c r="RNA52" s="6"/>
      <c r="RNB52" s="6"/>
      <c r="RNC52" s="6"/>
      <c r="RND52" s="6"/>
      <c r="RNE52" s="6"/>
      <c r="RNF52" s="6"/>
      <c r="RNG52" s="6"/>
      <c r="RNH52" s="6"/>
      <c r="RNI52" s="6"/>
      <c r="RNJ52" s="6"/>
      <c r="RNK52" s="6"/>
      <c r="RNL52" s="6"/>
      <c r="RNM52" s="6"/>
      <c r="RNN52" s="6"/>
      <c r="RNO52" s="6"/>
      <c r="RNP52" s="6"/>
      <c r="RNQ52" s="6"/>
      <c r="RNR52" s="6"/>
      <c r="RNS52" s="6"/>
      <c r="RNT52" s="6"/>
      <c r="RNU52" s="6"/>
      <c r="RNV52" s="6"/>
      <c r="RNW52" s="6"/>
      <c r="RNX52" s="6"/>
      <c r="RNY52" s="6"/>
      <c r="RNZ52" s="6"/>
      <c r="ROA52" s="6"/>
      <c r="ROB52" s="6"/>
      <c r="ROC52" s="6"/>
      <c r="ROD52" s="6"/>
      <c r="ROE52" s="6"/>
      <c r="ROF52" s="6"/>
      <c r="ROG52" s="6"/>
      <c r="ROH52" s="6"/>
      <c r="ROI52" s="6"/>
      <c r="ROJ52" s="6"/>
      <c r="ROK52" s="6"/>
      <c r="ROL52" s="6"/>
      <c r="ROM52" s="6"/>
      <c r="RON52" s="6"/>
      <c r="ROO52" s="6"/>
      <c r="ROP52" s="6"/>
      <c r="ROQ52" s="6"/>
      <c r="ROR52" s="6"/>
      <c r="ROS52" s="6"/>
      <c r="ROT52" s="6"/>
      <c r="ROU52" s="6"/>
      <c r="ROV52" s="6"/>
      <c r="ROW52" s="6"/>
      <c r="ROX52" s="6"/>
      <c r="ROY52" s="6"/>
      <c r="ROZ52" s="6"/>
      <c r="RPA52" s="6"/>
      <c r="RPB52" s="6"/>
      <c r="RPC52" s="6"/>
      <c r="RPD52" s="6"/>
      <c r="RPE52" s="6"/>
      <c r="RPF52" s="6"/>
      <c r="RPG52" s="6"/>
      <c r="RPH52" s="6"/>
      <c r="RPI52" s="6"/>
      <c r="RPJ52" s="6"/>
      <c r="RPK52" s="6"/>
      <c r="RPL52" s="6"/>
      <c r="RPM52" s="6"/>
      <c r="RPN52" s="6"/>
      <c r="RPO52" s="6"/>
      <c r="RPP52" s="6"/>
      <c r="RPQ52" s="6"/>
      <c r="RPR52" s="6"/>
      <c r="RPS52" s="6"/>
      <c r="RPT52" s="6"/>
      <c r="RPU52" s="6"/>
      <c r="RPV52" s="6"/>
      <c r="RPW52" s="6"/>
      <c r="RPX52" s="6"/>
      <c r="RPY52" s="6"/>
      <c r="RPZ52" s="6"/>
      <c r="RQA52" s="6"/>
      <c r="RQB52" s="6"/>
      <c r="RQC52" s="6"/>
      <c r="RQD52" s="6"/>
      <c r="RQE52" s="6"/>
      <c r="RQF52" s="6"/>
      <c r="RQG52" s="6"/>
      <c r="RQH52" s="6"/>
      <c r="RQI52" s="6"/>
      <c r="RQJ52" s="6"/>
      <c r="RQK52" s="6"/>
      <c r="RQL52" s="6"/>
      <c r="RQM52" s="6"/>
      <c r="RQN52" s="6"/>
      <c r="RQO52" s="6"/>
      <c r="RQP52" s="6"/>
      <c r="RQQ52" s="6"/>
      <c r="RQR52" s="6"/>
      <c r="RQS52" s="6"/>
      <c r="RQT52" s="6"/>
      <c r="RQU52" s="6"/>
      <c r="RQV52" s="6"/>
      <c r="RQW52" s="6"/>
      <c r="RQX52" s="6"/>
      <c r="RQY52" s="6"/>
      <c r="RQZ52" s="6"/>
      <c r="RRA52" s="6"/>
      <c r="RRB52" s="6"/>
      <c r="RRC52" s="6"/>
      <c r="RRD52" s="6"/>
      <c r="RRE52" s="6"/>
      <c r="RRF52" s="6"/>
      <c r="RRG52" s="6"/>
      <c r="RRH52" s="6"/>
      <c r="RRI52" s="6"/>
      <c r="RRJ52" s="6"/>
      <c r="RRK52" s="6"/>
      <c r="RRL52" s="6"/>
      <c r="RRM52" s="6"/>
      <c r="RRN52" s="6"/>
      <c r="RRO52" s="6"/>
      <c r="RRP52" s="6"/>
      <c r="RRQ52" s="6"/>
      <c r="RRR52" s="6"/>
      <c r="RRS52" s="6"/>
      <c r="RRT52" s="6"/>
      <c r="RRU52" s="6"/>
      <c r="RRV52" s="6"/>
      <c r="RRW52" s="6"/>
      <c r="RRX52" s="6"/>
      <c r="RRY52" s="6"/>
      <c r="RRZ52" s="6"/>
      <c r="RSA52" s="6"/>
      <c r="RSB52" s="6"/>
      <c r="RSC52" s="6"/>
      <c r="RSD52" s="6"/>
      <c r="RSE52" s="6"/>
      <c r="RSF52" s="6"/>
      <c r="RSG52" s="6"/>
      <c r="RSH52" s="6"/>
      <c r="RSI52" s="6"/>
      <c r="RSJ52" s="6"/>
      <c r="RSK52" s="6"/>
      <c r="RSL52" s="6"/>
      <c r="RSM52" s="6"/>
      <c r="RSN52" s="6"/>
      <c r="RSO52" s="6"/>
      <c r="RSP52" s="6"/>
      <c r="RSQ52" s="6"/>
      <c r="RSR52" s="6"/>
      <c r="RSS52" s="6"/>
      <c r="RST52" s="6"/>
      <c r="RSU52" s="6"/>
      <c r="RSV52" s="6"/>
      <c r="RSW52" s="6"/>
      <c r="RSX52" s="6"/>
      <c r="RSY52" s="6"/>
      <c r="RSZ52" s="6"/>
      <c r="RTA52" s="6"/>
      <c r="RTB52" s="6"/>
      <c r="RTC52" s="6"/>
      <c r="RTD52" s="6"/>
      <c r="RTE52" s="6"/>
      <c r="RTF52" s="6"/>
      <c r="RTG52" s="6"/>
      <c r="RTH52" s="6"/>
      <c r="RTI52" s="6"/>
      <c r="RTJ52" s="6"/>
      <c r="RTK52" s="6"/>
      <c r="RTL52" s="6"/>
      <c r="RTM52" s="6"/>
      <c r="RTN52" s="6"/>
      <c r="RTO52" s="6"/>
      <c r="RTP52" s="6"/>
      <c r="RTQ52" s="6"/>
      <c r="RTR52" s="6"/>
      <c r="RTS52" s="6"/>
      <c r="RTT52" s="6"/>
      <c r="RTU52" s="6"/>
      <c r="RTV52" s="6"/>
      <c r="RTW52" s="6"/>
      <c r="RTX52" s="6"/>
      <c r="RTY52" s="6"/>
      <c r="RTZ52" s="6"/>
      <c r="RUA52" s="6"/>
      <c r="RUB52" s="6"/>
      <c r="RUC52" s="6"/>
      <c r="RUD52" s="6"/>
      <c r="RUE52" s="6"/>
      <c r="RUF52" s="6"/>
      <c r="RUG52" s="6"/>
      <c r="RUH52" s="6"/>
      <c r="RUI52" s="6"/>
      <c r="RUJ52" s="6"/>
      <c r="RUK52" s="6"/>
      <c r="RUL52" s="6"/>
      <c r="RUM52" s="6"/>
      <c r="RUN52" s="6"/>
      <c r="RUO52" s="6"/>
      <c r="RUP52" s="6"/>
      <c r="RUQ52" s="6"/>
      <c r="RUR52" s="6"/>
      <c r="RUS52" s="6"/>
      <c r="RUT52" s="6"/>
      <c r="RUU52" s="6"/>
      <c r="RUV52" s="6"/>
      <c r="RUW52" s="6"/>
      <c r="RUX52" s="6"/>
      <c r="RUY52" s="6"/>
      <c r="RUZ52" s="6"/>
      <c r="RVA52" s="6"/>
      <c r="RVB52" s="6"/>
      <c r="RVC52" s="6"/>
      <c r="RVD52" s="6"/>
      <c r="RVE52" s="6"/>
      <c r="RVF52" s="6"/>
      <c r="RVG52" s="6"/>
      <c r="RVH52" s="6"/>
      <c r="RVI52" s="6"/>
      <c r="RVJ52" s="6"/>
      <c r="RVK52" s="6"/>
      <c r="RVL52" s="6"/>
      <c r="RVM52" s="6"/>
      <c r="RVN52" s="6"/>
      <c r="RVO52" s="6"/>
      <c r="RVP52" s="6"/>
      <c r="RVQ52" s="6"/>
      <c r="RVR52" s="6"/>
      <c r="RVS52" s="6"/>
      <c r="RVT52" s="6"/>
      <c r="RVU52" s="6"/>
      <c r="RVV52" s="6"/>
      <c r="RVW52" s="6"/>
      <c r="RVX52" s="6"/>
      <c r="RVY52" s="6"/>
      <c r="RVZ52" s="6"/>
      <c r="RWA52" s="6"/>
      <c r="RWB52" s="6"/>
      <c r="RWC52" s="6"/>
      <c r="RWD52" s="6"/>
      <c r="RWE52" s="6"/>
      <c r="RWF52" s="6"/>
      <c r="RWG52" s="6"/>
      <c r="RWH52" s="6"/>
      <c r="RWI52" s="6"/>
      <c r="RWJ52" s="6"/>
      <c r="RWK52" s="6"/>
      <c r="RWL52" s="6"/>
      <c r="RWM52" s="6"/>
      <c r="RWN52" s="6"/>
      <c r="RWO52" s="6"/>
      <c r="RWP52" s="6"/>
      <c r="RWQ52" s="6"/>
      <c r="RWR52" s="6"/>
      <c r="RWS52" s="6"/>
      <c r="RWT52" s="6"/>
      <c r="RWU52" s="6"/>
      <c r="RWV52" s="6"/>
      <c r="RWW52" s="6"/>
      <c r="RWX52" s="6"/>
      <c r="RWY52" s="6"/>
      <c r="RWZ52" s="6"/>
      <c r="RXA52" s="6"/>
      <c r="RXB52" s="6"/>
      <c r="RXC52" s="6"/>
      <c r="RXD52" s="6"/>
      <c r="RXE52" s="6"/>
      <c r="RXF52" s="6"/>
      <c r="RXG52" s="6"/>
      <c r="RXH52" s="6"/>
      <c r="RXI52" s="6"/>
      <c r="RXJ52" s="6"/>
      <c r="RXK52" s="6"/>
      <c r="RXL52" s="6"/>
      <c r="RXM52" s="6"/>
      <c r="RXN52" s="6"/>
      <c r="RXO52" s="6"/>
      <c r="RXP52" s="6"/>
      <c r="RXQ52" s="6"/>
      <c r="RXR52" s="6"/>
      <c r="RXS52" s="6"/>
      <c r="RXT52" s="6"/>
      <c r="RXU52" s="6"/>
      <c r="RXV52" s="6"/>
      <c r="RXW52" s="6"/>
      <c r="RXX52" s="6"/>
      <c r="RXY52" s="6"/>
      <c r="RXZ52" s="6"/>
      <c r="RYA52" s="6"/>
      <c r="RYB52" s="6"/>
      <c r="RYC52" s="6"/>
      <c r="RYD52" s="6"/>
      <c r="RYE52" s="6"/>
      <c r="RYF52" s="6"/>
      <c r="RYG52" s="6"/>
      <c r="RYH52" s="6"/>
      <c r="RYI52" s="6"/>
      <c r="RYJ52" s="6"/>
      <c r="RYK52" s="6"/>
      <c r="RYL52" s="6"/>
      <c r="RYM52" s="6"/>
      <c r="RYN52" s="6"/>
      <c r="RYO52" s="6"/>
      <c r="RYP52" s="6"/>
      <c r="RYQ52" s="6"/>
      <c r="RYR52" s="6"/>
      <c r="RYS52" s="6"/>
      <c r="RYT52" s="6"/>
      <c r="RYU52" s="6"/>
      <c r="RYV52" s="6"/>
      <c r="RYW52" s="6"/>
      <c r="RYX52" s="6"/>
      <c r="RYY52" s="6"/>
      <c r="RYZ52" s="6"/>
      <c r="RZA52" s="6"/>
      <c r="RZB52" s="6"/>
      <c r="RZC52" s="6"/>
      <c r="RZD52" s="6"/>
      <c r="RZE52" s="6"/>
      <c r="RZF52" s="6"/>
      <c r="RZG52" s="6"/>
      <c r="RZH52" s="6"/>
      <c r="RZI52" s="6"/>
      <c r="RZJ52" s="6"/>
      <c r="RZK52" s="6"/>
      <c r="RZL52" s="6"/>
      <c r="RZM52" s="6"/>
      <c r="RZN52" s="6"/>
      <c r="RZO52" s="6"/>
      <c r="RZP52" s="6"/>
      <c r="RZQ52" s="6"/>
      <c r="RZR52" s="6"/>
      <c r="RZS52" s="6"/>
      <c r="RZT52" s="6"/>
      <c r="RZU52" s="6"/>
      <c r="RZV52" s="6"/>
      <c r="RZW52" s="6"/>
      <c r="RZX52" s="6"/>
      <c r="RZY52" s="6"/>
      <c r="RZZ52" s="6"/>
      <c r="SAA52" s="6"/>
      <c r="SAB52" s="6"/>
      <c r="SAC52" s="6"/>
      <c r="SAD52" s="6"/>
      <c r="SAE52" s="6"/>
      <c r="SAF52" s="6"/>
      <c r="SAG52" s="6"/>
      <c r="SAH52" s="6"/>
      <c r="SAI52" s="6"/>
      <c r="SAJ52" s="6"/>
      <c r="SAK52" s="6"/>
      <c r="SAL52" s="6"/>
      <c r="SAM52" s="6"/>
      <c r="SAN52" s="6"/>
      <c r="SAO52" s="6"/>
      <c r="SAP52" s="6"/>
      <c r="SAQ52" s="6"/>
      <c r="SAR52" s="6"/>
      <c r="SAS52" s="6"/>
      <c r="SAT52" s="6"/>
      <c r="SAU52" s="6"/>
      <c r="SAV52" s="6"/>
      <c r="SAW52" s="6"/>
      <c r="SAX52" s="6"/>
      <c r="SAY52" s="6"/>
      <c r="SAZ52" s="6"/>
      <c r="SBA52" s="6"/>
      <c r="SBB52" s="6"/>
      <c r="SBC52" s="6"/>
      <c r="SBD52" s="6"/>
      <c r="SBE52" s="6"/>
      <c r="SBF52" s="6"/>
      <c r="SBG52" s="6"/>
      <c r="SBH52" s="6"/>
      <c r="SBI52" s="6"/>
      <c r="SBJ52" s="6"/>
      <c r="SBK52" s="6"/>
      <c r="SBL52" s="6"/>
      <c r="SBM52" s="6"/>
      <c r="SBN52" s="6"/>
      <c r="SBO52" s="6"/>
      <c r="SBP52" s="6"/>
      <c r="SBQ52" s="6"/>
      <c r="SBR52" s="6"/>
      <c r="SBS52" s="6"/>
      <c r="SBT52" s="6"/>
      <c r="SBU52" s="6"/>
      <c r="SBV52" s="6"/>
      <c r="SBW52" s="6"/>
      <c r="SBX52" s="6"/>
      <c r="SBY52" s="6"/>
      <c r="SBZ52" s="6"/>
      <c r="SCA52" s="6"/>
      <c r="SCB52" s="6"/>
      <c r="SCC52" s="6"/>
      <c r="SCD52" s="6"/>
      <c r="SCE52" s="6"/>
      <c r="SCF52" s="6"/>
      <c r="SCG52" s="6"/>
      <c r="SCH52" s="6"/>
      <c r="SCI52" s="6"/>
      <c r="SCJ52" s="6"/>
      <c r="SCK52" s="6"/>
      <c r="SCL52" s="6"/>
      <c r="SCM52" s="6"/>
      <c r="SCN52" s="6"/>
      <c r="SCO52" s="6"/>
      <c r="SCP52" s="6"/>
      <c r="SCQ52" s="6"/>
      <c r="SCR52" s="6"/>
      <c r="SCS52" s="6"/>
      <c r="SCT52" s="6"/>
      <c r="SCU52" s="6"/>
      <c r="SCV52" s="6"/>
      <c r="SCW52" s="6"/>
      <c r="SCX52" s="6"/>
      <c r="SCY52" s="6"/>
      <c r="SCZ52" s="6"/>
      <c r="SDA52" s="6"/>
      <c r="SDB52" s="6"/>
      <c r="SDC52" s="6"/>
      <c r="SDD52" s="6"/>
      <c r="SDE52" s="6"/>
      <c r="SDF52" s="6"/>
      <c r="SDG52" s="6"/>
      <c r="SDH52" s="6"/>
      <c r="SDI52" s="6"/>
      <c r="SDJ52" s="6"/>
      <c r="SDK52" s="6"/>
      <c r="SDL52" s="6"/>
      <c r="SDM52" s="6"/>
      <c r="SDN52" s="6"/>
      <c r="SDO52" s="6"/>
      <c r="SDP52" s="6"/>
      <c r="SDQ52" s="6"/>
      <c r="SDR52" s="6"/>
      <c r="SDS52" s="6"/>
      <c r="SDT52" s="6"/>
      <c r="SDU52" s="6"/>
      <c r="SDV52" s="6"/>
      <c r="SDW52" s="6"/>
      <c r="SDX52" s="6"/>
      <c r="SDY52" s="6"/>
      <c r="SDZ52" s="6"/>
      <c r="SEA52" s="6"/>
      <c r="SEB52" s="6"/>
      <c r="SEC52" s="6"/>
      <c r="SED52" s="6"/>
      <c r="SEE52" s="6"/>
      <c r="SEF52" s="6"/>
      <c r="SEG52" s="6"/>
      <c r="SEH52" s="6"/>
      <c r="SEI52" s="6"/>
      <c r="SEJ52" s="6"/>
      <c r="SEK52" s="6"/>
      <c r="SEL52" s="6"/>
      <c r="SEM52" s="6"/>
      <c r="SEN52" s="6"/>
      <c r="SEO52" s="6"/>
      <c r="SEP52" s="6"/>
      <c r="SEQ52" s="6"/>
      <c r="SER52" s="6"/>
      <c r="SES52" s="6"/>
      <c r="SET52" s="6"/>
      <c r="SEU52" s="6"/>
      <c r="SEV52" s="6"/>
      <c r="SEW52" s="6"/>
      <c r="SEX52" s="6"/>
      <c r="SEY52" s="6"/>
      <c r="SEZ52" s="6"/>
      <c r="SFA52" s="6"/>
      <c r="SFB52" s="6"/>
      <c r="SFC52" s="6"/>
      <c r="SFD52" s="6"/>
      <c r="SFE52" s="6"/>
      <c r="SFF52" s="6"/>
      <c r="SFG52" s="6"/>
      <c r="SFH52" s="6"/>
      <c r="SFI52" s="6"/>
      <c r="SFJ52" s="6"/>
      <c r="SFK52" s="6"/>
      <c r="SFL52" s="6"/>
      <c r="SFM52" s="6"/>
      <c r="SFN52" s="6"/>
      <c r="SFO52" s="6"/>
      <c r="SFP52" s="6"/>
      <c r="SFQ52" s="6"/>
      <c r="SFR52" s="6"/>
      <c r="SFS52" s="6"/>
      <c r="SFT52" s="6"/>
      <c r="SFU52" s="6"/>
      <c r="SFV52" s="6"/>
      <c r="SFW52" s="6"/>
      <c r="SFX52" s="6"/>
      <c r="SFY52" s="6"/>
      <c r="SFZ52" s="6"/>
      <c r="SGA52" s="6"/>
      <c r="SGB52" s="6"/>
      <c r="SGC52" s="6"/>
      <c r="SGD52" s="6"/>
      <c r="SGE52" s="6"/>
      <c r="SGF52" s="6"/>
      <c r="SGG52" s="6"/>
      <c r="SGH52" s="6"/>
      <c r="SGI52" s="6"/>
      <c r="SGJ52" s="6"/>
      <c r="SGK52" s="6"/>
      <c r="SGL52" s="6"/>
      <c r="SGM52" s="6"/>
      <c r="SGN52" s="6"/>
      <c r="SGO52" s="6"/>
      <c r="SGP52" s="6"/>
      <c r="SGQ52" s="6"/>
      <c r="SGR52" s="6"/>
      <c r="SGS52" s="6"/>
      <c r="SGT52" s="6"/>
      <c r="SGU52" s="6"/>
      <c r="SGV52" s="6"/>
      <c r="SGW52" s="6"/>
      <c r="SGX52" s="6"/>
      <c r="SGY52" s="6"/>
      <c r="SGZ52" s="6"/>
      <c r="SHA52" s="6"/>
      <c r="SHB52" s="6"/>
      <c r="SHC52" s="6"/>
      <c r="SHD52" s="6"/>
      <c r="SHE52" s="6"/>
      <c r="SHF52" s="6"/>
      <c r="SHG52" s="6"/>
      <c r="SHH52" s="6"/>
      <c r="SHI52" s="6"/>
      <c r="SHJ52" s="6"/>
      <c r="SHK52" s="6"/>
      <c r="SHL52" s="6"/>
      <c r="SHM52" s="6"/>
      <c r="SHN52" s="6"/>
      <c r="SHO52" s="6"/>
      <c r="SHP52" s="6"/>
      <c r="SHQ52" s="6"/>
      <c r="SHR52" s="6"/>
      <c r="SHS52" s="6"/>
      <c r="SHT52" s="6"/>
      <c r="SHU52" s="6"/>
      <c r="SHV52" s="6"/>
      <c r="SHW52" s="6"/>
      <c r="SHX52" s="6"/>
      <c r="SHY52" s="6"/>
      <c r="SHZ52" s="6"/>
      <c r="SIA52" s="6"/>
      <c r="SIB52" s="6"/>
      <c r="SIC52" s="6"/>
      <c r="SID52" s="6"/>
      <c r="SIE52" s="6"/>
      <c r="SIF52" s="6"/>
      <c r="SIG52" s="6"/>
      <c r="SIH52" s="6"/>
      <c r="SII52" s="6"/>
      <c r="SIJ52" s="6"/>
      <c r="SIK52" s="6"/>
      <c r="SIL52" s="6"/>
      <c r="SIM52" s="6"/>
      <c r="SIN52" s="6"/>
      <c r="SIO52" s="6"/>
      <c r="SIP52" s="6"/>
      <c r="SIQ52" s="6"/>
      <c r="SIR52" s="6"/>
      <c r="SIS52" s="6"/>
      <c r="SIT52" s="6"/>
      <c r="SIU52" s="6"/>
      <c r="SIV52" s="6"/>
      <c r="SIW52" s="6"/>
      <c r="SIX52" s="6"/>
      <c r="SIY52" s="6"/>
      <c r="SIZ52" s="6"/>
      <c r="SJA52" s="6"/>
      <c r="SJB52" s="6"/>
      <c r="SJC52" s="6"/>
      <c r="SJD52" s="6"/>
      <c r="SJE52" s="6"/>
      <c r="SJF52" s="6"/>
      <c r="SJG52" s="6"/>
      <c r="SJH52" s="6"/>
      <c r="SJI52" s="6"/>
      <c r="SJJ52" s="6"/>
      <c r="SJK52" s="6"/>
      <c r="SJL52" s="6"/>
      <c r="SJM52" s="6"/>
      <c r="SJN52" s="6"/>
      <c r="SJO52" s="6"/>
      <c r="SJP52" s="6"/>
      <c r="SJQ52" s="6"/>
      <c r="SJR52" s="6"/>
      <c r="SJS52" s="6"/>
      <c r="SJT52" s="6"/>
      <c r="SJU52" s="6"/>
      <c r="SJV52" s="6"/>
      <c r="SJW52" s="6"/>
      <c r="SJX52" s="6"/>
      <c r="SJY52" s="6"/>
      <c r="SJZ52" s="6"/>
      <c r="SKA52" s="6"/>
      <c r="SKB52" s="6"/>
      <c r="SKC52" s="6"/>
      <c r="SKD52" s="6"/>
      <c r="SKE52" s="6"/>
      <c r="SKF52" s="6"/>
      <c r="SKG52" s="6"/>
      <c r="SKH52" s="6"/>
      <c r="SKI52" s="6"/>
      <c r="SKJ52" s="6"/>
      <c r="SKK52" s="6"/>
      <c r="SKL52" s="6"/>
      <c r="SKM52" s="6"/>
      <c r="SKN52" s="6"/>
      <c r="SKO52" s="6"/>
      <c r="SKP52" s="6"/>
      <c r="SKQ52" s="6"/>
      <c r="SKR52" s="6"/>
      <c r="SKS52" s="6"/>
      <c r="SKT52" s="6"/>
      <c r="SKU52" s="6"/>
      <c r="SKV52" s="6"/>
      <c r="SKW52" s="6"/>
      <c r="SKX52" s="6"/>
      <c r="SKY52" s="6"/>
      <c r="SKZ52" s="6"/>
      <c r="SLA52" s="6"/>
      <c r="SLB52" s="6"/>
      <c r="SLC52" s="6"/>
      <c r="SLD52" s="6"/>
      <c r="SLE52" s="6"/>
      <c r="SLF52" s="6"/>
      <c r="SLG52" s="6"/>
      <c r="SLH52" s="6"/>
      <c r="SLI52" s="6"/>
      <c r="SLJ52" s="6"/>
      <c r="SLK52" s="6"/>
      <c r="SLL52" s="6"/>
      <c r="SLM52" s="6"/>
      <c r="SLN52" s="6"/>
      <c r="SLO52" s="6"/>
      <c r="SLP52" s="6"/>
      <c r="SLQ52" s="6"/>
      <c r="SLR52" s="6"/>
      <c r="SLS52" s="6"/>
      <c r="SLT52" s="6"/>
      <c r="SLU52" s="6"/>
      <c r="SLV52" s="6"/>
      <c r="SLW52" s="6"/>
      <c r="SLX52" s="6"/>
      <c r="SLY52" s="6"/>
      <c r="SLZ52" s="6"/>
      <c r="SMA52" s="6"/>
      <c r="SMB52" s="6"/>
      <c r="SMC52" s="6"/>
      <c r="SMD52" s="6"/>
      <c r="SME52" s="6"/>
      <c r="SMF52" s="6"/>
      <c r="SMG52" s="6"/>
      <c r="SMH52" s="6"/>
      <c r="SMI52" s="6"/>
      <c r="SMJ52" s="6"/>
      <c r="SMK52" s="6"/>
      <c r="SML52" s="6"/>
      <c r="SMM52" s="6"/>
      <c r="SMN52" s="6"/>
      <c r="SMO52" s="6"/>
      <c r="SMP52" s="6"/>
      <c r="SMQ52" s="6"/>
      <c r="SMR52" s="6"/>
      <c r="SMS52" s="6"/>
      <c r="SMT52" s="6"/>
      <c r="SMU52" s="6"/>
      <c r="SMV52" s="6"/>
      <c r="SMW52" s="6"/>
      <c r="SMX52" s="6"/>
      <c r="SMY52" s="6"/>
      <c r="SMZ52" s="6"/>
      <c r="SNA52" s="6"/>
      <c r="SNB52" s="6"/>
      <c r="SNC52" s="6"/>
      <c r="SND52" s="6"/>
      <c r="SNE52" s="6"/>
      <c r="SNF52" s="6"/>
      <c r="SNG52" s="6"/>
      <c r="SNH52" s="6"/>
      <c r="SNI52" s="6"/>
      <c r="SNJ52" s="6"/>
      <c r="SNK52" s="6"/>
      <c r="SNL52" s="6"/>
      <c r="SNM52" s="6"/>
      <c r="SNN52" s="6"/>
      <c r="SNO52" s="6"/>
      <c r="SNP52" s="6"/>
      <c r="SNQ52" s="6"/>
      <c r="SNR52" s="6"/>
      <c r="SNS52" s="6"/>
      <c r="SNT52" s="6"/>
      <c r="SNU52" s="6"/>
      <c r="SNV52" s="6"/>
      <c r="SNW52" s="6"/>
      <c r="SNX52" s="6"/>
      <c r="SNY52" s="6"/>
      <c r="SNZ52" s="6"/>
      <c r="SOA52" s="6"/>
      <c r="SOB52" s="6"/>
      <c r="SOC52" s="6"/>
      <c r="SOD52" s="6"/>
      <c r="SOE52" s="6"/>
      <c r="SOF52" s="6"/>
      <c r="SOG52" s="6"/>
      <c r="SOH52" s="6"/>
      <c r="SOI52" s="6"/>
      <c r="SOJ52" s="6"/>
      <c r="SOK52" s="6"/>
      <c r="SOL52" s="6"/>
      <c r="SOM52" s="6"/>
      <c r="SON52" s="6"/>
      <c r="SOO52" s="6"/>
      <c r="SOP52" s="6"/>
      <c r="SOQ52" s="6"/>
      <c r="SOR52" s="6"/>
      <c r="SOS52" s="6"/>
      <c r="SOT52" s="6"/>
      <c r="SOU52" s="6"/>
      <c r="SOV52" s="6"/>
      <c r="SOW52" s="6"/>
      <c r="SOX52" s="6"/>
      <c r="SOY52" s="6"/>
      <c r="SOZ52" s="6"/>
      <c r="SPA52" s="6"/>
      <c r="SPB52" s="6"/>
      <c r="SPC52" s="6"/>
      <c r="SPD52" s="6"/>
      <c r="SPE52" s="6"/>
      <c r="SPF52" s="6"/>
      <c r="SPG52" s="6"/>
      <c r="SPH52" s="6"/>
      <c r="SPI52" s="6"/>
      <c r="SPJ52" s="6"/>
      <c r="SPK52" s="6"/>
      <c r="SPL52" s="6"/>
      <c r="SPM52" s="6"/>
      <c r="SPN52" s="6"/>
      <c r="SPO52" s="6"/>
      <c r="SPP52" s="6"/>
      <c r="SPQ52" s="6"/>
      <c r="SPR52" s="6"/>
      <c r="SPS52" s="6"/>
      <c r="SPT52" s="6"/>
      <c r="SPU52" s="6"/>
      <c r="SPV52" s="6"/>
      <c r="SPW52" s="6"/>
      <c r="SPX52" s="6"/>
      <c r="SPY52" s="6"/>
      <c r="SPZ52" s="6"/>
      <c r="SQA52" s="6"/>
      <c r="SQB52" s="6"/>
      <c r="SQC52" s="6"/>
      <c r="SQD52" s="6"/>
      <c r="SQE52" s="6"/>
      <c r="SQF52" s="6"/>
      <c r="SQG52" s="6"/>
      <c r="SQH52" s="6"/>
      <c r="SQI52" s="6"/>
      <c r="SQJ52" s="6"/>
      <c r="SQK52" s="6"/>
      <c r="SQL52" s="6"/>
      <c r="SQM52" s="6"/>
      <c r="SQN52" s="6"/>
      <c r="SQO52" s="6"/>
      <c r="SQP52" s="6"/>
      <c r="SQQ52" s="6"/>
      <c r="SQR52" s="6"/>
      <c r="SQS52" s="6"/>
      <c r="SQT52" s="6"/>
      <c r="SQU52" s="6"/>
      <c r="SQV52" s="6"/>
      <c r="SQW52" s="6"/>
      <c r="SQX52" s="6"/>
      <c r="SQY52" s="6"/>
      <c r="SQZ52" s="6"/>
      <c r="SRA52" s="6"/>
      <c r="SRB52" s="6"/>
      <c r="SRC52" s="6"/>
      <c r="SRD52" s="6"/>
      <c r="SRE52" s="6"/>
      <c r="SRF52" s="6"/>
      <c r="SRG52" s="6"/>
      <c r="SRH52" s="6"/>
      <c r="SRI52" s="6"/>
      <c r="SRJ52" s="6"/>
      <c r="SRK52" s="6"/>
      <c r="SRL52" s="6"/>
      <c r="SRM52" s="6"/>
      <c r="SRN52" s="6"/>
      <c r="SRO52" s="6"/>
      <c r="SRP52" s="6"/>
      <c r="SRQ52" s="6"/>
      <c r="SRR52" s="6"/>
      <c r="SRS52" s="6"/>
      <c r="SRT52" s="6"/>
      <c r="SRU52" s="6"/>
      <c r="SRV52" s="6"/>
      <c r="SRW52" s="6"/>
      <c r="SRX52" s="6"/>
      <c r="SRY52" s="6"/>
      <c r="SRZ52" s="6"/>
      <c r="SSA52" s="6"/>
      <c r="SSB52" s="6"/>
      <c r="SSC52" s="6"/>
      <c r="SSD52" s="6"/>
      <c r="SSE52" s="6"/>
      <c r="SSF52" s="6"/>
      <c r="SSG52" s="6"/>
      <c r="SSH52" s="6"/>
      <c r="SSI52" s="6"/>
      <c r="SSJ52" s="6"/>
      <c r="SSK52" s="6"/>
      <c r="SSL52" s="6"/>
      <c r="SSM52" s="6"/>
      <c r="SSN52" s="6"/>
      <c r="SSO52" s="6"/>
      <c r="SSP52" s="6"/>
      <c r="SSQ52" s="6"/>
      <c r="SSR52" s="6"/>
      <c r="SSS52" s="6"/>
      <c r="SST52" s="6"/>
      <c r="SSU52" s="6"/>
      <c r="SSV52" s="6"/>
      <c r="SSW52" s="6"/>
      <c r="SSX52" s="6"/>
      <c r="SSY52" s="6"/>
      <c r="SSZ52" s="6"/>
      <c r="STA52" s="6"/>
      <c r="STB52" s="6"/>
      <c r="STC52" s="6"/>
      <c r="STD52" s="6"/>
      <c r="STE52" s="6"/>
      <c r="STF52" s="6"/>
      <c r="STG52" s="6"/>
      <c r="STH52" s="6"/>
      <c r="STI52" s="6"/>
      <c r="STJ52" s="6"/>
      <c r="STK52" s="6"/>
      <c r="STL52" s="6"/>
      <c r="STM52" s="6"/>
      <c r="STN52" s="6"/>
      <c r="STO52" s="6"/>
      <c r="STP52" s="6"/>
      <c r="STQ52" s="6"/>
      <c r="STR52" s="6"/>
      <c r="STS52" s="6"/>
      <c r="STT52" s="6"/>
      <c r="STU52" s="6"/>
      <c r="STV52" s="6"/>
      <c r="STW52" s="6"/>
      <c r="STX52" s="6"/>
      <c r="STY52" s="6"/>
      <c r="STZ52" s="6"/>
      <c r="SUA52" s="6"/>
      <c r="SUB52" s="6"/>
      <c r="SUC52" s="6"/>
      <c r="SUD52" s="6"/>
      <c r="SUE52" s="6"/>
      <c r="SUF52" s="6"/>
      <c r="SUG52" s="6"/>
      <c r="SUH52" s="6"/>
      <c r="SUI52" s="6"/>
      <c r="SUJ52" s="6"/>
      <c r="SUK52" s="6"/>
      <c r="SUL52" s="6"/>
      <c r="SUM52" s="6"/>
      <c r="SUN52" s="6"/>
      <c r="SUO52" s="6"/>
      <c r="SUP52" s="6"/>
      <c r="SUQ52" s="6"/>
      <c r="SUR52" s="6"/>
      <c r="SUS52" s="6"/>
      <c r="SUT52" s="6"/>
      <c r="SUU52" s="6"/>
      <c r="SUV52" s="6"/>
      <c r="SUW52" s="6"/>
      <c r="SUX52" s="6"/>
      <c r="SUY52" s="6"/>
      <c r="SUZ52" s="6"/>
      <c r="SVA52" s="6"/>
      <c r="SVB52" s="6"/>
      <c r="SVC52" s="6"/>
      <c r="SVD52" s="6"/>
      <c r="SVE52" s="6"/>
      <c r="SVF52" s="6"/>
      <c r="SVG52" s="6"/>
      <c r="SVH52" s="6"/>
      <c r="SVI52" s="6"/>
      <c r="SVJ52" s="6"/>
      <c r="SVK52" s="6"/>
      <c r="SVL52" s="6"/>
      <c r="SVM52" s="6"/>
      <c r="SVN52" s="6"/>
      <c r="SVO52" s="6"/>
      <c r="SVP52" s="6"/>
      <c r="SVQ52" s="6"/>
      <c r="SVR52" s="6"/>
      <c r="SVS52" s="6"/>
      <c r="SVT52" s="6"/>
      <c r="SVU52" s="6"/>
      <c r="SVV52" s="6"/>
      <c r="SVW52" s="6"/>
      <c r="SVX52" s="6"/>
      <c r="SVY52" s="6"/>
      <c r="SVZ52" s="6"/>
      <c r="SWA52" s="6"/>
      <c r="SWB52" s="6"/>
      <c r="SWC52" s="6"/>
      <c r="SWD52" s="6"/>
      <c r="SWE52" s="6"/>
      <c r="SWF52" s="6"/>
      <c r="SWG52" s="6"/>
      <c r="SWH52" s="6"/>
      <c r="SWI52" s="6"/>
      <c r="SWJ52" s="6"/>
      <c r="SWK52" s="6"/>
      <c r="SWL52" s="6"/>
      <c r="SWM52" s="6"/>
      <c r="SWN52" s="6"/>
      <c r="SWO52" s="6"/>
      <c r="SWP52" s="6"/>
      <c r="SWQ52" s="6"/>
      <c r="SWR52" s="6"/>
      <c r="SWS52" s="6"/>
      <c r="SWT52" s="6"/>
      <c r="SWU52" s="6"/>
      <c r="SWV52" s="6"/>
      <c r="SWW52" s="6"/>
      <c r="SWX52" s="6"/>
      <c r="SWY52" s="6"/>
      <c r="SWZ52" s="6"/>
      <c r="SXA52" s="6"/>
      <c r="SXB52" s="6"/>
      <c r="SXC52" s="6"/>
      <c r="SXD52" s="6"/>
      <c r="SXE52" s="6"/>
      <c r="SXF52" s="6"/>
      <c r="SXG52" s="6"/>
      <c r="SXH52" s="6"/>
      <c r="SXI52" s="6"/>
      <c r="SXJ52" s="6"/>
      <c r="SXK52" s="6"/>
      <c r="SXL52" s="6"/>
      <c r="SXM52" s="6"/>
      <c r="SXN52" s="6"/>
      <c r="SXO52" s="6"/>
      <c r="SXP52" s="6"/>
      <c r="SXQ52" s="6"/>
      <c r="SXR52" s="6"/>
      <c r="SXS52" s="6"/>
      <c r="SXT52" s="6"/>
      <c r="SXU52" s="6"/>
      <c r="SXV52" s="6"/>
      <c r="SXW52" s="6"/>
      <c r="SXX52" s="6"/>
      <c r="SXY52" s="6"/>
      <c r="SXZ52" s="6"/>
      <c r="SYA52" s="6"/>
      <c r="SYB52" s="6"/>
      <c r="SYC52" s="6"/>
      <c r="SYD52" s="6"/>
      <c r="SYE52" s="6"/>
      <c r="SYF52" s="6"/>
      <c r="SYG52" s="6"/>
      <c r="SYH52" s="6"/>
      <c r="SYI52" s="6"/>
      <c r="SYJ52" s="6"/>
      <c r="SYK52" s="6"/>
      <c r="SYL52" s="6"/>
      <c r="SYM52" s="6"/>
      <c r="SYN52" s="6"/>
      <c r="SYO52" s="6"/>
      <c r="SYP52" s="6"/>
      <c r="SYQ52" s="6"/>
      <c r="SYR52" s="6"/>
      <c r="SYS52" s="6"/>
      <c r="SYT52" s="6"/>
      <c r="SYU52" s="6"/>
      <c r="SYV52" s="6"/>
      <c r="SYW52" s="6"/>
      <c r="SYX52" s="6"/>
      <c r="SYY52" s="6"/>
      <c r="SYZ52" s="6"/>
      <c r="SZA52" s="6"/>
      <c r="SZB52" s="6"/>
      <c r="SZC52" s="6"/>
      <c r="SZD52" s="6"/>
      <c r="SZE52" s="6"/>
      <c r="SZF52" s="6"/>
      <c r="SZG52" s="6"/>
      <c r="SZH52" s="6"/>
      <c r="SZI52" s="6"/>
      <c r="SZJ52" s="6"/>
      <c r="SZK52" s="6"/>
      <c r="SZL52" s="6"/>
      <c r="SZM52" s="6"/>
      <c r="SZN52" s="6"/>
      <c r="SZO52" s="6"/>
      <c r="SZP52" s="6"/>
      <c r="SZQ52" s="6"/>
      <c r="SZR52" s="6"/>
      <c r="SZS52" s="6"/>
      <c r="SZT52" s="6"/>
      <c r="SZU52" s="6"/>
      <c r="SZV52" s="6"/>
      <c r="SZW52" s="6"/>
      <c r="SZX52" s="6"/>
      <c r="SZY52" s="6"/>
      <c r="SZZ52" s="6"/>
      <c r="TAA52" s="6"/>
      <c r="TAB52" s="6"/>
      <c r="TAC52" s="6"/>
      <c r="TAD52" s="6"/>
      <c r="TAE52" s="6"/>
      <c r="TAF52" s="6"/>
      <c r="TAG52" s="6"/>
      <c r="TAH52" s="6"/>
      <c r="TAI52" s="6"/>
      <c r="TAJ52" s="6"/>
      <c r="TAK52" s="6"/>
      <c r="TAL52" s="6"/>
      <c r="TAM52" s="6"/>
      <c r="TAN52" s="6"/>
      <c r="TAO52" s="6"/>
      <c r="TAP52" s="6"/>
      <c r="TAQ52" s="6"/>
      <c r="TAR52" s="6"/>
      <c r="TAS52" s="6"/>
      <c r="TAT52" s="6"/>
      <c r="TAU52" s="6"/>
      <c r="TAV52" s="6"/>
      <c r="TAW52" s="6"/>
      <c r="TAX52" s="6"/>
      <c r="TAY52" s="6"/>
      <c r="TAZ52" s="6"/>
      <c r="TBA52" s="6"/>
      <c r="TBB52" s="6"/>
      <c r="TBC52" s="6"/>
      <c r="TBD52" s="6"/>
      <c r="TBE52" s="6"/>
      <c r="TBF52" s="6"/>
      <c r="TBG52" s="6"/>
      <c r="TBH52" s="6"/>
      <c r="TBI52" s="6"/>
      <c r="TBJ52" s="6"/>
      <c r="TBK52" s="6"/>
      <c r="TBL52" s="6"/>
      <c r="TBM52" s="6"/>
      <c r="TBN52" s="6"/>
      <c r="TBO52" s="6"/>
      <c r="TBP52" s="6"/>
      <c r="TBQ52" s="6"/>
      <c r="TBR52" s="6"/>
      <c r="TBS52" s="6"/>
      <c r="TBT52" s="6"/>
      <c r="TBU52" s="6"/>
      <c r="TBV52" s="6"/>
      <c r="TBW52" s="6"/>
      <c r="TBX52" s="6"/>
      <c r="TBY52" s="6"/>
      <c r="TBZ52" s="6"/>
      <c r="TCA52" s="6"/>
      <c r="TCB52" s="6"/>
      <c r="TCC52" s="6"/>
      <c r="TCD52" s="6"/>
      <c r="TCE52" s="6"/>
      <c r="TCF52" s="6"/>
      <c r="TCG52" s="6"/>
      <c r="TCH52" s="6"/>
      <c r="TCI52" s="6"/>
      <c r="TCJ52" s="6"/>
      <c r="TCK52" s="6"/>
      <c r="TCL52" s="6"/>
      <c r="TCM52" s="6"/>
      <c r="TCN52" s="6"/>
      <c r="TCO52" s="6"/>
      <c r="TCP52" s="6"/>
      <c r="TCQ52" s="6"/>
      <c r="TCR52" s="6"/>
      <c r="TCS52" s="6"/>
      <c r="TCT52" s="6"/>
      <c r="TCU52" s="6"/>
      <c r="TCV52" s="6"/>
      <c r="TCW52" s="6"/>
      <c r="TCX52" s="6"/>
      <c r="TCY52" s="6"/>
      <c r="TCZ52" s="6"/>
      <c r="TDA52" s="6"/>
      <c r="TDB52" s="6"/>
      <c r="TDC52" s="6"/>
      <c r="TDD52" s="6"/>
      <c r="TDE52" s="6"/>
      <c r="TDF52" s="6"/>
      <c r="TDG52" s="6"/>
      <c r="TDH52" s="6"/>
      <c r="TDI52" s="6"/>
      <c r="TDJ52" s="6"/>
      <c r="TDK52" s="6"/>
      <c r="TDL52" s="6"/>
      <c r="TDM52" s="6"/>
      <c r="TDN52" s="6"/>
      <c r="TDO52" s="6"/>
      <c r="TDP52" s="6"/>
      <c r="TDQ52" s="6"/>
      <c r="TDR52" s="6"/>
      <c r="TDS52" s="6"/>
      <c r="TDT52" s="6"/>
      <c r="TDU52" s="6"/>
      <c r="TDV52" s="6"/>
      <c r="TDW52" s="6"/>
      <c r="TDX52" s="6"/>
      <c r="TDY52" s="6"/>
      <c r="TDZ52" s="6"/>
      <c r="TEA52" s="6"/>
      <c r="TEB52" s="6"/>
      <c r="TEC52" s="6"/>
      <c r="TED52" s="6"/>
      <c r="TEE52" s="6"/>
      <c r="TEF52" s="6"/>
      <c r="TEG52" s="6"/>
      <c r="TEH52" s="6"/>
      <c r="TEI52" s="6"/>
      <c r="TEJ52" s="6"/>
      <c r="TEK52" s="6"/>
      <c r="TEL52" s="6"/>
      <c r="TEM52" s="6"/>
      <c r="TEN52" s="6"/>
      <c r="TEO52" s="6"/>
      <c r="TEP52" s="6"/>
      <c r="TEQ52" s="6"/>
      <c r="TER52" s="6"/>
      <c r="TES52" s="6"/>
      <c r="TET52" s="6"/>
      <c r="TEU52" s="6"/>
      <c r="TEV52" s="6"/>
      <c r="TEW52" s="6"/>
      <c r="TEX52" s="6"/>
      <c r="TEY52" s="6"/>
      <c r="TEZ52" s="6"/>
      <c r="TFA52" s="6"/>
      <c r="TFB52" s="6"/>
      <c r="TFC52" s="6"/>
      <c r="TFD52" s="6"/>
      <c r="TFE52" s="6"/>
      <c r="TFF52" s="6"/>
      <c r="TFG52" s="6"/>
      <c r="TFH52" s="6"/>
      <c r="TFI52" s="6"/>
      <c r="TFJ52" s="6"/>
      <c r="TFK52" s="6"/>
      <c r="TFL52" s="6"/>
      <c r="TFM52" s="6"/>
      <c r="TFN52" s="6"/>
      <c r="TFO52" s="6"/>
      <c r="TFP52" s="6"/>
      <c r="TFQ52" s="6"/>
      <c r="TFR52" s="6"/>
      <c r="TFS52" s="6"/>
      <c r="TFT52" s="6"/>
      <c r="TFU52" s="6"/>
      <c r="TFV52" s="6"/>
      <c r="TFW52" s="6"/>
      <c r="TFX52" s="6"/>
      <c r="TFY52" s="6"/>
      <c r="TFZ52" s="6"/>
      <c r="TGA52" s="6"/>
      <c r="TGB52" s="6"/>
      <c r="TGC52" s="6"/>
      <c r="TGD52" s="6"/>
      <c r="TGE52" s="6"/>
      <c r="TGF52" s="6"/>
      <c r="TGG52" s="6"/>
      <c r="TGH52" s="6"/>
      <c r="TGI52" s="6"/>
      <c r="TGJ52" s="6"/>
      <c r="TGK52" s="6"/>
      <c r="TGL52" s="6"/>
      <c r="TGM52" s="6"/>
      <c r="TGN52" s="6"/>
      <c r="TGO52" s="6"/>
      <c r="TGP52" s="6"/>
      <c r="TGQ52" s="6"/>
      <c r="TGR52" s="6"/>
      <c r="TGS52" s="6"/>
      <c r="TGT52" s="6"/>
      <c r="TGU52" s="6"/>
      <c r="TGV52" s="6"/>
      <c r="TGW52" s="6"/>
      <c r="TGX52" s="6"/>
      <c r="TGY52" s="6"/>
      <c r="TGZ52" s="6"/>
      <c r="THA52" s="6"/>
      <c r="THB52" s="6"/>
      <c r="THC52" s="6"/>
      <c r="THD52" s="6"/>
      <c r="THE52" s="6"/>
      <c r="THF52" s="6"/>
      <c r="THG52" s="6"/>
      <c r="THH52" s="6"/>
      <c r="THI52" s="6"/>
      <c r="THJ52" s="6"/>
      <c r="THK52" s="6"/>
      <c r="THL52" s="6"/>
      <c r="THM52" s="6"/>
      <c r="THN52" s="6"/>
      <c r="THO52" s="6"/>
      <c r="THP52" s="6"/>
      <c r="THQ52" s="6"/>
      <c r="THR52" s="6"/>
      <c r="THS52" s="6"/>
      <c r="THT52" s="6"/>
      <c r="THU52" s="6"/>
      <c r="THV52" s="6"/>
      <c r="THW52" s="6"/>
      <c r="THX52" s="6"/>
      <c r="THY52" s="6"/>
      <c r="THZ52" s="6"/>
      <c r="TIA52" s="6"/>
      <c r="TIB52" s="6"/>
      <c r="TIC52" s="6"/>
      <c r="TID52" s="6"/>
      <c r="TIE52" s="6"/>
      <c r="TIF52" s="6"/>
      <c r="TIG52" s="6"/>
      <c r="TIH52" s="6"/>
      <c r="TII52" s="6"/>
      <c r="TIJ52" s="6"/>
      <c r="TIK52" s="6"/>
      <c r="TIL52" s="6"/>
      <c r="TIM52" s="6"/>
      <c r="TIN52" s="6"/>
      <c r="TIO52" s="6"/>
      <c r="TIP52" s="6"/>
      <c r="TIQ52" s="6"/>
      <c r="TIR52" s="6"/>
      <c r="TIS52" s="6"/>
      <c r="TIT52" s="6"/>
      <c r="TIU52" s="6"/>
      <c r="TIV52" s="6"/>
      <c r="TIW52" s="6"/>
      <c r="TIX52" s="6"/>
      <c r="TIY52" s="6"/>
      <c r="TIZ52" s="6"/>
      <c r="TJA52" s="6"/>
      <c r="TJB52" s="6"/>
      <c r="TJC52" s="6"/>
      <c r="TJD52" s="6"/>
      <c r="TJE52" s="6"/>
      <c r="TJF52" s="6"/>
      <c r="TJG52" s="6"/>
      <c r="TJH52" s="6"/>
      <c r="TJI52" s="6"/>
      <c r="TJJ52" s="6"/>
      <c r="TJK52" s="6"/>
      <c r="TJL52" s="6"/>
      <c r="TJM52" s="6"/>
      <c r="TJN52" s="6"/>
      <c r="TJO52" s="6"/>
      <c r="TJP52" s="6"/>
      <c r="TJQ52" s="6"/>
      <c r="TJR52" s="6"/>
      <c r="TJS52" s="6"/>
      <c r="TJT52" s="6"/>
      <c r="TJU52" s="6"/>
      <c r="TJV52" s="6"/>
      <c r="TJW52" s="6"/>
      <c r="TJX52" s="6"/>
      <c r="TJY52" s="6"/>
      <c r="TJZ52" s="6"/>
      <c r="TKA52" s="6"/>
      <c r="TKB52" s="6"/>
      <c r="TKC52" s="6"/>
      <c r="TKD52" s="6"/>
      <c r="TKE52" s="6"/>
      <c r="TKF52" s="6"/>
      <c r="TKG52" s="6"/>
      <c r="TKH52" s="6"/>
      <c r="TKI52" s="6"/>
      <c r="TKJ52" s="6"/>
      <c r="TKK52" s="6"/>
      <c r="TKL52" s="6"/>
      <c r="TKM52" s="6"/>
      <c r="TKN52" s="6"/>
      <c r="TKO52" s="6"/>
      <c r="TKP52" s="6"/>
      <c r="TKQ52" s="6"/>
      <c r="TKR52" s="6"/>
      <c r="TKS52" s="6"/>
      <c r="TKT52" s="6"/>
      <c r="TKU52" s="6"/>
      <c r="TKV52" s="6"/>
      <c r="TKW52" s="6"/>
      <c r="TKX52" s="6"/>
      <c r="TKY52" s="6"/>
      <c r="TKZ52" s="6"/>
      <c r="TLA52" s="6"/>
      <c r="TLB52" s="6"/>
      <c r="TLC52" s="6"/>
      <c r="TLD52" s="6"/>
      <c r="TLE52" s="6"/>
      <c r="TLF52" s="6"/>
      <c r="TLG52" s="6"/>
      <c r="TLH52" s="6"/>
      <c r="TLI52" s="6"/>
      <c r="TLJ52" s="6"/>
      <c r="TLK52" s="6"/>
      <c r="TLL52" s="6"/>
      <c r="TLM52" s="6"/>
      <c r="TLN52" s="6"/>
      <c r="TLO52" s="6"/>
      <c r="TLP52" s="6"/>
      <c r="TLQ52" s="6"/>
      <c r="TLR52" s="6"/>
      <c r="TLS52" s="6"/>
      <c r="TLT52" s="6"/>
      <c r="TLU52" s="6"/>
      <c r="TLV52" s="6"/>
      <c r="TLW52" s="6"/>
      <c r="TLX52" s="6"/>
      <c r="TLY52" s="6"/>
      <c r="TLZ52" s="6"/>
      <c r="TMA52" s="6"/>
      <c r="TMB52" s="6"/>
      <c r="TMC52" s="6"/>
      <c r="TMD52" s="6"/>
      <c r="TME52" s="6"/>
      <c r="TMF52" s="6"/>
      <c r="TMG52" s="6"/>
      <c r="TMH52" s="6"/>
      <c r="TMI52" s="6"/>
      <c r="TMJ52" s="6"/>
      <c r="TMK52" s="6"/>
      <c r="TML52" s="6"/>
      <c r="TMM52" s="6"/>
      <c r="TMN52" s="6"/>
      <c r="TMO52" s="6"/>
      <c r="TMP52" s="6"/>
      <c r="TMQ52" s="6"/>
      <c r="TMR52" s="6"/>
      <c r="TMS52" s="6"/>
      <c r="TMT52" s="6"/>
      <c r="TMU52" s="6"/>
      <c r="TMV52" s="6"/>
      <c r="TMW52" s="6"/>
      <c r="TMX52" s="6"/>
      <c r="TMY52" s="6"/>
      <c r="TMZ52" s="6"/>
      <c r="TNA52" s="6"/>
      <c r="TNB52" s="6"/>
      <c r="TNC52" s="6"/>
      <c r="TND52" s="6"/>
      <c r="TNE52" s="6"/>
      <c r="TNF52" s="6"/>
      <c r="TNG52" s="6"/>
      <c r="TNH52" s="6"/>
      <c r="TNI52" s="6"/>
      <c r="TNJ52" s="6"/>
      <c r="TNK52" s="6"/>
      <c r="TNL52" s="6"/>
      <c r="TNM52" s="6"/>
      <c r="TNN52" s="6"/>
      <c r="TNO52" s="6"/>
      <c r="TNP52" s="6"/>
      <c r="TNQ52" s="6"/>
      <c r="TNR52" s="6"/>
      <c r="TNS52" s="6"/>
      <c r="TNT52" s="6"/>
      <c r="TNU52" s="6"/>
      <c r="TNV52" s="6"/>
      <c r="TNW52" s="6"/>
      <c r="TNX52" s="6"/>
      <c r="TNY52" s="6"/>
      <c r="TNZ52" s="6"/>
      <c r="TOA52" s="6"/>
      <c r="TOB52" s="6"/>
      <c r="TOC52" s="6"/>
      <c r="TOD52" s="6"/>
      <c r="TOE52" s="6"/>
      <c r="TOF52" s="6"/>
      <c r="TOG52" s="6"/>
      <c r="TOH52" s="6"/>
      <c r="TOI52" s="6"/>
      <c r="TOJ52" s="6"/>
      <c r="TOK52" s="6"/>
      <c r="TOL52" s="6"/>
      <c r="TOM52" s="6"/>
      <c r="TON52" s="6"/>
      <c r="TOO52" s="6"/>
      <c r="TOP52" s="6"/>
      <c r="TOQ52" s="6"/>
      <c r="TOR52" s="6"/>
      <c r="TOS52" s="6"/>
      <c r="TOT52" s="6"/>
      <c r="TOU52" s="6"/>
      <c r="TOV52" s="6"/>
      <c r="TOW52" s="6"/>
      <c r="TOX52" s="6"/>
      <c r="TOY52" s="6"/>
      <c r="TOZ52" s="6"/>
      <c r="TPA52" s="6"/>
      <c r="TPB52" s="6"/>
      <c r="TPC52" s="6"/>
      <c r="TPD52" s="6"/>
      <c r="TPE52" s="6"/>
      <c r="TPF52" s="6"/>
      <c r="TPG52" s="6"/>
      <c r="TPH52" s="6"/>
      <c r="TPI52" s="6"/>
      <c r="TPJ52" s="6"/>
      <c r="TPK52" s="6"/>
      <c r="TPL52" s="6"/>
      <c r="TPM52" s="6"/>
      <c r="TPN52" s="6"/>
      <c r="TPO52" s="6"/>
      <c r="TPP52" s="6"/>
      <c r="TPQ52" s="6"/>
      <c r="TPR52" s="6"/>
      <c r="TPS52" s="6"/>
      <c r="TPT52" s="6"/>
      <c r="TPU52" s="6"/>
      <c r="TPV52" s="6"/>
      <c r="TPW52" s="6"/>
      <c r="TPX52" s="6"/>
      <c r="TPY52" s="6"/>
      <c r="TPZ52" s="6"/>
      <c r="TQA52" s="6"/>
      <c r="TQB52" s="6"/>
      <c r="TQC52" s="6"/>
      <c r="TQD52" s="6"/>
      <c r="TQE52" s="6"/>
      <c r="TQF52" s="6"/>
      <c r="TQG52" s="6"/>
      <c r="TQH52" s="6"/>
      <c r="TQI52" s="6"/>
      <c r="TQJ52" s="6"/>
      <c r="TQK52" s="6"/>
      <c r="TQL52" s="6"/>
      <c r="TQM52" s="6"/>
      <c r="TQN52" s="6"/>
      <c r="TQO52" s="6"/>
      <c r="TQP52" s="6"/>
      <c r="TQQ52" s="6"/>
      <c r="TQR52" s="6"/>
      <c r="TQS52" s="6"/>
      <c r="TQT52" s="6"/>
      <c r="TQU52" s="6"/>
      <c r="TQV52" s="6"/>
      <c r="TQW52" s="6"/>
      <c r="TQX52" s="6"/>
      <c r="TQY52" s="6"/>
      <c r="TQZ52" s="6"/>
      <c r="TRA52" s="6"/>
      <c r="TRB52" s="6"/>
      <c r="TRC52" s="6"/>
      <c r="TRD52" s="6"/>
      <c r="TRE52" s="6"/>
      <c r="TRF52" s="6"/>
      <c r="TRG52" s="6"/>
      <c r="TRH52" s="6"/>
      <c r="TRI52" s="6"/>
      <c r="TRJ52" s="6"/>
      <c r="TRK52" s="6"/>
      <c r="TRL52" s="6"/>
      <c r="TRM52" s="6"/>
      <c r="TRN52" s="6"/>
      <c r="TRO52" s="6"/>
      <c r="TRP52" s="6"/>
      <c r="TRQ52" s="6"/>
      <c r="TRR52" s="6"/>
      <c r="TRS52" s="6"/>
      <c r="TRT52" s="6"/>
      <c r="TRU52" s="6"/>
      <c r="TRV52" s="6"/>
      <c r="TRW52" s="6"/>
      <c r="TRX52" s="6"/>
      <c r="TRY52" s="6"/>
      <c r="TRZ52" s="6"/>
      <c r="TSA52" s="6"/>
      <c r="TSB52" s="6"/>
      <c r="TSC52" s="6"/>
      <c r="TSD52" s="6"/>
      <c r="TSE52" s="6"/>
      <c r="TSF52" s="6"/>
      <c r="TSG52" s="6"/>
      <c r="TSH52" s="6"/>
      <c r="TSI52" s="6"/>
      <c r="TSJ52" s="6"/>
      <c r="TSK52" s="6"/>
      <c r="TSL52" s="6"/>
      <c r="TSM52" s="6"/>
      <c r="TSN52" s="6"/>
      <c r="TSO52" s="6"/>
      <c r="TSP52" s="6"/>
      <c r="TSQ52" s="6"/>
      <c r="TSR52" s="6"/>
      <c r="TSS52" s="6"/>
      <c r="TST52" s="6"/>
      <c r="TSU52" s="6"/>
      <c r="TSV52" s="6"/>
      <c r="TSW52" s="6"/>
      <c r="TSX52" s="6"/>
      <c r="TSY52" s="6"/>
      <c r="TSZ52" s="6"/>
      <c r="TTA52" s="6"/>
      <c r="TTB52" s="6"/>
      <c r="TTC52" s="6"/>
      <c r="TTD52" s="6"/>
      <c r="TTE52" s="6"/>
      <c r="TTF52" s="6"/>
      <c r="TTG52" s="6"/>
      <c r="TTH52" s="6"/>
      <c r="TTI52" s="6"/>
      <c r="TTJ52" s="6"/>
      <c r="TTK52" s="6"/>
      <c r="TTL52" s="6"/>
      <c r="TTM52" s="6"/>
      <c r="TTN52" s="6"/>
      <c r="TTO52" s="6"/>
      <c r="TTP52" s="6"/>
      <c r="TTQ52" s="6"/>
      <c r="TTR52" s="6"/>
      <c r="TTS52" s="6"/>
      <c r="TTT52" s="6"/>
      <c r="TTU52" s="6"/>
      <c r="TTV52" s="6"/>
      <c r="TTW52" s="6"/>
      <c r="TTX52" s="6"/>
      <c r="TTY52" s="6"/>
      <c r="TTZ52" s="6"/>
      <c r="TUA52" s="6"/>
      <c r="TUB52" s="6"/>
      <c r="TUC52" s="6"/>
      <c r="TUD52" s="6"/>
      <c r="TUE52" s="6"/>
      <c r="TUF52" s="6"/>
      <c r="TUG52" s="6"/>
      <c r="TUH52" s="6"/>
      <c r="TUI52" s="6"/>
      <c r="TUJ52" s="6"/>
      <c r="TUK52" s="6"/>
      <c r="TUL52" s="6"/>
      <c r="TUM52" s="6"/>
      <c r="TUN52" s="6"/>
      <c r="TUO52" s="6"/>
      <c r="TUP52" s="6"/>
      <c r="TUQ52" s="6"/>
      <c r="TUR52" s="6"/>
      <c r="TUS52" s="6"/>
      <c r="TUT52" s="6"/>
      <c r="TUU52" s="6"/>
      <c r="TUV52" s="6"/>
      <c r="TUW52" s="6"/>
      <c r="TUX52" s="6"/>
      <c r="TUY52" s="6"/>
      <c r="TUZ52" s="6"/>
      <c r="TVA52" s="6"/>
      <c r="TVB52" s="6"/>
      <c r="TVC52" s="6"/>
      <c r="TVD52" s="6"/>
      <c r="TVE52" s="6"/>
      <c r="TVF52" s="6"/>
      <c r="TVG52" s="6"/>
      <c r="TVH52" s="6"/>
      <c r="TVI52" s="6"/>
      <c r="TVJ52" s="6"/>
      <c r="TVK52" s="6"/>
      <c r="TVL52" s="6"/>
      <c r="TVM52" s="6"/>
      <c r="TVN52" s="6"/>
      <c r="TVO52" s="6"/>
      <c r="TVP52" s="6"/>
      <c r="TVQ52" s="6"/>
      <c r="TVR52" s="6"/>
      <c r="TVS52" s="6"/>
      <c r="TVT52" s="6"/>
      <c r="TVU52" s="6"/>
      <c r="TVV52" s="6"/>
      <c r="TVW52" s="6"/>
      <c r="TVX52" s="6"/>
      <c r="TVY52" s="6"/>
      <c r="TVZ52" s="6"/>
      <c r="TWA52" s="6"/>
      <c r="TWB52" s="6"/>
      <c r="TWC52" s="6"/>
      <c r="TWD52" s="6"/>
      <c r="TWE52" s="6"/>
      <c r="TWF52" s="6"/>
      <c r="TWG52" s="6"/>
      <c r="TWH52" s="6"/>
      <c r="TWI52" s="6"/>
      <c r="TWJ52" s="6"/>
      <c r="TWK52" s="6"/>
      <c r="TWL52" s="6"/>
      <c r="TWM52" s="6"/>
      <c r="TWN52" s="6"/>
      <c r="TWO52" s="6"/>
      <c r="TWP52" s="6"/>
      <c r="TWQ52" s="6"/>
      <c r="TWR52" s="6"/>
      <c r="TWS52" s="6"/>
      <c r="TWT52" s="6"/>
      <c r="TWU52" s="6"/>
      <c r="TWV52" s="6"/>
      <c r="TWW52" s="6"/>
      <c r="TWX52" s="6"/>
      <c r="TWY52" s="6"/>
      <c r="TWZ52" s="6"/>
      <c r="TXA52" s="6"/>
      <c r="TXB52" s="6"/>
      <c r="TXC52" s="6"/>
      <c r="TXD52" s="6"/>
      <c r="TXE52" s="6"/>
      <c r="TXF52" s="6"/>
      <c r="TXG52" s="6"/>
      <c r="TXH52" s="6"/>
      <c r="TXI52" s="6"/>
      <c r="TXJ52" s="6"/>
      <c r="TXK52" s="6"/>
      <c r="TXL52" s="6"/>
      <c r="TXM52" s="6"/>
      <c r="TXN52" s="6"/>
      <c r="TXO52" s="6"/>
      <c r="TXP52" s="6"/>
      <c r="TXQ52" s="6"/>
      <c r="TXR52" s="6"/>
      <c r="TXS52" s="6"/>
      <c r="TXT52" s="6"/>
      <c r="TXU52" s="6"/>
      <c r="TXV52" s="6"/>
      <c r="TXW52" s="6"/>
      <c r="TXX52" s="6"/>
      <c r="TXY52" s="6"/>
      <c r="TXZ52" s="6"/>
      <c r="TYA52" s="6"/>
      <c r="TYB52" s="6"/>
      <c r="TYC52" s="6"/>
      <c r="TYD52" s="6"/>
      <c r="TYE52" s="6"/>
      <c r="TYF52" s="6"/>
      <c r="TYG52" s="6"/>
      <c r="TYH52" s="6"/>
      <c r="TYI52" s="6"/>
      <c r="TYJ52" s="6"/>
      <c r="TYK52" s="6"/>
      <c r="TYL52" s="6"/>
      <c r="TYM52" s="6"/>
      <c r="TYN52" s="6"/>
      <c r="TYO52" s="6"/>
      <c r="TYP52" s="6"/>
      <c r="TYQ52" s="6"/>
      <c r="TYR52" s="6"/>
      <c r="TYS52" s="6"/>
      <c r="TYT52" s="6"/>
      <c r="TYU52" s="6"/>
      <c r="TYV52" s="6"/>
      <c r="TYW52" s="6"/>
      <c r="TYX52" s="6"/>
      <c r="TYY52" s="6"/>
      <c r="TYZ52" s="6"/>
      <c r="TZA52" s="6"/>
      <c r="TZB52" s="6"/>
      <c r="TZC52" s="6"/>
      <c r="TZD52" s="6"/>
      <c r="TZE52" s="6"/>
      <c r="TZF52" s="6"/>
      <c r="TZG52" s="6"/>
      <c r="TZH52" s="6"/>
      <c r="TZI52" s="6"/>
      <c r="TZJ52" s="6"/>
      <c r="TZK52" s="6"/>
      <c r="TZL52" s="6"/>
      <c r="TZM52" s="6"/>
      <c r="TZN52" s="6"/>
      <c r="TZO52" s="6"/>
      <c r="TZP52" s="6"/>
      <c r="TZQ52" s="6"/>
      <c r="TZR52" s="6"/>
      <c r="TZS52" s="6"/>
      <c r="TZT52" s="6"/>
      <c r="TZU52" s="6"/>
      <c r="TZV52" s="6"/>
      <c r="TZW52" s="6"/>
      <c r="TZX52" s="6"/>
      <c r="TZY52" s="6"/>
      <c r="TZZ52" s="6"/>
      <c r="UAA52" s="6"/>
      <c r="UAB52" s="6"/>
      <c r="UAC52" s="6"/>
      <c r="UAD52" s="6"/>
      <c r="UAE52" s="6"/>
      <c r="UAF52" s="6"/>
      <c r="UAG52" s="6"/>
      <c r="UAH52" s="6"/>
      <c r="UAI52" s="6"/>
      <c r="UAJ52" s="6"/>
      <c r="UAK52" s="6"/>
      <c r="UAL52" s="6"/>
      <c r="UAM52" s="6"/>
      <c r="UAN52" s="6"/>
      <c r="UAO52" s="6"/>
      <c r="UAP52" s="6"/>
      <c r="UAQ52" s="6"/>
      <c r="UAR52" s="6"/>
      <c r="UAS52" s="6"/>
      <c r="UAT52" s="6"/>
      <c r="UAU52" s="6"/>
      <c r="UAV52" s="6"/>
      <c r="UAW52" s="6"/>
      <c r="UAX52" s="6"/>
      <c r="UAY52" s="6"/>
      <c r="UAZ52" s="6"/>
      <c r="UBA52" s="6"/>
      <c r="UBB52" s="6"/>
      <c r="UBC52" s="6"/>
      <c r="UBD52" s="6"/>
      <c r="UBE52" s="6"/>
      <c r="UBF52" s="6"/>
      <c r="UBG52" s="6"/>
      <c r="UBH52" s="6"/>
      <c r="UBI52" s="6"/>
      <c r="UBJ52" s="6"/>
      <c r="UBK52" s="6"/>
      <c r="UBL52" s="6"/>
      <c r="UBM52" s="6"/>
      <c r="UBN52" s="6"/>
      <c r="UBO52" s="6"/>
      <c r="UBP52" s="6"/>
      <c r="UBQ52" s="6"/>
      <c r="UBR52" s="6"/>
      <c r="UBS52" s="6"/>
      <c r="UBT52" s="6"/>
      <c r="UBU52" s="6"/>
      <c r="UBV52" s="6"/>
      <c r="UBW52" s="6"/>
      <c r="UBX52" s="6"/>
      <c r="UBY52" s="6"/>
      <c r="UBZ52" s="6"/>
      <c r="UCA52" s="6"/>
      <c r="UCB52" s="6"/>
      <c r="UCC52" s="6"/>
      <c r="UCD52" s="6"/>
      <c r="UCE52" s="6"/>
      <c r="UCF52" s="6"/>
      <c r="UCG52" s="6"/>
      <c r="UCH52" s="6"/>
      <c r="UCI52" s="6"/>
      <c r="UCJ52" s="6"/>
      <c r="UCK52" s="6"/>
      <c r="UCL52" s="6"/>
      <c r="UCM52" s="6"/>
      <c r="UCN52" s="6"/>
      <c r="UCO52" s="6"/>
      <c r="UCP52" s="6"/>
      <c r="UCQ52" s="6"/>
      <c r="UCR52" s="6"/>
      <c r="UCS52" s="6"/>
      <c r="UCT52" s="6"/>
      <c r="UCU52" s="6"/>
      <c r="UCV52" s="6"/>
      <c r="UCW52" s="6"/>
      <c r="UCX52" s="6"/>
      <c r="UCY52" s="6"/>
      <c r="UCZ52" s="6"/>
      <c r="UDA52" s="6"/>
      <c r="UDB52" s="6"/>
      <c r="UDC52" s="6"/>
      <c r="UDD52" s="6"/>
      <c r="UDE52" s="6"/>
      <c r="UDF52" s="6"/>
      <c r="UDG52" s="6"/>
      <c r="UDH52" s="6"/>
      <c r="UDI52" s="6"/>
      <c r="UDJ52" s="6"/>
      <c r="UDK52" s="6"/>
      <c r="UDL52" s="6"/>
      <c r="UDM52" s="6"/>
      <c r="UDN52" s="6"/>
      <c r="UDO52" s="6"/>
      <c r="UDP52" s="6"/>
      <c r="UDQ52" s="6"/>
      <c r="UDR52" s="6"/>
      <c r="UDS52" s="6"/>
      <c r="UDT52" s="6"/>
      <c r="UDU52" s="6"/>
      <c r="UDV52" s="6"/>
      <c r="UDW52" s="6"/>
      <c r="UDX52" s="6"/>
      <c r="UDY52" s="6"/>
      <c r="UDZ52" s="6"/>
      <c r="UEA52" s="6"/>
      <c r="UEB52" s="6"/>
      <c r="UEC52" s="6"/>
      <c r="UED52" s="6"/>
      <c r="UEE52" s="6"/>
      <c r="UEF52" s="6"/>
      <c r="UEG52" s="6"/>
      <c r="UEH52" s="6"/>
      <c r="UEI52" s="6"/>
      <c r="UEJ52" s="6"/>
      <c r="UEK52" s="6"/>
      <c r="UEL52" s="6"/>
      <c r="UEM52" s="6"/>
      <c r="UEN52" s="6"/>
      <c r="UEO52" s="6"/>
      <c r="UEP52" s="6"/>
      <c r="UEQ52" s="6"/>
      <c r="UER52" s="6"/>
      <c r="UES52" s="6"/>
      <c r="UET52" s="6"/>
      <c r="UEU52" s="6"/>
      <c r="UEV52" s="6"/>
      <c r="UEW52" s="6"/>
      <c r="UEX52" s="6"/>
      <c r="UEY52" s="6"/>
      <c r="UEZ52" s="6"/>
      <c r="UFA52" s="6"/>
      <c r="UFB52" s="6"/>
      <c r="UFC52" s="6"/>
      <c r="UFD52" s="6"/>
      <c r="UFE52" s="6"/>
      <c r="UFF52" s="6"/>
      <c r="UFG52" s="6"/>
      <c r="UFH52" s="6"/>
      <c r="UFI52" s="6"/>
      <c r="UFJ52" s="6"/>
      <c r="UFK52" s="6"/>
      <c r="UFL52" s="6"/>
      <c r="UFM52" s="6"/>
      <c r="UFN52" s="6"/>
      <c r="UFO52" s="6"/>
      <c r="UFP52" s="6"/>
      <c r="UFQ52" s="6"/>
      <c r="UFR52" s="6"/>
      <c r="UFS52" s="6"/>
      <c r="UFT52" s="6"/>
      <c r="UFU52" s="6"/>
      <c r="UFV52" s="6"/>
      <c r="UFW52" s="6"/>
      <c r="UFX52" s="6"/>
      <c r="UFY52" s="6"/>
      <c r="UFZ52" s="6"/>
      <c r="UGA52" s="6"/>
      <c r="UGB52" s="6"/>
      <c r="UGC52" s="6"/>
      <c r="UGD52" s="6"/>
      <c r="UGE52" s="6"/>
      <c r="UGF52" s="6"/>
      <c r="UGG52" s="6"/>
      <c r="UGH52" s="6"/>
      <c r="UGI52" s="6"/>
      <c r="UGJ52" s="6"/>
      <c r="UGK52" s="6"/>
      <c r="UGL52" s="6"/>
      <c r="UGM52" s="6"/>
      <c r="UGN52" s="6"/>
      <c r="UGO52" s="6"/>
      <c r="UGP52" s="6"/>
      <c r="UGQ52" s="6"/>
      <c r="UGR52" s="6"/>
      <c r="UGS52" s="6"/>
      <c r="UGT52" s="6"/>
      <c r="UGU52" s="6"/>
      <c r="UGV52" s="6"/>
      <c r="UGW52" s="6"/>
      <c r="UGX52" s="6"/>
      <c r="UGY52" s="6"/>
      <c r="UGZ52" s="6"/>
      <c r="UHA52" s="6"/>
      <c r="UHB52" s="6"/>
      <c r="UHC52" s="6"/>
      <c r="UHD52" s="6"/>
      <c r="UHE52" s="6"/>
      <c r="UHF52" s="6"/>
      <c r="UHG52" s="6"/>
      <c r="UHH52" s="6"/>
      <c r="UHI52" s="6"/>
      <c r="UHJ52" s="6"/>
      <c r="UHK52" s="6"/>
      <c r="UHL52" s="6"/>
      <c r="UHM52" s="6"/>
      <c r="UHN52" s="6"/>
      <c r="UHO52" s="6"/>
      <c r="UHP52" s="6"/>
      <c r="UHQ52" s="6"/>
      <c r="UHR52" s="6"/>
      <c r="UHS52" s="6"/>
      <c r="UHT52" s="6"/>
      <c r="UHU52" s="6"/>
      <c r="UHV52" s="6"/>
      <c r="UHW52" s="6"/>
      <c r="UHX52" s="6"/>
      <c r="UHY52" s="6"/>
      <c r="UHZ52" s="6"/>
      <c r="UIA52" s="6"/>
      <c r="UIB52" s="6"/>
      <c r="UIC52" s="6"/>
      <c r="UID52" s="6"/>
      <c r="UIE52" s="6"/>
      <c r="UIF52" s="6"/>
      <c r="UIG52" s="6"/>
      <c r="UIH52" s="6"/>
      <c r="UII52" s="6"/>
      <c r="UIJ52" s="6"/>
      <c r="UIK52" s="6"/>
      <c r="UIL52" s="6"/>
      <c r="UIM52" s="6"/>
      <c r="UIN52" s="6"/>
      <c r="UIO52" s="6"/>
      <c r="UIP52" s="6"/>
      <c r="UIQ52" s="6"/>
      <c r="UIR52" s="6"/>
      <c r="UIS52" s="6"/>
      <c r="UIT52" s="6"/>
      <c r="UIU52" s="6"/>
      <c r="UIV52" s="6"/>
      <c r="UIW52" s="6"/>
      <c r="UIX52" s="6"/>
      <c r="UIY52" s="6"/>
      <c r="UIZ52" s="6"/>
      <c r="UJA52" s="6"/>
      <c r="UJB52" s="6"/>
      <c r="UJC52" s="6"/>
      <c r="UJD52" s="6"/>
      <c r="UJE52" s="6"/>
      <c r="UJF52" s="6"/>
      <c r="UJG52" s="6"/>
      <c r="UJH52" s="6"/>
      <c r="UJI52" s="6"/>
      <c r="UJJ52" s="6"/>
      <c r="UJK52" s="6"/>
      <c r="UJL52" s="6"/>
      <c r="UJM52" s="6"/>
      <c r="UJN52" s="6"/>
      <c r="UJO52" s="6"/>
      <c r="UJP52" s="6"/>
      <c r="UJQ52" s="6"/>
      <c r="UJR52" s="6"/>
      <c r="UJS52" s="6"/>
      <c r="UJT52" s="6"/>
      <c r="UJU52" s="6"/>
      <c r="UJV52" s="6"/>
      <c r="UJW52" s="6"/>
      <c r="UJX52" s="6"/>
      <c r="UJY52" s="6"/>
      <c r="UJZ52" s="6"/>
      <c r="UKA52" s="6"/>
      <c r="UKB52" s="6"/>
      <c r="UKC52" s="6"/>
      <c r="UKD52" s="6"/>
      <c r="UKE52" s="6"/>
      <c r="UKF52" s="6"/>
      <c r="UKG52" s="6"/>
      <c r="UKH52" s="6"/>
      <c r="UKI52" s="6"/>
      <c r="UKJ52" s="6"/>
      <c r="UKK52" s="6"/>
      <c r="UKL52" s="6"/>
      <c r="UKM52" s="6"/>
      <c r="UKN52" s="6"/>
      <c r="UKO52" s="6"/>
      <c r="UKP52" s="6"/>
      <c r="UKQ52" s="6"/>
      <c r="UKR52" s="6"/>
      <c r="UKS52" s="6"/>
      <c r="UKT52" s="6"/>
      <c r="UKU52" s="6"/>
      <c r="UKV52" s="6"/>
      <c r="UKW52" s="6"/>
      <c r="UKX52" s="6"/>
      <c r="UKY52" s="6"/>
      <c r="UKZ52" s="6"/>
      <c r="ULA52" s="6"/>
      <c r="ULB52" s="6"/>
      <c r="ULC52" s="6"/>
      <c r="ULD52" s="6"/>
      <c r="ULE52" s="6"/>
      <c r="ULF52" s="6"/>
      <c r="ULG52" s="6"/>
      <c r="ULH52" s="6"/>
      <c r="ULI52" s="6"/>
      <c r="ULJ52" s="6"/>
      <c r="ULK52" s="6"/>
      <c r="ULL52" s="6"/>
      <c r="ULM52" s="6"/>
      <c r="ULN52" s="6"/>
      <c r="ULO52" s="6"/>
      <c r="ULP52" s="6"/>
      <c r="ULQ52" s="6"/>
      <c r="ULR52" s="6"/>
      <c r="ULS52" s="6"/>
      <c r="ULT52" s="6"/>
      <c r="ULU52" s="6"/>
      <c r="ULV52" s="6"/>
      <c r="ULW52" s="6"/>
      <c r="ULX52" s="6"/>
      <c r="ULY52" s="6"/>
      <c r="ULZ52" s="6"/>
      <c r="UMA52" s="6"/>
      <c r="UMB52" s="6"/>
      <c r="UMC52" s="6"/>
      <c r="UMD52" s="6"/>
      <c r="UME52" s="6"/>
      <c r="UMF52" s="6"/>
      <c r="UMG52" s="6"/>
      <c r="UMH52" s="6"/>
      <c r="UMI52" s="6"/>
      <c r="UMJ52" s="6"/>
      <c r="UMK52" s="6"/>
      <c r="UML52" s="6"/>
      <c r="UMM52" s="6"/>
      <c r="UMN52" s="6"/>
      <c r="UMO52" s="6"/>
      <c r="UMP52" s="6"/>
      <c r="UMQ52" s="6"/>
      <c r="UMR52" s="6"/>
      <c r="UMS52" s="6"/>
      <c r="UMT52" s="6"/>
      <c r="UMU52" s="6"/>
      <c r="UMV52" s="6"/>
      <c r="UMW52" s="6"/>
      <c r="UMX52" s="6"/>
      <c r="UMY52" s="6"/>
      <c r="UMZ52" s="6"/>
      <c r="UNA52" s="6"/>
      <c r="UNB52" s="6"/>
      <c r="UNC52" s="6"/>
      <c r="UND52" s="6"/>
      <c r="UNE52" s="6"/>
      <c r="UNF52" s="6"/>
      <c r="UNG52" s="6"/>
      <c r="UNH52" s="6"/>
      <c r="UNI52" s="6"/>
      <c r="UNJ52" s="6"/>
      <c r="UNK52" s="6"/>
      <c r="UNL52" s="6"/>
      <c r="UNM52" s="6"/>
      <c r="UNN52" s="6"/>
      <c r="UNO52" s="6"/>
      <c r="UNP52" s="6"/>
      <c r="UNQ52" s="6"/>
      <c r="UNR52" s="6"/>
      <c r="UNS52" s="6"/>
      <c r="UNT52" s="6"/>
      <c r="UNU52" s="6"/>
      <c r="UNV52" s="6"/>
      <c r="UNW52" s="6"/>
      <c r="UNX52" s="6"/>
      <c r="UNY52" s="6"/>
      <c r="UNZ52" s="6"/>
      <c r="UOA52" s="6"/>
      <c r="UOB52" s="6"/>
      <c r="UOC52" s="6"/>
      <c r="UOD52" s="6"/>
      <c r="UOE52" s="6"/>
      <c r="UOF52" s="6"/>
      <c r="UOG52" s="6"/>
      <c r="UOH52" s="6"/>
      <c r="UOI52" s="6"/>
      <c r="UOJ52" s="6"/>
      <c r="UOK52" s="6"/>
      <c r="UOL52" s="6"/>
      <c r="UOM52" s="6"/>
      <c r="UON52" s="6"/>
      <c r="UOO52" s="6"/>
      <c r="UOP52" s="6"/>
      <c r="UOQ52" s="6"/>
      <c r="UOR52" s="6"/>
      <c r="UOS52" s="6"/>
      <c r="UOT52" s="6"/>
      <c r="UOU52" s="6"/>
      <c r="UOV52" s="6"/>
      <c r="UOW52" s="6"/>
      <c r="UOX52" s="6"/>
      <c r="UOY52" s="6"/>
      <c r="UOZ52" s="6"/>
      <c r="UPA52" s="6"/>
      <c r="UPB52" s="6"/>
      <c r="UPC52" s="6"/>
      <c r="UPD52" s="6"/>
      <c r="UPE52" s="6"/>
      <c r="UPF52" s="6"/>
      <c r="UPG52" s="6"/>
      <c r="UPH52" s="6"/>
      <c r="UPI52" s="6"/>
      <c r="UPJ52" s="6"/>
      <c r="UPK52" s="6"/>
      <c r="UPL52" s="6"/>
      <c r="UPM52" s="6"/>
      <c r="UPN52" s="6"/>
      <c r="UPO52" s="6"/>
      <c r="UPP52" s="6"/>
      <c r="UPQ52" s="6"/>
      <c r="UPR52" s="6"/>
      <c r="UPS52" s="6"/>
      <c r="UPT52" s="6"/>
      <c r="UPU52" s="6"/>
      <c r="UPV52" s="6"/>
      <c r="UPW52" s="6"/>
      <c r="UPX52" s="6"/>
      <c r="UPY52" s="6"/>
      <c r="UPZ52" s="6"/>
      <c r="UQA52" s="6"/>
      <c r="UQB52" s="6"/>
      <c r="UQC52" s="6"/>
      <c r="UQD52" s="6"/>
      <c r="UQE52" s="6"/>
      <c r="UQF52" s="6"/>
      <c r="UQG52" s="6"/>
      <c r="UQH52" s="6"/>
      <c r="UQI52" s="6"/>
      <c r="UQJ52" s="6"/>
      <c r="UQK52" s="6"/>
      <c r="UQL52" s="6"/>
      <c r="UQM52" s="6"/>
      <c r="UQN52" s="6"/>
      <c r="UQO52" s="6"/>
      <c r="UQP52" s="6"/>
      <c r="UQQ52" s="6"/>
      <c r="UQR52" s="6"/>
      <c r="UQS52" s="6"/>
      <c r="UQT52" s="6"/>
      <c r="UQU52" s="6"/>
      <c r="UQV52" s="6"/>
      <c r="UQW52" s="6"/>
      <c r="UQX52" s="6"/>
      <c r="UQY52" s="6"/>
      <c r="UQZ52" s="6"/>
      <c r="URA52" s="6"/>
      <c r="URB52" s="6"/>
      <c r="URC52" s="6"/>
      <c r="URD52" s="6"/>
      <c r="URE52" s="6"/>
      <c r="URF52" s="6"/>
      <c r="URG52" s="6"/>
      <c r="URH52" s="6"/>
      <c r="URI52" s="6"/>
      <c r="URJ52" s="6"/>
      <c r="URK52" s="6"/>
      <c r="URL52" s="6"/>
      <c r="URM52" s="6"/>
      <c r="URN52" s="6"/>
      <c r="URO52" s="6"/>
      <c r="URP52" s="6"/>
      <c r="URQ52" s="6"/>
      <c r="URR52" s="6"/>
      <c r="URS52" s="6"/>
      <c r="URT52" s="6"/>
      <c r="URU52" s="6"/>
      <c r="URV52" s="6"/>
      <c r="URW52" s="6"/>
      <c r="URX52" s="6"/>
      <c r="URY52" s="6"/>
      <c r="URZ52" s="6"/>
      <c r="USA52" s="6"/>
      <c r="USB52" s="6"/>
      <c r="USC52" s="6"/>
      <c r="USD52" s="6"/>
      <c r="USE52" s="6"/>
      <c r="USF52" s="6"/>
      <c r="USG52" s="6"/>
      <c r="USH52" s="6"/>
      <c r="USI52" s="6"/>
      <c r="USJ52" s="6"/>
      <c r="USK52" s="6"/>
      <c r="USL52" s="6"/>
      <c r="USM52" s="6"/>
      <c r="USN52" s="6"/>
      <c r="USO52" s="6"/>
      <c r="USP52" s="6"/>
      <c r="USQ52" s="6"/>
      <c r="USR52" s="6"/>
      <c r="USS52" s="6"/>
      <c r="UST52" s="6"/>
      <c r="USU52" s="6"/>
      <c r="USV52" s="6"/>
      <c r="USW52" s="6"/>
      <c r="USX52" s="6"/>
      <c r="USY52" s="6"/>
      <c r="USZ52" s="6"/>
      <c r="UTA52" s="6"/>
      <c r="UTB52" s="6"/>
      <c r="UTC52" s="6"/>
      <c r="UTD52" s="6"/>
      <c r="UTE52" s="6"/>
      <c r="UTF52" s="6"/>
      <c r="UTG52" s="6"/>
      <c r="UTH52" s="6"/>
      <c r="UTI52" s="6"/>
      <c r="UTJ52" s="6"/>
      <c r="UTK52" s="6"/>
      <c r="UTL52" s="6"/>
      <c r="UTM52" s="6"/>
      <c r="UTN52" s="6"/>
      <c r="UTO52" s="6"/>
      <c r="UTP52" s="6"/>
      <c r="UTQ52" s="6"/>
      <c r="UTR52" s="6"/>
      <c r="UTS52" s="6"/>
      <c r="UTT52" s="6"/>
      <c r="UTU52" s="6"/>
      <c r="UTV52" s="6"/>
      <c r="UTW52" s="6"/>
      <c r="UTX52" s="6"/>
      <c r="UTY52" s="6"/>
      <c r="UTZ52" s="6"/>
      <c r="UUA52" s="6"/>
      <c r="UUB52" s="6"/>
      <c r="UUC52" s="6"/>
      <c r="UUD52" s="6"/>
      <c r="UUE52" s="6"/>
      <c r="UUF52" s="6"/>
      <c r="UUG52" s="6"/>
      <c r="UUH52" s="6"/>
      <c r="UUI52" s="6"/>
      <c r="UUJ52" s="6"/>
      <c r="UUK52" s="6"/>
      <c r="UUL52" s="6"/>
      <c r="UUM52" s="6"/>
      <c r="UUN52" s="6"/>
      <c r="UUO52" s="6"/>
      <c r="UUP52" s="6"/>
      <c r="UUQ52" s="6"/>
      <c r="UUR52" s="6"/>
      <c r="UUS52" s="6"/>
      <c r="UUT52" s="6"/>
      <c r="UUU52" s="6"/>
      <c r="UUV52" s="6"/>
      <c r="UUW52" s="6"/>
      <c r="UUX52" s="6"/>
      <c r="UUY52" s="6"/>
      <c r="UUZ52" s="6"/>
      <c r="UVA52" s="6"/>
      <c r="UVB52" s="6"/>
      <c r="UVC52" s="6"/>
      <c r="UVD52" s="6"/>
      <c r="UVE52" s="6"/>
      <c r="UVF52" s="6"/>
      <c r="UVG52" s="6"/>
      <c r="UVH52" s="6"/>
      <c r="UVI52" s="6"/>
      <c r="UVJ52" s="6"/>
      <c r="UVK52" s="6"/>
      <c r="UVL52" s="6"/>
      <c r="UVM52" s="6"/>
      <c r="UVN52" s="6"/>
      <c r="UVO52" s="6"/>
      <c r="UVP52" s="6"/>
      <c r="UVQ52" s="6"/>
      <c r="UVR52" s="6"/>
      <c r="UVS52" s="6"/>
      <c r="UVT52" s="6"/>
      <c r="UVU52" s="6"/>
      <c r="UVV52" s="6"/>
      <c r="UVW52" s="6"/>
      <c r="UVX52" s="6"/>
      <c r="UVY52" s="6"/>
      <c r="UVZ52" s="6"/>
      <c r="UWA52" s="6"/>
      <c r="UWB52" s="6"/>
      <c r="UWC52" s="6"/>
      <c r="UWD52" s="6"/>
      <c r="UWE52" s="6"/>
      <c r="UWF52" s="6"/>
      <c r="UWG52" s="6"/>
      <c r="UWH52" s="6"/>
      <c r="UWI52" s="6"/>
      <c r="UWJ52" s="6"/>
      <c r="UWK52" s="6"/>
      <c r="UWL52" s="6"/>
      <c r="UWM52" s="6"/>
      <c r="UWN52" s="6"/>
      <c r="UWO52" s="6"/>
      <c r="UWP52" s="6"/>
      <c r="UWQ52" s="6"/>
      <c r="UWR52" s="6"/>
      <c r="UWS52" s="6"/>
      <c r="UWT52" s="6"/>
      <c r="UWU52" s="6"/>
      <c r="UWV52" s="6"/>
      <c r="UWW52" s="6"/>
      <c r="UWX52" s="6"/>
      <c r="UWY52" s="6"/>
      <c r="UWZ52" s="6"/>
      <c r="UXA52" s="6"/>
      <c r="UXB52" s="6"/>
      <c r="UXC52" s="6"/>
      <c r="UXD52" s="6"/>
      <c r="UXE52" s="6"/>
      <c r="UXF52" s="6"/>
      <c r="UXG52" s="6"/>
      <c r="UXH52" s="6"/>
      <c r="UXI52" s="6"/>
      <c r="UXJ52" s="6"/>
      <c r="UXK52" s="6"/>
      <c r="UXL52" s="6"/>
      <c r="UXM52" s="6"/>
      <c r="UXN52" s="6"/>
      <c r="UXO52" s="6"/>
      <c r="UXP52" s="6"/>
      <c r="UXQ52" s="6"/>
      <c r="UXR52" s="6"/>
      <c r="UXS52" s="6"/>
      <c r="UXT52" s="6"/>
      <c r="UXU52" s="6"/>
      <c r="UXV52" s="6"/>
      <c r="UXW52" s="6"/>
      <c r="UXX52" s="6"/>
      <c r="UXY52" s="6"/>
      <c r="UXZ52" s="6"/>
      <c r="UYA52" s="6"/>
      <c r="UYB52" s="6"/>
      <c r="UYC52" s="6"/>
      <c r="UYD52" s="6"/>
      <c r="UYE52" s="6"/>
      <c r="UYF52" s="6"/>
      <c r="UYG52" s="6"/>
      <c r="UYH52" s="6"/>
      <c r="UYI52" s="6"/>
      <c r="UYJ52" s="6"/>
      <c r="UYK52" s="6"/>
      <c r="UYL52" s="6"/>
      <c r="UYM52" s="6"/>
      <c r="UYN52" s="6"/>
      <c r="UYO52" s="6"/>
      <c r="UYP52" s="6"/>
      <c r="UYQ52" s="6"/>
      <c r="UYR52" s="6"/>
      <c r="UYS52" s="6"/>
      <c r="UYT52" s="6"/>
      <c r="UYU52" s="6"/>
      <c r="UYV52" s="6"/>
      <c r="UYW52" s="6"/>
      <c r="UYX52" s="6"/>
      <c r="UYY52" s="6"/>
      <c r="UYZ52" s="6"/>
      <c r="UZA52" s="6"/>
      <c r="UZB52" s="6"/>
      <c r="UZC52" s="6"/>
      <c r="UZD52" s="6"/>
      <c r="UZE52" s="6"/>
      <c r="UZF52" s="6"/>
      <c r="UZG52" s="6"/>
      <c r="UZH52" s="6"/>
      <c r="UZI52" s="6"/>
      <c r="UZJ52" s="6"/>
      <c r="UZK52" s="6"/>
      <c r="UZL52" s="6"/>
      <c r="UZM52" s="6"/>
      <c r="UZN52" s="6"/>
      <c r="UZO52" s="6"/>
      <c r="UZP52" s="6"/>
      <c r="UZQ52" s="6"/>
      <c r="UZR52" s="6"/>
      <c r="UZS52" s="6"/>
      <c r="UZT52" s="6"/>
      <c r="UZU52" s="6"/>
      <c r="UZV52" s="6"/>
      <c r="UZW52" s="6"/>
      <c r="UZX52" s="6"/>
      <c r="UZY52" s="6"/>
      <c r="UZZ52" s="6"/>
      <c r="VAA52" s="6"/>
      <c r="VAB52" s="6"/>
      <c r="VAC52" s="6"/>
      <c r="VAD52" s="6"/>
      <c r="VAE52" s="6"/>
      <c r="VAF52" s="6"/>
      <c r="VAG52" s="6"/>
      <c r="VAH52" s="6"/>
      <c r="VAI52" s="6"/>
      <c r="VAJ52" s="6"/>
      <c r="VAK52" s="6"/>
      <c r="VAL52" s="6"/>
      <c r="VAM52" s="6"/>
      <c r="VAN52" s="6"/>
      <c r="VAO52" s="6"/>
      <c r="VAP52" s="6"/>
      <c r="VAQ52" s="6"/>
      <c r="VAR52" s="6"/>
      <c r="VAS52" s="6"/>
      <c r="VAT52" s="6"/>
      <c r="VAU52" s="6"/>
      <c r="VAV52" s="6"/>
      <c r="VAW52" s="6"/>
      <c r="VAX52" s="6"/>
      <c r="VAY52" s="6"/>
      <c r="VAZ52" s="6"/>
      <c r="VBA52" s="6"/>
      <c r="VBB52" s="6"/>
      <c r="VBC52" s="6"/>
      <c r="VBD52" s="6"/>
      <c r="VBE52" s="6"/>
      <c r="VBF52" s="6"/>
      <c r="VBG52" s="6"/>
      <c r="VBH52" s="6"/>
      <c r="VBI52" s="6"/>
      <c r="VBJ52" s="6"/>
      <c r="VBK52" s="6"/>
      <c r="VBL52" s="6"/>
      <c r="VBM52" s="6"/>
      <c r="VBN52" s="6"/>
      <c r="VBO52" s="6"/>
      <c r="VBP52" s="6"/>
      <c r="VBQ52" s="6"/>
      <c r="VBR52" s="6"/>
      <c r="VBS52" s="6"/>
      <c r="VBT52" s="6"/>
      <c r="VBU52" s="6"/>
      <c r="VBV52" s="6"/>
      <c r="VBW52" s="6"/>
      <c r="VBX52" s="6"/>
      <c r="VBY52" s="6"/>
      <c r="VBZ52" s="6"/>
      <c r="VCA52" s="6"/>
      <c r="VCB52" s="6"/>
      <c r="VCC52" s="6"/>
      <c r="VCD52" s="6"/>
      <c r="VCE52" s="6"/>
      <c r="VCF52" s="6"/>
      <c r="VCG52" s="6"/>
      <c r="VCH52" s="6"/>
      <c r="VCI52" s="6"/>
      <c r="VCJ52" s="6"/>
      <c r="VCK52" s="6"/>
      <c r="VCL52" s="6"/>
      <c r="VCM52" s="6"/>
      <c r="VCN52" s="6"/>
      <c r="VCO52" s="6"/>
      <c r="VCP52" s="6"/>
      <c r="VCQ52" s="6"/>
      <c r="VCR52" s="6"/>
      <c r="VCS52" s="6"/>
      <c r="VCT52" s="6"/>
      <c r="VCU52" s="6"/>
      <c r="VCV52" s="6"/>
      <c r="VCW52" s="6"/>
      <c r="VCX52" s="6"/>
      <c r="VCY52" s="6"/>
      <c r="VCZ52" s="6"/>
      <c r="VDA52" s="6"/>
      <c r="VDB52" s="6"/>
      <c r="VDC52" s="6"/>
      <c r="VDD52" s="6"/>
      <c r="VDE52" s="6"/>
      <c r="VDF52" s="6"/>
      <c r="VDG52" s="6"/>
      <c r="VDH52" s="6"/>
      <c r="VDI52" s="6"/>
      <c r="VDJ52" s="6"/>
      <c r="VDK52" s="6"/>
      <c r="VDL52" s="6"/>
      <c r="VDM52" s="6"/>
      <c r="VDN52" s="6"/>
      <c r="VDO52" s="6"/>
      <c r="VDP52" s="6"/>
      <c r="VDQ52" s="6"/>
      <c r="VDR52" s="6"/>
      <c r="VDS52" s="6"/>
      <c r="VDT52" s="6"/>
      <c r="VDU52" s="6"/>
      <c r="VDV52" s="6"/>
      <c r="VDW52" s="6"/>
      <c r="VDX52" s="6"/>
      <c r="VDY52" s="6"/>
      <c r="VDZ52" s="6"/>
      <c r="VEA52" s="6"/>
      <c r="VEB52" s="6"/>
      <c r="VEC52" s="6"/>
      <c r="VED52" s="6"/>
      <c r="VEE52" s="6"/>
      <c r="VEF52" s="6"/>
      <c r="VEG52" s="6"/>
      <c r="VEH52" s="6"/>
      <c r="VEI52" s="6"/>
      <c r="VEJ52" s="6"/>
      <c r="VEK52" s="6"/>
      <c r="VEL52" s="6"/>
      <c r="VEM52" s="6"/>
      <c r="VEN52" s="6"/>
      <c r="VEO52" s="6"/>
      <c r="VEP52" s="6"/>
      <c r="VEQ52" s="6"/>
      <c r="VER52" s="6"/>
      <c r="VES52" s="6"/>
      <c r="VET52" s="6"/>
      <c r="VEU52" s="6"/>
      <c r="VEV52" s="6"/>
      <c r="VEW52" s="6"/>
      <c r="VEX52" s="6"/>
      <c r="VEY52" s="6"/>
      <c r="VEZ52" s="6"/>
      <c r="VFA52" s="6"/>
      <c r="VFB52" s="6"/>
      <c r="VFC52" s="6"/>
      <c r="VFD52" s="6"/>
      <c r="VFE52" s="6"/>
      <c r="VFF52" s="6"/>
      <c r="VFG52" s="6"/>
      <c r="VFH52" s="6"/>
      <c r="VFI52" s="6"/>
      <c r="VFJ52" s="6"/>
      <c r="VFK52" s="6"/>
      <c r="VFL52" s="6"/>
      <c r="VFM52" s="6"/>
      <c r="VFN52" s="6"/>
      <c r="VFO52" s="6"/>
      <c r="VFP52" s="6"/>
      <c r="VFQ52" s="6"/>
      <c r="VFR52" s="6"/>
      <c r="VFS52" s="6"/>
      <c r="VFT52" s="6"/>
      <c r="VFU52" s="6"/>
      <c r="VFV52" s="6"/>
      <c r="VFW52" s="6"/>
      <c r="VFX52" s="6"/>
      <c r="VFY52" s="6"/>
      <c r="VFZ52" s="6"/>
      <c r="VGA52" s="6"/>
      <c r="VGB52" s="6"/>
      <c r="VGC52" s="6"/>
      <c r="VGD52" s="6"/>
      <c r="VGE52" s="6"/>
      <c r="VGF52" s="6"/>
      <c r="VGG52" s="6"/>
      <c r="VGH52" s="6"/>
      <c r="VGI52" s="6"/>
      <c r="VGJ52" s="6"/>
      <c r="VGK52" s="6"/>
      <c r="VGL52" s="6"/>
      <c r="VGM52" s="6"/>
      <c r="VGN52" s="6"/>
      <c r="VGO52" s="6"/>
      <c r="VGP52" s="6"/>
      <c r="VGQ52" s="6"/>
      <c r="VGR52" s="6"/>
      <c r="VGS52" s="6"/>
      <c r="VGT52" s="6"/>
      <c r="VGU52" s="6"/>
      <c r="VGV52" s="6"/>
      <c r="VGW52" s="6"/>
      <c r="VGX52" s="6"/>
      <c r="VGY52" s="6"/>
      <c r="VGZ52" s="6"/>
      <c r="VHA52" s="6"/>
      <c r="VHB52" s="6"/>
      <c r="VHC52" s="6"/>
      <c r="VHD52" s="6"/>
      <c r="VHE52" s="6"/>
      <c r="VHF52" s="6"/>
      <c r="VHG52" s="6"/>
      <c r="VHH52" s="6"/>
      <c r="VHI52" s="6"/>
      <c r="VHJ52" s="6"/>
      <c r="VHK52" s="6"/>
      <c r="VHL52" s="6"/>
      <c r="VHM52" s="6"/>
      <c r="VHN52" s="6"/>
      <c r="VHO52" s="6"/>
      <c r="VHP52" s="6"/>
      <c r="VHQ52" s="6"/>
      <c r="VHR52" s="6"/>
      <c r="VHS52" s="6"/>
      <c r="VHT52" s="6"/>
      <c r="VHU52" s="6"/>
      <c r="VHV52" s="6"/>
      <c r="VHW52" s="6"/>
      <c r="VHX52" s="6"/>
      <c r="VHY52" s="6"/>
      <c r="VHZ52" s="6"/>
      <c r="VIA52" s="6"/>
      <c r="VIB52" s="6"/>
      <c r="VIC52" s="6"/>
      <c r="VID52" s="6"/>
      <c r="VIE52" s="6"/>
      <c r="VIF52" s="6"/>
      <c r="VIG52" s="6"/>
      <c r="VIH52" s="6"/>
      <c r="VII52" s="6"/>
      <c r="VIJ52" s="6"/>
      <c r="VIK52" s="6"/>
      <c r="VIL52" s="6"/>
      <c r="VIM52" s="6"/>
      <c r="VIN52" s="6"/>
      <c r="VIO52" s="6"/>
      <c r="VIP52" s="6"/>
      <c r="VIQ52" s="6"/>
      <c r="VIR52" s="6"/>
      <c r="VIS52" s="6"/>
      <c r="VIT52" s="6"/>
      <c r="VIU52" s="6"/>
      <c r="VIV52" s="6"/>
      <c r="VIW52" s="6"/>
      <c r="VIX52" s="6"/>
      <c r="VIY52" s="6"/>
      <c r="VIZ52" s="6"/>
      <c r="VJA52" s="6"/>
      <c r="VJB52" s="6"/>
      <c r="VJC52" s="6"/>
      <c r="VJD52" s="6"/>
      <c r="VJE52" s="6"/>
      <c r="VJF52" s="6"/>
      <c r="VJG52" s="6"/>
      <c r="VJH52" s="6"/>
      <c r="VJI52" s="6"/>
      <c r="VJJ52" s="6"/>
      <c r="VJK52" s="6"/>
      <c r="VJL52" s="6"/>
      <c r="VJM52" s="6"/>
      <c r="VJN52" s="6"/>
      <c r="VJO52" s="6"/>
      <c r="VJP52" s="6"/>
      <c r="VJQ52" s="6"/>
      <c r="VJR52" s="6"/>
      <c r="VJS52" s="6"/>
      <c r="VJT52" s="6"/>
      <c r="VJU52" s="6"/>
      <c r="VJV52" s="6"/>
      <c r="VJW52" s="6"/>
      <c r="VJX52" s="6"/>
      <c r="VJY52" s="6"/>
      <c r="VJZ52" s="6"/>
      <c r="VKA52" s="6"/>
      <c r="VKB52" s="6"/>
      <c r="VKC52" s="6"/>
      <c r="VKD52" s="6"/>
      <c r="VKE52" s="6"/>
      <c r="VKF52" s="6"/>
      <c r="VKG52" s="6"/>
      <c r="VKH52" s="6"/>
      <c r="VKI52" s="6"/>
      <c r="VKJ52" s="6"/>
      <c r="VKK52" s="6"/>
      <c r="VKL52" s="6"/>
      <c r="VKM52" s="6"/>
      <c r="VKN52" s="6"/>
      <c r="VKO52" s="6"/>
      <c r="VKP52" s="6"/>
      <c r="VKQ52" s="6"/>
      <c r="VKR52" s="6"/>
      <c r="VKS52" s="6"/>
      <c r="VKT52" s="6"/>
      <c r="VKU52" s="6"/>
      <c r="VKV52" s="6"/>
      <c r="VKW52" s="6"/>
      <c r="VKX52" s="6"/>
      <c r="VKY52" s="6"/>
      <c r="VKZ52" s="6"/>
      <c r="VLA52" s="6"/>
      <c r="VLB52" s="6"/>
      <c r="VLC52" s="6"/>
      <c r="VLD52" s="6"/>
      <c r="VLE52" s="6"/>
      <c r="VLF52" s="6"/>
      <c r="VLG52" s="6"/>
      <c r="VLH52" s="6"/>
      <c r="VLI52" s="6"/>
      <c r="VLJ52" s="6"/>
      <c r="VLK52" s="6"/>
      <c r="VLL52" s="6"/>
      <c r="VLM52" s="6"/>
      <c r="VLN52" s="6"/>
      <c r="VLO52" s="6"/>
      <c r="VLP52" s="6"/>
      <c r="VLQ52" s="6"/>
      <c r="VLR52" s="6"/>
      <c r="VLS52" s="6"/>
      <c r="VLT52" s="6"/>
      <c r="VLU52" s="6"/>
      <c r="VLV52" s="6"/>
      <c r="VLW52" s="6"/>
      <c r="VLX52" s="6"/>
      <c r="VLY52" s="6"/>
      <c r="VLZ52" s="6"/>
      <c r="VMA52" s="6"/>
      <c r="VMB52" s="6"/>
      <c r="VMC52" s="6"/>
      <c r="VMD52" s="6"/>
      <c r="VME52" s="6"/>
      <c r="VMF52" s="6"/>
      <c r="VMG52" s="6"/>
      <c r="VMH52" s="6"/>
      <c r="VMI52" s="6"/>
      <c r="VMJ52" s="6"/>
      <c r="VMK52" s="6"/>
      <c r="VML52" s="6"/>
      <c r="VMM52" s="6"/>
      <c r="VMN52" s="6"/>
      <c r="VMO52" s="6"/>
      <c r="VMP52" s="6"/>
      <c r="VMQ52" s="6"/>
      <c r="VMR52" s="6"/>
      <c r="VMS52" s="6"/>
      <c r="VMT52" s="6"/>
      <c r="VMU52" s="6"/>
      <c r="VMV52" s="6"/>
      <c r="VMW52" s="6"/>
      <c r="VMX52" s="6"/>
      <c r="VMY52" s="6"/>
      <c r="VMZ52" s="6"/>
      <c r="VNA52" s="6"/>
      <c r="VNB52" s="6"/>
      <c r="VNC52" s="6"/>
      <c r="VND52" s="6"/>
      <c r="VNE52" s="6"/>
      <c r="VNF52" s="6"/>
      <c r="VNG52" s="6"/>
      <c r="VNH52" s="6"/>
      <c r="VNI52" s="6"/>
      <c r="VNJ52" s="6"/>
      <c r="VNK52" s="6"/>
      <c r="VNL52" s="6"/>
      <c r="VNM52" s="6"/>
      <c r="VNN52" s="6"/>
      <c r="VNO52" s="6"/>
      <c r="VNP52" s="6"/>
      <c r="VNQ52" s="6"/>
      <c r="VNR52" s="6"/>
      <c r="VNS52" s="6"/>
      <c r="VNT52" s="6"/>
      <c r="VNU52" s="6"/>
      <c r="VNV52" s="6"/>
      <c r="VNW52" s="6"/>
      <c r="VNX52" s="6"/>
      <c r="VNY52" s="6"/>
      <c r="VNZ52" s="6"/>
      <c r="VOA52" s="6"/>
      <c r="VOB52" s="6"/>
      <c r="VOC52" s="6"/>
      <c r="VOD52" s="6"/>
      <c r="VOE52" s="6"/>
      <c r="VOF52" s="6"/>
      <c r="VOG52" s="6"/>
      <c r="VOH52" s="6"/>
      <c r="VOI52" s="6"/>
      <c r="VOJ52" s="6"/>
      <c r="VOK52" s="6"/>
      <c r="VOL52" s="6"/>
      <c r="VOM52" s="6"/>
      <c r="VON52" s="6"/>
      <c r="VOO52" s="6"/>
      <c r="VOP52" s="6"/>
      <c r="VOQ52" s="6"/>
      <c r="VOR52" s="6"/>
      <c r="VOS52" s="6"/>
      <c r="VOT52" s="6"/>
      <c r="VOU52" s="6"/>
      <c r="VOV52" s="6"/>
      <c r="VOW52" s="6"/>
      <c r="VOX52" s="6"/>
      <c r="VOY52" s="6"/>
      <c r="VOZ52" s="6"/>
      <c r="VPA52" s="6"/>
      <c r="VPB52" s="6"/>
      <c r="VPC52" s="6"/>
      <c r="VPD52" s="6"/>
      <c r="VPE52" s="6"/>
      <c r="VPF52" s="6"/>
      <c r="VPG52" s="6"/>
      <c r="VPH52" s="6"/>
      <c r="VPI52" s="6"/>
      <c r="VPJ52" s="6"/>
      <c r="VPK52" s="6"/>
      <c r="VPL52" s="6"/>
      <c r="VPM52" s="6"/>
      <c r="VPN52" s="6"/>
      <c r="VPO52" s="6"/>
      <c r="VPP52" s="6"/>
      <c r="VPQ52" s="6"/>
      <c r="VPR52" s="6"/>
      <c r="VPS52" s="6"/>
      <c r="VPT52" s="6"/>
      <c r="VPU52" s="6"/>
      <c r="VPV52" s="6"/>
      <c r="VPW52" s="6"/>
      <c r="VPX52" s="6"/>
      <c r="VPY52" s="6"/>
      <c r="VPZ52" s="6"/>
      <c r="VQA52" s="6"/>
      <c r="VQB52" s="6"/>
      <c r="VQC52" s="6"/>
      <c r="VQD52" s="6"/>
      <c r="VQE52" s="6"/>
      <c r="VQF52" s="6"/>
      <c r="VQG52" s="6"/>
      <c r="VQH52" s="6"/>
      <c r="VQI52" s="6"/>
      <c r="VQJ52" s="6"/>
      <c r="VQK52" s="6"/>
      <c r="VQL52" s="6"/>
      <c r="VQM52" s="6"/>
      <c r="VQN52" s="6"/>
      <c r="VQO52" s="6"/>
      <c r="VQP52" s="6"/>
      <c r="VQQ52" s="6"/>
      <c r="VQR52" s="6"/>
      <c r="VQS52" s="6"/>
      <c r="VQT52" s="6"/>
      <c r="VQU52" s="6"/>
      <c r="VQV52" s="6"/>
      <c r="VQW52" s="6"/>
      <c r="VQX52" s="6"/>
      <c r="VQY52" s="6"/>
      <c r="VQZ52" s="6"/>
      <c r="VRA52" s="6"/>
      <c r="VRB52" s="6"/>
      <c r="VRC52" s="6"/>
      <c r="VRD52" s="6"/>
      <c r="VRE52" s="6"/>
      <c r="VRF52" s="6"/>
      <c r="VRG52" s="6"/>
      <c r="VRH52" s="6"/>
      <c r="VRI52" s="6"/>
      <c r="VRJ52" s="6"/>
      <c r="VRK52" s="6"/>
      <c r="VRL52" s="6"/>
      <c r="VRM52" s="6"/>
      <c r="VRN52" s="6"/>
      <c r="VRO52" s="6"/>
      <c r="VRP52" s="6"/>
      <c r="VRQ52" s="6"/>
      <c r="VRR52" s="6"/>
      <c r="VRS52" s="6"/>
      <c r="VRT52" s="6"/>
      <c r="VRU52" s="6"/>
      <c r="VRV52" s="6"/>
      <c r="VRW52" s="6"/>
      <c r="VRX52" s="6"/>
      <c r="VRY52" s="6"/>
      <c r="VRZ52" s="6"/>
      <c r="VSA52" s="6"/>
      <c r="VSB52" s="6"/>
      <c r="VSC52" s="6"/>
      <c r="VSD52" s="6"/>
      <c r="VSE52" s="6"/>
      <c r="VSF52" s="6"/>
      <c r="VSG52" s="6"/>
      <c r="VSH52" s="6"/>
      <c r="VSI52" s="6"/>
      <c r="VSJ52" s="6"/>
      <c r="VSK52" s="6"/>
      <c r="VSL52" s="6"/>
      <c r="VSM52" s="6"/>
      <c r="VSN52" s="6"/>
      <c r="VSO52" s="6"/>
      <c r="VSP52" s="6"/>
      <c r="VSQ52" s="6"/>
      <c r="VSR52" s="6"/>
      <c r="VSS52" s="6"/>
      <c r="VST52" s="6"/>
      <c r="VSU52" s="6"/>
      <c r="VSV52" s="6"/>
      <c r="VSW52" s="6"/>
      <c r="VSX52" s="6"/>
      <c r="VSY52" s="6"/>
      <c r="VSZ52" s="6"/>
      <c r="VTA52" s="6"/>
      <c r="VTB52" s="6"/>
      <c r="VTC52" s="6"/>
      <c r="VTD52" s="6"/>
      <c r="VTE52" s="6"/>
      <c r="VTF52" s="6"/>
      <c r="VTG52" s="6"/>
      <c r="VTH52" s="6"/>
      <c r="VTI52" s="6"/>
      <c r="VTJ52" s="6"/>
      <c r="VTK52" s="6"/>
      <c r="VTL52" s="6"/>
      <c r="VTM52" s="6"/>
      <c r="VTN52" s="6"/>
      <c r="VTO52" s="6"/>
      <c r="VTP52" s="6"/>
      <c r="VTQ52" s="6"/>
      <c r="VTR52" s="6"/>
      <c r="VTS52" s="6"/>
      <c r="VTT52" s="6"/>
      <c r="VTU52" s="6"/>
      <c r="VTV52" s="6"/>
      <c r="VTW52" s="6"/>
      <c r="VTX52" s="6"/>
      <c r="VTY52" s="6"/>
      <c r="VTZ52" s="6"/>
      <c r="VUA52" s="6"/>
      <c r="VUB52" s="6"/>
      <c r="VUC52" s="6"/>
      <c r="VUD52" s="6"/>
      <c r="VUE52" s="6"/>
      <c r="VUF52" s="6"/>
      <c r="VUG52" s="6"/>
      <c r="VUH52" s="6"/>
      <c r="VUI52" s="6"/>
      <c r="VUJ52" s="6"/>
      <c r="VUK52" s="6"/>
      <c r="VUL52" s="6"/>
      <c r="VUM52" s="6"/>
      <c r="VUN52" s="6"/>
      <c r="VUO52" s="6"/>
      <c r="VUP52" s="6"/>
      <c r="VUQ52" s="6"/>
      <c r="VUR52" s="6"/>
      <c r="VUS52" s="6"/>
      <c r="VUT52" s="6"/>
      <c r="VUU52" s="6"/>
      <c r="VUV52" s="6"/>
      <c r="VUW52" s="6"/>
      <c r="VUX52" s="6"/>
      <c r="VUY52" s="6"/>
      <c r="VUZ52" s="6"/>
      <c r="VVA52" s="6"/>
      <c r="VVB52" s="6"/>
      <c r="VVC52" s="6"/>
      <c r="VVD52" s="6"/>
      <c r="VVE52" s="6"/>
      <c r="VVF52" s="6"/>
      <c r="VVG52" s="6"/>
      <c r="VVH52" s="6"/>
      <c r="VVI52" s="6"/>
      <c r="VVJ52" s="6"/>
      <c r="VVK52" s="6"/>
      <c r="VVL52" s="6"/>
      <c r="VVM52" s="6"/>
      <c r="VVN52" s="6"/>
      <c r="VVO52" s="6"/>
      <c r="VVP52" s="6"/>
      <c r="VVQ52" s="6"/>
      <c r="VVR52" s="6"/>
      <c r="VVS52" s="6"/>
      <c r="VVT52" s="6"/>
      <c r="VVU52" s="6"/>
      <c r="VVV52" s="6"/>
      <c r="VVW52" s="6"/>
      <c r="VVX52" s="6"/>
      <c r="VVY52" s="6"/>
      <c r="VVZ52" s="6"/>
      <c r="VWA52" s="6"/>
      <c r="VWB52" s="6"/>
      <c r="VWC52" s="6"/>
      <c r="VWD52" s="6"/>
      <c r="VWE52" s="6"/>
      <c r="VWF52" s="6"/>
      <c r="VWG52" s="6"/>
      <c r="VWH52" s="6"/>
      <c r="VWI52" s="6"/>
      <c r="VWJ52" s="6"/>
      <c r="VWK52" s="6"/>
      <c r="VWL52" s="6"/>
      <c r="VWM52" s="6"/>
      <c r="VWN52" s="6"/>
      <c r="VWO52" s="6"/>
      <c r="VWP52" s="6"/>
      <c r="VWQ52" s="6"/>
      <c r="VWR52" s="6"/>
      <c r="VWS52" s="6"/>
      <c r="VWT52" s="6"/>
      <c r="VWU52" s="6"/>
      <c r="VWV52" s="6"/>
      <c r="VWW52" s="6"/>
      <c r="VWX52" s="6"/>
      <c r="VWY52" s="6"/>
      <c r="VWZ52" s="6"/>
      <c r="VXA52" s="6"/>
      <c r="VXB52" s="6"/>
      <c r="VXC52" s="6"/>
      <c r="VXD52" s="6"/>
      <c r="VXE52" s="6"/>
      <c r="VXF52" s="6"/>
      <c r="VXG52" s="6"/>
      <c r="VXH52" s="6"/>
      <c r="VXI52" s="6"/>
      <c r="VXJ52" s="6"/>
      <c r="VXK52" s="6"/>
      <c r="VXL52" s="6"/>
      <c r="VXM52" s="6"/>
      <c r="VXN52" s="6"/>
      <c r="VXO52" s="6"/>
      <c r="VXP52" s="6"/>
      <c r="VXQ52" s="6"/>
      <c r="VXR52" s="6"/>
      <c r="VXS52" s="6"/>
      <c r="VXT52" s="6"/>
      <c r="VXU52" s="6"/>
      <c r="VXV52" s="6"/>
      <c r="VXW52" s="6"/>
      <c r="VXX52" s="6"/>
      <c r="VXY52" s="6"/>
      <c r="VXZ52" s="6"/>
      <c r="VYA52" s="6"/>
      <c r="VYB52" s="6"/>
      <c r="VYC52" s="6"/>
      <c r="VYD52" s="6"/>
      <c r="VYE52" s="6"/>
      <c r="VYF52" s="6"/>
      <c r="VYG52" s="6"/>
      <c r="VYH52" s="6"/>
      <c r="VYI52" s="6"/>
      <c r="VYJ52" s="6"/>
      <c r="VYK52" s="6"/>
      <c r="VYL52" s="6"/>
      <c r="VYM52" s="6"/>
      <c r="VYN52" s="6"/>
      <c r="VYO52" s="6"/>
      <c r="VYP52" s="6"/>
      <c r="VYQ52" s="6"/>
      <c r="VYR52" s="6"/>
      <c r="VYS52" s="6"/>
      <c r="VYT52" s="6"/>
      <c r="VYU52" s="6"/>
      <c r="VYV52" s="6"/>
      <c r="VYW52" s="6"/>
      <c r="VYX52" s="6"/>
      <c r="VYY52" s="6"/>
      <c r="VYZ52" s="6"/>
      <c r="VZA52" s="6"/>
      <c r="VZB52" s="6"/>
      <c r="VZC52" s="6"/>
      <c r="VZD52" s="6"/>
      <c r="VZE52" s="6"/>
      <c r="VZF52" s="6"/>
      <c r="VZG52" s="6"/>
      <c r="VZH52" s="6"/>
      <c r="VZI52" s="6"/>
      <c r="VZJ52" s="6"/>
      <c r="VZK52" s="6"/>
      <c r="VZL52" s="6"/>
      <c r="VZM52" s="6"/>
      <c r="VZN52" s="6"/>
      <c r="VZO52" s="6"/>
      <c r="VZP52" s="6"/>
      <c r="VZQ52" s="6"/>
      <c r="VZR52" s="6"/>
      <c r="VZS52" s="6"/>
      <c r="VZT52" s="6"/>
      <c r="VZU52" s="6"/>
      <c r="VZV52" s="6"/>
      <c r="VZW52" s="6"/>
      <c r="VZX52" s="6"/>
      <c r="VZY52" s="6"/>
      <c r="VZZ52" s="6"/>
      <c r="WAA52" s="6"/>
      <c r="WAB52" s="6"/>
      <c r="WAC52" s="6"/>
      <c r="WAD52" s="6"/>
      <c r="WAE52" s="6"/>
      <c r="WAF52" s="6"/>
      <c r="WAG52" s="6"/>
      <c r="WAH52" s="6"/>
      <c r="WAI52" s="6"/>
      <c r="WAJ52" s="6"/>
      <c r="WAK52" s="6"/>
      <c r="WAL52" s="6"/>
      <c r="WAM52" s="6"/>
      <c r="WAN52" s="6"/>
      <c r="WAO52" s="6"/>
      <c r="WAP52" s="6"/>
      <c r="WAQ52" s="6"/>
      <c r="WAR52" s="6"/>
      <c r="WAS52" s="6"/>
      <c r="WAT52" s="6"/>
      <c r="WAU52" s="6"/>
      <c r="WAV52" s="6"/>
      <c r="WAW52" s="6"/>
      <c r="WAX52" s="6"/>
      <c r="WAY52" s="6"/>
      <c r="WAZ52" s="6"/>
      <c r="WBA52" s="6"/>
      <c r="WBB52" s="6"/>
      <c r="WBC52" s="6"/>
      <c r="WBD52" s="6"/>
      <c r="WBE52" s="6"/>
      <c r="WBF52" s="6"/>
      <c r="WBG52" s="6"/>
      <c r="WBH52" s="6"/>
      <c r="WBI52" s="6"/>
      <c r="WBJ52" s="6"/>
      <c r="WBK52" s="6"/>
      <c r="WBL52" s="6"/>
      <c r="WBM52" s="6"/>
      <c r="WBN52" s="6"/>
      <c r="WBO52" s="6"/>
      <c r="WBP52" s="6"/>
      <c r="WBQ52" s="6"/>
      <c r="WBR52" s="6"/>
      <c r="WBS52" s="6"/>
      <c r="WBT52" s="6"/>
      <c r="WBU52" s="6"/>
      <c r="WBV52" s="6"/>
      <c r="WBW52" s="6"/>
      <c r="WBX52" s="6"/>
      <c r="WBY52" s="6"/>
      <c r="WBZ52" s="6"/>
      <c r="WCA52" s="6"/>
      <c r="WCB52" s="6"/>
      <c r="WCC52" s="6"/>
      <c r="WCD52" s="6"/>
      <c r="WCE52" s="6"/>
      <c r="WCF52" s="6"/>
      <c r="WCG52" s="6"/>
      <c r="WCH52" s="6"/>
      <c r="WCI52" s="6"/>
      <c r="WCJ52" s="6"/>
      <c r="WCK52" s="6"/>
      <c r="WCL52" s="6"/>
      <c r="WCM52" s="6"/>
      <c r="WCN52" s="6"/>
      <c r="WCO52" s="6"/>
      <c r="WCP52" s="6"/>
      <c r="WCQ52" s="6"/>
      <c r="WCR52" s="6"/>
      <c r="WCS52" s="6"/>
      <c r="WCT52" s="6"/>
      <c r="WCU52" s="6"/>
      <c r="WCV52" s="6"/>
      <c r="WCW52" s="6"/>
      <c r="WCX52" s="6"/>
      <c r="WCY52" s="6"/>
      <c r="WCZ52" s="6"/>
      <c r="WDA52" s="6"/>
      <c r="WDB52" s="6"/>
      <c r="WDC52" s="6"/>
      <c r="WDD52" s="6"/>
      <c r="WDE52" s="6"/>
      <c r="WDF52" s="6"/>
      <c r="WDG52" s="6"/>
      <c r="WDH52" s="6"/>
      <c r="WDI52" s="6"/>
      <c r="WDJ52" s="6"/>
      <c r="WDK52" s="6"/>
      <c r="WDL52" s="6"/>
      <c r="WDM52" s="6"/>
      <c r="WDN52" s="6"/>
      <c r="WDO52" s="6"/>
      <c r="WDP52" s="6"/>
      <c r="WDQ52" s="6"/>
      <c r="WDR52" s="6"/>
      <c r="WDS52" s="6"/>
      <c r="WDT52" s="6"/>
      <c r="WDU52" s="6"/>
      <c r="WDV52" s="6"/>
      <c r="WDW52" s="6"/>
      <c r="WDX52" s="6"/>
      <c r="WDY52" s="6"/>
      <c r="WDZ52" s="6"/>
      <c r="WEA52" s="6"/>
      <c r="WEB52" s="6"/>
      <c r="WEC52" s="6"/>
      <c r="WED52" s="6"/>
      <c r="WEE52" s="6"/>
      <c r="WEF52" s="6"/>
      <c r="WEG52" s="6"/>
      <c r="WEH52" s="6"/>
      <c r="WEI52" s="6"/>
      <c r="WEJ52" s="6"/>
      <c r="WEK52" s="6"/>
      <c r="WEL52" s="6"/>
      <c r="WEM52" s="6"/>
      <c r="WEN52" s="6"/>
      <c r="WEO52" s="6"/>
      <c r="WEP52" s="6"/>
      <c r="WEQ52" s="6"/>
      <c r="WER52" s="6"/>
      <c r="WES52" s="6"/>
      <c r="WET52" s="6"/>
      <c r="WEU52" s="6"/>
      <c r="WEV52" s="6"/>
      <c r="WEW52" s="6"/>
      <c r="WEX52" s="6"/>
      <c r="WEY52" s="6"/>
      <c r="WEZ52" s="6"/>
      <c r="WFA52" s="6"/>
      <c r="WFB52" s="6"/>
      <c r="WFC52" s="6"/>
      <c r="WFD52" s="6"/>
      <c r="WFE52" s="6"/>
      <c r="WFF52" s="6"/>
      <c r="WFG52" s="6"/>
      <c r="WFH52" s="6"/>
      <c r="WFI52" s="6"/>
      <c r="WFJ52" s="6"/>
      <c r="WFK52" s="6"/>
      <c r="WFL52" s="6"/>
      <c r="WFM52" s="6"/>
      <c r="WFN52" s="6"/>
      <c r="WFO52" s="6"/>
      <c r="WFP52" s="6"/>
      <c r="WFQ52" s="6"/>
      <c r="WFR52" s="6"/>
      <c r="WFS52" s="6"/>
      <c r="WFT52" s="6"/>
      <c r="WFU52" s="6"/>
      <c r="WFV52" s="6"/>
      <c r="WFW52" s="6"/>
      <c r="WFX52" s="6"/>
      <c r="WFY52" s="6"/>
      <c r="WFZ52" s="6"/>
      <c r="WGA52" s="6"/>
      <c r="WGB52" s="6"/>
      <c r="WGC52" s="6"/>
      <c r="WGD52" s="6"/>
      <c r="WGE52" s="6"/>
      <c r="WGF52" s="6"/>
      <c r="WGG52" s="6"/>
      <c r="WGH52" s="6"/>
      <c r="WGI52" s="6"/>
      <c r="WGJ52" s="6"/>
      <c r="WGK52" s="6"/>
      <c r="WGL52" s="6"/>
      <c r="WGM52" s="6"/>
      <c r="WGN52" s="6"/>
      <c r="WGO52" s="6"/>
      <c r="WGP52" s="6"/>
      <c r="WGQ52" s="6"/>
      <c r="WGR52" s="6"/>
      <c r="WGS52" s="6"/>
      <c r="WGT52" s="6"/>
      <c r="WGU52" s="6"/>
      <c r="WGV52" s="6"/>
      <c r="WGW52" s="6"/>
      <c r="WGX52" s="6"/>
      <c r="WGY52" s="6"/>
      <c r="WGZ52" s="6"/>
      <c r="WHA52" s="6"/>
      <c r="WHB52" s="6"/>
      <c r="WHC52" s="6"/>
      <c r="WHD52" s="6"/>
      <c r="WHE52" s="6"/>
      <c r="WHF52" s="6"/>
      <c r="WHG52" s="6"/>
      <c r="WHH52" s="6"/>
      <c r="WHI52" s="6"/>
      <c r="WHJ52" s="6"/>
      <c r="WHK52" s="6"/>
      <c r="WHL52" s="6"/>
      <c r="WHM52" s="6"/>
      <c r="WHN52" s="6"/>
      <c r="WHO52" s="6"/>
      <c r="WHP52" s="6"/>
      <c r="WHQ52" s="6"/>
      <c r="WHR52" s="6"/>
      <c r="WHS52" s="6"/>
      <c r="WHT52" s="6"/>
      <c r="WHU52" s="6"/>
      <c r="WHV52" s="6"/>
      <c r="WHW52" s="6"/>
      <c r="WHX52" s="6"/>
      <c r="WHY52" s="6"/>
      <c r="WHZ52" s="6"/>
      <c r="WIA52" s="6"/>
      <c r="WIB52" s="6"/>
      <c r="WIC52" s="6"/>
      <c r="WID52" s="6"/>
      <c r="WIE52" s="6"/>
      <c r="WIF52" s="6"/>
      <c r="WIG52" s="6"/>
      <c r="WIH52" s="6"/>
      <c r="WII52" s="6"/>
      <c r="WIJ52" s="6"/>
      <c r="WIK52" s="6"/>
      <c r="WIL52" s="6"/>
      <c r="WIM52" s="6"/>
      <c r="WIN52" s="6"/>
      <c r="WIO52" s="6"/>
      <c r="WIP52" s="6"/>
      <c r="WIQ52" s="6"/>
      <c r="WIR52" s="6"/>
      <c r="WIS52" s="6"/>
      <c r="WIT52" s="6"/>
      <c r="WIU52" s="6"/>
      <c r="WIV52" s="6"/>
      <c r="WIW52" s="6"/>
      <c r="WIX52" s="6"/>
      <c r="WIY52" s="6"/>
      <c r="WIZ52" s="6"/>
      <c r="WJA52" s="6"/>
      <c r="WJB52" s="6"/>
      <c r="WJC52" s="6"/>
      <c r="WJD52" s="6"/>
      <c r="WJE52" s="6"/>
      <c r="WJF52" s="6"/>
      <c r="WJG52" s="6"/>
      <c r="WJH52" s="6"/>
      <c r="WJI52" s="6"/>
      <c r="WJJ52" s="6"/>
      <c r="WJK52" s="6"/>
      <c r="WJL52" s="6"/>
      <c r="WJM52" s="6"/>
      <c r="WJN52" s="6"/>
      <c r="WJO52" s="6"/>
      <c r="WJP52" s="6"/>
      <c r="WJQ52" s="6"/>
      <c r="WJR52" s="6"/>
      <c r="WJS52" s="6"/>
      <c r="WJT52" s="6"/>
      <c r="WJU52" s="6"/>
      <c r="WJV52" s="6"/>
      <c r="WJW52" s="6"/>
      <c r="WJX52" s="6"/>
      <c r="WJY52" s="6"/>
      <c r="WJZ52" s="6"/>
      <c r="WKA52" s="6"/>
      <c r="WKB52" s="6"/>
      <c r="WKC52" s="6"/>
      <c r="WKD52" s="6"/>
      <c r="WKE52" s="6"/>
      <c r="WKF52" s="6"/>
      <c r="WKG52" s="6"/>
      <c r="WKH52" s="6"/>
      <c r="WKI52" s="6"/>
      <c r="WKJ52" s="6"/>
      <c r="WKK52" s="6"/>
      <c r="WKL52" s="6"/>
      <c r="WKM52" s="6"/>
      <c r="WKN52" s="6"/>
      <c r="WKO52" s="6"/>
      <c r="WKP52" s="6"/>
      <c r="WKQ52" s="6"/>
      <c r="WKR52" s="6"/>
      <c r="WKS52" s="6"/>
      <c r="WKT52" s="6"/>
      <c r="WKU52" s="6"/>
      <c r="WKV52" s="6"/>
      <c r="WKW52" s="6"/>
      <c r="WKX52" s="6"/>
      <c r="WKY52" s="6"/>
      <c r="WKZ52" s="6"/>
      <c r="WLA52" s="6"/>
      <c r="WLB52" s="6"/>
      <c r="WLC52" s="6"/>
      <c r="WLD52" s="6"/>
      <c r="WLE52" s="6"/>
      <c r="WLF52" s="6"/>
      <c r="WLG52" s="6"/>
      <c r="WLH52" s="6"/>
      <c r="WLI52" s="6"/>
      <c r="WLJ52" s="6"/>
      <c r="WLK52" s="6"/>
      <c r="WLL52" s="6"/>
      <c r="WLM52" s="6"/>
      <c r="WLN52" s="6"/>
      <c r="WLO52" s="6"/>
      <c r="WLP52" s="6"/>
      <c r="WLQ52" s="6"/>
      <c r="WLR52" s="6"/>
      <c r="WLS52" s="6"/>
      <c r="WLT52" s="6"/>
      <c r="WLU52" s="6"/>
      <c r="WLV52" s="6"/>
      <c r="WLW52" s="6"/>
      <c r="WLX52" s="6"/>
      <c r="WLY52" s="6"/>
      <c r="WLZ52" s="6"/>
      <c r="WMA52" s="6"/>
      <c r="WMB52" s="6"/>
      <c r="WMC52" s="6"/>
      <c r="WMD52" s="6"/>
      <c r="WME52" s="6"/>
      <c r="WMF52" s="6"/>
      <c r="WMG52" s="6"/>
      <c r="WMH52" s="6"/>
      <c r="WMI52" s="6"/>
      <c r="WMJ52" s="6"/>
      <c r="WMK52" s="6"/>
      <c r="WML52" s="6"/>
      <c r="WMM52" s="6"/>
      <c r="WMN52" s="6"/>
      <c r="WMO52" s="6"/>
      <c r="WMP52" s="6"/>
      <c r="WMQ52" s="6"/>
      <c r="WMR52" s="6"/>
      <c r="WMS52" s="6"/>
      <c r="WMT52" s="6"/>
      <c r="WMU52" s="6"/>
      <c r="WMV52" s="6"/>
      <c r="WMW52" s="6"/>
      <c r="WMX52" s="6"/>
      <c r="WMY52" s="6"/>
      <c r="WMZ52" s="6"/>
      <c r="WNA52" s="6"/>
      <c r="WNB52" s="6"/>
      <c r="WNC52" s="6"/>
      <c r="WND52" s="6"/>
      <c r="WNE52" s="6"/>
      <c r="WNF52" s="6"/>
      <c r="WNG52" s="6"/>
      <c r="WNH52" s="6"/>
      <c r="WNI52" s="6"/>
      <c r="WNJ52" s="6"/>
      <c r="WNK52" s="6"/>
      <c r="WNL52" s="6"/>
      <c r="WNM52" s="6"/>
      <c r="WNN52" s="6"/>
      <c r="WNO52" s="6"/>
      <c r="WNP52" s="6"/>
      <c r="WNQ52" s="6"/>
      <c r="WNR52" s="6"/>
      <c r="WNS52" s="6"/>
      <c r="WNT52" s="6"/>
      <c r="WNU52" s="6"/>
      <c r="WNV52" s="6"/>
      <c r="WNW52" s="6"/>
      <c r="WNX52" s="6"/>
      <c r="WNY52" s="6"/>
      <c r="WNZ52" s="6"/>
      <c r="WOA52" s="6"/>
      <c r="WOB52" s="6"/>
      <c r="WOC52" s="6"/>
      <c r="WOD52" s="6"/>
      <c r="WOE52" s="6"/>
      <c r="WOF52" s="6"/>
      <c r="WOG52" s="6"/>
      <c r="WOH52" s="6"/>
      <c r="WOI52" s="6"/>
      <c r="WOJ52" s="6"/>
      <c r="WOK52" s="6"/>
      <c r="WOL52" s="6"/>
      <c r="WOM52" s="6"/>
      <c r="WON52" s="6"/>
      <c r="WOO52" s="6"/>
      <c r="WOP52" s="6"/>
      <c r="WOQ52" s="6"/>
      <c r="WOR52" s="6"/>
      <c r="WOS52" s="6"/>
      <c r="WOT52" s="6"/>
      <c r="WOU52" s="6"/>
      <c r="WOV52" s="6"/>
      <c r="WOW52" s="6"/>
      <c r="WOX52" s="6"/>
      <c r="WOY52" s="6"/>
      <c r="WOZ52" s="6"/>
      <c r="WPA52" s="6"/>
      <c r="WPB52" s="6"/>
      <c r="WPC52" s="6"/>
      <c r="WPD52" s="6"/>
      <c r="WPE52" s="6"/>
      <c r="WPF52" s="6"/>
      <c r="WPG52" s="6"/>
      <c r="WPH52" s="6"/>
      <c r="WPI52" s="6"/>
      <c r="WPJ52" s="6"/>
      <c r="WPK52" s="6"/>
      <c r="WPL52" s="6"/>
      <c r="WPM52" s="6"/>
      <c r="WPN52" s="6"/>
      <c r="WPO52" s="6"/>
      <c r="WPP52" s="6"/>
      <c r="WPQ52" s="6"/>
      <c r="WPR52" s="6"/>
      <c r="WPS52" s="6"/>
      <c r="WPT52" s="6"/>
      <c r="WPU52" s="6"/>
      <c r="WPV52" s="6"/>
      <c r="WPW52" s="6"/>
      <c r="WPX52" s="6"/>
      <c r="WPY52" s="6"/>
      <c r="WPZ52" s="6"/>
      <c r="WQA52" s="6"/>
      <c r="WQB52" s="6"/>
      <c r="WQC52" s="6"/>
      <c r="WQD52" s="6"/>
      <c r="WQE52" s="6"/>
      <c r="WQF52" s="6"/>
      <c r="WQG52" s="6"/>
      <c r="WQH52" s="6"/>
      <c r="WQI52" s="6"/>
      <c r="WQJ52" s="6"/>
      <c r="WQK52" s="6"/>
      <c r="WQL52" s="6"/>
      <c r="WQM52" s="6"/>
      <c r="WQN52" s="6"/>
      <c r="WQO52" s="6"/>
      <c r="WQP52" s="6"/>
      <c r="WQQ52" s="6"/>
      <c r="WQR52" s="6"/>
      <c r="WQS52" s="6"/>
      <c r="WQT52" s="6"/>
      <c r="WQU52" s="6"/>
      <c r="WQV52" s="6"/>
      <c r="WQW52" s="6"/>
      <c r="WQX52" s="6"/>
      <c r="WQY52" s="6"/>
      <c r="WQZ52" s="6"/>
      <c r="WRA52" s="6"/>
      <c r="WRB52" s="6"/>
      <c r="WRC52" s="6"/>
      <c r="WRD52" s="6"/>
      <c r="WRE52" s="6"/>
      <c r="WRF52" s="6"/>
      <c r="WRG52" s="6"/>
      <c r="WRH52" s="6"/>
      <c r="WRI52" s="6"/>
      <c r="WRJ52" s="6"/>
      <c r="WRK52" s="6"/>
      <c r="WRL52" s="6"/>
      <c r="WRM52" s="6"/>
      <c r="WRN52" s="6"/>
      <c r="WRO52" s="6"/>
      <c r="WRP52" s="6"/>
      <c r="WRQ52" s="6"/>
      <c r="WRR52" s="6"/>
      <c r="WRS52" s="6"/>
      <c r="WRT52" s="6"/>
      <c r="WRU52" s="6"/>
      <c r="WRV52" s="6"/>
      <c r="WRW52" s="6"/>
      <c r="WRX52" s="6"/>
      <c r="WRY52" s="6"/>
      <c r="WRZ52" s="6"/>
      <c r="WSA52" s="6"/>
      <c r="WSB52" s="6"/>
      <c r="WSC52" s="6"/>
      <c r="WSD52" s="6"/>
      <c r="WSE52" s="6"/>
      <c r="WSF52" s="6"/>
      <c r="WSG52" s="6"/>
      <c r="WSH52" s="6"/>
      <c r="WSI52" s="6"/>
      <c r="WSJ52" s="6"/>
      <c r="WSK52" s="6"/>
      <c r="WSL52" s="6"/>
      <c r="WSM52" s="6"/>
      <c r="WSN52" s="6"/>
      <c r="WSO52" s="6"/>
      <c r="WSP52" s="6"/>
      <c r="WSQ52" s="6"/>
      <c r="WSR52" s="6"/>
      <c r="WSS52" s="6"/>
      <c r="WST52" s="6"/>
      <c r="WSU52" s="6"/>
      <c r="WSV52" s="6"/>
      <c r="WSW52" s="6"/>
      <c r="WSX52" s="6"/>
      <c r="WSY52" s="6"/>
      <c r="WSZ52" s="6"/>
      <c r="WTA52" s="6"/>
      <c r="WTB52" s="6"/>
      <c r="WTC52" s="6"/>
      <c r="WTD52" s="6"/>
      <c r="WTE52" s="6"/>
      <c r="WTF52" s="6"/>
      <c r="WTG52" s="6"/>
      <c r="WTH52" s="6"/>
      <c r="WTI52" s="6"/>
      <c r="WTJ52" s="6"/>
      <c r="WTK52" s="6"/>
      <c r="WTL52" s="6"/>
      <c r="WTM52" s="6"/>
      <c r="WTN52" s="6"/>
      <c r="WTO52" s="6"/>
      <c r="WTP52" s="6"/>
    </row>
    <row r="53" spans="1:16084" x14ac:dyDescent="0.3">
      <c r="A53" s="2" t="s">
        <v>268</v>
      </c>
      <c r="B53" s="2" t="s">
        <v>269</v>
      </c>
      <c r="C53" s="15" t="s">
        <v>270</v>
      </c>
      <c r="D53" s="2" t="s">
        <v>271</v>
      </c>
      <c r="E53" s="1">
        <v>51758</v>
      </c>
      <c r="F53" s="2"/>
      <c r="G53" s="193" t="s">
        <v>272</v>
      </c>
      <c r="H53" s="169" t="s">
        <v>273</v>
      </c>
      <c r="I53" s="169" t="s">
        <v>274</v>
      </c>
    </row>
    <row r="54" spans="1:16084" x14ac:dyDescent="0.3">
      <c r="A54" s="2" t="s">
        <v>275</v>
      </c>
      <c r="B54" s="2" t="s">
        <v>276</v>
      </c>
      <c r="C54" s="15" t="s">
        <v>277</v>
      </c>
      <c r="D54" s="2" t="s">
        <v>278</v>
      </c>
      <c r="E54" s="1">
        <v>52724</v>
      </c>
      <c r="F54" s="122" t="s">
        <v>59</v>
      </c>
      <c r="G54" s="2" t="s">
        <v>279</v>
      </c>
      <c r="H54" s="187" t="s">
        <v>280</v>
      </c>
      <c r="I54" s="2" t="s">
        <v>281</v>
      </c>
    </row>
    <row r="55" spans="1:16084" x14ac:dyDescent="0.3">
      <c r="A55" s="2" t="s">
        <v>282</v>
      </c>
      <c r="B55" s="2" t="s">
        <v>283</v>
      </c>
      <c r="C55" s="15" t="s">
        <v>284</v>
      </c>
      <c r="D55" s="2" t="s">
        <v>285</v>
      </c>
      <c r="E55" s="1">
        <v>51328</v>
      </c>
      <c r="F55" s="122"/>
    </row>
    <row r="56" spans="1:16084" x14ac:dyDescent="0.3">
      <c r="A56" s="2" t="s">
        <v>286</v>
      </c>
      <c r="B56" s="3" t="s">
        <v>287</v>
      </c>
      <c r="D56" s="3" t="s">
        <v>288</v>
      </c>
      <c r="E56" s="1">
        <v>43821</v>
      </c>
      <c r="F56" s="122"/>
    </row>
    <row r="57" spans="1:16084" x14ac:dyDescent="0.3">
      <c r="A57" s="2" t="s">
        <v>289</v>
      </c>
      <c r="B57" s="3" t="s">
        <v>283</v>
      </c>
      <c r="C57" s="15" t="s">
        <v>290</v>
      </c>
      <c r="D57" s="2" t="s">
        <v>291</v>
      </c>
      <c r="E57" s="1">
        <v>49817</v>
      </c>
      <c r="F57" s="122" t="s">
        <v>59</v>
      </c>
      <c r="G57" s="2" t="s">
        <v>292</v>
      </c>
      <c r="H57" s="187" t="s">
        <v>293</v>
      </c>
    </row>
    <row r="58" spans="1:16084" x14ac:dyDescent="0.3">
      <c r="A58" s="2" t="s">
        <v>294</v>
      </c>
      <c r="B58" s="3" t="s">
        <v>287</v>
      </c>
      <c r="D58" s="3" t="s">
        <v>295</v>
      </c>
      <c r="E58" s="1">
        <v>46409</v>
      </c>
      <c r="F58" s="122"/>
    </row>
    <row r="59" spans="1:16084" x14ac:dyDescent="0.3">
      <c r="A59" s="2" t="s">
        <v>296</v>
      </c>
      <c r="B59" s="3" t="s">
        <v>297</v>
      </c>
      <c r="C59" s="16"/>
      <c r="D59" s="3"/>
      <c r="E59" s="1">
        <v>45965</v>
      </c>
      <c r="F59" s="122" t="s">
        <v>25</v>
      </c>
      <c r="G59" s="2" t="s">
        <v>298</v>
      </c>
      <c r="H59" s="187" t="s">
        <v>299</v>
      </c>
    </row>
    <row r="60" spans="1:16084" x14ac:dyDescent="0.3">
      <c r="A60" s="2" t="s">
        <v>300</v>
      </c>
      <c r="B60" s="3" t="s">
        <v>297</v>
      </c>
      <c r="C60" s="16" t="s">
        <v>301</v>
      </c>
      <c r="D60" s="3" t="s">
        <v>302</v>
      </c>
      <c r="E60" s="1">
        <v>45965</v>
      </c>
      <c r="F60" s="122" t="s">
        <v>38</v>
      </c>
      <c r="G60" s="2" t="s">
        <v>303</v>
      </c>
      <c r="H60" s="187" t="s">
        <v>304</v>
      </c>
      <c r="I60" s="2" t="s">
        <v>305</v>
      </c>
    </row>
    <row r="61" spans="1:16084" x14ac:dyDescent="0.3">
      <c r="A61" s="102" t="s">
        <v>306</v>
      </c>
      <c r="B61" s="102" t="s">
        <v>307</v>
      </c>
      <c r="C61" s="103" t="s">
        <v>308</v>
      </c>
      <c r="D61" s="102" t="s">
        <v>309</v>
      </c>
      <c r="E61" s="1">
        <v>45965</v>
      </c>
      <c r="F61" s="123"/>
      <c r="G61" s="2" t="s">
        <v>310</v>
      </c>
      <c r="H61" s="187" t="s">
        <v>311</v>
      </c>
    </row>
    <row r="62" spans="1:16084" x14ac:dyDescent="0.3">
      <c r="A62" s="2" t="s">
        <v>312</v>
      </c>
      <c r="B62" s="2" t="s">
        <v>313</v>
      </c>
      <c r="C62" s="15" t="s">
        <v>314</v>
      </c>
      <c r="D62" s="2" t="s">
        <v>315</v>
      </c>
      <c r="E62" s="1">
        <v>51319</v>
      </c>
      <c r="F62" s="122" t="s">
        <v>38</v>
      </c>
      <c r="G62" s="113" t="s">
        <v>316</v>
      </c>
    </row>
    <row r="63" spans="1:16084" x14ac:dyDescent="0.3">
      <c r="A63" s="2" t="s">
        <v>317</v>
      </c>
      <c r="B63" s="2" t="s">
        <v>318</v>
      </c>
      <c r="C63" s="15" t="s">
        <v>319</v>
      </c>
      <c r="D63" s="2" t="s">
        <v>320</v>
      </c>
      <c r="E63" s="1">
        <v>45965</v>
      </c>
      <c r="F63" s="122"/>
      <c r="L63" s="2" t="s">
        <v>94</v>
      </c>
    </row>
    <row r="64" spans="1:16084" x14ac:dyDescent="0.3">
      <c r="A64" s="2" t="s">
        <v>321</v>
      </c>
      <c r="B64" s="3" t="s">
        <v>322</v>
      </c>
      <c r="C64" s="16" t="s">
        <v>323</v>
      </c>
      <c r="D64" s="4" t="s">
        <v>324</v>
      </c>
      <c r="E64" s="1">
        <v>45965</v>
      </c>
      <c r="F64" s="122"/>
    </row>
    <row r="65" spans="1:9" x14ac:dyDescent="0.3">
      <c r="A65" s="102" t="s">
        <v>325</v>
      </c>
      <c r="B65" s="102" t="s">
        <v>326</v>
      </c>
      <c r="C65" s="103" t="s">
        <v>327</v>
      </c>
      <c r="D65" s="102" t="s">
        <v>328</v>
      </c>
      <c r="E65" s="1">
        <v>45965</v>
      </c>
      <c r="F65" s="123" t="s">
        <v>38</v>
      </c>
      <c r="G65" s="2" t="s">
        <v>329</v>
      </c>
      <c r="H65" s="187" t="s">
        <v>330</v>
      </c>
      <c r="I65" s="2" t="s">
        <v>331</v>
      </c>
    </row>
    <row r="66" spans="1:9" x14ac:dyDescent="0.3">
      <c r="A66" s="2" t="s">
        <v>332</v>
      </c>
      <c r="B66" s="3" t="s">
        <v>333</v>
      </c>
      <c r="C66" s="15" t="s">
        <v>334</v>
      </c>
      <c r="D66" s="3" t="s">
        <v>335</v>
      </c>
      <c r="E66" s="1">
        <v>45965</v>
      </c>
      <c r="F66" s="122"/>
    </row>
    <row r="67" spans="1:9" x14ac:dyDescent="0.3">
      <c r="A67" s="102" t="s">
        <v>336</v>
      </c>
      <c r="B67" s="107" t="s">
        <v>337</v>
      </c>
      <c r="C67" s="108" t="s">
        <v>338</v>
      </c>
      <c r="D67" s="107" t="s">
        <v>339</v>
      </c>
      <c r="E67" s="105">
        <v>50965</v>
      </c>
      <c r="F67" s="123" t="s">
        <v>38</v>
      </c>
      <c r="G67" s="2" t="s">
        <v>340</v>
      </c>
      <c r="H67" s="187" t="s">
        <v>341</v>
      </c>
    </row>
    <row r="68" spans="1:9" x14ac:dyDescent="0.3">
      <c r="A68" s="117" t="s">
        <v>342</v>
      </c>
      <c r="B68" s="117" t="s">
        <v>345</v>
      </c>
      <c r="C68" s="103" t="s">
        <v>346</v>
      </c>
      <c r="D68" s="117" t="s">
        <v>347</v>
      </c>
      <c r="E68" s="105">
        <v>43809</v>
      </c>
      <c r="F68" s="123" t="s">
        <v>38</v>
      </c>
      <c r="G68" s="2" t="s">
        <v>343</v>
      </c>
      <c r="H68" s="187" t="s">
        <v>344</v>
      </c>
      <c r="I68" s="2" t="s">
        <v>348</v>
      </c>
    </row>
    <row r="69" spans="1:9" x14ac:dyDescent="0.3">
      <c r="A69" s="2" t="s">
        <v>349</v>
      </c>
      <c r="B69" s="2" t="s">
        <v>350</v>
      </c>
      <c r="C69" s="15" t="s">
        <v>351</v>
      </c>
      <c r="D69" s="2" t="s">
        <v>352</v>
      </c>
      <c r="E69" s="1" t="s">
        <v>353</v>
      </c>
      <c r="F69" s="122"/>
    </row>
    <row r="70" spans="1:9" x14ac:dyDescent="0.3">
      <c r="A70" s="2" t="s">
        <v>354</v>
      </c>
      <c r="B70" s="2" t="s">
        <v>355</v>
      </c>
      <c r="C70" s="17" t="s">
        <v>356</v>
      </c>
      <c r="D70" s="7" t="s">
        <v>357</v>
      </c>
      <c r="E70" s="1">
        <v>44294</v>
      </c>
      <c r="F70" s="122"/>
    </row>
    <row r="71" spans="1:9" x14ac:dyDescent="0.3">
      <c r="A71" s="14" t="s">
        <v>358</v>
      </c>
      <c r="B71" s="14" t="s">
        <v>359</v>
      </c>
      <c r="C71" s="18" t="s">
        <v>360</v>
      </c>
      <c r="D71" s="14" t="s">
        <v>361</v>
      </c>
      <c r="E71" s="13">
        <v>51381</v>
      </c>
      <c r="F71" s="125"/>
    </row>
    <row r="72" spans="1:9" x14ac:dyDescent="0.3">
      <c r="A72" s="2" t="s">
        <v>362</v>
      </c>
      <c r="B72" s="2" t="s">
        <v>363</v>
      </c>
      <c r="C72" s="15" t="s">
        <v>364</v>
      </c>
      <c r="D72" s="2" t="s">
        <v>365</v>
      </c>
      <c r="E72" s="1" t="s">
        <v>366</v>
      </c>
      <c r="F72" s="122"/>
    </row>
    <row r="73" spans="1:9" x14ac:dyDescent="0.3">
      <c r="A73" s="2" t="s">
        <v>367</v>
      </c>
      <c r="B73" s="2" t="s">
        <v>355</v>
      </c>
      <c r="C73" s="17" t="s">
        <v>356</v>
      </c>
      <c r="D73" s="7" t="s">
        <v>368</v>
      </c>
      <c r="E73" s="1">
        <v>45967</v>
      </c>
      <c r="F73" s="122"/>
    </row>
    <row r="74" spans="1:9" x14ac:dyDescent="0.3">
      <c r="A74" s="2" t="s">
        <v>369</v>
      </c>
      <c r="B74" s="2" t="s">
        <v>232</v>
      </c>
      <c r="C74" s="15" t="s">
        <v>233</v>
      </c>
      <c r="D74" s="4" t="s">
        <v>234</v>
      </c>
      <c r="E74" s="1">
        <v>43551</v>
      </c>
      <c r="F74" s="122" t="s">
        <v>52</v>
      </c>
      <c r="G74" s="2" t="s">
        <v>370</v>
      </c>
    </row>
    <row r="75" spans="1:9" x14ac:dyDescent="0.3">
      <c r="A75" s="102" t="s">
        <v>371</v>
      </c>
      <c r="B75" s="102" t="s">
        <v>372</v>
      </c>
      <c r="C75" s="103" t="s">
        <v>373</v>
      </c>
      <c r="D75" s="102" t="s">
        <v>374</v>
      </c>
      <c r="E75" s="105">
        <v>42726</v>
      </c>
      <c r="F75" s="123" t="s">
        <v>38</v>
      </c>
      <c r="G75" s="2" t="s">
        <v>375</v>
      </c>
      <c r="H75" s="187" t="s">
        <v>376</v>
      </c>
    </row>
    <row r="76" spans="1:9" x14ac:dyDescent="0.3">
      <c r="A76" s="2" t="s">
        <v>377</v>
      </c>
      <c r="B76" s="3" t="s">
        <v>378</v>
      </c>
      <c r="C76" s="15" t="s">
        <v>379</v>
      </c>
      <c r="D76" s="3" t="s">
        <v>380</v>
      </c>
      <c r="E76" s="1" t="s">
        <v>381</v>
      </c>
      <c r="F76" s="122"/>
    </row>
    <row r="77" spans="1:9" x14ac:dyDescent="0.3">
      <c r="A77" s="2" t="s">
        <v>382</v>
      </c>
      <c r="B77" s="2" t="s">
        <v>383</v>
      </c>
      <c r="C77" s="19" t="s">
        <v>384</v>
      </c>
      <c r="D77" s="2" t="s">
        <v>385</v>
      </c>
      <c r="E77" s="1">
        <v>50223</v>
      </c>
      <c r="F77" s="122" t="s">
        <v>52</v>
      </c>
      <c r="G77" s="187" t="s">
        <v>386</v>
      </c>
      <c r="H77" s="198" t="s">
        <v>387</v>
      </c>
      <c r="I77" s="2" t="s">
        <v>388</v>
      </c>
    </row>
    <row r="78" spans="1:9" x14ac:dyDescent="0.3">
      <c r="A78" s="102" t="s">
        <v>389</v>
      </c>
      <c r="B78" s="102" t="s">
        <v>390</v>
      </c>
      <c r="C78" s="103" t="s">
        <v>391</v>
      </c>
      <c r="D78" s="102" t="s">
        <v>392</v>
      </c>
      <c r="E78" s="105">
        <v>55557</v>
      </c>
      <c r="F78" s="123" t="s">
        <v>13</v>
      </c>
    </row>
    <row r="79" spans="1:9" x14ac:dyDescent="0.3">
      <c r="A79" s="8" t="s">
        <v>393</v>
      </c>
      <c r="B79" s="2" t="s">
        <v>394</v>
      </c>
      <c r="C79" s="15" t="s">
        <v>395</v>
      </c>
      <c r="D79" s="4" t="s">
        <v>396</v>
      </c>
      <c r="E79" s="1">
        <v>43720</v>
      </c>
      <c r="F79" s="122"/>
    </row>
    <row r="80" spans="1:9" ht="14.25" customHeight="1" x14ac:dyDescent="0.3">
      <c r="A80" s="102" t="s">
        <v>397</v>
      </c>
      <c r="B80" s="2" t="s">
        <v>398</v>
      </c>
      <c r="C80" s="103" t="s">
        <v>395</v>
      </c>
      <c r="D80" s="106" t="s">
        <v>396</v>
      </c>
      <c r="E80" s="105">
        <v>43713</v>
      </c>
      <c r="F80" s="123" t="s">
        <v>38</v>
      </c>
      <c r="G80" s="2" t="s">
        <v>399</v>
      </c>
    </row>
    <row r="81" spans="1:11" x14ac:dyDescent="0.3">
      <c r="A81" s="2" t="s">
        <v>400</v>
      </c>
      <c r="B81" s="2" t="s">
        <v>401</v>
      </c>
      <c r="C81" s="17" t="s">
        <v>402</v>
      </c>
      <c r="D81" s="8" t="s">
        <v>403</v>
      </c>
      <c r="E81" s="5">
        <v>43556</v>
      </c>
      <c r="F81" s="124"/>
    </row>
    <row r="82" spans="1:11" x14ac:dyDescent="0.3">
      <c r="A82" s="102" t="s">
        <v>404</v>
      </c>
      <c r="B82" s="2" t="s">
        <v>401</v>
      </c>
      <c r="C82" s="103" t="s">
        <v>405</v>
      </c>
      <c r="D82" s="102" t="s">
        <v>406</v>
      </c>
      <c r="E82" s="105">
        <v>52924</v>
      </c>
      <c r="F82" s="123" t="s">
        <v>38</v>
      </c>
      <c r="G82" s="2" t="s">
        <v>407</v>
      </c>
    </row>
    <row r="83" spans="1:11" x14ac:dyDescent="0.3">
      <c r="A83" s="2" t="s">
        <v>408</v>
      </c>
      <c r="B83" s="2" t="s">
        <v>409</v>
      </c>
      <c r="E83" s="1">
        <v>50215</v>
      </c>
      <c r="F83" s="122" t="s">
        <v>52</v>
      </c>
      <c r="G83" s="2" t="s">
        <v>410</v>
      </c>
      <c r="H83" s="187" t="s">
        <v>411</v>
      </c>
    </row>
    <row r="84" spans="1:11" x14ac:dyDescent="0.3">
      <c r="A84" s="2" t="s">
        <v>412</v>
      </c>
      <c r="B84" s="2" t="s">
        <v>401</v>
      </c>
      <c r="C84" s="15" t="s">
        <v>395</v>
      </c>
      <c r="D84" s="4" t="s">
        <v>396</v>
      </c>
      <c r="E84" s="1">
        <v>43715</v>
      </c>
      <c r="F84" s="122"/>
    </row>
    <row r="85" spans="1:11" x14ac:dyDescent="0.3">
      <c r="A85" s="2" t="s">
        <v>413</v>
      </c>
      <c r="B85" s="2" t="s">
        <v>401</v>
      </c>
      <c r="C85" s="15" t="s">
        <v>414</v>
      </c>
      <c r="D85" s="2" t="s">
        <v>415</v>
      </c>
      <c r="E85" s="1">
        <v>48602</v>
      </c>
      <c r="F85" s="122"/>
    </row>
    <row r="86" spans="1:11" x14ac:dyDescent="0.3">
      <c r="A86" s="2" t="s">
        <v>416</v>
      </c>
      <c r="B86" s="2" t="s">
        <v>401</v>
      </c>
      <c r="C86" s="15" t="s">
        <v>395</v>
      </c>
      <c r="D86" s="4" t="s">
        <v>396</v>
      </c>
      <c r="E86" s="1">
        <v>43714</v>
      </c>
      <c r="F86" s="122"/>
    </row>
    <row r="87" spans="1:11" x14ac:dyDescent="0.3">
      <c r="A87" s="2" t="s">
        <v>418</v>
      </c>
      <c r="B87" s="2" t="s">
        <v>401</v>
      </c>
      <c r="C87" s="15" t="s">
        <v>395</v>
      </c>
      <c r="D87" s="6" t="s">
        <v>419</v>
      </c>
      <c r="E87" s="1">
        <v>43711</v>
      </c>
      <c r="F87" s="122"/>
    </row>
    <row r="88" spans="1:11" x14ac:dyDescent="0.3">
      <c r="A88" s="2" t="s">
        <v>420</v>
      </c>
      <c r="B88" s="2" t="s">
        <v>394</v>
      </c>
      <c r="C88" s="15" t="s">
        <v>395</v>
      </c>
      <c r="D88" s="4" t="s">
        <v>396</v>
      </c>
      <c r="E88" s="1">
        <v>43719</v>
      </c>
      <c r="F88" s="122"/>
    </row>
    <row r="89" spans="1:11" x14ac:dyDescent="0.3">
      <c r="A89" s="2" t="s">
        <v>421</v>
      </c>
      <c r="B89" s="2" t="s">
        <v>422</v>
      </c>
      <c r="C89" s="15" t="s">
        <v>423</v>
      </c>
      <c r="D89" s="2" t="s">
        <v>424</v>
      </c>
      <c r="E89" s="1">
        <v>50782</v>
      </c>
      <c r="F89" s="122" t="s">
        <v>161</v>
      </c>
      <c r="G89" s="2" t="s">
        <v>425</v>
      </c>
      <c r="H89" s="187" t="s">
        <v>426</v>
      </c>
    </row>
    <row r="90" spans="1:11" x14ac:dyDescent="0.3">
      <c r="A90" s="2" t="s">
        <v>427</v>
      </c>
      <c r="B90" s="2" t="s">
        <v>428</v>
      </c>
      <c r="C90" s="15" t="s">
        <v>429</v>
      </c>
      <c r="D90" s="4" t="s">
        <v>430</v>
      </c>
      <c r="E90" s="1">
        <v>43702</v>
      </c>
      <c r="F90" s="122"/>
    </row>
    <row r="91" spans="1:11" x14ac:dyDescent="0.3">
      <c r="A91" s="2" t="s">
        <v>431</v>
      </c>
      <c r="B91" s="3" t="s">
        <v>432</v>
      </c>
      <c r="C91" s="15" t="s">
        <v>433</v>
      </c>
      <c r="D91" s="3" t="s">
        <v>434</v>
      </c>
      <c r="E91" s="1">
        <v>44015</v>
      </c>
      <c r="F91" s="122"/>
    </row>
    <row r="92" spans="1:11" x14ac:dyDescent="0.3">
      <c r="A92" s="2" t="s">
        <v>417</v>
      </c>
      <c r="B92" s="2" t="s">
        <v>401</v>
      </c>
      <c r="C92" s="15" t="s">
        <v>395</v>
      </c>
      <c r="D92" s="6" t="s">
        <v>419</v>
      </c>
      <c r="E92" s="1">
        <v>43712</v>
      </c>
      <c r="F92" s="122" t="s">
        <v>161</v>
      </c>
      <c r="G92" s="192" t="s">
        <v>435</v>
      </c>
      <c r="H92" s="187" t="s">
        <v>436</v>
      </c>
      <c r="I92" s="169" t="s">
        <v>437</v>
      </c>
      <c r="J92" s="169"/>
    </row>
    <row r="93" spans="1:11" ht="15" x14ac:dyDescent="0.35">
      <c r="A93" s="2" t="s">
        <v>438</v>
      </c>
      <c r="B93" s="2" t="s">
        <v>439</v>
      </c>
      <c r="D93" s="6"/>
      <c r="E93" s="1">
        <v>43718</v>
      </c>
      <c r="F93" s="122"/>
      <c r="G93" s="173" t="s">
        <v>399</v>
      </c>
      <c r="I93" s="169"/>
      <c r="J93" s="169"/>
      <c r="K93" s="197"/>
    </row>
    <row r="94" spans="1:11" x14ac:dyDescent="0.3">
      <c r="A94" s="2" t="s">
        <v>440</v>
      </c>
      <c r="B94" s="2" t="s">
        <v>441</v>
      </c>
      <c r="C94" s="15" t="s">
        <v>442</v>
      </c>
      <c r="D94" s="4" t="s">
        <v>396</v>
      </c>
      <c r="E94" s="1">
        <v>43565</v>
      </c>
      <c r="F94" s="122" t="s">
        <v>59</v>
      </c>
      <c r="G94" s="192" t="s">
        <v>443</v>
      </c>
      <c r="H94" s="187" t="s">
        <v>444</v>
      </c>
      <c r="I94" s="2" t="s">
        <v>445</v>
      </c>
      <c r="J94" s="196" t="s">
        <v>446</v>
      </c>
      <c r="K94" s="196" t="s">
        <v>447</v>
      </c>
    </row>
    <row r="95" spans="1:11" x14ac:dyDescent="0.3">
      <c r="A95" s="2" t="s">
        <v>448</v>
      </c>
      <c r="B95" s="3" t="s">
        <v>432</v>
      </c>
      <c r="C95" s="15" t="s">
        <v>433</v>
      </c>
      <c r="D95" s="3" t="s">
        <v>449</v>
      </c>
      <c r="E95" s="1">
        <v>46207</v>
      </c>
      <c r="F95" s="122" t="s">
        <v>161</v>
      </c>
      <c r="G95" s="2" t="s">
        <v>450</v>
      </c>
      <c r="H95" s="168" t="s">
        <v>450</v>
      </c>
      <c r="I95" s="168" t="s">
        <v>443</v>
      </c>
    </row>
    <row r="96" spans="1:11" x14ac:dyDescent="0.3">
      <c r="A96" s="102" t="s">
        <v>451</v>
      </c>
      <c r="B96" s="104" t="s">
        <v>452</v>
      </c>
      <c r="C96" s="147" t="s">
        <v>453</v>
      </c>
      <c r="D96" s="104" t="s">
        <v>454</v>
      </c>
      <c r="E96" s="105">
        <v>46782</v>
      </c>
      <c r="F96" s="123" t="s">
        <v>38</v>
      </c>
      <c r="G96" s="2" t="s">
        <v>455</v>
      </c>
      <c r="H96" s="187" t="s">
        <v>456</v>
      </c>
    </row>
    <row r="97" spans="1:11" x14ac:dyDescent="0.3">
      <c r="A97" s="102" t="s">
        <v>457</v>
      </c>
      <c r="B97" s="102" t="s">
        <v>458</v>
      </c>
      <c r="C97" s="103" t="s">
        <v>459</v>
      </c>
      <c r="D97" s="102" t="s">
        <v>460</v>
      </c>
      <c r="E97" s="105">
        <v>56896</v>
      </c>
      <c r="F97" s="123" t="s">
        <v>38</v>
      </c>
      <c r="G97" s="2" t="s">
        <v>461</v>
      </c>
      <c r="H97" s="187" t="s">
        <v>462</v>
      </c>
    </row>
    <row r="98" spans="1:11" x14ac:dyDescent="0.3">
      <c r="A98" s="2" t="s">
        <v>463</v>
      </c>
      <c r="B98" s="3" t="s">
        <v>464</v>
      </c>
      <c r="C98" s="170" t="s">
        <v>465</v>
      </c>
      <c r="D98" s="3" t="s">
        <v>466</v>
      </c>
      <c r="E98" s="1">
        <v>46923</v>
      </c>
      <c r="F98" s="2"/>
      <c r="G98" s="192" t="s">
        <v>465</v>
      </c>
      <c r="H98" s="171" t="s">
        <v>467</v>
      </c>
      <c r="I98" s="2" t="s">
        <v>468</v>
      </c>
    </row>
    <row r="99" spans="1:11" x14ac:dyDescent="0.3">
      <c r="A99" s="102" t="s">
        <v>469</v>
      </c>
      <c r="B99" s="102" t="s">
        <v>470</v>
      </c>
      <c r="C99" s="103" t="s">
        <v>471</v>
      </c>
      <c r="D99" s="102" t="s">
        <v>472</v>
      </c>
      <c r="E99" s="105">
        <v>48379</v>
      </c>
      <c r="F99" s="123" t="s">
        <v>38</v>
      </c>
      <c r="G99" s="2" t="s">
        <v>473</v>
      </c>
      <c r="H99" s="187" t="s">
        <v>474</v>
      </c>
    </row>
    <row r="100" spans="1:11" x14ac:dyDescent="0.3">
      <c r="A100" s="2" t="s">
        <v>475</v>
      </c>
      <c r="B100" s="2" t="s">
        <v>476</v>
      </c>
      <c r="C100" s="15" t="s">
        <v>477</v>
      </c>
      <c r="D100" s="2" t="s">
        <v>478</v>
      </c>
      <c r="E100" s="1">
        <v>47718</v>
      </c>
      <c r="F100" s="122" t="s">
        <v>52</v>
      </c>
      <c r="G100" s="2" t="s">
        <v>479</v>
      </c>
      <c r="H100" s="187" t="s">
        <v>480</v>
      </c>
    </row>
    <row r="101" spans="1:11" x14ac:dyDescent="0.3">
      <c r="A101" s="102" t="s">
        <v>483</v>
      </c>
      <c r="B101" s="104" t="s">
        <v>484</v>
      </c>
      <c r="C101" s="147" t="s">
        <v>485</v>
      </c>
      <c r="D101" s="104" t="s">
        <v>486</v>
      </c>
      <c r="E101" s="105" t="s">
        <v>487</v>
      </c>
      <c r="F101" s="123" t="s">
        <v>52</v>
      </c>
      <c r="G101" s="2" t="s">
        <v>488</v>
      </c>
      <c r="H101" s="187" t="s">
        <v>489</v>
      </c>
    </row>
    <row r="102" spans="1:11" x14ac:dyDescent="0.3">
      <c r="A102" s="2" t="s">
        <v>490</v>
      </c>
      <c r="B102" s="2" t="s">
        <v>491</v>
      </c>
      <c r="C102" s="2" t="s">
        <v>492</v>
      </c>
      <c r="D102" s="2" t="s">
        <v>493</v>
      </c>
      <c r="E102" s="1">
        <v>50488</v>
      </c>
      <c r="F102" s="128" t="s">
        <v>38</v>
      </c>
    </row>
    <row r="103" spans="1:11" ht="15" x14ac:dyDescent="0.35">
      <c r="A103" s="2" t="s">
        <v>481</v>
      </c>
      <c r="B103" s="2" t="s">
        <v>482</v>
      </c>
      <c r="E103" s="1">
        <v>43888</v>
      </c>
      <c r="G103" s="173" t="s">
        <v>494</v>
      </c>
    </row>
    <row r="104" spans="1:11" s="114" customFormat="1" x14ac:dyDescent="0.3">
      <c r="A104" s="114" t="s">
        <v>495</v>
      </c>
      <c r="B104" s="114" t="s">
        <v>496</v>
      </c>
      <c r="C104" s="114" t="s">
        <v>497</v>
      </c>
      <c r="D104" s="114" t="s">
        <v>498</v>
      </c>
      <c r="E104" s="13">
        <v>55787</v>
      </c>
      <c r="F104" s="125" t="s">
        <v>38</v>
      </c>
      <c r="G104" s="194" t="s">
        <v>499</v>
      </c>
      <c r="H104" s="188" t="s">
        <v>500</v>
      </c>
      <c r="I104" s="114" t="s">
        <v>501</v>
      </c>
      <c r="J104" s="2" t="s">
        <v>502</v>
      </c>
      <c r="K104" s="2" t="s">
        <v>503</v>
      </c>
    </row>
    <row r="105" spans="1:11" x14ac:dyDescent="0.3">
      <c r="A105" s="2" t="s">
        <v>504</v>
      </c>
      <c r="B105" s="2" t="s">
        <v>505</v>
      </c>
      <c r="C105" s="15" t="s">
        <v>506</v>
      </c>
      <c r="D105" s="4" t="s">
        <v>507</v>
      </c>
      <c r="E105" s="1">
        <v>43552</v>
      </c>
      <c r="F105" s="122"/>
    </row>
    <row r="106" spans="1:11" x14ac:dyDescent="0.3">
      <c r="A106" s="2" t="s">
        <v>508</v>
      </c>
      <c r="B106" s="2" t="s">
        <v>509</v>
      </c>
      <c r="C106" s="15" t="s">
        <v>510</v>
      </c>
      <c r="D106" s="2" t="s">
        <v>511</v>
      </c>
      <c r="E106" s="1">
        <v>43723</v>
      </c>
      <c r="F106" s="122"/>
    </row>
    <row r="107" spans="1:11" x14ac:dyDescent="0.3">
      <c r="A107" s="102" t="s">
        <v>512</v>
      </c>
      <c r="B107" s="102" t="s">
        <v>513</v>
      </c>
      <c r="C107" s="103" t="s">
        <v>510</v>
      </c>
      <c r="D107" s="102" t="s">
        <v>511</v>
      </c>
      <c r="E107" s="105">
        <v>43724</v>
      </c>
      <c r="F107" s="123" t="s">
        <v>38</v>
      </c>
      <c r="G107" t="s">
        <v>514</v>
      </c>
      <c r="H107" s="192" t="s">
        <v>515</v>
      </c>
      <c r="I107" s="2" t="s">
        <v>516</v>
      </c>
      <c r="J107" s="2" t="s">
        <v>517</v>
      </c>
    </row>
    <row r="108" spans="1:11" x14ac:dyDescent="0.3">
      <c r="A108" s="2" t="s">
        <v>518</v>
      </c>
      <c r="B108" s="2" t="s">
        <v>519</v>
      </c>
      <c r="C108" s="15" t="s">
        <v>510</v>
      </c>
      <c r="D108" s="2" t="s">
        <v>511</v>
      </c>
      <c r="E108" s="1">
        <v>43716</v>
      </c>
      <c r="F108" s="122"/>
    </row>
    <row r="109" spans="1:11" x14ac:dyDescent="0.3">
      <c r="A109" s="2" t="s">
        <v>520</v>
      </c>
      <c r="B109" s="2" t="s">
        <v>519</v>
      </c>
      <c r="C109" s="15" t="s">
        <v>510</v>
      </c>
      <c r="D109" s="2" t="s">
        <v>511</v>
      </c>
      <c r="E109" s="1">
        <v>43721</v>
      </c>
      <c r="F109" s="122"/>
    </row>
    <row r="110" spans="1:11" x14ac:dyDescent="0.3">
      <c r="A110" s="102" t="s">
        <v>521</v>
      </c>
      <c r="B110" s="102" t="s">
        <v>522</v>
      </c>
      <c r="C110" s="103" t="s">
        <v>510</v>
      </c>
      <c r="D110" s="102" t="s">
        <v>511</v>
      </c>
      <c r="E110" s="105">
        <v>43554</v>
      </c>
      <c r="F110" s="123" t="s">
        <v>38</v>
      </c>
      <c r="G110" s="2" t="s">
        <v>523</v>
      </c>
      <c r="H110" s="187" t="s">
        <v>524</v>
      </c>
      <c r="I110" s="2" t="s">
        <v>525</v>
      </c>
    </row>
    <row r="111" spans="1:11" x14ac:dyDescent="0.3">
      <c r="A111" s="2" t="s">
        <v>526</v>
      </c>
      <c r="B111" s="2" t="s">
        <v>527</v>
      </c>
      <c r="C111" s="15" t="s">
        <v>510</v>
      </c>
      <c r="D111" s="2" t="s">
        <v>511</v>
      </c>
      <c r="E111" s="1">
        <v>45044</v>
      </c>
      <c r="F111" s="122" t="s">
        <v>38</v>
      </c>
      <c r="G111" s="113" t="s">
        <v>528</v>
      </c>
    </row>
    <row r="112" spans="1:11" x14ac:dyDescent="0.3">
      <c r="A112" s="2" t="s">
        <v>529</v>
      </c>
      <c r="B112" s="2" t="s">
        <v>530</v>
      </c>
      <c r="C112" s="15" t="s">
        <v>531</v>
      </c>
      <c r="D112" s="2" t="s">
        <v>532</v>
      </c>
      <c r="E112" s="1">
        <v>43916</v>
      </c>
      <c r="F112" s="122"/>
      <c r="G112" s="113" t="s">
        <v>533</v>
      </c>
    </row>
    <row r="113" spans="1:16084" ht="15" x14ac:dyDescent="0.35">
      <c r="A113" s="2" t="s">
        <v>534</v>
      </c>
      <c r="B113" s="3" t="s">
        <v>535</v>
      </c>
      <c r="E113" s="1">
        <v>43928</v>
      </c>
      <c r="F113" s="122"/>
      <c r="G113" s="173" t="s">
        <v>536</v>
      </c>
    </row>
    <row r="114" spans="1:16084" x14ac:dyDescent="0.3">
      <c r="A114" s="2" t="s">
        <v>537</v>
      </c>
      <c r="B114" s="3" t="s">
        <v>535</v>
      </c>
      <c r="C114" s="15" t="s">
        <v>538</v>
      </c>
      <c r="D114" s="3" t="s">
        <v>539</v>
      </c>
      <c r="E114" s="1">
        <v>44737</v>
      </c>
      <c r="F114" s="122" t="s">
        <v>540</v>
      </c>
      <c r="G114" s="113" t="s">
        <v>541</v>
      </c>
      <c r="H114" s="187" t="s">
        <v>542</v>
      </c>
      <c r="I114" s="2" t="s">
        <v>543</v>
      </c>
      <c r="J114" s="2" t="s">
        <v>544</v>
      </c>
    </row>
    <row r="115" spans="1:16084" x14ac:dyDescent="0.3">
      <c r="A115" s="102" t="s">
        <v>545</v>
      </c>
      <c r="B115" s="102" t="s">
        <v>546</v>
      </c>
      <c r="C115" s="103" t="s">
        <v>547</v>
      </c>
      <c r="D115" s="102" t="s">
        <v>548</v>
      </c>
      <c r="E115" s="105">
        <v>51987</v>
      </c>
      <c r="F115" s="123" t="s">
        <v>38</v>
      </c>
      <c r="G115" s="2" t="s">
        <v>549</v>
      </c>
      <c r="H115" s="168" t="s">
        <v>550</v>
      </c>
      <c r="I115" s="2" t="s">
        <v>551</v>
      </c>
    </row>
    <row r="116" spans="1:16084" x14ac:dyDescent="0.3">
      <c r="A116" s="2" t="s">
        <v>552</v>
      </c>
      <c r="B116" s="2" t="s">
        <v>553</v>
      </c>
      <c r="C116" s="15" t="s">
        <v>554</v>
      </c>
      <c r="D116" s="2" t="s">
        <v>555</v>
      </c>
      <c r="E116" s="1">
        <v>43856</v>
      </c>
      <c r="F116" s="122" t="s">
        <v>25</v>
      </c>
      <c r="G116" s="113" t="s">
        <v>556</v>
      </c>
      <c r="H116" s="187" t="s">
        <v>557</v>
      </c>
      <c r="I116" s="2" t="s">
        <v>558</v>
      </c>
    </row>
    <row r="117" spans="1:16084" x14ac:dyDescent="0.3">
      <c r="A117" s="2" t="s">
        <v>559</v>
      </c>
      <c r="B117" s="3" t="s">
        <v>560</v>
      </c>
      <c r="C117" s="15" t="s">
        <v>561</v>
      </c>
      <c r="D117" s="3" t="s">
        <v>562</v>
      </c>
      <c r="E117" s="1">
        <v>44114</v>
      </c>
      <c r="F117" s="122" t="s">
        <v>38</v>
      </c>
      <c r="G117" s="2" t="s">
        <v>563</v>
      </c>
      <c r="H117" s="187" t="s">
        <v>564</v>
      </c>
    </row>
    <row r="118" spans="1:16084" x14ac:dyDescent="0.3">
      <c r="A118" s="2" t="s">
        <v>565</v>
      </c>
      <c r="B118" s="2" t="s">
        <v>527</v>
      </c>
      <c r="C118" s="15" t="s">
        <v>566</v>
      </c>
      <c r="D118" s="2" t="s">
        <v>511</v>
      </c>
      <c r="E118" s="1">
        <v>45036</v>
      </c>
      <c r="G118" s="6"/>
      <c r="H118" s="19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  <c r="TU118" s="6"/>
      <c r="TV118" s="6"/>
      <c r="TW118" s="6"/>
      <c r="TX118" s="6"/>
      <c r="TY118" s="6"/>
      <c r="TZ118" s="6"/>
      <c r="UA118" s="6"/>
      <c r="UB118" s="6"/>
      <c r="UC118" s="6"/>
      <c r="UD118" s="6"/>
      <c r="UE118" s="6"/>
      <c r="UF118" s="6"/>
      <c r="UG118" s="6"/>
      <c r="UH118" s="6"/>
      <c r="UI118" s="6"/>
      <c r="UJ118" s="6"/>
      <c r="UK118" s="6"/>
      <c r="UL118" s="6"/>
      <c r="UM118" s="6"/>
      <c r="UN118" s="6"/>
      <c r="UO118" s="6"/>
      <c r="UP118" s="6"/>
      <c r="UQ118" s="6"/>
      <c r="UR118" s="6"/>
      <c r="US118" s="6"/>
      <c r="UT118" s="6"/>
      <c r="UU118" s="6"/>
      <c r="UV118" s="6"/>
      <c r="UW118" s="6"/>
      <c r="UX118" s="6"/>
      <c r="UY118" s="6"/>
      <c r="UZ118" s="6"/>
      <c r="VA118" s="6"/>
      <c r="VB118" s="6"/>
      <c r="VC118" s="6"/>
      <c r="VD118" s="6"/>
      <c r="VE118" s="6"/>
      <c r="VF118" s="6"/>
      <c r="VG118" s="6"/>
      <c r="VH118" s="6"/>
      <c r="VI118" s="6"/>
      <c r="VJ118" s="6"/>
      <c r="VK118" s="6"/>
      <c r="VL118" s="6"/>
      <c r="VM118" s="6"/>
      <c r="VN118" s="6"/>
      <c r="VO118" s="6"/>
      <c r="VP118" s="6"/>
      <c r="VQ118" s="6"/>
      <c r="VR118" s="6"/>
      <c r="VS118" s="6"/>
      <c r="VT118" s="6"/>
      <c r="VU118" s="6"/>
      <c r="VV118" s="6"/>
      <c r="VW118" s="6"/>
      <c r="VX118" s="6"/>
      <c r="VY118" s="6"/>
      <c r="VZ118" s="6"/>
      <c r="WA118" s="6"/>
      <c r="WB118" s="6"/>
      <c r="WC118" s="6"/>
      <c r="WD118" s="6"/>
      <c r="WE118" s="6"/>
      <c r="WF118" s="6"/>
      <c r="WG118" s="6"/>
      <c r="WH118" s="6"/>
      <c r="WI118" s="6"/>
      <c r="WJ118" s="6"/>
      <c r="WK118" s="6"/>
      <c r="WL118" s="6"/>
      <c r="WM118" s="6"/>
      <c r="WN118" s="6"/>
      <c r="WO118" s="6"/>
      <c r="WP118" s="6"/>
      <c r="WQ118" s="6"/>
      <c r="WR118" s="6"/>
      <c r="WS118" s="6"/>
      <c r="WT118" s="6"/>
      <c r="WU118" s="6"/>
      <c r="WV118" s="6"/>
      <c r="WW118" s="6"/>
      <c r="WX118" s="6"/>
      <c r="WY118" s="6"/>
      <c r="WZ118" s="6"/>
      <c r="XA118" s="6"/>
      <c r="XB118" s="6"/>
      <c r="XC118" s="6"/>
      <c r="XD118" s="6"/>
      <c r="XE118" s="6"/>
      <c r="XF118" s="6"/>
      <c r="XG118" s="6"/>
      <c r="XH118" s="6"/>
      <c r="XI118" s="6"/>
      <c r="XJ118" s="6"/>
      <c r="XK118" s="6"/>
      <c r="XL118" s="6"/>
      <c r="XM118" s="6"/>
      <c r="XN118" s="6"/>
      <c r="XO118" s="6"/>
      <c r="XP118" s="6"/>
      <c r="XQ118" s="6"/>
      <c r="XR118" s="6"/>
      <c r="XS118" s="6"/>
      <c r="XT118" s="6"/>
      <c r="XU118" s="6"/>
      <c r="XV118" s="6"/>
      <c r="XW118" s="6"/>
      <c r="XX118" s="6"/>
      <c r="XY118" s="6"/>
      <c r="XZ118" s="6"/>
      <c r="YA118" s="6"/>
      <c r="YB118" s="6"/>
      <c r="YC118" s="6"/>
      <c r="YD118" s="6"/>
      <c r="YE118" s="6"/>
      <c r="YF118" s="6"/>
      <c r="YG118" s="6"/>
      <c r="YH118" s="6"/>
      <c r="YI118" s="6"/>
      <c r="YJ118" s="6"/>
      <c r="YK118" s="6"/>
      <c r="YL118" s="6"/>
      <c r="YM118" s="6"/>
      <c r="YN118" s="6"/>
      <c r="YO118" s="6"/>
      <c r="YP118" s="6"/>
      <c r="YQ118" s="6"/>
      <c r="YR118" s="6"/>
      <c r="YS118" s="6"/>
      <c r="YT118" s="6"/>
      <c r="YU118" s="6"/>
      <c r="YV118" s="6"/>
      <c r="YW118" s="6"/>
      <c r="YX118" s="6"/>
      <c r="YY118" s="6"/>
      <c r="YZ118" s="6"/>
      <c r="ZA118" s="6"/>
      <c r="ZB118" s="6"/>
      <c r="ZC118" s="6"/>
      <c r="ZD118" s="6"/>
      <c r="ZE118" s="6"/>
      <c r="ZF118" s="6"/>
      <c r="ZG118" s="6"/>
      <c r="ZH118" s="6"/>
      <c r="ZI118" s="6"/>
      <c r="ZJ118" s="6"/>
      <c r="ZK118" s="6"/>
      <c r="ZL118" s="6"/>
      <c r="ZM118" s="6"/>
      <c r="ZN118" s="6"/>
      <c r="ZO118" s="6"/>
      <c r="ZP118" s="6"/>
      <c r="ZQ118" s="6"/>
      <c r="ZR118" s="6"/>
      <c r="ZS118" s="6"/>
      <c r="ZT118" s="6"/>
      <c r="ZU118" s="6"/>
      <c r="ZV118" s="6"/>
      <c r="ZW118" s="6"/>
      <c r="ZX118" s="6"/>
      <c r="ZY118" s="6"/>
      <c r="ZZ118" s="6"/>
      <c r="AAA118" s="6"/>
      <c r="AAB118" s="6"/>
      <c r="AAC118" s="6"/>
      <c r="AAD118" s="6"/>
      <c r="AAE118" s="6"/>
      <c r="AAF118" s="6"/>
      <c r="AAG118" s="6"/>
      <c r="AAH118" s="6"/>
      <c r="AAI118" s="6"/>
      <c r="AAJ118" s="6"/>
      <c r="AAK118" s="6"/>
      <c r="AAL118" s="6"/>
      <c r="AAM118" s="6"/>
      <c r="AAN118" s="6"/>
      <c r="AAO118" s="6"/>
      <c r="AAP118" s="6"/>
      <c r="AAQ118" s="6"/>
      <c r="AAR118" s="6"/>
      <c r="AAS118" s="6"/>
      <c r="AAT118" s="6"/>
      <c r="AAU118" s="6"/>
      <c r="AAV118" s="6"/>
      <c r="AAW118" s="6"/>
      <c r="AAX118" s="6"/>
      <c r="AAY118" s="6"/>
      <c r="AAZ118" s="6"/>
      <c r="ABA118" s="6"/>
      <c r="ABB118" s="6"/>
      <c r="ABC118" s="6"/>
      <c r="ABD118" s="6"/>
      <c r="ABE118" s="6"/>
      <c r="ABF118" s="6"/>
      <c r="ABG118" s="6"/>
      <c r="ABH118" s="6"/>
      <c r="ABI118" s="6"/>
      <c r="ABJ118" s="6"/>
      <c r="ABK118" s="6"/>
      <c r="ABL118" s="6"/>
      <c r="ABM118" s="6"/>
      <c r="ABN118" s="6"/>
      <c r="ABO118" s="6"/>
      <c r="ABP118" s="6"/>
      <c r="ABQ118" s="6"/>
      <c r="ABR118" s="6"/>
      <c r="ABS118" s="6"/>
      <c r="ABT118" s="6"/>
      <c r="ABU118" s="6"/>
      <c r="ABV118" s="6"/>
      <c r="ABW118" s="6"/>
      <c r="ABX118" s="6"/>
      <c r="ABY118" s="6"/>
      <c r="ABZ118" s="6"/>
      <c r="ACA118" s="6"/>
      <c r="ACB118" s="6"/>
      <c r="ACC118" s="6"/>
      <c r="ACD118" s="6"/>
      <c r="ACE118" s="6"/>
      <c r="ACF118" s="6"/>
      <c r="ACG118" s="6"/>
      <c r="ACH118" s="6"/>
      <c r="ACI118" s="6"/>
      <c r="ACJ118" s="6"/>
      <c r="ACK118" s="6"/>
      <c r="ACL118" s="6"/>
      <c r="ACM118" s="6"/>
      <c r="ACN118" s="6"/>
      <c r="ACO118" s="6"/>
      <c r="ACP118" s="6"/>
      <c r="ACQ118" s="6"/>
      <c r="ACR118" s="6"/>
      <c r="ACS118" s="6"/>
      <c r="ACT118" s="6"/>
      <c r="ACU118" s="6"/>
      <c r="ACV118" s="6"/>
      <c r="ACW118" s="6"/>
      <c r="ACX118" s="6"/>
      <c r="ACY118" s="6"/>
      <c r="ACZ118" s="6"/>
      <c r="ADA118" s="6"/>
      <c r="ADB118" s="6"/>
      <c r="ADC118" s="6"/>
      <c r="ADD118" s="6"/>
      <c r="ADE118" s="6"/>
      <c r="ADF118" s="6"/>
      <c r="ADG118" s="6"/>
      <c r="ADH118" s="6"/>
      <c r="ADI118" s="6"/>
      <c r="ADJ118" s="6"/>
      <c r="ADK118" s="6"/>
      <c r="ADL118" s="6"/>
      <c r="ADM118" s="6"/>
      <c r="ADN118" s="6"/>
      <c r="ADO118" s="6"/>
      <c r="ADP118" s="6"/>
      <c r="ADQ118" s="6"/>
      <c r="ADR118" s="6"/>
      <c r="ADS118" s="6"/>
      <c r="ADT118" s="6"/>
      <c r="ADU118" s="6"/>
      <c r="ADV118" s="6"/>
      <c r="ADW118" s="6"/>
      <c r="ADX118" s="6"/>
      <c r="ADY118" s="6"/>
      <c r="ADZ118" s="6"/>
      <c r="AEA118" s="6"/>
      <c r="AEB118" s="6"/>
      <c r="AEC118" s="6"/>
      <c r="AED118" s="6"/>
      <c r="AEE118" s="6"/>
      <c r="AEF118" s="6"/>
      <c r="AEG118" s="6"/>
      <c r="AEH118" s="6"/>
      <c r="AEI118" s="6"/>
      <c r="AEJ118" s="6"/>
      <c r="AEK118" s="6"/>
      <c r="AEL118" s="6"/>
      <c r="AEM118" s="6"/>
      <c r="AEN118" s="6"/>
      <c r="AEO118" s="6"/>
      <c r="AEP118" s="6"/>
      <c r="AEQ118" s="6"/>
      <c r="AER118" s="6"/>
      <c r="AES118" s="6"/>
      <c r="AET118" s="6"/>
      <c r="AEU118" s="6"/>
      <c r="AEV118" s="6"/>
      <c r="AEW118" s="6"/>
      <c r="AEX118" s="6"/>
      <c r="AEY118" s="6"/>
      <c r="AEZ118" s="6"/>
      <c r="AFA118" s="6"/>
      <c r="AFB118" s="6"/>
      <c r="AFC118" s="6"/>
      <c r="AFD118" s="6"/>
      <c r="AFE118" s="6"/>
      <c r="AFF118" s="6"/>
      <c r="AFG118" s="6"/>
      <c r="AFH118" s="6"/>
      <c r="AFI118" s="6"/>
      <c r="AFJ118" s="6"/>
      <c r="AFK118" s="6"/>
      <c r="AFL118" s="6"/>
      <c r="AFM118" s="6"/>
      <c r="AFN118" s="6"/>
      <c r="AFO118" s="6"/>
      <c r="AFP118" s="6"/>
      <c r="AFQ118" s="6"/>
      <c r="AFR118" s="6"/>
      <c r="AFS118" s="6"/>
      <c r="AFT118" s="6"/>
      <c r="AFU118" s="6"/>
      <c r="AFV118" s="6"/>
      <c r="AFW118" s="6"/>
      <c r="AFX118" s="6"/>
      <c r="AFY118" s="6"/>
      <c r="AFZ118" s="6"/>
      <c r="AGA118" s="6"/>
      <c r="AGB118" s="6"/>
      <c r="AGC118" s="6"/>
      <c r="AGD118" s="6"/>
      <c r="AGE118" s="6"/>
      <c r="AGF118" s="6"/>
      <c r="AGG118" s="6"/>
      <c r="AGH118" s="6"/>
      <c r="AGI118" s="6"/>
      <c r="AGJ118" s="6"/>
      <c r="AGK118" s="6"/>
      <c r="AGL118" s="6"/>
      <c r="AGM118" s="6"/>
      <c r="AGN118" s="6"/>
      <c r="AGO118" s="6"/>
      <c r="AGP118" s="6"/>
      <c r="AGQ118" s="6"/>
      <c r="AGR118" s="6"/>
      <c r="AGS118" s="6"/>
      <c r="AGT118" s="6"/>
      <c r="AGU118" s="6"/>
      <c r="AGV118" s="6"/>
      <c r="AGW118" s="6"/>
      <c r="AGX118" s="6"/>
      <c r="AGY118" s="6"/>
      <c r="AGZ118" s="6"/>
      <c r="AHA118" s="6"/>
      <c r="AHB118" s="6"/>
      <c r="AHC118" s="6"/>
      <c r="AHD118" s="6"/>
      <c r="AHE118" s="6"/>
      <c r="AHF118" s="6"/>
      <c r="AHG118" s="6"/>
      <c r="AHH118" s="6"/>
      <c r="AHI118" s="6"/>
      <c r="AHJ118" s="6"/>
      <c r="AHK118" s="6"/>
      <c r="AHL118" s="6"/>
      <c r="AHM118" s="6"/>
      <c r="AHN118" s="6"/>
      <c r="AHO118" s="6"/>
      <c r="AHP118" s="6"/>
      <c r="AHQ118" s="6"/>
      <c r="AHR118" s="6"/>
      <c r="AHS118" s="6"/>
      <c r="AHT118" s="6"/>
      <c r="AHU118" s="6"/>
      <c r="AHV118" s="6"/>
      <c r="AHW118" s="6"/>
      <c r="AHX118" s="6"/>
      <c r="AHY118" s="6"/>
      <c r="AHZ118" s="6"/>
      <c r="AIA118" s="6"/>
      <c r="AIB118" s="6"/>
      <c r="AIC118" s="6"/>
      <c r="AID118" s="6"/>
      <c r="AIE118" s="6"/>
      <c r="AIF118" s="6"/>
      <c r="AIG118" s="6"/>
      <c r="AIH118" s="6"/>
      <c r="AII118" s="6"/>
      <c r="AIJ118" s="6"/>
      <c r="AIK118" s="6"/>
      <c r="AIL118" s="6"/>
      <c r="AIM118" s="6"/>
      <c r="AIN118" s="6"/>
      <c r="AIO118" s="6"/>
      <c r="AIP118" s="6"/>
      <c r="AIQ118" s="6"/>
      <c r="AIR118" s="6"/>
      <c r="AIS118" s="6"/>
      <c r="AIT118" s="6"/>
      <c r="AIU118" s="6"/>
      <c r="AIV118" s="6"/>
      <c r="AIW118" s="6"/>
      <c r="AIX118" s="6"/>
      <c r="AIY118" s="6"/>
      <c r="AIZ118" s="6"/>
      <c r="AJA118" s="6"/>
      <c r="AJB118" s="6"/>
      <c r="AJC118" s="6"/>
      <c r="AJD118" s="6"/>
      <c r="AJE118" s="6"/>
      <c r="AJF118" s="6"/>
      <c r="AJG118" s="6"/>
      <c r="AJH118" s="6"/>
      <c r="AJI118" s="6"/>
      <c r="AJJ118" s="6"/>
      <c r="AJK118" s="6"/>
      <c r="AJL118" s="6"/>
      <c r="AJM118" s="6"/>
      <c r="AJN118" s="6"/>
      <c r="AJO118" s="6"/>
      <c r="AJP118" s="6"/>
      <c r="AJQ118" s="6"/>
      <c r="AJR118" s="6"/>
      <c r="AJS118" s="6"/>
      <c r="AJT118" s="6"/>
      <c r="AJU118" s="6"/>
      <c r="AJV118" s="6"/>
      <c r="AJW118" s="6"/>
      <c r="AJX118" s="6"/>
      <c r="AJY118" s="6"/>
      <c r="AJZ118" s="6"/>
      <c r="AKA118" s="6"/>
      <c r="AKB118" s="6"/>
      <c r="AKC118" s="6"/>
      <c r="AKD118" s="6"/>
      <c r="AKE118" s="6"/>
      <c r="AKF118" s="6"/>
      <c r="AKG118" s="6"/>
      <c r="AKH118" s="6"/>
      <c r="AKI118" s="6"/>
      <c r="AKJ118" s="6"/>
      <c r="AKK118" s="6"/>
      <c r="AKL118" s="6"/>
      <c r="AKM118" s="6"/>
      <c r="AKN118" s="6"/>
      <c r="AKO118" s="6"/>
      <c r="AKP118" s="6"/>
      <c r="AKQ118" s="6"/>
      <c r="AKR118" s="6"/>
      <c r="AKS118" s="6"/>
      <c r="AKT118" s="6"/>
      <c r="AKU118" s="6"/>
      <c r="AKV118" s="6"/>
      <c r="AKW118" s="6"/>
      <c r="AKX118" s="6"/>
      <c r="AKY118" s="6"/>
      <c r="AKZ118" s="6"/>
      <c r="ALA118" s="6"/>
      <c r="ALB118" s="6"/>
      <c r="ALC118" s="6"/>
      <c r="ALD118" s="6"/>
      <c r="ALE118" s="6"/>
      <c r="ALF118" s="6"/>
      <c r="ALG118" s="6"/>
      <c r="ALH118" s="6"/>
      <c r="ALI118" s="6"/>
      <c r="ALJ118" s="6"/>
      <c r="ALK118" s="6"/>
      <c r="ALL118" s="6"/>
      <c r="ALM118" s="6"/>
      <c r="ALN118" s="6"/>
      <c r="ALO118" s="6"/>
      <c r="ALP118" s="6"/>
      <c r="ALQ118" s="6"/>
      <c r="ALR118" s="6"/>
      <c r="ALS118" s="6"/>
      <c r="ALT118" s="6"/>
      <c r="ALU118" s="6"/>
      <c r="ALV118" s="6"/>
      <c r="ALW118" s="6"/>
      <c r="ALX118" s="6"/>
      <c r="ALY118" s="6"/>
      <c r="ALZ118" s="6"/>
      <c r="AMA118" s="6"/>
      <c r="AMB118" s="6"/>
      <c r="AMC118" s="6"/>
      <c r="AMD118" s="6"/>
      <c r="AME118" s="6"/>
      <c r="AMF118" s="6"/>
      <c r="AMG118" s="6"/>
      <c r="AMH118" s="6"/>
      <c r="AMI118" s="6"/>
      <c r="AMJ118" s="6"/>
      <c r="AMK118" s="6"/>
      <c r="AML118" s="6"/>
      <c r="AMM118" s="6"/>
      <c r="AMN118" s="6"/>
      <c r="AMO118" s="6"/>
      <c r="AMP118" s="6"/>
      <c r="AMQ118" s="6"/>
      <c r="AMR118" s="6"/>
      <c r="AMS118" s="6"/>
      <c r="AMT118" s="6"/>
      <c r="AMU118" s="6"/>
      <c r="AMV118" s="6"/>
      <c r="AMW118" s="6"/>
      <c r="AMX118" s="6"/>
      <c r="AMY118" s="6"/>
      <c r="AMZ118" s="6"/>
      <c r="ANA118" s="6"/>
      <c r="ANB118" s="6"/>
      <c r="ANC118" s="6"/>
      <c r="AND118" s="6"/>
      <c r="ANE118" s="6"/>
      <c r="ANF118" s="6"/>
      <c r="ANG118" s="6"/>
      <c r="ANH118" s="6"/>
      <c r="ANI118" s="6"/>
      <c r="ANJ118" s="6"/>
      <c r="ANK118" s="6"/>
      <c r="ANL118" s="6"/>
      <c r="ANM118" s="6"/>
      <c r="ANN118" s="6"/>
      <c r="ANO118" s="6"/>
      <c r="ANP118" s="6"/>
      <c r="ANQ118" s="6"/>
      <c r="ANR118" s="6"/>
      <c r="ANS118" s="6"/>
      <c r="ANT118" s="6"/>
      <c r="ANU118" s="6"/>
      <c r="ANV118" s="6"/>
      <c r="ANW118" s="6"/>
      <c r="ANX118" s="6"/>
      <c r="ANY118" s="6"/>
      <c r="ANZ118" s="6"/>
      <c r="AOA118" s="6"/>
      <c r="AOB118" s="6"/>
      <c r="AOC118" s="6"/>
      <c r="AOD118" s="6"/>
      <c r="AOE118" s="6"/>
      <c r="AOF118" s="6"/>
      <c r="AOG118" s="6"/>
      <c r="AOH118" s="6"/>
      <c r="AOI118" s="6"/>
      <c r="AOJ118" s="6"/>
      <c r="AOK118" s="6"/>
      <c r="AOL118" s="6"/>
      <c r="AOM118" s="6"/>
      <c r="AON118" s="6"/>
      <c r="AOO118" s="6"/>
      <c r="AOP118" s="6"/>
      <c r="AOQ118" s="6"/>
      <c r="AOR118" s="6"/>
      <c r="AOS118" s="6"/>
      <c r="AOT118" s="6"/>
      <c r="AOU118" s="6"/>
      <c r="AOV118" s="6"/>
      <c r="AOW118" s="6"/>
      <c r="AOX118" s="6"/>
      <c r="AOY118" s="6"/>
      <c r="AOZ118" s="6"/>
      <c r="APA118" s="6"/>
      <c r="APB118" s="6"/>
      <c r="APC118" s="6"/>
      <c r="APD118" s="6"/>
      <c r="APE118" s="6"/>
      <c r="APF118" s="6"/>
      <c r="APG118" s="6"/>
      <c r="APH118" s="6"/>
      <c r="API118" s="6"/>
      <c r="APJ118" s="6"/>
      <c r="APK118" s="6"/>
      <c r="APL118" s="6"/>
      <c r="APM118" s="6"/>
      <c r="APN118" s="6"/>
      <c r="APO118" s="6"/>
      <c r="APP118" s="6"/>
      <c r="APQ118" s="6"/>
      <c r="APR118" s="6"/>
      <c r="APS118" s="6"/>
      <c r="APT118" s="6"/>
      <c r="APU118" s="6"/>
      <c r="APV118" s="6"/>
      <c r="APW118" s="6"/>
      <c r="APX118" s="6"/>
      <c r="APY118" s="6"/>
      <c r="APZ118" s="6"/>
      <c r="AQA118" s="6"/>
      <c r="AQB118" s="6"/>
      <c r="AQC118" s="6"/>
      <c r="AQD118" s="6"/>
      <c r="AQE118" s="6"/>
      <c r="AQF118" s="6"/>
      <c r="AQG118" s="6"/>
      <c r="AQH118" s="6"/>
      <c r="AQI118" s="6"/>
      <c r="AQJ118" s="6"/>
      <c r="AQK118" s="6"/>
      <c r="AQL118" s="6"/>
      <c r="AQM118" s="6"/>
      <c r="AQN118" s="6"/>
      <c r="AQO118" s="6"/>
      <c r="AQP118" s="6"/>
      <c r="AQQ118" s="6"/>
      <c r="AQR118" s="6"/>
      <c r="AQS118" s="6"/>
      <c r="AQT118" s="6"/>
      <c r="AQU118" s="6"/>
      <c r="AQV118" s="6"/>
      <c r="AQW118" s="6"/>
      <c r="AQX118" s="6"/>
      <c r="AQY118" s="6"/>
      <c r="AQZ118" s="6"/>
      <c r="ARA118" s="6"/>
      <c r="ARB118" s="6"/>
      <c r="ARC118" s="6"/>
      <c r="ARD118" s="6"/>
      <c r="ARE118" s="6"/>
      <c r="ARF118" s="6"/>
      <c r="ARG118" s="6"/>
      <c r="ARH118" s="6"/>
      <c r="ARI118" s="6"/>
      <c r="ARJ118" s="6"/>
      <c r="ARK118" s="6"/>
      <c r="ARL118" s="6"/>
      <c r="ARM118" s="6"/>
      <c r="ARN118" s="6"/>
      <c r="ARO118" s="6"/>
      <c r="ARP118" s="6"/>
      <c r="ARQ118" s="6"/>
      <c r="ARR118" s="6"/>
      <c r="ARS118" s="6"/>
      <c r="ART118" s="6"/>
      <c r="ARU118" s="6"/>
      <c r="ARV118" s="6"/>
      <c r="ARW118" s="6"/>
      <c r="ARX118" s="6"/>
      <c r="ARY118" s="6"/>
      <c r="ARZ118" s="6"/>
      <c r="ASA118" s="6"/>
      <c r="ASB118" s="6"/>
      <c r="ASC118" s="6"/>
      <c r="ASD118" s="6"/>
      <c r="ASE118" s="6"/>
      <c r="ASF118" s="6"/>
      <c r="ASG118" s="6"/>
      <c r="ASH118" s="6"/>
      <c r="ASI118" s="6"/>
      <c r="ASJ118" s="6"/>
      <c r="ASK118" s="6"/>
      <c r="ASL118" s="6"/>
      <c r="ASM118" s="6"/>
      <c r="ASN118" s="6"/>
      <c r="ASO118" s="6"/>
      <c r="ASP118" s="6"/>
      <c r="ASQ118" s="6"/>
      <c r="ASR118" s="6"/>
      <c r="ASS118" s="6"/>
      <c r="AST118" s="6"/>
      <c r="ASU118" s="6"/>
      <c r="ASV118" s="6"/>
      <c r="ASW118" s="6"/>
      <c r="ASX118" s="6"/>
      <c r="ASY118" s="6"/>
      <c r="ASZ118" s="6"/>
      <c r="ATA118" s="6"/>
      <c r="ATB118" s="6"/>
      <c r="ATC118" s="6"/>
      <c r="ATD118" s="6"/>
      <c r="ATE118" s="6"/>
      <c r="ATF118" s="6"/>
      <c r="ATG118" s="6"/>
      <c r="ATH118" s="6"/>
      <c r="ATI118" s="6"/>
      <c r="ATJ118" s="6"/>
      <c r="ATK118" s="6"/>
      <c r="ATL118" s="6"/>
      <c r="ATM118" s="6"/>
      <c r="ATN118" s="6"/>
      <c r="ATO118" s="6"/>
      <c r="ATP118" s="6"/>
      <c r="ATQ118" s="6"/>
      <c r="ATR118" s="6"/>
      <c r="ATS118" s="6"/>
      <c r="ATT118" s="6"/>
      <c r="ATU118" s="6"/>
      <c r="ATV118" s="6"/>
      <c r="ATW118" s="6"/>
      <c r="ATX118" s="6"/>
      <c r="ATY118" s="6"/>
      <c r="ATZ118" s="6"/>
      <c r="AUA118" s="6"/>
      <c r="AUB118" s="6"/>
      <c r="AUC118" s="6"/>
      <c r="AUD118" s="6"/>
      <c r="AUE118" s="6"/>
      <c r="AUF118" s="6"/>
      <c r="AUG118" s="6"/>
      <c r="AUH118" s="6"/>
      <c r="AUI118" s="6"/>
      <c r="AUJ118" s="6"/>
      <c r="AUK118" s="6"/>
      <c r="AUL118" s="6"/>
      <c r="AUM118" s="6"/>
      <c r="AUN118" s="6"/>
      <c r="AUO118" s="6"/>
      <c r="AUP118" s="6"/>
      <c r="AUQ118" s="6"/>
      <c r="AUR118" s="6"/>
      <c r="AUS118" s="6"/>
      <c r="AUT118" s="6"/>
      <c r="AUU118" s="6"/>
      <c r="AUV118" s="6"/>
      <c r="AUW118" s="6"/>
      <c r="AUX118" s="6"/>
      <c r="AUY118" s="6"/>
      <c r="AUZ118" s="6"/>
      <c r="AVA118" s="6"/>
      <c r="AVB118" s="6"/>
      <c r="AVC118" s="6"/>
      <c r="AVD118" s="6"/>
      <c r="AVE118" s="6"/>
      <c r="AVF118" s="6"/>
      <c r="AVG118" s="6"/>
      <c r="AVH118" s="6"/>
      <c r="AVI118" s="6"/>
      <c r="AVJ118" s="6"/>
      <c r="AVK118" s="6"/>
      <c r="AVL118" s="6"/>
      <c r="AVM118" s="6"/>
      <c r="AVN118" s="6"/>
      <c r="AVO118" s="6"/>
      <c r="AVP118" s="6"/>
      <c r="AVQ118" s="6"/>
      <c r="AVR118" s="6"/>
      <c r="AVS118" s="6"/>
      <c r="AVT118" s="6"/>
      <c r="AVU118" s="6"/>
      <c r="AVV118" s="6"/>
      <c r="AVW118" s="6"/>
      <c r="AVX118" s="6"/>
      <c r="AVY118" s="6"/>
      <c r="AVZ118" s="6"/>
      <c r="AWA118" s="6"/>
      <c r="AWB118" s="6"/>
      <c r="AWC118" s="6"/>
      <c r="AWD118" s="6"/>
      <c r="AWE118" s="6"/>
      <c r="AWF118" s="6"/>
      <c r="AWG118" s="6"/>
      <c r="AWH118" s="6"/>
      <c r="AWI118" s="6"/>
      <c r="AWJ118" s="6"/>
      <c r="AWK118" s="6"/>
      <c r="AWL118" s="6"/>
      <c r="AWM118" s="6"/>
      <c r="AWN118" s="6"/>
      <c r="AWO118" s="6"/>
      <c r="AWP118" s="6"/>
      <c r="AWQ118" s="6"/>
      <c r="AWR118" s="6"/>
      <c r="AWS118" s="6"/>
      <c r="AWT118" s="6"/>
      <c r="AWU118" s="6"/>
      <c r="AWV118" s="6"/>
      <c r="AWW118" s="6"/>
      <c r="AWX118" s="6"/>
      <c r="AWY118" s="6"/>
      <c r="AWZ118" s="6"/>
      <c r="AXA118" s="6"/>
      <c r="AXB118" s="6"/>
      <c r="AXC118" s="6"/>
      <c r="AXD118" s="6"/>
      <c r="AXE118" s="6"/>
      <c r="AXF118" s="6"/>
      <c r="AXG118" s="6"/>
      <c r="AXH118" s="6"/>
      <c r="AXI118" s="6"/>
      <c r="AXJ118" s="6"/>
      <c r="AXK118" s="6"/>
      <c r="AXL118" s="6"/>
      <c r="AXM118" s="6"/>
      <c r="AXN118" s="6"/>
      <c r="AXO118" s="6"/>
      <c r="AXP118" s="6"/>
      <c r="AXQ118" s="6"/>
      <c r="AXR118" s="6"/>
      <c r="AXS118" s="6"/>
      <c r="AXT118" s="6"/>
      <c r="AXU118" s="6"/>
      <c r="AXV118" s="6"/>
      <c r="AXW118" s="6"/>
      <c r="AXX118" s="6"/>
      <c r="AXY118" s="6"/>
      <c r="AXZ118" s="6"/>
      <c r="AYA118" s="6"/>
      <c r="AYB118" s="6"/>
      <c r="AYC118" s="6"/>
      <c r="AYD118" s="6"/>
      <c r="AYE118" s="6"/>
      <c r="AYF118" s="6"/>
      <c r="AYG118" s="6"/>
      <c r="AYH118" s="6"/>
      <c r="AYI118" s="6"/>
      <c r="AYJ118" s="6"/>
      <c r="AYK118" s="6"/>
      <c r="AYL118" s="6"/>
      <c r="AYM118" s="6"/>
      <c r="AYN118" s="6"/>
      <c r="AYO118" s="6"/>
      <c r="AYP118" s="6"/>
      <c r="AYQ118" s="6"/>
      <c r="AYR118" s="6"/>
      <c r="AYS118" s="6"/>
      <c r="AYT118" s="6"/>
      <c r="AYU118" s="6"/>
      <c r="AYV118" s="6"/>
      <c r="AYW118" s="6"/>
      <c r="AYX118" s="6"/>
      <c r="AYY118" s="6"/>
      <c r="AYZ118" s="6"/>
      <c r="AZA118" s="6"/>
      <c r="AZB118" s="6"/>
      <c r="AZC118" s="6"/>
      <c r="AZD118" s="6"/>
      <c r="AZE118" s="6"/>
      <c r="AZF118" s="6"/>
      <c r="AZG118" s="6"/>
      <c r="AZH118" s="6"/>
      <c r="AZI118" s="6"/>
      <c r="AZJ118" s="6"/>
      <c r="AZK118" s="6"/>
      <c r="AZL118" s="6"/>
      <c r="AZM118" s="6"/>
      <c r="AZN118" s="6"/>
      <c r="AZO118" s="6"/>
      <c r="AZP118" s="6"/>
      <c r="AZQ118" s="6"/>
      <c r="AZR118" s="6"/>
      <c r="AZS118" s="6"/>
      <c r="AZT118" s="6"/>
      <c r="AZU118" s="6"/>
      <c r="AZV118" s="6"/>
      <c r="AZW118" s="6"/>
      <c r="AZX118" s="6"/>
      <c r="AZY118" s="6"/>
      <c r="AZZ118" s="6"/>
      <c r="BAA118" s="6"/>
      <c r="BAB118" s="6"/>
      <c r="BAC118" s="6"/>
      <c r="BAD118" s="6"/>
      <c r="BAE118" s="6"/>
      <c r="BAF118" s="6"/>
      <c r="BAG118" s="6"/>
      <c r="BAH118" s="6"/>
      <c r="BAI118" s="6"/>
      <c r="BAJ118" s="6"/>
      <c r="BAK118" s="6"/>
      <c r="BAL118" s="6"/>
      <c r="BAM118" s="6"/>
      <c r="BAN118" s="6"/>
      <c r="BAO118" s="6"/>
      <c r="BAP118" s="6"/>
      <c r="BAQ118" s="6"/>
      <c r="BAR118" s="6"/>
      <c r="BAS118" s="6"/>
      <c r="BAT118" s="6"/>
      <c r="BAU118" s="6"/>
      <c r="BAV118" s="6"/>
      <c r="BAW118" s="6"/>
      <c r="BAX118" s="6"/>
      <c r="BAY118" s="6"/>
      <c r="BAZ118" s="6"/>
      <c r="BBA118" s="6"/>
      <c r="BBB118" s="6"/>
      <c r="BBC118" s="6"/>
      <c r="BBD118" s="6"/>
      <c r="BBE118" s="6"/>
      <c r="BBF118" s="6"/>
      <c r="BBG118" s="6"/>
      <c r="BBH118" s="6"/>
      <c r="BBI118" s="6"/>
      <c r="BBJ118" s="6"/>
      <c r="BBK118" s="6"/>
      <c r="BBL118" s="6"/>
      <c r="BBM118" s="6"/>
      <c r="BBN118" s="6"/>
      <c r="BBO118" s="6"/>
      <c r="BBP118" s="6"/>
      <c r="BBQ118" s="6"/>
      <c r="BBR118" s="6"/>
      <c r="BBS118" s="6"/>
      <c r="BBT118" s="6"/>
      <c r="BBU118" s="6"/>
      <c r="BBV118" s="6"/>
      <c r="BBW118" s="6"/>
      <c r="BBX118" s="6"/>
      <c r="BBY118" s="6"/>
      <c r="BBZ118" s="6"/>
      <c r="BCA118" s="6"/>
      <c r="BCB118" s="6"/>
      <c r="BCC118" s="6"/>
      <c r="BCD118" s="6"/>
      <c r="BCE118" s="6"/>
      <c r="BCF118" s="6"/>
      <c r="BCG118" s="6"/>
      <c r="BCH118" s="6"/>
      <c r="BCI118" s="6"/>
      <c r="BCJ118" s="6"/>
      <c r="BCK118" s="6"/>
      <c r="BCL118" s="6"/>
      <c r="BCM118" s="6"/>
      <c r="BCN118" s="6"/>
      <c r="BCO118" s="6"/>
      <c r="BCP118" s="6"/>
      <c r="BCQ118" s="6"/>
      <c r="BCR118" s="6"/>
      <c r="BCS118" s="6"/>
      <c r="BCT118" s="6"/>
      <c r="BCU118" s="6"/>
      <c r="BCV118" s="6"/>
      <c r="BCW118" s="6"/>
      <c r="BCX118" s="6"/>
      <c r="BCY118" s="6"/>
      <c r="BCZ118" s="6"/>
      <c r="BDA118" s="6"/>
      <c r="BDB118" s="6"/>
      <c r="BDC118" s="6"/>
      <c r="BDD118" s="6"/>
      <c r="BDE118" s="6"/>
      <c r="BDF118" s="6"/>
      <c r="BDG118" s="6"/>
      <c r="BDH118" s="6"/>
      <c r="BDI118" s="6"/>
      <c r="BDJ118" s="6"/>
      <c r="BDK118" s="6"/>
      <c r="BDL118" s="6"/>
      <c r="BDM118" s="6"/>
      <c r="BDN118" s="6"/>
      <c r="BDO118" s="6"/>
      <c r="BDP118" s="6"/>
      <c r="BDQ118" s="6"/>
      <c r="BDR118" s="6"/>
      <c r="BDS118" s="6"/>
      <c r="BDT118" s="6"/>
      <c r="BDU118" s="6"/>
      <c r="BDV118" s="6"/>
      <c r="BDW118" s="6"/>
      <c r="BDX118" s="6"/>
      <c r="BDY118" s="6"/>
      <c r="BDZ118" s="6"/>
      <c r="BEA118" s="6"/>
      <c r="BEB118" s="6"/>
      <c r="BEC118" s="6"/>
      <c r="BED118" s="6"/>
      <c r="BEE118" s="6"/>
      <c r="BEF118" s="6"/>
      <c r="BEG118" s="6"/>
      <c r="BEH118" s="6"/>
      <c r="BEI118" s="6"/>
      <c r="BEJ118" s="6"/>
      <c r="BEK118" s="6"/>
      <c r="BEL118" s="6"/>
      <c r="BEM118" s="6"/>
      <c r="BEN118" s="6"/>
      <c r="BEO118" s="6"/>
      <c r="BEP118" s="6"/>
      <c r="BEQ118" s="6"/>
      <c r="BER118" s="6"/>
      <c r="BES118" s="6"/>
      <c r="BET118" s="6"/>
      <c r="BEU118" s="6"/>
      <c r="BEV118" s="6"/>
      <c r="BEW118" s="6"/>
      <c r="BEX118" s="6"/>
      <c r="BEY118" s="6"/>
      <c r="BEZ118" s="6"/>
      <c r="BFA118" s="6"/>
      <c r="BFB118" s="6"/>
      <c r="BFC118" s="6"/>
      <c r="BFD118" s="6"/>
      <c r="BFE118" s="6"/>
      <c r="BFF118" s="6"/>
      <c r="BFG118" s="6"/>
      <c r="BFH118" s="6"/>
      <c r="BFI118" s="6"/>
      <c r="BFJ118" s="6"/>
      <c r="BFK118" s="6"/>
      <c r="BFL118" s="6"/>
      <c r="BFM118" s="6"/>
      <c r="BFN118" s="6"/>
      <c r="BFO118" s="6"/>
      <c r="BFP118" s="6"/>
      <c r="BFQ118" s="6"/>
      <c r="BFR118" s="6"/>
      <c r="BFS118" s="6"/>
      <c r="BFT118" s="6"/>
      <c r="BFU118" s="6"/>
      <c r="BFV118" s="6"/>
      <c r="BFW118" s="6"/>
      <c r="BFX118" s="6"/>
      <c r="BFY118" s="6"/>
      <c r="BFZ118" s="6"/>
      <c r="BGA118" s="6"/>
      <c r="BGB118" s="6"/>
      <c r="BGC118" s="6"/>
      <c r="BGD118" s="6"/>
      <c r="BGE118" s="6"/>
      <c r="BGF118" s="6"/>
      <c r="BGG118" s="6"/>
      <c r="BGH118" s="6"/>
      <c r="BGI118" s="6"/>
      <c r="BGJ118" s="6"/>
      <c r="BGK118" s="6"/>
      <c r="BGL118" s="6"/>
      <c r="BGM118" s="6"/>
      <c r="BGN118" s="6"/>
      <c r="BGO118" s="6"/>
      <c r="BGP118" s="6"/>
      <c r="BGQ118" s="6"/>
      <c r="BGR118" s="6"/>
      <c r="BGS118" s="6"/>
      <c r="BGT118" s="6"/>
      <c r="BGU118" s="6"/>
      <c r="BGV118" s="6"/>
      <c r="BGW118" s="6"/>
      <c r="BGX118" s="6"/>
      <c r="BGY118" s="6"/>
      <c r="BGZ118" s="6"/>
      <c r="BHA118" s="6"/>
      <c r="BHB118" s="6"/>
      <c r="BHC118" s="6"/>
      <c r="BHD118" s="6"/>
      <c r="BHE118" s="6"/>
      <c r="BHF118" s="6"/>
      <c r="BHG118" s="6"/>
      <c r="BHH118" s="6"/>
      <c r="BHI118" s="6"/>
      <c r="BHJ118" s="6"/>
      <c r="BHK118" s="6"/>
      <c r="BHL118" s="6"/>
      <c r="BHM118" s="6"/>
      <c r="BHN118" s="6"/>
      <c r="BHO118" s="6"/>
      <c r="BHP118" s="6"/>
      <c r="BHQ118" s="6"/>
      <c r="BHR118" s="6"/>
      <c r="BHS118" s="6"/>
      <c r="BHT118" s="6"/>
      <c r="BHU118" s="6"/>
      <c r="BHV118" s="6"/>
      <c r="BHW118" s="6"/>
      <c r="BHX118" s="6"/>
      <c r="BHY118" s="6"/>
      <c r="BHZ118" s="6"/>
      <c r="BIA118" s="6"/>
      <c r="BIB118" s="6"/>
      <c r="BIC118" s="6"/>
      <c r="BID118" s="6"/>
      <c r="BIE118" s="6"/>
      <c r="BIF118" s="6"/>
      <c r="BIG118" s="6"/>
      <c r="BIH118" s="6"/>
      <c r="BII118" s="6"/>
      <c r="BIJ118" s="6"/>
      <c r="BIK118" s="6"/>
      <c r="BIL118" s="6"/>
      <c r="BIM118" s="6"/>
      <c r="BIN118" s="6"/>
      <c r="BIO118" s="6"/>
      <c r="BIP118" s="6"/>
      <c r="BIQ118" s="6"/>
      <c r="BIR118" s="6"/>
      <c r="BIS118" s="6"/>
      <c r="BIT118" s="6"/>
      <c r="BIU118" s="6"/>
      <c r="BIV118" s="6"/>
      <c r="BIW118" s="6"/>
      <c r="BIX118" s="6"/>
      <c r="BIY118" s="6"/>
      <c r="BIZ118" s="6"/>
      <c r="BJA118" s="6"/>
      <c r="BJB118" s="6"/>
      <c r="BJC118" s="6"/>
      <c r="BJD118" s="6"/>
      <c r="BJE118" s="6"/>
      <c r="BJF118" s="6"/>
      <c r="BJG118" s="6"/>
      <c r="BJH118" s="6"/>
      <c r="BJI118" s="6"/>
      <c r="BJJ118" s="6"/>
      <c r="BJK118" s="6"/>
      <c r="BJL118" s="6"/>
      <c r="BJM118" s="6"/>
      <c r="BJN118" s="6"/>
      <c r="BJO118" s="6"/>
      <c r="BJP118" s="6"/>
      <c r="BJQ118" s="6"/>
      <c r="BJR118" s="6"/>
      <c r="BJS118" s="6"/>
      <c r="BJT118" s="6"/>
      <c r="BJU118" s="6"/>
      <c r="BJV118" s="6"/>
      <c r="BJW118" s="6"/>
      <c r="BJX118" s="6"/>
      <c r="BJY118" s="6"/>
      <c r="BJZ118" s="6"/>
      <c r="BKA118" s="6"/>
      <c r="BKB118" s="6"/>
      <c r="BKC118" s="6"/>
      <c r="BKD118" s="6"/>
      <c r="BKE118" s="6"/>
      <c r="BKF118" s="6"/>
      <c r="BKG118" s="6"/>
      <c r="BKH118" s="6"/>
      <c r="BKI118" s="6"/>
      <c r="BKJ118" s="6"/>
      <c r="BKK118" s="6"/>
      <c r="BKL118" s="6"/>
      <c r="BKM118" s="6"/>
      <c r="BKN118" s="6"/>
      <c r="BKO118" s="6"/>
      <c r="BKP118" s="6"/>
      <c r="BKQ118" s="6"/>
      <c r="BKR118" s="6"/>
      <c r="BKS118" s="6"/>
      <c r="BKT118" s="6"/>
      <c r="BKU118" s="6"/>
      <c r="BKV118" s="6"/>
      <c r="BKW118" s="6"/>
      <c r="BKX118" s="6"/>
      <c r="BKY118" s="6"/>
      <c r="BKZ118" s="6"/>
      <c r="BLA118" s="6"/>
      <c r="BLB118" s="6"/>
      <c r="BLC118" s="6"/>
      <c r="BLD118" s="6"/>
      <c r="BLE118" s="6"/>
      <c r="BLF118" s="6"/>
      <c r="BLG118" s="6"/>
      <c r="BLH118" s="6"/>
      <c r="BLI118" s="6"/>
      <c r="BLJ118" s="6"/>
      <c r="BLK118" s="6"/>
      <c r="BLL118" s="6"/>
      <c r="BLM118" s="6"/>
      <c r="BLN118" s="6"/>
      <c r="BLO118" s="6"/>
      <c r="BLP118" s="6"/>
      <c r="BLQ118" s="6"/>
      <c r="BLR118" s="6"/>
      <c r="BLS118" s="6"/>
      <c r="BLT118" s="6"/>
      <c r="BLU118" s="6"/>
      <c r="BLV118" s="6"/>
      <c r="BLW118" s="6"/>
      <c r="BLX118" s="6"/>
      <c r="BLY118" s="6"/>
      <c r="BLZ118" s="6"/>
      <c r="BMA118" s="6"/>
      <c r="BMB118" s="6"/>
      <c r="BMC118" s="6"/>
      <c r="BMD118" s="6"/>
      <c r="BME118" s="6"/>
      <c r="BMF118" s="6"/>
      <c r="BMG118" s="6"/>
      <c r="BMH118" s="6"/>
      <c r="BMI118" s="6"/>
      <c r="BMJ118" s="6"/>
      <c r="BMK118" s="6"/>
      <c r="BML118" s="6"/>
      <c r="BMM118" s="6"/>
      <c r="BMN118" s="6"/>
      <c r="BMO118" s="6"/>
      <c r="BMP118" s="6"/>
      <c r="BMQ118" s="6"/>
      <c r="BMR118" s="6"/>
      <c r="BMS118" s="6"/>
      <c r="BMT118" s="6"/>
      <c r="BMU118" s="6"/>
      <c r="BMV118" s="6"/>
      <c r="BMW118" s="6"/>
      <c r="BMX118" s="6"/>
      <c r="BMY118" s="6"/>
      <c r="BMZ118" s="6"/>
      <c r="BNA118" s="6"/>
      <c r="BNB118" s="6"/>
      <c r="BNC118" s="6"/>
      <c r="BND118" s="6"/>
      <c r="BNE118" s="6"/>
      <c r="BNF118" s="6"/>
      <c r="BNG118" s="6"/>
      <c r="BNH118" s="6"/>
      <c r="BNI118" s="6"/>
      <c r="BNJ118" s="6"/>
      <c r="BNK118" s="6"/>
      <c r="BNL118" s="6"/>
      <c r="BNM118" s="6"/>
      <c r="BNN118" s="6"/>
      <c r="BNO118" s="6"/>
      <c r="BNP118" s="6"/>
      <c r="BNQ118" s="6"/>
      <c r="BNR118" s="6"/>
      <c r="BNS118" s="6"/>
      <c r="BNT118" s="6"/>
      <c r="BNU118" s="6"/>
      <c r="BNV118" s="6"/>
      <c r="BNW118" s="6"/>
      <c r="BNX118" s="6"/>
      <c r="BNY118" s="6"/>
      <c r="BNZ118" s="6"/>
      <c r="BOA118" s="6"/>
      <c r="BOB118" s="6"/>
      <c r="BOC118" s="6"/>
      <c r="BOD118" s="6"/>
      <c r="BOE118" s="6"/>
      <c r="BOF118" s="6"/>
      <c r="BOG118" s="6"/>
      <c r="BOH118" s="6"/>
      <c r="BOI118" s="6"/>
      <c r="BOJ118" s="6"/>
      <c r="BOK118" s="6"/>
      <c r="BOL118" s="6"/>
      <c r="BOM118" s="6"/>
      <c r="BON118" s="6"/>
      <c r="BOO118" s="6"/>
      <c r="BOP118" s="6"/>
      <c r="BOQ118" s="6"/>
      <c r="BOR118" s="6"/>
      <c r="BOS118" s="6"/>
      <c r="BOT118" s="6"/>
      <c r="BOU118" s="6"/>
      <c r="BOV118" s="6"/>
      <c r="BOW118" s="6"/>
      <c r="BOX118" s="6"/>
      <c r="BOY118" s="6"/>
      <c r="BOZ118" s="6"/>
      <c r="BPA118" s="6"/>
      <c r="BPB118" s="6"/>
      <c r="BPC118" s="6"/>
      <c r="BPD118" s="6"/>
      <c r="BPE118" s="6"/>
      <c r="BPF118" s="6"/>
      <c r="BPG118" s="6"/>
      <c r="BPH118" s="6"/>
      <c r="BPI118" s="6"/>
      <c r="BPJ118" s="6"/>
      <c r="BPK118" s="6"/>
      <c r="BPL118" s="6"/>
      <c r="BPM118" s="6"/>
      <c r="BPN118" s="6"/>
      <c r="BPO118" s="6"/>
      <c r="BPP118" s="6"/>
      <c r="BPQ118" s="6"/>
      <c r="BPR118" s="6"/>
      <c r="BPS118" s="6"/>
      <c r="BPT118" s="6"/>
      <c r="BPU118" s="6"/>
      <c r="BPV118" s="6"/>
      <c r="BPW118" s="6"/>
      <c r="BPX118" s="6"/>
      <c r="BPY118" s="6"/>
      <c r="BPZ118" s="6"/>
      <c r="BQA118" s="6"/>
      <c r="BQB118" s="6"/>
      <c r="BQC118" s="6"/>
      <c r="BQD118" s="6"/>
      <c r="BQE118" s="6"/>
      <c r="BQF118" s="6"/>
      <c r="BQG118" s="6"/>
      <c r="BQH118" s="6"/>
      <c r="BQI118" s="6"/>
      <c r="BQJ118" s="6"/>
      <c r="BQK118" s="6"/>
      <c r="BQL118" s="6"/>
      <c r="BQM118" s="6"/>
      <c r="BQN118" s="6"/>
      <c r="BQO118" s="6"/>
      <c r="BQP118" s="6"/>
      <c r="BQQ118" s="6"/>
      <c r="BQR118" s="6"/>
      <c r="BQS118" s="6"/>
      <c r="BQT118" s="6"/>
      <c r="BQU118" s="6"/>
      <c r="BQV118" s="6"/>
      <c r="BQW118" s="6"/>
      <c r="BQX118" s="6"/>
      <c r="BQY118" s="6"/>
      <c r="BQZ118" s="6"/>
      <c r="BRA118" s="6"/>
      <c r="BRB118" s="6"/>
      <c r="BRC118" s="6"/>
      <c r="BRD118" s="6"/>
      <c r="BRE118" s="6"/>
      <c r="BRF118" s="6"/>
      <c r="BRG118" s="6"/>
      <c r="BRH118" s="6"/>
      <c r="BRI118" s="6"/>
      <c r="BRJ118" s="6"/>
      <c r="BRK118" s="6"/>
      <c r="BRL118" s="6"/>
      <c r="BRM118" s="6"/>
      <c r="BRN118" s="6"/>
      <c r="BRO118" s="6"/>
      <c r="BRP118" s="6"/>
      <c r="BRQ118" s="6"/>
      <c r="BRR118" s="6"/>
      <c r="BRS118" s="6"/>
      <c r="BRT118" s="6"/>
      <c r="BRU118" s="6"/>
      <c r="BRV118" s="6"/>
      <c r="BRW118" s="6"/>
      <c r="BRX118" s="6"/>
      <c r="BRY118" s="6"/>
      <c r="BRZ118" s="6"/>
      <c r="BSA118" s="6"/>
      <c r="BSB118" s="6"/>
      <c r="BSC118" s="6"/>
      <c r="BSD118" s="6"/>
      <c r="BSE118" s="6"/>
      <c r="BSF118" s="6"/>
      <c r="BSG118" s="6"/>
      <c r="BSH118" s="6"/>
      <c r="BSI118" s="6"/>
      <c r="BSJ118" s="6"/>
      <c r="BSK118" s="6"/>
      <c r="BSL118" s="6"/>
      <c r="BSM118" s="6"/>
      <c r="BSN118" s="6"/>
      <c r="BSO118" s="6"/>
      <c r="BSP118" s="6"/>
      <c r="BSQ118" s="6"/>
      <c r="BSR118" s="6"/>
      <c r="BSS118" s="6"/>
      <c r="BST118" s="6"/>
      <c r="BSU118" s="6"/>
      <c r="BSV118" s="6"/>
      <c r="BSW118" s="6"/>
      <c r="BSX118" s="6"/>
      <c r="BSY118" s="6"/>
      <c r="BSZ118" s="6"/>
      <c r="BTA118" s="6"/>
      <c r="BTB118" s="6"/>
      <c r="BTC118" s="6"/>
      <c r="BTD118" s="6"/>
      <c r="BTE118" s="6"/>
      <c r="BTF118" s="6"/>
      <c r="BTG118" s="6"/>
      <c r="BTH118" s="6"/>
      <c r="BTI118" s="6"/>
      <c r="BTJ118" s="6"/>
      <c r="BTK118" s="6"/>
      <c r="BTL118" s="6"/>
      <c r="BTM118" s="6"/>
      <c r="BTN118" s="6"/>
      <c r="BTO118" s="6"/>
      <c r="BTP118" s="6"/>
      <c r="BTQ118" s="6"/>
      <c r="BTR118" s="6"/>
      <c r="BTS118" s="6"/>
      <c r="BTT118" s="6"/>
      <c r="BTU118" s="6"/>
      <c r="BTV118" s="6"/>
      <c r="BTW118" s="6"/>
      <c r="BTX118" s="6"/>
      <c r="BTY118" s="6"/>
      <c r="BTZ118" s="6"/>
      <c r="BUA118" s="6"/>
      <c r="BUB118" s="6"/>
      <c r="BUC118" s="6"/>
      <c r="BUD118" s="6"/>
      <c r="BUE118" s="6"/>
      <c r="BUF118" s="6"/>
      <c r="BUG118" s="6"/>
      <c r="BUH118" s="6"/>
      <c r="BUI118" s="6"/>
      <c r="BUJ118" s="6"/>
      <c r="BUK118" s="6"/>
      <c r="BUL118" s="6"/>
      <c r="BUM118" s="6"/>
      <c r="BUN118" s="6"/>
      <c r="BUO118" s="6"/>
      <c r="BUP118" s="6"/>
      <c r="BUQ118" s="6"/>
      <c r="BUR118" s="6"/>
      <c r="BUS118" s="6"/>
      <c r="BUT118" s="6"/>
      <c r="BUU118" s="6"/>
      <c r="BUV118" s="6"/>
      <c r="BUW118" s="6"/>
      <c r="BUX118" s="6"/>
      <c r="BUY118" s="6"/>
      <c r="BUZ118" s="6"/>
      <c r="BVA118" s="6"/>
      <c r="BVB118" s="6"/>
      <c r="BVC118" s="6"/>
      <c r="BVD118" s="6"/>
      <c r="BVE118" s="6"/>
      <c r="BVF118" s="6"/>
      <c r="BVG118" s="6"/>
      <c r="BVH118" s="6"/>
      <c r="BVI118" s="6"/>
      <c r="BVJ118" s="6"/>
      <c r="BVK118" s="6"/>
      <c r="BVL118" s="6"/>
      <c r="BVM118" s="6"/>
      <c r="BVN118" s="6"/>
      <c r="BVO118" s="6"/>
      <c r="BVP118" s="6"/>
      <c r="BVQ118" s="6"/>
      <c r="BVR118" s="6"/>
      <c r="BVS118" s="6"/>
      <c r="BVT118" s="6"/>
      <c r="BVU118" s="6"/>
      <c r="BVV118" s="6"/>
      <c r="BVW118" s="6"/>
      <c r="BVX118" s="6"/>
      <c r="BVY118" s="6"/>
      <c r="BVZ118" s="6"/>
      <c r="BWA118" s="6"/>
      <c r="BWB118" s="6"/>
      <c r="BWC118" s="6"/>
      <c r="BWD118" s="6"/>
      <c r="BWE118" s="6"/>
      <c r="BWF118" s="6"/>
      <c r="BWG118" s="6"/>
      <c r="BWH118" s="6"/>
      <c r="BWI118" s="6"/>
      <c r="BWJ118" s="6"/>
      <c r="BWK118" s="6"/>
      <c r="BWL118" s="6"/>
      <c r="BWM118" s="6"/>
      <c r="BWN118" s="6"/>
      <c r="BWO118" s="6"/>
      <c r="BWP118" s="6"/>
      <c r="BWQ118" s="6"/>
      <c r="BWR118" s="6"/>
      <c r="BWS118" s="6"/>
      <c r="BWT118" s="6"/>
      <c r="BWU118" s="6"/>
      <c r="BWV118" s="6"/>
      <c r="BWW118" s="6"/>
      <c r="BWX118" s="6"/>
      <c r="BWY118" s="6"/>
      <c r="BWZ118" s="6"/>
      <c r="BXA118" s="6"/>
      <c r="BXB118" s="6"/>
      <c r="BXC118" s="6"/>
      <c r="BXD118" s="6"/>
      <c r="BXE118" s="6"/>
      <c r="BXF118" s="6"/>
      <c r="BXG118" s="6"/>
      <c r="BXH118" s="6"/>
      <c r="BXI118" s="6"/>
      <c r="BXJ118" s="6"/>
      <c r="BXK118" s="6"/>
      <c r="BXL118" s="6"/>
      <c r="BXM118" s="6"/>
      <c r="BXN118" s="6"/>
      <c r="BXO118" s="6"/>
      <c r="BXP118" s="6"/>
      <c r="BXQ118" s="6"/>
      <c r="BXR118" s="6"/>
      <c r="BXS118" s="6"/>
      <c r="BXT118" s="6"/>
      <c r="BXU118" s="6"/>
      <c r="BXV118" s="6"/>
      <c r="BXW118" s="6"/>
      <c r="BXX118" s="6"/>
      <c r="BXY118" s="6"/>
      <c r="BXZ118" s="6"/>
      <c r="BYA118" s="6"/>
      <c r="BYB118" s="6"/>
      <c r="BYC118" s="6"/>
      <c r="BYD118" s="6"/>
      <c r="BYE118" s="6"/>
      <c r="BYF118" s="6"/>
      <c r="BYG118" s="6"/>
      <c r="BYH118" s="6"/>
      <c r="BYI118" s="6"/>
      <c r="BYJ118" s="6"/>
      <c r="BYK118" s="6"/>
      <c r="BYL118" s="6"/>
      <c r="BYM118" s="6"/>
      <c r="BYN118" s="6"/>
      <c r="BYO118" s="6"/>
      <c r="BYP118" s="6"/>
      <c r="BYQ118" s="6"/>
      <c r="BYR118" s="6"/>
      <c r="BYS118" s="6"/>
      <c r="BYT118" s="6"/>
      <c r="BYU118" s="6"/>
      <c r="BYV118" s="6"/>
      <c r="BYW118" s="6"/>
      <c r="BYX118" s="6"/>
      <c r="BYY118" s="6"/>
      <c r="BYZ118" s="6"/>
      <c r="BZA118" s="6"/>
      <c r="BZB118" s="6"/>
      <c r="BZC118" s="6"/>
      <c r="BZD118" s="6"/>
      <c r="BZE118" s="6"/>
      <c r="BZF118" s="6"/>
      <c r="BZG118" s="6"/>
      <c r="BZH118" s="6"/>
      <c r="BZI118" s="6"/>
      <c r="BZJ118" s="6"/>
      <c r="BZK118" s="6"/>
      <c r="BZL118" s="6"/>
      <c r="BZM118" s="6"/>
      <c r="BZN118" s="6"/>
      <c r="BZO118" s="6"/>
      <c r="BZP118" s="6"/>
      <c r="BZQ118" s="6"/>
      <c r="BZR118" s="6"/>
      <c r="BZS118" s="6"/>
      <c r="BZT118" s="6"/>
      <c r="BZU118" s="6"/>
      <c r="BZV118" s="6"/>
      <c r="BZW118" s="6"/>
      <c r="BZX118" s="6"/>
      <c r="BZY118" s="6"/>
      <c r="BZZ118" s="6"/>
      <c r="CAA118" s="6"/>
      <c r="CAB118" s="6"/>
      <c r="CAC118" s="6"/>
      <c r="CAD118" s="6"/>
      <c r="CAE118" s="6"/>
      <c r="CAF118" s="6"/>
      <c r="CAG118" s="6"/>
      <c r="CAH118" s="6"/>
      <c r="CAI118" s="6"/>
      <c r="CAJ118" s="6"/>
      <c r="CAK118" s="6"/>
      <c r="CAL118" s="6"/>
      <c r="CAM118" s="6"/>
      <c r="CAN118" s="6"/>
      <c r="CAO118" s="6"/>
      <c r="CAP118" s="6"/>
      <c r="CAQ118" s="6"/>
      <c r="CAR118" s="6"/>
      <c r="CAS118" s="6"/>
      <c r="CAT118" s="6"/>
      <c r="CAU118" s="6"/>
      <c r="CAV118" s="6"/>
      <c r="CAW118" s="6"/>
      <c r="CAX118" s="6"/>
      <c r="CAY118" s="6"/>
      <c r="CAZ118" s="6"/>
      <c r="CBA118" s="6"/>
      <c r="CBB118" s="6"/>
      <c r="CBC118" s="6"/>
      <c r="CBD118" s="6"/>
      <c r="CBE118" s="6"/>
      <c r="CBF118" s="6"/>
      <c r="CBG118" s="6"/>
      <c r="CBH118" s="6"/>
      <c r="CBI118" s="6"/>
      <c r="CBJ118" s="6"/>
      <c r="CBK118" s="6"/>
      <c r="CBL118" s="6"/>
      <c r="CBM118" s="6"/>
      <c r="CBN118" s="6"/>
      <c r="CBO118" s="6"/>
      <c r="CBP118" s="6"/>
      <c r="CBQ118" s="6"/>
      <c r="CBR118" s="6"/>
      <c r="CBS118" s="6"/>
      <c r="CBT118" s="6"/>
      <c r="CBU118" s="6"/>
      <c r="CBV118" s="6"/>
      <c r="CBW118" s="6"/>
      <c r="CBX118" s="6"/>
      <c r="CBY118" s="6"/>
      <c r="CBZ118" s="6"/>
      <c r="CCA118" s="6"/>
      <c r="CCB118" s="6"/>
      <c r="CCC118" s="6"/>
      <c r="CCD118" s="6"/>
      <c r="CCE118" s="6"/>
      <c r="CCF118" s="6"/>
      <c r="CCG118" s="6"/>
      <c r="CCH118" s="6"/>
      <c r="CCI118" s="6"/>
      <c r="CCJ118" s="6"/>
      <c r="CCK118" s="6"/>
      <c r="CCL118" s="6"/>
      <c r="CCM118" s="6"/>
      <c r="CCN118" s="6"/>
      <c r="CCO118" s="6"/>
      <c r="CCP118" s="6"/>
      <c r="CCQ118" s="6"/>
      <c r="CCR118" s="6"/>
      <c r="CCS118" s="6"/>
      <c r="CCT118" s="6"/>
      <c r="CCU118" s="6"/>
      <c r="CCV118" s="6"/>
      <c r="CCW118" s="6"/>
      <c r="CCX118" s="6"/>
      <c r="CCY118" s="6"/>
      <c r="CCZ118" s="6"/>
      <c r="CDA118" s="6"/>
      <c r="CDB118" s="6"/>
      <c r="CDC118" s="6"/>
      <c r="CDD118" s="6"/>
      <c r="CDE118" s="6"/>
      <c r="CDF118" s="6"/>
      <c r="CDG118" s="6"/>
      <c r="CDH118" s="6"/>
      <c r="CDI118" s="6"/>
      <c r="CDJ118" s="6"/>
      <c r="CDK118" s="6"/>
      <c r="CDL118" s="6"/>
      <c r="CDM118" s="6"/>
      <c r="CDN118" s="6"/>
      <c r="CDO118" s="6"/>
      <c r="CDP118" s="6"/>
      <c r="CDQ118" s="6"/>
      <c r="CDR118" s="6"/>
      <c r="CDS118" s="6"/>
      <c r="CDT118" s="6"/>
      <c r="CDU118" s="6"/>
      <c r="CDV118" s="6"/>
      <c r="CDW118" s="6"/>
      <c r="CDX118" s="6"/>
      <c r="CDY118" s="6"/>
      <c r="CDZ118" s="6"/>
      <c r="CEA118" s="6"/>
      <c r="CEB118" s="6"/>
      <c r="CEC118" s="6"/>
      <c r="CED118" s="6"/>
      <c r="CEE118" s="6"/>
      <c r="CEF118" s="6"/>
      <c r="CEG118" s="6"/>
      <c r="CEH118" s="6"/>
      <c r="CEI118" s="6"/>
      <c r="CEJ118" s="6"/>
      <c r="CEK118" s="6"/>
      <c r="CEL118" s="6"/>
      <c r="CEM118" s="6"/>
      <c r="CEN118" s="6"/>
      <c r="CEO118" s="6"/>
      <c r="CEP118" s="6"/>
      <c r="CEQ118" s="6"/>
      <c r="CER118" s="6"/>
      <c r="CES118" s="6"/>
      <c r="CET118" s="6"/>
      <c r="CEU118" s="6"/>
      <c r="CEV118" s="6"/>
      <c r="CEW118" s="6"/>
      <c r="CEX118" s="6"/>
      <c r="CEY118" s="6"/>
      <c r="CEZ118" s="6"/>
      <c r="CFA118" s="6"/>
      <c r="CFB118" s="6"/>
      <c r="CFC118" s="6"/>
      <c r="CFD118" s="6"/>
      <c r="CFE118" s="6"/>
      <c r="CFF118" s="6"/>
      <c r="CFG118" s="6"/>
      <c r="CFH118" s="6"/>
      <c r="CFI118" s="6"/>
      <c r="CFJ118" s="6"/>
      <c r="CFK118" s="6"/>
      <c r="CFL118" s="6"/>
      <c r="CFM118" s="6"/>
      <c r="CFN118" s="6"/>
      <c r="CFO118" s="6"/>
      <c r="CFP118" s="6"/>
      <c r="CFQ118" s="6"/>
      <c r="CFR118" s="6"/>
      <c r="CFS118" s="6"/>
      <c r="CFT118" s="6"/>
      <c r="CFU118" s="6"/>
      <c r="CFV118" s="6"/>
      <c r="CFW118" s="6"/>
      <c r="CFX118" s="6"/>
      <c r="CFY118" s="6"/>
      <c r="CFZ118" s="6"/>
      <c r="CGA118" s="6"/>
      <c r="CGB118" s="6"/>
      <c r="CGC118" s="6"/>
      <c r="CGD118" s="6"/>
      <c r="CGE118" s="6"/>
      <c r="CGF118" s="6"/>
      <c r="CGG118" s="6"/>
      <c r="CGH118" s="6"/>
      <c r="CGI118" s="6"/>
      <c r="CGJ118" s="6"/>
      <c r="CGK118" s="6"/>
      <c r="CGL118" s="6"/>
      <c r="CGM118" s="6"/>
      <c r="CGN118" s="6"/>
      <c r="CGO118" s="6"/>
      <c r="CGP118" s="6"/>
      <c r="CGQ118" s="6"/>
      <c r="CGR118" s="6"/>
      <c r="CGS118" s="6"/>
      <c r="CGT118" s="6"/>
      <c r="CGU118" s="6"/>
      <c r="CGV118" s="6"/>
      <c r="CGW118" s="6"/>
      <c r="CGX118" s="6"/>
      <c r="CGY118" s="6"/>
      <c r="CGZ118" s="6"/>
      <c r="CHA118" s="6"/>
      <c r="CHB118" s="6"/>
      <c r="CHC118" s="6"/>
      <c r="CHD118" s="6"/>
      <c r="CHE118" s="6"/>
      <c r="CHF118" s="6"/>
      <c r="CHG118" s="6"/>
      <c r="CHH118" s="6"/>
      <c r="CHI118" s="6"/>
      <c r="CHJ118" s="6"/>
      <c r="CHK118" s="6"/>
      <c r="CHL118" s="6"/>
      <c r="CHM118" s="6"/>
      <c r="CHN118" s="6"/>
      <c r="CHO118" s="6"/>
      <c r="CHP118" s="6"/>
      <c r="CHQ118" s="6"/>
      <c r="CHR118" s="6"/>
      <c r="CHS118" s="6"/>
      <c r="CHT118" s="6"/>
      <c r="CHU118" s="6"/>
      <c r="CHV118" s="6"/>
      <c r="CHW118" s="6"/>
      <c r="CHX118" s="6"/>
      <c r="CHY118" s="6"/>
      <c r="CHZ118" s="6"/>
      <c r="CIA118" s="6"/>
      <c r="CIB118" s="6"/>
      <c r="CIC118" s="6"/>
      <c r="CID118" s="6"/>
      <c r="CIE118" s="6"/>
      <c r="CIF118" s="6"/>
      <c r="CIG118" s="6"/>
      <c r="CIH118" s="6"/>
      <c r="CII118" s="6"/>
      <c r="CIJ118" s="6"/>
      <c r="CIK118" s="6"/>
      <c r="CIL118" s="6"/>
      <c r="CIM118" s="6"/>
      <c r="CIN118" s="6"/>
      <c r="CIO118" s="6"/>
      <c r="CIP118" s="6"/>
      <c r="CIQ118" s="6"/>
      <c r="CIR118" s="6"/>
      <c r="CIS118" s="6"/>
      <c r="CIT118" s="6"/>
      <c r="CIU118" s="6"/>
      <c r="CIV118" s="6"/>
      <c r="CIW118" s="6"/>
      <c r="CIX118" s="6"/>
      <c r="CIY118" s="6"/>
      <c r="CIZ118" s="6"/>
      <c r="CJA118" s="6"/>
      <c r="CJB118" s="6"/>
      <c r="CJC118" s="6"/>
      <c r="CJD118" s="6"/>
      <c r="CJE118" s="6"/>
      <c r="CJF118" s="6"/>
      <c r="CJG118" s="6"/>
      <c r="CJH118" s="6"/>
      <c r="CJI118" s="6"/>
      <c r="CJJ118" s="6"/>
      <c r="CJK118" s="6"/>
      <c r="CJL118" s="6"/>
      <c r="CJM118" s="6"/>
      <c r="CJN118" s="6"/>
      <c r="CJO118" s="6"/>
      <c r="CJP118" s="6"/>
      <c r="CJQ118" s="6"/>
      <c r="CJR118" s="6"/>
      <c r="CJS118" s="6"/>
      <c r="CJT118" s="6"/>
      <c r="CJU118" s="6"/>
      <c r="CJV118" s="6"/>
      <c r="CJW118" s="6"/>
      <c r="CJX118" s="6"/>
      <c r="CJY118" s="6"/>
      <c r="CJZ118" s="6"/>
      <c r="CKA118" s="6"/>
      <c r="CKB118" s="6"/>
      <c r="CKC118" s="6"/>
      <c r="CKD118" s="6"/>
      <c r="CKE118" s="6"/>
      <c r="CKF118" s="6"/>
      <c r="CKG118" s="6"/>
      <c r="CKH118" s="6"/>
      <c r="CKI118" s="6"/>
      <c r="CKJ118" s="6"/>
      <c r="CKK118" s="6"/>
      <c r="CKL118" s="6"/>
      <c r="CKM118" s="6"/>
      <c r="CKN118" s="6"/>
      <c r="CKO118" s="6"/>
      <c r="CKP118" s="6"/>
      <c r="CKQ118" s="6"/>
      <c r="CKR118" s="6"/>
      <c r="CKS118" s="6"/>
      <c r="CKT118" s="6"/>
      <c r="CKU118" s="6"/>
      <c r="CKV118" s="6"/>
      <c r="CKW118" s="6"/>
      <c r="CKX118" s="6"/>
      <c r="CKY118" s="6"/>
      <c r="CKZ118" s="6"/>
      <c r="CLA118" s="6"/>
      <c r="CLB118" s="6"/>
      <c r="CLC118" s="6"/>
      <c r="CLD118" s="6"/>
      <c r="CLE118" s="6"/>
      <c r="CLF118" s="6"/>
      <c r="CLG118" s="6"/>
      <c r="CLH118" s="6"/>
      <c r="CLI118" s="6"/>
      <c r="CLJ118" s="6"/>
      <c r="CLK118" s="6"/>
      <c r="CLL118" s="6"/>
      <c r="CLM118" s="6"/>
      <c r="CLN118" s="6"/>
      <c r="CLO118" s="6"/>
      <c r="CLP118" s="6"/>
      <c r="CLQ118" s="6"/>
      <c r="CLR118" s="6"/>
      <c r="CLS118" s="6"/>
      <c r="CLT118" s="6"/>
      <c r="CLU118" s="6"/>
      <c r="CLV118" s="6"/>
      <c r="CLW118" s="6"/>
      <c r="CLX118" s="6"/>
      <c r="CLY118" s="6"/>
      <c r="CLZ118" s="6"/>
      <c r="CMA118" s="6"/>
      <c r="CMB118" s="6"/>
      <c r="CMC118" s="6"/>
      <c r="CMD118" s="6"/>
      <c r="CME118" s="6"/>
      <c r="CMF118" s="6"/>
      <c r="CMG118" s="6"/>
      <c r="CMH118" s="6"/>
      <c r="CMI118" s="6"/>
      <c r="CMJ118" s="6"/>
      <c r="CMK118" s="6"/>
      <c r="CML118" s="6"/>
      <c r="CMM118" s="6"/>
      <c r="CMN118" s="6"/>
      <c r="CMO118" s="6"/>
      <c r="CMP118" s="6"/>
      <c r="CMQ118" s="6"/>
      <c r="CMR118" s="6"/>
      <c r="CMS118" s="6"/>
      <c r="CMT118" s="6"/>
      <c r="CMU118" s="6"/>
      <c r="CMV118" s="6"/>
      <c r="CMW118" s="6"/>
      <c r="CMX118" s="6"/>
      <c r="CMY118" s="6"/>
      <c r="CMZ118" s="6"/>
      <c r="CNA118" s="6"/>
      <c r="CNB118" s="6"/>
      <c r="CNC118" s="6"/>
      <c r="CND118" s="6"/>
      <c r="CNE118" s="6"/>
      <c r="CNF118" s="6"/>
      <c r="CNG118" s="6"/>
      <c r="CNH118" s="6"/>
      <c r="CNI118" s="6"/>
      <c r="CNJ118" s="6"/>
      <c r="CNK118" s="6"/>
      <c r="CNL118" s="6"/>
      <c r="CNM118" s="6"/>
      <c r="CNN118" s="6"/>
      <c r="CNO118" s="6"/>
      <c r="CNP118" s="6"/>
      <c r="CNQ118" s="6"/>
      <c r="CNR118" s="6"/>
      <c r="CNS118" s="6"/>
      <c r="CNT118" s="6"/>
      <c r="CNU118" s="6"/>
      <c r="CNV118" s="6"/>
      <c r="CNW118" s="6"/>
      <c r="CNX118" s="6"/>
      <c r="CNY118" s="6"/>
      <c r="CNZ118" s="6"/>
      <c r="COA118" s="6"/>
      <c r="COB118" s="6"/>
      <c r="COC118" s="6"/>
      <c r="COD118" s="6"/>
      <c r="COE118" s="6"/>
      <c r="COF118" s="6"/>
      <c r="COG118" s="6"/>
      <c r="COH118" s="6"/>
      <c r="COI118" s="6"/>
      <c r="COJ118" s="6"/>
      <c r="COK118" s="6"/>
      <c r="COL118" s="6"/>
      <c r="COM118" s="6"/>
      <c r="CON118" s="6"/>
      <c r="COO118" s="6"/>
      <c r="COP118" s="6"/>
      <c r="COQ118" s="6"/>
      <c r="COR118" s="6"/>
      <c r="COS118" s="6"/>
      <c r="COT118" s="6"/>
      <c r="COU118" s="6"/>
      <c r="COV118" s="6"/>
      <c r="COW118" s="6"/>
      <c r="COX118" s="6"/>
      <c r="COY118" s="6"/>
      <c r="COZ118" s="6"/>
      <c r="CPA118" s="6"/>
      <c r="CPB118" s="6"/>
      <c r="CPC118" s="6"/>
      <c r="CPD118" s="6"/>
      <c r="CPE118" s="6"/>
      <c r="CPF118" s="6"/>
      <c r="CPG118" s="6"/>
      <c r="CPH118" s="6"/>
      <c r="CPI118" s="6"/>
      <c r="CPJ118" s="6"/>
      <c r="CPK118" s="6"/>
      <c r="CPL118" s="6"/>
      <c r="CPM118" s="6"/>
      <c r="CPN118" s="6"/>
      <c r="CPO118" s="6"/>
      <c r="CPP118" s="6"/>
      <c r="CPQ118" s="6"/>
      <c r="CPR118" s="6"/>
      <c r="CPS118" s="6"/>
      <c r="CPT118" s="6"/>
      <c r="CPU118" s="6"/>
      <c r="CPV118" s="6"/>
      <c r="CPW118" s="6"/>
      <c r="CPX118" s="6"/>
      <c r="CPY118" s="6"/>
      <c r="CPZ118" s="6"/>
      <c r="CQA118" s="6"/>
      <c r="CQB118" s="6"/>
      <c r="CQC118" s="6"/>
      <c r="CQD118" s="6"/>
      <c r="CQE118" s="6"/>
      <c r="CQF118" s="6"/>
      <c r="CQG118" s="6"/>
      <c r="CQH118" s="6"/>
      <c r="CQI118" s="6"/>
      <c r="CQJ118" s="6"/>
      <c r="CQK118" s="6"/>
      <c r="CQL118" s="6"/>
      <c r="CQM118" s="6"/>
      <c r="CQN118" s="6"/>
      <c r="CQO118" s="6"/>
      <c r="CQP118" s="6"/>
      <c r="CQQ118" s="6"/>
      <c r="CQR118" s="6"/>
      <c r="CQS118" s="6"/>
      <c r="CQT118" s="6"/>
      <c r="CQU118" s="6"/>
      <c r="CQV118" s="6"/>
      <c r="CQW118" s="6"/>
      <c r="CQX118" s="6"/>
      <c r="CQY118" s="6"/>
      <c r="CQZ118" s="6"/>
      <c r="CRA118" s="6"/>
      <c r="CRB118" s="6"/>
      <c r="CRC118" s="6"/>
      <c r="CRD118" s="6"/>
      <c r="CRE118" s="6"/>
      <c r="CRF118" s="6"/>
      <c r="CRG118" s="6"/>
      <c r="CRH118" s="6"/>
      <c r="CRI118" s="6"/>
      <c r="CRJ118" s="6"/>
      <c r="CRK118" s="6"/>
      <c r="CRL118" s="6"/>
      <c r="CRM118" s="6"/>
      <c r="CRN118" s="6"/>
      <c r="CRO118" s="6"/>
      <c r="CRP118" s="6"/>
      <c r="CRQ118" s="6"/>
      <c r="CRR118" s="6"/>
      <c r="CRS118" s="6"/>
      <c r="CRT118" s="6"/>
      <c r="CRU118" s="6"/>
      <c r="CRV118" s="6"/>
      <c r="CRW118" s="6"/>
      <c r="CRX118" s="6"/>
      <c r="CRY118" s="6"/>
      <c r="CRZ118" s="6"/>
      <c r="CSA118" s="6"/>
      <c r="CSB118" s="6"/>
      <c r="CSC118" s="6"/>
      <c r="CSD118" s="6"/>
      <c r="CSE118" s="6"/>
      <c r="CSF118" s="6"/>
      <c r="CSG118" s="6"/>
      <c r="CSH118" s="6"/>
      <c r="CSI118" s="6"/>
      <c r="CSJ118" s="6"/>
      <c r="CSK118" s="6"/>
      <c r="CSL118" s="6"/>
      <c r="CSM118" s="6"/>
      <c r="CSN118" s="6"/>
      <c r="CSO118" s="6"/>
      <c r="CSP118" s="6"/>
      <c r="CSQ118" s="6"/>
      <c r="CSR118" s="6"/>
      <c r="CSS118" s="6"/>
      <c r="CST118" s="6"/>
      <c r="CSU118" s="6"/>
      <c r="CSV118" s="6"/>
      <c r="CSW118" s="6"/>
      <c r="CSX118" s="6"/>
      <c r="CSY118" s="6"/>
      <c r="CSZ118" s="6"/>
      <c r="CTA118" s="6"/>
      <c r="CTB118" s="6"/>
      <c r="CTC118" s="6"/>
      <c r="CTD118" s="6"/>
      <c r="CTE118" s="6"/>
      <c r="CTF118" s="6"/>
      <c r="CTG118" s="6"/>
      <c r="CTH118" s="6"/>
      <c r="CTI118" s="6"/>
      <c r="CTJ118" s="6"/>
      <c r="CTK118" s="6"/>
      <c r="CTL118" s="6"/>
      <c r="CTM118" s="6"/>
      <c r="CTN118" s="6"/>
      <c r="CTO118" s="6"/>
      <c r="CTP118" s="6"/>
      <c r="CTQ118" s="6"/>
      <c r="CTR118" s="6"/>
      <c r="CTS118" s="6"/>
      <c r="CTT118" s="6"/>
      <c r="CTU118" s="6"/>
      <c r="CTV118" s="6"/>
      <c r="CTW118" s="6"/>
      <c r="CTX118" s="6"/>
      <c r="CTY118" s="6"/>
      <c r="CTZ118" s="6"/>
      <c r="CUA118" s="6"/>
      <c r="CUB118" s="6"/>
      <c r="CUC118" s="6"/>
      <c r="CUD118" s="6"/>
      <c r="CUE118" s="6"/>
      <c r="CUF118" s="6"/>
      <c r="CUG118" s="6"/>
      <c r="CUH118" s="6"/>
      <c r="CUI118" s="6"/>
      <c r="CUJ118" s="6"/>
      <c r="CUK118" s="6"/>
      <c r="CUL118" s="6"/>
      <c r="CUM118" s="6"/>
      <c r="CUN118" s="6"/>
      <c r="CUO118" s="6"/>
      <c r="CUP118" s="6"/>
      <c r="CUQ118" s="6"/>
      <c r="CUR118" s="6"/>
      <c r="CUS118" s="6"/>
      <c r="CUT118" s="6"/>
      <c r="CUU118" s="6"/>
      <c r="CUV118" s="6"/>
      <c r="CUW118" s="6"/>
      <c r="CUX118" s="6"/>
      <c r="CUY118" s="6"/>
      <c r="CUZ118" s="6"/>
      <c r="CVA118" s="6"/>
      <c r="CVB118" s="6"/>
      <c r="CVC118" s="6"/>
      <c r="CVD118" s="6"/>
      <c r="CVE118" s="6"/>
      <c r="CVF118" s="6"/>
      <c r="CVG118" s="6"/>
      <c r="CVH118" s="6"/>
      <c r="CVI118" s="6"/>
      <c r="CVJ118" s="6"/>
      <c r="CVK118" s="6"/>
      <c r="CVL118" s="6"/>
      <c r="CVM118" s="6"/>
      <c r="CVN118" s="6"/>
      <c r="CVO118" s="6"/>
      <c r="CVP118" s="6"/>
      <c r="CVQ118" s="6"/>
      <c r="CVR118" s="6"/>
      <c r="CVS118" s="6"/>
      <c r="CVT118" s="6"/>
      <c r="CVU118" s="6"/>
      <c r="CVV118" s="6"/>
      <c r="CVW118" s="6"/>
      <c r="CVX118" s="6"/>
      <c r="CVY118" s="6"/>
      <c r="CVZ118" s="6"/>
      <c r="CWA118" s="6"/>
      <c r="CWB118" s="6"/>
      <c r="CWC118" s="6"/>
      <c r="CWD118" s="6"/>
      <c r="CWE118" s="6"/>
      <c r="CWF118" s="6"/>
      <c r="CWG118" s="6"/>
      <c r="CWH118" s="6"/>
      <c r="CWI118" s="6"/>
      <c r="CWJ118" s="6"/>
      <c r="CWK118" s="6"/>
      <c r="CWL118" s="6"/>
      <c r="CWM118" s="6"/>
      <c r="CWN118" s="6"/>
      <c r="CWO118" s="6"/>
      <c r="CWP118" s="6"/>
      <c r="CWQ118" s="6"/>
      <c r="CWR118" s="6"/>
      <c r="CWS118" s="6"/>
      <c r="CWT118" s="6"/>
      <c r="CWU118" s="6"/>
      <c r="CWV118" s="6"/>
      <c r="CWW118" s="6"/>
      <c r="CWX118" s="6"/>
      <c r="CWY118" s="6"/>
      <c r="CWZ118" s="6"/>
      <c r="CXA118" s="6"/>
      <c r="CXB118" s="6"/>
      <c r="CXC118" s="6"/>
      <c r="CXD118" s="6"/>
      <c r="CXE118" s="6"/>
      <c r="CXF118" s="6"/>
      <c r="CXG118" s="6"/>
      <c r="CXH118" s="6"/>
      <c r="CXI118" s="6"/>
      <c r="CXJ118" s="6"/>
      <c r="CXK118" s="6"/>
      <c r="CXL118" s="6"/>
      <c r="CXM118" s="6"/>
      <c r="CXN118" s="6"/>
      <c r="CXO118" s="6"/>
      <c r="CXP118" s="6"/>
      <c r="CXQ118" s="6"/>
      <c r="CXR118" s="6"/>
      <c r="CXS118" s="6"/>
      <c r="CXT118" s="6"/>
      <c r="CXU118" s="6"/>
      <c r="CXV118" s="6"/>
      <c r="CXW118" s="6"/>
      <c r="CXX118" s="6"/>
      <c r="CXY118" s="6"/>
      <c r="CXZ118" s="6"/>
      <c r="CYA118" s="6"/>
      <c r="CYB118" s="6"/>
      <c r="CYC118" s="6"/>
      <c r="CYD118" s="6"/>
      <c r="CYE118" s="6"/>
      <c r="CYF118" s="6"/>
      <c r="CYG118" s="6"/>
      <c r="CYH118" s="6"/>
      <c r="CYI118" s="6"/>
      <c r="CYJ118" s="6"/>
      <c r="CYK118" s="6"/>
      <c r="CYL118" s="6"/>
      <c r="CYM118" s="6"/>
      <c r="CYN118" s="6"/>
      <c r="CYO118" s="6"/>
      <c r="CYP118" s="6"/>
      <c r="CYQ118" s="6"/>
      <c r="CYR118" s="6"/>
      <c r="CYS118" s="6"/>
      <c r="CYT118" s="6"/>
      <c r="CYU118" s="6"/>
      <c r="CYV118" s="6"/>
      <c r="CYW118" s="6"/>
      <c r="CYX118" s="6"/>
      <c r="CYY118" s="6"/>
      <c r="CYZ118" s="6"/>
      <c r="CZA118" s="6"/>
      <c r="CZB118" s="6"/>
      <c r="CZC118" s="6"/>
      <c r="CZD118" s="6"/>
      <c r="CZE118" s="6"/>
      <c r="CZF118" s="6"/>
      <c r="CZG118" s="6"/>
      <c r="CZH118" s="6"/>
      <c r="CZI118" s="6"/>
      <c r="CZJ118" s="6"/>
      <c r="CZK118" s="6"/>
      <c r="CZL118" s="6"/>
      <c r="CZM118" s="6"/>
      <c r="CZN118" s="6"/>
      <c r="CZO118" s="6"/>
      <c r="CZP118" s="6"/>
      <c r="CZQ118" s="6"/>
      <c r="CZR118" s="6"/>
      <c r="CZS118" s="6"/>
      <c r="CZT118" s="6"/>
      <c r="CZU118" s="6"/>
      <c r="CZV118" s="6"/>
      <c r="CZW118" s="6"/>
      <c r="CZX118" s="6"/>
      <c r="CZY118" s="6"/>
      <c r="CZZ118" s="6"/>
      <c r="DAA118" s="6"/>
      <c r="DAB118" s="6"/>
      <c r="DAC118" s="6"/>
      <c r="DAD118" s="6"/>
      <c r="DAE118" s="6"/>
      <c r="DAF118" s="6"/>
      <c r="DAG118" s="6"/>
      <c r="DAH118" s="6"/>
      <c r="DAI118" s="6"/>
      <c r="DAJ118" s="6"/>
      <c r="DAK118" s="6"/>
      <c r="DAL118" s="6"/>
      <c r="DAM118" s="6"/>
      <c r="DAN118" s="6"/>
      <c r="DAO118" s="6"/>
      <c r="DAP118" s="6"/>
      <c r="DAQ118" s="6"/>
      <c r="DAR118" s="6"/>
      <c r="DAS118" s="6"/>
      <c r="DAT118" s="6"/>
      <c r="DAU118" s="6"/>
      <c r="DAV118" s="6"/>
      <c r="DAW118" s="6"/>
      <c r="DAX118" s="6"/>
      <c r="DAY118" s="6"/>
      <c r="DAZ118" s="6"/>
      <c r="DBA118" s="6"/>
      <c r="DBB118" s="6"/>
      <c r="DBC118" s="6"/>
      <c r="DBD118" s="6"/>
      <c r="DBE118" s="6"/>
      <c r="DBF118" s="6"/>
      <c r="DBG118" s="6"/>
      <c r="DBH118" s="6"/>
      <c r="DBI118" s="6"/>
      <c r="DBJ118" s="6"/>
      <c r="DBK118" s="6"/>
      <c r="DBL118" s="6"/>
      <c r="DBM118" s="6"/>
      <c r="DBN118" s="6"/>
      <c r="DBO118" s="6"/>
      <c r="DBP118" s="6"/>
      <c r="DBQ118" s="6"/>
      <c r="DBR118" s="6"/>
      <c r="DBS118" s="6"/>
      <c r="DBT118" s="6"/>
      <c r="DBU118" s="6"/>
      <c r="DBV118" s="6"/>
      <c r="DBW118" s="6"/>
      <c r="DBX118" s="6"/>
      <c r="DBY118" s="6"/>
      <c r="DBZ118" s="6"/>
      <c r="DCA118" s="6"/>
      <c r="DCB118" s="6"/>
      <c r="DCC118" s="6"/>
      <c r="DCD118" s="6"/>
      <c r="DCE118" s="6"/>
      <c r="DCF118" s="6"/>
      <c r="DCG118" s="6"/>
      <c r="DCH118" s="6"/>
      <c r="DCI118" s="6"/>
      <c r="DCJ118" s="6"/>
      <c r="DCK118" s="6"/>
      <c r="DCL118" s="6"/>
      <c r="DCM118" s="6"/>
      <c r="DCN118" s="6"/>
      <c r="DCO118" s="6"/>
      <c r="DCP118" s="6"/>
      <c r="DCQ118" s="6"/>
      <c r="DCR118" s="6"/>
      <c r="DCS118" s="6"/>
      <c r="DCT118" s="6"/>
      <c r="DCU118" s="6"/>
      <c r="DCV118" s="6"/>
      <c r="DCW118" s="6"/>
      <c r="DCX118" s="6"/>
      <c r="DCY118" s="6"/>
      <c r="DCZ118" s="6"/>
      <c r="DDA118" s="6"/>
      <c r="DDB118" s="6"/>
      <c r="DDC118" s="6"/>
      <c r="DDD118" s="6"/>
      <c r="DDE118" s="6"/>
      <c r="DDF118" s="6"/>
      <c r="DDG118" s="6"/>
      <c r="DDH118" s="6"/>
      <c r="DDI118" s="6"/>
      <c r="DDJ118" s="6"/>
      <c r="DDK118" s="6"/>
      <c r="DDL118" s="6"/>
      <c r="DDM118" s="6"/>
      <c r="DDN118" s="6"/>
      <c r="DDO118" s="6"/>
      <c r="DDP118" s="6"/>
      <c r="DDQ118" s="6"/>
      <c r="DDR118" s="6"/>
      <c r="DDS118" s="6"/>
      <c r="DDT118" s="6"/>
      <c r="DDU118" s="6"/>
      <c r="DDV118" s="6"/>
      <c r="DDW118" s="6"/>
      <c r="DDX118" s="6"/>
      <c r="DDY118" s="6"/>
      <c r="DDZ118" s="6"/>
      <c r="DEA118" s="6"/>
      <c r="DEB118" s="6"/>
      <c r="DEC118" s="6"/>
      <c r="DED118" s="6"/>
      <c r="DEE118" s="6"/>
      <c r="DEF118" s="6"/>
      <c r="DEG118" s="6"/>
      <c r="DEH118" s="6"/>
      <c r="DEI118" s="6"/>
      <c r="DEJ118" s="6"/>
      <c r="DEK118" s="6"/>
      <c r="DEL118" s="6"/>
      <c r="DEM118" s="6"/>
      <c r="DEN118" s="6"/>
      <c r="DEO118" s="6"/>
      <c r="DEP118" s="6"/>
      <c r="DEQ118" s="6"/>
      <c r="DER118" s="6"/>
      <c r="DES118" s="6"/>
      <c r="DET118" s="6"/>
      <c r="DEU118" s="6"/>
      <c r="DEV118" s="6"/>
      <c r="DEW118" s="6"/>
      <c r="DEX118" s="6"/>
      <c r="DEY118" s="6"/>
      <c r="DEZ118" s="6"/>
      <c r="DFA118" s="6"/>
      <c r="DFB118" s="6"/>
      <c r="DFC118" s="6"/>
      <c r="DFD118" s="6"/>
      <c r="DFE118" s="6"/>
      <c r="DFF118" s="6"/>
      <c r="DFG118" s="6"/>
      <c r="DFH118" s="6"/>
      <c r="DFI118" s="6"/>
      <c r="DFJ118" s="6"/>
      <c r="DFK118" s="6"/>
      <c r="DFL118" s="6"/>
      <c r="DFM118" s="6"/>
      <c r="DFN118" s="6"/>
      <c r="DFO118" s="6"/>
      <c r="DFP118" s="6"/>
      <c r="DFQ118" s="6"/>
      <c r="DFR118" s="6"/>
      <c r="DFS118" s="6"/>
      <c r="DFT118" s="6"/>
      <c r="DFU118" s="6"/>
      <c r="DFV118" s="6"/>
      <c r="DFW118" s="6"/>
      <c r="DFX118" s="6"/>
      <c r="DFY118" s="6"/>
      <c r="DFZ118" s="6"/>
      <c r="DGA118" s="6"/>
      <c r="DGB118" s="6"/>
      <c r="DGC118" s="6"/>
      <c r="DGD118" s="6"/>
      <c r="DGE118" s="6"/>
      <c r="DGF118" s="6"/>
      <c r="DGG118" s="6"/>
      <c r="DGH118" s="6"/>
      <c r="DGI118" s="6"/>
      <c r="DGJ118" s="6"/>
      <c r="DGK118" s="6"/>
      <c r="DGL118" s="6"/>
      <c r="DGM118" s="6"/>
      <c r="DGN118" s="6"/>
      <c r="DGO118" s="6"/>
      <c r="DGP118" s="6"/>
      <c r="DGQ118" s="6"/>
      <c r="DGR118" s="6"/>
      <c r="DGS118" s="6"/>
      <c r="DGT118" s="6"/>
      <c r="DGU118" s="6"/>
      <c r="DGV118" s="6"/>
      <c r="DGW118" s="6"/>
      <c r="DGX118" s="6"/>
      <c r="DGY118" s="6"/>
      <c r="DGZ118" s="6"/>
      <c r="DHA118" s="6"/>
      <c r="DHB118" s="6"/>
      <c r="DHC118" s="6"/>
      <c r="DHD118" s="6"/>
      <c r="DHE118" s="6"/>
      <c r="DHF118" s="6"/>
      <c r="DHG118" s="6"/>
      <c r="DHH118" s="6"/>
      <c r="DHI118" s="6"/>
      <c r="DHJ118" s="6"/>
      <c r="DHK118" s="6"/>
      <c r="DHL118" s="6"/>
      <c r="DHM118" s="6"/>
      <c r="DHN118" s="6"/>
      <c r="DHO118" s="6"/>
      <c r="DHP118" s="6"/>
      <c r="DHQ118" s="6"/>
      <c r="DHR118" s="6"/>
      <c r="DHS118" s="6"/>
      <c r="DHT118" s="6"/>
      <c r="DHU118" s="6"/>
      <c r="DHV118" s="6"/>
      <c r="DHW118" s="6"/>
      <c r="DHX118" s="6"/>
      <c r="DHY118" s="6"/>
      <c r="DHZ118" s="6"/>
      <c r="DIA118" s="6"/>
      <c r="DIB118" s="6"/>
      <c r="DIC118" s="6"/>
      <c r="DID118" s="6"/>
      <c r="DIE118" s="6"/>
      <c r="DIF118" s="6"/>
      <c r="DIG118" s="6"/>
      <c r="DIH118" s="6"/>
      <c r="DII118" s="6"/>
      <c r="DIJ118" s="6"/>
      <c r="DIK118" s="6"/>
      <c r="DIL118" s="6"/>
      <c r="DIM118" s="6"/>
      <c r="DIN118" s="6"/>
      <c r="DIO118" s="6"/>
      <c r="DIP118" s="6"/>
      <c r="DIQ118" s="6"/>
      <c r="DIR118" s="6"/>
      <c r="DIS118" s="6"/>
      <c r="DIT118" s="6"/>
      <c r="DIU118" s="6"/>
      <c r="DIV118" s="6"/>
      <c r="DIW118" s="6"/>
      <c r="DIX118" s="6"/>
      <c r="DIY118" s="6"/>
      <c r="DIZ118" s="6"/>
      <c r="DJA118" s="6"/>
      <c r="DJB118" s="6"/>
      <c r="DJC118" s="6"/>
      <c r="DJD118" s="6"/>
      <c r="DJE118" s="6"/>
      <c r="DJF118" s="6"/>
      <c r="DJG118" s="6"/>
      <c r="DJH118" s="6"/>
      <c r="DJI118" s="6"/>
      <c r="DJJ118" s="6"/>
      <c r="DJK118" s="6"/>
      <c r="DJL118" s="6"/>
      <c r="DJM118" s="6"/>
      <c r="DJN118" s="6"/>
      <c r="DJO118" s="6"/>
      <c r="DJP118" s="6"/>
      <c r="DJQ118" s="6"/>
      <c r="DJR118" s="6"/>
      <c r="DJS118" s="6"/>
      <c r="DJT118" s="6"/>
      <c r="DJU118" s="6"/>
      <c r="DJV118" s="6"/>
      <c r="DJW118" s="6"/>
      <c r="DJX118" s="6"/>
      <c r="DJY118" s="6"/>
      <c r="DJZ118" s="6"/>
      <c r="DKA118" s="6"/>
      <c r="DKB118" s="6"/>
      <c r="DKC118" s="6"/>
      <c r="DKD118" s="6"/>
      <c r="DKE118" s="6"/>
      <c r="DKF118" s="6"/>
      <c r="DKG118" s="6"/>
      <c r="DKH118" s="6"/>
      <c r="DKI118" s="6"/>
      <c r="DKJ118" s="6"/>
      <c r="DKK118" s="6"/>
      <c r="DKL118" s="6"/>
      <c r="DKM118" s="6"/>
      <c r="DKN118" s="6"/>
      <c r="DKO118" s="6"/>
      <c r="DKP118" s="6"/>
      <c r="DKQ118" s="6"/>
      <c r="DKR118" s="6"/>
      <c r="DKS118" s="6"/>
      <c r="DKT118" s="6"/>
      <c r="DKU118" s="6"/>
      <c r="DKV118" s="6"/>
      <c r="DKW118" s="6"/>
      <c r="DKX118" s="6"/>
      <c r="DKY118" s="6"/>
      <c r="DKZ118" s="6"/>
      <c r="DLA118" s="6"/>
      <c r="DLB118" s="6"/>
      <c r="DLC118" s="6"/>
      <c r="DLD118" s="6"/>
      <c r="DLE118" s="6"/>
      <c r="DLF118" s="6"/>
      <c r="DLG118" s="6"/>
      <c r="DLH118" s="6"/>
      <c r="DLI118" s="6"/>
      <c r="DLJ118" s="6"/>
      <c r="DLK118" s="6"/>
      <c r="DLL118" s="6"/>
      <c r="DLM118" s="6"/>
      <c r="DLN118" s="6"/>
      <c r="DLO118" s="6"/>
      <c r="DLP118" s="6"/>
      <c r="DLQ118" s="6"/>
      <c r="DLR118" s="6"/>
      <c r="DLS118" s="6"/>
      <c r="DLT118" s="6"/>
      <c r="DLU118" s="6"/>
      <c r="DLV118" s="6"/>
      <c r="DLW118" s="6"/>
      <c r="DLX118" s="6"/>
      <c r="DLY118" s="6"/>
      <c r="DLZ118" s="6"/>
      <c r="DMA118" s="6"/>
      <c r="DMB118" s="6"/>
      <c r="DMC118" s="6"/>
      <c r="DMD118" s="6"/>
      <c r="DME118" s="6"/>
      <c r="DMF118" s="6"/>
      <c r="DMG118" s="6"/>
      <c r="DMH118" s="6"/>
      <c r="DMI118" s="6"/>
      <c r="DMJ118" s="6"/>
      <c r="DMK118" s="6"/>
      <c r="DML118" s="6"/>
      <c r="DMM118" s="6"/>
      <c r="DMN118" s="6"/>
      <c r="DMO118" s="6"/>
      <c r="DMP118" s="6"/>
      <c r="DMQ118" s="6"/>
      <c r="DMR118" s="6"/>
      <c r="DMS118" s="6"/>
      <c r="DMT118" s="6"/>
      <c r="DMU118" s="6"/>
      <c r="DMV118" s="6"/>
      <c r="DMW118" s="6"/>
      <c r="DMX118" s="6"/>
      <c r="DMY118" s="6"/>
      <c r="DMZ118" s="6"/>
      <c r="DNA118" s="6"/>
      <c r="DNB118" s="6"/>
      <c r="DNC118" s="6"/>
      <c r="DND118" s="6"/>
      <c r="DNE118" s="6"/>
      <c r="DNF118" s="6"/>
      <c r="DNG118" s="6"/>
      <c r="DNH118" s="6"/>
      <c r="DNI118" s="6"/>
      <c r="DNJ118" s="6"/>
      <c r="DNK118" s="6"/>
      <c r="DNL118" s="6"/>
      <c r="DNM118" s="6"/>
      <c r="DNN118" s="6"/>
      <c r="DNO118" s="6"/>
      <c r="DNP118" s="6"/>
      <c r="DNQ118" s="6"/>
      <c r="DNR118" s="6"/>
      <c r="DNS118" s="6"/>
      <c r="DNT118" s="6"/>
      <c r="DNU118" s="6"/>
      <c r="DNV118" s="6"/>
      <c r="DNW118" s="6"/>
      <c r="DNX118" s="6"/>
      <c r="DNY118" s="6"/>
      <c r="DNZ118" s="6"/>
      <c r="DOA118" s="6"/>
      <c r="DOB118" s="6"/>
      <c r="DOC118" s="6"/>
      <c r="DOD118" s="6"/>
      <c r="DOE118" s="6"/>
      <c r="DOF118" s="6"/>
      <c r="DOG118" s="6"/>
      <c r="DOH118" s="6"/>
      <c r="DOI118" s="6"/>
      <c r="DOJ118" s="6"/>
      <c r="DOK118" s="6"/>
      <c r="DOL118" s="6"/>
      <c r="DOM118" s="6"/>
      <c r="DON118" s="6"/>
      <c r="DOO118" s="6"/>
      <c r="DOP118" s="6"/>
      <c r="DOQ118" s="6"/>
      <c r="DOR118" s="6"/>
      <c r="DOS118" s="6"/>
      <c r="DOT118" s="6"/>
      <c r="DOU118" s="6"/>
      <c r="DOV118" s="6"/>
      <c r="DOW118" s="6"/>
      <c r="DOX118" s="6"/>
      <c r="DOY118" s="6"/>
      <c r="DOZ118" s="6"/>
      <c r="DPA118" s="6"/>
      <c r="DPB118" s="6"/>
      <c r="DPC118" s="6"/>
      <c r="DPD118" s="6"/>
      <c r="DPE118" s="6"/>
      <c r="DPF118" s="6"/>
      <c r="DPG118" s="6"/>
      <c r="DPH118" s="6"/>
      <c r="DPI118" s="6"/>
      <c r="DPJ118" s="6"/>
      <c r="DPK118" s="6"/>
      <c r="DPL118" s="6"/>
      <c r="DPM118" s="6"/>
      <c r="DPN118" s="6"/>
      <c r="DPO118" s="6"/>
      <c r="DPP118" s="6"/>
      <c r="DPQ118" s="6"/>
      <c r="DPR118" s="6"/>
      <c r="DPS118" s="6"/>
      <c r="DPT118" s="6"/>
      <c r="DPU118" s="6"/>
      <c r="DPV118" s="6"/>
      <c r="DPW118" s="6"/>
      <c r="DPX118" s="6"/>
      <c r="DPY118" s="6"/>
      <c r="DPZ118" s="6"/>
      <c r="DQA118" s="6"/>
      <c r="DQB118" s="6"/>
      <c r="DQC118" s="6"/>
      <c r="DQD118" s="6"/>
      <c r="DQE118" s="6"/>
      <c r="DQF118" s="6"/>
      <c r="DQG118" s="6"/>
      <c r="DQH118" s="6"/>
      <c r="DQI118" s="6"/>
      <c r="DQJ118" s="6"/>
      <c r="DQK118" s="6"/>
      <c r="DQL118" s="6"/>
      <c r="DQM118" s="6"/>
      <c r="DQN118" s="6"/>
      <c r="DQO118" s="6"/>
      <c r="DQP118" s="6"/>
      <c r="DQQ118" s="6"/>
      <c r="DQR118" s="6"/>
      <c r="DQS118" s="6"/>
      <c r="DQT118" s="6"/>
      <c r="DQU118" s="6"/>
      <c r="DQV118" s="6"/>
      <c r="DQW118" s="6"/>
      <c r="DQX118" s="6"/>
      <c r="DQY118" s="6"/>
      <c r="DQZ118" s="6"/>
      <c r="DRA118" s="6"/>
      <c r="DRB118" s="6"/>
      <c r="DRC118" s="6"/>
      <c r="DRD118" s="6"/>
      <c r="DRE118" s="6"/>
      <c r="DRF118" s="6"/>
      <c r="DRG118" s="6"/>
      <c r="DRH118" s="6"/>
      <c r="DRI118" s="6"/>
      <c r="DRJ118" s="6"/>
      <c r="DRK118" s="6"/>
      <c r="DRL118" s="6"/>
      <c r="DRM118" s="6"/>
      <c r="DRN118" s="6"/>
      <c r="DRO118" s="6"/>
      <c r="DRP118" s="6"/>
      <c r="DRQ118" s="6"/>
      <c r="DRR118" s="6"/>
      <c r="DRS118" s="6"/>
      <c r="DRT118" s="6"/>
      <c r="DRU118" s="6"/>
      <c r="DRV118" s="6"/>
      <c r="DRW118" s="6"/>
      <c r="DRX118" s="6"/>
      <c r="DRY118" s="6"/>
      <c r="DRZ118" s="6"/>
      <c r="DSA118" s="6"/>
      <c r="DSB118" s="6"/>
      <c r="DSC118" s="6"/>
      <c r="DSD118" s="6"/>
      <c r="DSE118" s="6"/>
      <c r="DSF118" s="6"/>
      <c r="DSG118" s="6"/>
      <c r="DSH118" s="6"/>
      <c r="DSI118" s="6"/>
      <c r="DSJ118" s="6"/>
      <c r="DSK118" s="6"/>
      <c r="DSL118" s="6"/>
      <c r="DSM118" s="6"/>
      <c r="DSN118" s="6"/>
      <c r="DSO118" s="6"/>
      <c r="DSP118" s="6"/>
      <c r="DSQ118" s="6"/>
      <c r="DSR118" s="6"/>
      <c r="DSS118" s="6"/>
      <c r="DST118" s="6"/>
      <c r="DSU118" s="6"/>
      <c r="DSV118" s="6"/>
      <c r="DSW118" s="6"/>
      <c r="DSX118" s="6"/>
      <c r="DSY118" s="6"/>
      <c r="DSZ118" s="6"/>
      <c r="DTA118" s="6"/>
      <c r="DTB118" s="6"/>
      <c r="DTC118" s="6"/>
      <c r="DTD118" s="6"/>
      <c r="DTE118" s="6"/>
      <c r="DTF118" s="6"/>
      <c r="DTG118" s="6"/>
      <c r="DTH118" s="6"/>
      <c r="DTI118" s="6"/>
      <c r="DTJ118" s="6"/>
      <c r="DTK118" s="6"/>
      <c r="DTL118" s="6"/>
      <c r="DTM118" s="6"/>
      <c r="DTN118" s="6"/>
      <c r="DTO118" s="6"/>
      <c r="DTP118" s="6"/>
      <c r="DTQ118" s="6"/>
      <c r="DTR118" s="6"/>
      <c r="DTS118" s="6"/>
      <c r="DTT118" s="6"/>
      <c r="DTU118" s="6"/>
      <c r="DTV118" s="6"/>
      <c r="DTW118" s="6"/>
      <c r="DTX118" s="6"/>
      <c r="DTY118" s="6"/>
      <c r="DTZ118" s="6"/>
      <c r="DUA118" s="6"/>
      <c r="DUB118" s="6"/>
      <c r="DUC118" s="6"/>
      <c r="DUD118" s="6"/>
      <c r="DUE118" s="6"/>
      <c r="DUF118" s="6"/>
      <c r="DUG118" s="6"/>
      <c r="DUH118" s="6"/>
      <c r="DUI118" s="6"/>
      <c r="DUJ118" s="6"/>
      <c r="DUK118" s="6"/>
      <c r="DUL118" s="6"/>
      <c r="DUM118" s="6"/>
      <c r="DUN118" s="6"/>
      <c r="DUO118" s="6"/>
      <c r="DUP118" s="6"/>
      <c r="DUQ118" s="6"/>
      <c r="DUR118" s="6"/>
      <c r="DUS118" s="6"/>
      <c r="DUT118" s="6"/>
      <c r="DUU118" s="6"/>
      <c r="DUV118" s="6"/>
      <c r="DUW118" s="6"/>
      <c r="DUX118" s="6"/>
      <c r="DUY118" s="6"/>
      <c r="DUZ118" s="6"/>
      <c r="DVA118" s="6"/>
      <c r="DVB118" s="6"/>
      <c r="DVC118" s="6"/>
      <c r="DVD118" s="6"/>
      <c r="DVE118" s="6"/>
      <c r="DVF118" s="6"/>
      <c r="DVG118" s="6"/>
      <c r="DVH118" s="6"/>
      <c r="DVI118" s="6"/>
      <c r="DVJ118" s="6"/>
      <c r="DVK118" s="6"/>
      <c r="DVL118" s="6"/>
      <c r="DVM118" s="6"/>
      <c r="DVN118" s="6"/>
      <c r="DVO118" s="6"/>
      <c r="DVP118" s="6"/>
      <c r="DVQ118" s="6"/>
      <c r="DVR118" s="6"/>
      <c r="DVS118" s="6"/>
      <c r="DVT118" s="6"/>
      <c r="DVU118" s="6"/>
      <c r="DVV118" s="6"/>
      <c r="DVW118" s="6"/>
      <c r="DVX118" s="6"/>
      <c r="DVY118" s="6"/>
      <c r="DVZ118" s="6"/>
      <c r="DWA118" s="6"/>
      <c r="DWB118" s="6"/>
      <c r="DWC118" s="6"/>
      <c r="DWD118" s="6"/>
      <c r="DWE118" s="6"/>
      <c r="DWF118" s="6"/>
      <c r="DWG118" s="6"/>
      <c r="DWH118" s="6"/>
      <c r="DWI118" s="6"/>
      <c r="DWJ118" s="6"/>
      <c r="DWK118" s="6"/>
      <c r="DWL118" s="6"/>
      <c r="DWM118" s="6"/>
      <c r="DWN118" s="6"/>
      <c r="DWO118" s="6"/>
      <c r="DWP118" s="6"/>
      <c r="DWQ118" s="6"/>
      <c r="DWR118" s="6"/>
      <c r="DWS118" s="6"/>
      <c r="DWT118" s="6"/>
      <c r="DWU118" s="6"/>
      <c r="DWV118" s="6"/>
      <c r="DWW118" s="6"/>
      <c r="DWX118" s="6"/>
      <c r="DWY118" s="6"/>
      <c r="DWZ118" s="6"/>
      <c r="DXA118" s="6"/>
      <c r="DXB118" s="6"/>
      <c r="DXC118" s="6"/>
      <c r="DXD118" s="6"/>
      <c r="DXE118" s="6"/>
      <c r="DXF118" s="6"/>
      <c r="DXG118" s="6"/>
      <c r="DXH118" s="6"/>
      <c r="DXI118" s="6"/>
      <c r="DXJ118" s="6"/>
      <c r="DXK118" s="6"/>
      <c r="DXL118" s="6"/>
      <c r="DXM118" s="6"/>
      <c r="DXN118" s="6"/>
      <c r="DXO118" s="6"/>
      <c r="DXP118" s="6"/>
      <c r="DXQ118" s="6"/>
      <c r="DXR118" s="6"/>
      <c r="DXS118" s="6"/>
      <c r="DXT118" s="6"/>
      <c r="DXU118" s="6"/>
      <c r="DXV118" s="6"/>
      <c r="DXW118" s="6"/>
      <c r="DXX118" s="6"/>
      <c r="DXY118" s="6"/>
      <c r="DXZ118" s="6"/>
      <c r="DYA118" s="6"/>
      <c r="DYB118" s="6"/>
      <c r="DYC118" s="6"/>
      <c r="DYD118" s="6"/>
      <c r="DYE118" s="6"/>
      <c r="DYF118" s="6"/>
      <c r="DYG118" s="6"/>
      <c r="DYH118" s="6"/>
      <c r="DYI118" s="6"/>
      <c r="DYJ118" s="6"/>
      <c r="DYK118" s="6"/>
      <c r="DYL118" s="6"/>
      <c r="DYM118" s="6"/>
      <c r="DYN118" s="6"/>
      <c r="DYO118" s="6"/>
      <c r="DYP118" s="6"/>
      <c r="DYQ118" s="6"/>
      <c r="DYR118" s="6"/>
      <c r="DYS118" s="6"/>
      <c r="DYT118" s="6"/>
      <c r="DYU118" s="6"/>
      <c r="DYV118" s="6"/>
      <c r="DYW118" s="6"/>
      <c r="DYX118" s="6"/>
      <c r="DYY118" s="6"/>
      <c r="DYZ118" s="6"/>
      <c r="DZA118" s="6"/>
      <c r="DZB118" s="6"/>
      <c r="DZC118" s="6"/>
      <c r="DZD118" s="6"/>
      <c r="DZE118" s="6"/>
      <c r="DZF118" s="6"/>
      <c r="DZG118" s="6"/>
      <c r="DZH118" s="6"/>
      <c r="DZI118" s="6"/>
      <c r="DZJ118" s="6"/>
      <c r="DZK118" s="6"/>
      <c r="DZL118" s="6"/>
      <c r="DZM118" s="6"/>
      <c r="DZN118" s="6"/>
      <c r="DZO118" s="6"/>
      <c r="DZP118" s="6"/>
      <c r="DZQ118" s="6"/>
      <c r="DZR118" s="6"/>
      <c r="DZS118" s="6"/>
      <c r="DZT118" s="6"/>
      <c r="DZU118" s="6"/>
      <c r="DZV118" s="6"/>
      <c r="DZW118" s="6"/>
      <c r="DZX118" s="6"/>
      <c r="DZY118" s="6"/>
      <c r="DZZ118" s="6"/>
      <c r="EAA118" s="6"/>
      <c r="EAB118" s="6"/>
      <c r="EAC118" s="6"/>
      <c r="EAD118" s="6"/>
      <c r="EAE118" s="6"/>
      <c r="EAF118" s="6"/>
      <c r="EAG118" s="6"/>
      <c r="EAH118" s="6"/>
      <c r="EAI118" s="6"/>
      <c r="EAJ118" s="6"/>
      <c r="EAK118" s="6"/>
      <c r="EAL118" s="6"/>
      <c r="EAM118" s="6"/>
      <c r="EAN118" s="6"/>
      <c r="EAO118" s="6"/>
      <c r="EAP118" s="6"/>
      <c r="EAQ118" s="6"/>
      <c r="EAR118" s="6"/>
      <c r="EAS118" s="6"/>
      <c r="EAT118" s="6"/>
      <c r="EAU118" s="6"/>
      <c r="EAV118" s="6"/>
      <c r="EAW118" s="6"/>
      <c r="EAX118" s="6"/>
      <c r="EAY118" s="6"/>
      <c r="EAZ118" s="6"/>
      <c r="EBA118" s="6"/>
      <c r="EBB118" s="6"/>
      <c r="EBC118" s="6"/>
      <c r="EBD118" s="6"/>
      <c r="EBE118" s="6"/>
      <c r="EBF118" s="6"/>
      <c r="EBG118" s="6"/>
      <c r="EBH118" s="6"/>
      <c r="EBI118" s="6"/>
      <c r="EBJ118" s="6"/>
      <c r="EBK118" s="6"/>
      <c r="EBL118" s="6"/>
      <c r="EBM118" s="6"/>
      <c r="EBN118" s="6"/>
      <c r="EBO118" s="6"/>
      <c r="EBP118" s="6"/>
      <c r="EBQ118" s="6"/>
      <c r="EBR118" s="6"/>
      <c r="EBS118" s="6"/>
      <c r="EBT118" s="6"/>
      <c r="EBU118" s="6"/>
      <c r="EBV118" s="6"/>
      <c r="EBW118" s="6"/>
      <c r="EBX118" s="6"/>
      <c r="EBY118" s="6"/>
      <c r="EBZ118" s="6"/>
      <c r="ECA118" s="6"/>
      <c r="ECB118" s="6"/>
      <c r="ECC118" s="6"/>
      <c r="ECD118" s="6"/>
      <c r="ECE118" s="6"/>
      <c r="ECF118" s="6"/>
      <c r="ECG118" s="6"/>
      <c r="ECH118" s="6"/>
      <c r="ECI118" s="6"/>
      <c r="ECJ118" s="6"/>
      <c r="ECK118" s="6"/>
      <c r="ECL118" s="6"/>
      <c r="ECM118" s="6"/>
      <c r="ECN118" s="6"/>
      <c r="ECO118" s="6"/>
      <c r="ECP118" s="6"/>
      <c r="ECQ118" s="6"/>
      <c r="ECR118" s="6"/>
      <c r="ECS118" s="6"/>
      <c r="ECT118" s="6"/>
      <c r="ECU118" s="6"/>
      <c r="ECV118" s="6"/>
      <c r="ECW118" s="6"/>
      <c r="ECX118" s="6"/>
      <c r="ECY118" s="6"/>
      <c r="ECZ118" s="6"/>
      <c r="EDA118" s="6"/>
      <c r="EDB118" s="6"/>
      <c r="EDC118" s="6"/>
      <c r="EDD118" s="6"/>
      <c r="EDE118" s="6"/>
      <c r="EDF118" s="6"/>
      <c r="EDG118" s="6"/>
      <c r="EDH118" s="6"/>
      <c r="EDI118" s="6"/>
      <c r="EDJ118" s="6"/>
      <c r="EDK118" s="6"/>
      <c r="EDL118" s="6"/>
      <c r="EDM118" s="6"/>
      <c r="EDN118" s="6"/>
      <c r="EDO118" s="6"/>
      <c r="EDP118" s="6"/>
      <c r="EDQ118" s="6"/>
      <c r="EDR118" s="6"/>
      <c r="EDS118" s="6"/>
      <c r="EDT118" s="6"/>
      <c r="EDU118" s="6"/>
      <c r="EDV118" s="6"/>
      <c r="EDW118" s="6"/>
      <c r="EDX118" s="6"/>
      <c r="EDY118" s="6"/>
      <c r="EDZ118" s="6"/>
      <c r="EEA118" s="6"/>
      <c r="EEB118" s="6"/>
      <c r="EEC118" s="6"/>
      <c r="EED118" s="6"/>
      <c r="EEE118" s="6"/>
      <c r="EEF118" s="6"/>
      <c r="EEG118" s="6"/>
      <c r="EEH118" s="6"/>
      <c r="EEI118" s="6"/>
      <c r="EEJ118" s="6"/>
      <c r="EEK118" s="6"/>
      <c r="EEL118" s="6"/>
      <c r="EEM118" s="6"/>
      <c r="EEN118" s="6"/>
      <c r="EEO118" s="6"/>
      <c r="EEP118" s="6"/>
      <c r="EEQ118" s="6"/>
      <c r="EER118" s="6"/>
      <c r="EES118" s="6"/>
      <c r="EET118" s="6"/>
      <c r="EEU118" s="6"/>
      <c r="EEV118" s="6"/>
      <c r="EEW118" s="6"/>
      <c r="EEX118" s="6"/>
      <c r="EEY118" s="6"/>
      <c r="EEZ118" s="6"/>
      <c r="EFA118" s="6"/>
      <c r="EFB118" s="6"/>
      <c r="EFC118" s="6"/>
      <c r="EFD118" s="6"/>
      <c r="EFE118" s="6"/>
      <c r="EFF118" s="6"/>
      <c r="EFG118" s="6"/>
      <c r="EFH118" s="6"/>
      <c r="EFI118" s="6"/>
      <c r="EFJ118" s="6"/>
      <c r="EFK118" s="6"/>
      <c r="EFL118" s="6"/>
      <c r="EFM118" s="6"/>
      <c r="EFN118" s="6"/>
      <c r="EFO118" s="6"/>
      <c r="EFP118" s="6"/>
      <c r="EFQ118" s="6"/>
      <c r="EFR118" s="6"/>
      <c r="EFS118" s="6"/>
      <c r="EFT118" s="6"/>
      <c r="EFU118" s="6"/>
      <c r="EFV118" s="6"/>
      <c r="EFW118" s="6"/>
      <c r="EFX118" s="6"/>
      <c r="EFY118" s="6"/>
      <c r="EFZ118" s="6"/>
      <c r="EGA118" s="6"/>
      <c r="EGB118" s="6"/>
      <c r="EGC118" s="6"/>
      <c r="EGD118" s="6"/>
      <c r="EGE118" s="6"/>
      <c r="EGF118" s="6"/>
      <c r="EGG118" s="6"/>
      <c r="EGH118" s="6"/>
      <c r="EGI118" s="6"/>
      <c r="EGJ118" s="6"/>
      <c r="EGK118" s="6"/>
      <c r="EGL118" s="6"/>
      <c r="EGM118" s="6"/>
      <c r="EGN118" s="6"/>
      <c r="EGO118" s="6"/>
      <c r="EGP118" s="6"/>
      <c r="EGQ118" s="6"/>
      <c r="EGR118" s="6"/>
      <c r="EGS118" s="6"/>
      <c r="EGT118" s="6"/>
      <c r="EGU118" s="6"/>
      <c r="EGV118" s="6"/>
      <c r="EGW118" s="6"/>
      <c r="EGX118" s="6"/>
      <c r="EGY118" s="6"/>
      <c r="EGZ118" s="6"/>
      <c r="EHA118" s="6"/>
      <c r="EHB118" s="6"/>
      <c r="EHC118" s="6"/>
      <c r="EHD118" s="6"/>
      <c r="EHE118" s="6"/>
      <c r="EHF118" s="6"/>
      <c r="EHG118" s="6"/>
      <c r="EHH118" s="6"/>
      <c r="EHI118" s="6"/>
      <c r="EHJ118" s="6"/>
      <c r="EHK118" s="6"/>
      <c r="EHL118" s="6"/>
      <c r="EHM118" s="6"/>
      <c r="EHN118" s="6"/>
      <c r="EHO118" s="6"/>
      <c r="EHP118" s="6"/>
      <c r="EHQ118" s="6"/>
      <c r="EHR118" s="6"/>
      <c r="EHS118" s="6"/>
      <c r="EHT118" s="6"/>
      <c r="EHU118" s="6"/>
      <c r="EHV118" s="6"/>
      <c r="EHW118" s="6"/>
      <c r="EHX118" s="6"/>
      <c r="EHY118" s="6"/>
      <c r="EHZ118" s="6"/>
      <c r="EIA118" s="6"/>
      <c r="EIB118" s="6"/>
      <c r="EIC118" s="6"/>
      <c r="EID118" s="6"/>
      <c r="EIE118" s="6"/>
      <c r="EIF118" s="6"/>
      <c r="EIG118" s="6"/>
      <c r="EIH118" s="6"/>
      <c r="EII118" s="6"/>
      <c r="EIJ118" s="6"/>
      <c r="EIK118" s="6"/>
      <c r="EIL118" s="6"/>
      <c r="EIM118" s="6"/>
      <c r="EIN118" s="6"/>
      <c r="EIO118" s="6"/>
      <c r="EIP118" s="6"/>
      <c r="EIQ118" s="6"/>
      <c r="EIR118" s="6"/>
      <c r="EIS118" s="6"/>
      <c r="EIT118" s="6"/>
      <c r="EIU118" s="6"/>
      <c r="EIV118" s="6"/>
      <c r="EIW118" s="6"/>
      <c r="EIX118" s="6"/>
      <c r="EIY118" s="6"/>
      <c r="EIZ118" s="6"/>
      <c r="EJA118" s="6"/>
      <c r="EJB118" s="6"/>
      <c r="EJC118" s="6"/>
      <c r="EJD118" s="6"/>
      <c r="EJE118" s="6"/>
      <c r="EJF118" s="6"/>
      <c r="EJG118" s="6"/>
      <c r="EJH118" s="6"/>
      <c r="EJI118" s="6"/>
      <c r="EJJ118" s="6"/>
      <c r="EJK118" s="6"/>
      <c r="EJL118" s="6"/>
      <c r="EJM118" s="6"/>
      <c r="EJN118" s="6"/>
      <c r="EJO118" s="6"/>
      <c r="EJP118" s="6"/>
      <c r="EJQ118" s="6"/>
      <c r="EJR118" s="6"/>
      <c r="EJS118" s="6"/>
      <c r="EJT118" s="6"/>
      <c r="EJU118" s="6"/>
      <c r="EJV118" s="6"/>
      <c r="EJW118" s="6"/>
      <c r="EJX118" s="6"/>
      <c r="EJY118" s="6"/>
      <c r="EJZ118" s="6"/>
      <c r="EKA118" s="6"/>
      <c r="EKB118" s="6"/>
      <c r="EKC118" s="6"/>
      <c r="EKD118" s="6"/>
      <c r="EKE118" s="6"/>
      <c r="EKF118" s="6"/>
      <c r="EKG118" s="6"/>
      <c r="EKH118" s="6"/>
      <c r="EKI118" s="6"/>
      <c r="EKJ118" s="6"/>
      <c r="EKK118" s="6"/>
      <c r="EKL118" s="6"/>
      <c r="EKM118" s="6"/>
      <c r="EKN118" s="6"/>
      <c r="EKO118" s="6"/>
      <c r="EKP118" s="6"/>
      <c r="EKQ118" s="6"/>
      <c r="EKR118" s="6"/>
      <c r="EKS118" s="6"/>
      <c r="EKT118" s="6"/>
      <c r="EKU118" s="6"/>
      <c r="EKV118" s="6"/>
      <c r="EKW118" s="6"/>
      <c r="EKX118" s="6"/>
      <c r="EKY118" s="6"/>
      <c r="EKZ118" s="6"/>
      <c r="ELA118" s="6"/>
      <c r="ELB118" s="6"/>
      <c r="ELC118" s="6"/>
      <c r="ELD118" s="6"/>
      <c r="ELE118" s="6"/>
      <c r="ELF118" s="6"/>
      <c r="ELG118" s="6"/>
      <c r="ELH118" s="6"/>
      <c r="ELI118" s="6"/>
      <c r="ELJ118" s="6"/>
      <c r="ELK118" s="6"/>
      <c r="ELL118" s="6"/>
      <c r="ELM118" s="6"/>
      <c r="ELN118" s="6"/>
      <c r="ELO118" s="6"/>
      <c r="ELP118" s="6"/>
      <c r="ELQ118" s="6"/>
      <c r="ELR118" s="6"/>
      <c r="ELS118" s="6"/>
      <c r="ELT118" s="6"/>
      <c r="ELU118" s="6"/>
      <c r="ELV118" s="6"/>
      <c r="ELW118" s="6"/>
      <c r="ELX118" s="6"/>
      <c r="ELY118" s="6"/>
      <c r="ELZ118" s="6"/>
      <c r="EMA118" s="6"/>
      <c r="EMB118" s="6"/>
      <c r="EMC118" s="6"/>
      <c r="EMD118" s="6"/>
      <c r="EME118" s="6"/>
      <c r="EMF118" s="6"/>
      <c r="EMG118" s="6"/>
      <c r="EMH118" s="6"/>
      <c r="EMI118" s="6"/>
      <c r="EMJ118" s="6"/>
      <c r="EMK118" s="6"/>
      <c r="EML118" s="6"/>
      <c r="EMM118" s="6"/>
      <c r="EMN118" s="6"/>
      <c r="EMO118" s="6"/>
      <c r="EMP118" s="6"/>
      <c r="EMQ118" s="6"/>
      <c r="EMR118" s="6"/>
      <c r="EMS118" s="6"/>
      <c r="EMT118" s="6"/>
      <c r="EMU118" s="6"/>
      <c r="EMV118" s="6"/>
      <c r="EMW118" s="6"/>
      <c r="EMX118" s="6"/>
      <c r="EMY118" s="6"/>
      <c r="EMZ118" s="6"/>
      <c r="ENA118" s="6"/>
      <c r="ENB118" s="6"/>
      <c r="ENC118" s="6"/>
      <c r="END118" s="6"/>
      <c r="ENE118" s="6"/>
      <c r="ENF118" s="6"/>
      <c r="ENG118" s="6"/>
      <c r="ENH118" s="6"/>
      <c r="ENI118" s="6"/>
      <c r="ENJ118" s="6"/>
      <c r="ENK118" s="6"/>
      <c r="ENL118" s="6"/>
      <c r="ENM118" s="6"/>
      <c r="ENN118" s="6"/>
      <c r="ENO118" s="6"/>
      <c r="ENP118" s="6"/>
      <c r="ENQ118" s="6"/>
      <c r="ENR118" s="6"/>
      <c r="ENS118" s="6"/>
      <c r="ENT118" s="6"/>
      <c r="ENU118" s="6"/>
      <c r="ENV118" s="6"/>
      <c r="ENW118" s="6"/>
      <c r="ENX118" s="6"/>
      <c r="ENY118" s="6"/>
      <c r="ENZ118" s="6"/>
      <c r="EOA118" s="6"/>
      <c r="EOB118" s="6"/>
      <c r="EOC118" s="6"/>
      <c r="EOD118" s="6"/>
      <c r="EOE118" s="6"/>
      <c r="EOF118" s="6"/>
      <c r="EOG118" s="6"/>
      <c r="EOH118" s="6"/>
      <c r="EOI118" s="6"/>
      <c r="EOJ118" s="6"/>
      <c r="EOK118" s="6"/>
      <c r="EOL118" s="6"/>
      <c r="EOM118" s="6"/>
      <c r="EON118" s="6"/>
      <c r="EOO118" s="6"/>
      <c r="EOP118" s="6"/>
      <c r="EOQ118" s="6"/>
      <c r="EOR118" s="6"/>
      <c r="EOS118" s="6"/>
      <c r="EOT118" s="6"/>
      <c r="EOU118" s="6"/>
      <c r="EOV118" s="6"/>
      <c r="EOW118" s="6"/>
      <c r="EOX118" s="6"/>
      <c r="EOY118" s="6"/>
      <c r="EOZ118" s="6"/>
      <c r="EPA118" s="6"/>
      <c r="EPB118" s="6"/>
      <c r="EPC118" s="6"/>
      <c r="EPD118" s="6"/>
      <c r="EPE118" s="6"/>
      <c r="EPF118" s="6"/>
      <c r="EPG118" s="6"/>
      <c r="EPH118" s="6"/>
      <c r="EPI118" s="6"/>
      <c r="EPJ118" s="6"/>
      <c r="EPK118" s="6"/>
      <c r="EPL118" s="6"/>
      <c r="EPM118" s="6"/>
      <c r="EPN118" s="6"/>
      <c r="EPO118" s="6"/>
      <c r="EPP118" s="6"/>
      <c r="EPQ118" s="6"/>
      <c r="EPR118" s="6"/>
      <c r="EPS118" s="6"/>
      <c r="EPT118" s="6"/>
      <c r="EPU118" s="6"/>
      <c r="EPV118" s="6"/>
      <c r="EPW118" s="6"/>
      <c r="EPX118" s="6"/>
      <c r="EPY118" s="6"/>
      <c r="EPZ118" s="6"/>
      <c r="EQA118" s="6"/>
      <c r="EQB118" s="6"/>
      <c r="EQC118" s="6"/>
      <c r="EQD118" s="6"/>
      <c r="EQE118" s="6"/>
      <c r="EQF118" s="6"/>
      <c r="EQG118" s="6"/>
      <c r="EQH118" s="6"/>
      <c r="EQI118" s="6"/>
      <c r="EQJ118" s="6"/>
      <c r="EQK118" s="6"/>
      <c r="EQL118" s="6"/>
      <c r="EQM118" s="6"/>
      <c r="EQN118" s="6"/>
      <c r="EQO118" s="6"/>
      <c r="EQP118" s="6"/>
      <c r="EQQ118" s="6"/>
      <c r="EQR118" s="6"/>
      <c r="EQS118" s="6"/>
      <c r="EQT118" s="6"/>
      <c r="EQU118" s="6"/>
      <c r="EQV118" s="6"/>
      <c r="EQW118" s="6"/>
      <c r="EQX118" s="6"/>
      <c r="EQY118" s="6"/>
      <c r="EQZ118" s="6"/>
      <c r="ERA118" s="6"/>
      <c r="ERB118" s="6"/>
      <c r="ERC118" s="6"/>
      <c r="ERD118" s="6"/>
      <c r="ERE118" s="6"/>
      <c r="ERF118" s="6"/>
      <c r="ERG118" s="6"/>
      <c r="ERH118" s="6"/>
      <c r="ERI118" s="6"/>
      <c r="ERJ118" s="6"/>
      <c r="ERK118" s="6"/>
      <c r="ERL118" s="6"/>
      <c r="ERM118" s="6"/>
      <c r="ERN118" s="6"/>
      <c r="ERO118" s="6"/>
      <c r="ERP118" s="6"/>
      <c r="ERQ118" s="6"/>
      <c r="ERR118" s="6"/>
      <c r="ERS118" s="6"/>
      <c r="ERT118" s="6"/>
      <c r="ERU118" s="6"/>
      <c r="ERV118" s="6"/>
      <c r="ERW118" s="6"/>
      <c r="ERX118" s="6"/>
      <c r="ERY118" s="6"/>
      <c r="ERZ118" s="6"/>
      <c r="ESA118" s="6"/>
      <c r="ESB118" s="6"/>
      <c r="ESC118" s="6"/>
      <c r="ESD118" s="6"/>
      <c r="ESE118" s="6"/>
      <c r="ESF118" s="6"/>
      <c r="ESG118" s="6"/>
      <c r="ESH118" s="6"/>
      <c r="ESI118" s="6"/>
      <c r="ESJ118" s="6"/>
      <c r="ESK118" s="6"/>
      <c r="ESL118" s="6"/>
      <c r="ESM118" s="6"/>
      <c r="ESN118" s="6"/>
      <c r="ESO118" s="6"/>
      <c r="ESP118" s="6"/>
      <c r="ESQ118" s="6"/>
      <c r="ESR118" s="6"/>
      <c r="ESS118" s="6"/>
      <c r="EST118" s="6"/>
      <c r="ESU118" s="6"/>
      <c r="ESV118" s="6"/>
      <c r="ESW118" s="6"/>
      <c r="ESX118" s="6"/>
      <c r="ESY118" s="6"/>
      <c r="ESZ118" s="6"/>
      <c r="ETA118" s="6"/>
      <c r="ETB118" s="6"/>
      <c r="ETC118" s="6"/>
      <c r="ETD118" s="6"/>
      <c r="ETE118" s="6"/>
      <c r="ETF118" s="6"/>
      <c r="ETG118" s="6"/>
      <c r="ETH118" s="6"/>
      <c r="ETI118" s="6"/>
      <c r="ETJ118" s="6"/>
      <c r="ETK118" s="6"/>
      <c r="ETL118" s="6"/>
      <c r="ETM118" s="6"/>
      <c r="ETN118" s="6"/>
      <c r="ETO118" s="6"/>
      <c r="ETP118" s="6"/>
      <c r="ETQ118" s="6"/>
      <c r="ETR118" s="6"/>
      <c r="ETS118" s="6"/>
      <c r="ETT118" s="6"/>
      <c r="ETU118" s="6"/>
      <c r="ETV118" s="6"/>
      <c r="ETW118" s="6"/>
      <c r="ETX118" s="6"/>
      <c r="ETY118" s="6"/>
      <c r="ETZ118" s="6"/>
      <c r="EUA118" s="6"/>
      <c r="EUB118" s="6"/>
      <c r="EUC118" s="6"/>
      <c r="EUD118" s="6"/>
      <c r="EUE118" s="6"/>
      <c r="EUF118" s="6"/>
      <c r="EUG118" s="6"/>
      <c r="EUH118" s="6"/>
      <c r="EUI118" s="6"/>
      <c r="EUJ118" s="6"/>
      <c r="EUK118" s="6"/>
      <c r="EUL118" s="6"/>
      <c r="EUM118" s="6"/>
      <c r="EUN118" s="6"/>
      <c r="EUO118" s="6"/>
      <c r="EUP118" s="6"/>
      <c r="EUQ118" s="6"/>
      <c r="EUR118" s="6"/>
      <c r="EUS118" s="6"/>
      <c r="EUT118" s="6"/>
      <c r="EUU118" s="6"/>
      <c r="EUV118" s="6"/>
      <c r="EUW118" s="6"/>
      <c r="EUX118" s="6"/>
      <c r="EUY118" s="6"/>
      <c r="EUZ118" s="6"/>
      <c r="EVA118" s="6"/>
      <c r="EVB118" s="6"/>
      <c r="EVC118" s="6"/>
      <c r="EVD118" s="6"/>
      <c r="EVE118" s="6"/>
      <c r="EVF118" s="6"/>
      <c r="EVG118" s="6"/>
      <c r="EVH118" s="6"/>
      <c r="EVI118" s="6"/>
      <c r="EVJ118" s="6"/>
      <c r="EVK118" s="6"/>
      <c r="EVL118" s="6"/>
      <c r="EVM118" s="6"/>
      <c r="EVN118" s="6"/>
      <c r="EVO118" s="6"/>
      <c r="EVP118" s="6"/>
      <c r="EVQ118" s="6"/>
      <c r="EVR118" s="6"/>
      <c r="EVS118" s="6"/>
      <c r="EVT118" s="6"/>
      <c r="EVU118" s="6"/>
      <c r="EVV118" s="6"/>
      <c r="EVW118" s="6"/>
      <c r="EVX118" s="6"/>
      <c r="EVY118" s="6"/>
      <c r="EVZ118" s="6"/>
      <c r="EWA118" s="6"/>
      <c r="EWB118" s="6"/>
      <c r="EWC118" s="6"/>
      <c r="EWD118" s="6"/>
      <c r="EWE118" s="6"/>
      <c r="EWF118" s="6"/>
      <c r="EWG118" s="6"/>
      <c r="EWH118" s="6"/>
      <c r="EWI118" s="6"/>
      <c r="EWJ118" s="6"/>
      <c r="EWK118" s="6"/>
      <c r="EWL118" s="6"/>
      <c r="EWM118" s="6"/>
      <c r="EWN118" s="6"/>
      <c r="EWO118" s="6"/>
      <c r="EWP118" s="6"/>
      <c r="EWQ118" s="6"/>
      <c r="EWR118" s="6"/>
      <c r="EWS118" s="6"/>
      <c r="EWT118" s="6"/>
      <c r="EWU118" s="6"/>
      <c r="EWV118" s="6"/>
      <c r="EWW118" s="6"/>
      <c r="EWX118" s="6"/>
      <c r="EWY118" s="6"/>
      <c r="EWZ118" s="6"/>
      <c r="EXA118" s="6"/>
      <c r="EXB118" s="6"/>
      <c r="EXC118" s="6"/>
      <c r="EXD118" s="6"/>
      <c r="EXE118" s="6"/>
      <c r="EXF118" s="6"/>
      <c r="EXG118" s="6"/>
      <c r="EXH118" s="6"/>
      <c r="EXI118" s="6"/>
      <c r="EXJ118" s="6"/>
      <c r="EXK118" s="6"/>
      <c r="EXL118" s="6"/>
      <c r="EXM118" s="6"/>
      <c r="EXN118" s="6"/>
      <c r="EXO118" s="6"/>
      <c r="EXP118" s="6"/>
      <c r="EXQ118" s="6"/>
      <c r="EXR118" s="6"/>
      <c r="EXS118" s="6"/>
      <c r="EXT118" s="6"/>
      <c r="EXU118" s="6"/>
      <c r="EXV118" s="6"/>
      <c r="EXW118" s="6"/>
      <c r="EXX118" s="6"/>
      <c r="EXY118" s="6"/>
      <c r="EXZ118" s="6"/>
      <c r="EYA118" s="6"/>
      <c r="EYB118" s="6"/>
      <c r="EYC118" s="6"/>
      <c r="EYD118" s="6"/>
      <c r="EYE118" s="6"/>
      <c r="EYF118" s="6"/>
      <c r="EYG118" s="6"/>
      <c r="EYH118" s="6"/>
      <c r="EYI118" s="6"/>
      <c r="EYJ118" s="6"/>
      <c r="EYK118" s="6"/>
      <c r="EYL118" s="6"/>
      <c r="EYM118" s="6"/>
      <c r="EYN118" s="6"/>
      <c r="EYO118" s="6"/>
      <c r="EYP118" s="6"/>
      <c r="EYQ118" s="6"/>
      <c r="EYR118" s="6"/>
      <c r="EYS118" s="6"/>
      <c r="EYT118" s="6"/>
      <c r="EYU118" s="6"/>
      <c r="EYV118" s="6"/>
      <c r="EYW118" s="6"/>
      <c r="EYX118" s="6"/>
      <c r="EYY118" s="6"/>
      <c r="EYZ118" s="6"/>
      <c r="EZA118" s="6"/>
      <c r="EZB118" s="6"/>
      <c r="EZC118" s="6"/>
      <c r="EZD118" s="6"/>
      <c r="EZE118" s="6"/>
      <c r="EZF118" s="6"/>
      <c r="EZG118" s="6"/>
      <c r="EZH118" s="6"/>
      <c r="EZI118" s="6"/>
      <c r="EZJ118" s="6"/>
      <c r="EZK118" s="6"/>
      <c r="EZL118" s="6"/>
      <c r="EZM118" s="6"/>
      <c r="EZN118" s="6"/>
      <c r="EZO118" s="6"/>
      <c r="EZP118" s="6"/>
      <c r="EZQ118" s="6"/>
      <c r="EZR118" s="6"/>
      <c r="EZS118" s="6"/>
      <c r="EZT118" s="6"/>
      <c r="EZU118" s="6"/>
      <c r="EZV118" s="6"/>
      <c r="EZW118" s="6"/>
      <c r="EZX118" s="6"/>
      <c r="EZY118" s="6"/>
      <c r="EZZ118" s="6"/>
      <c r="FAA118" s="6"/>
      <c r="FAB118" s="6"/>
      <c r="FAC118" s="6"/>
      <c r="FAD118" s="6"/>
      <c r="FAE118" s="6"/>
      <c r="FAF118" s="6"/>
      <c r="FAG118" s="6"/>
      <c r="FAH118" s="6"/>
      <c r="FAI118" s="6"/>
      <c r="FAJ118" s="6"/>
      <c r="FAK118" s="6"/>
      <c r="FAL118" s="6"/>
      <c r="FAM118" s="6"/>
      <c r="FAN118" s="6"/>
      <c r="FAO118" s="6"/>
      <c r="FAP118" s="6"/>
      <c r="FAQ118" s="6"/>
      <c r="FAR118" s="6"/>
      <c r="FAS118" s="6"/>
      <c r="FAT118" s="6"/>
      <c r="FAU118" s="6"/>
      <c r="FAV118" s="6"/>
      <c r="FAW118" s="6"/>
      <c r="FAX118" s="6"/>
      <c r="FAY118" s="6"/>
      <c r="FAZ118" s="6"/>
      <c r="FBA118" s="6"/>
      <c r="FBB118" s="6"/>
      <c r="FBC118" s="6"/>
      <c r="FBD118" s="6"/>
      <c r="FBE118" s="6"/>
      <c r="FBF118" s="6"/>
      <c r="FBG118" s="6"/>
      <c r="FBH118" s="6"/>
      <c r="FBI118" s="6"/>
      <c r="FBJ118" s="6"/>
      <c r="FBK118" s="6"/>
      <c r="FBL118" s="6"/>
      <c r="FBM118" s="6"/>
      <c r="FBN118" s="6"/>
      <c r="FBO118" s="6"/>
      <c r="FBP118" s="6"/>
      <c r="FBQ118" s="6"/>
      <c r="FBR118" s="6"/>
      <c r="FBS118" s="6"/>
      <c r="FBT118" s="6"/>
      <c r="FBU118" s="6"/>
      <c r="FBV118" s="6"/>
      <c r="FBW118" s="6"/>
      <c r="FBX118" s="6"/>
      <c r="FBY118" s="6"/>
      <c r="FBZ118" s="6"/>
      <c r="FCA118" s="6"/>
      <c r="FCB118" s="6"/>
      <c r="FCC118" s="6"/>
      <c r="FCD118" s="6"/>
      <c r="FCE118" s="6"/>
      <c r="FCF118" s="6"/>
      <c r="FCG118" s="6"/>
      <c r="FCH118" s="6"/>
      <c r="FCI118" s="6"/>
      <c r="FCJ118" s="6"/>
      <c r="FCK118" s="6"/>
      <c r="FCL118" s="6"/>
      <c r="FCM118" s="6"/>
      <c r="FCN118" s="6"/>
      <c r="FCO118" s="6"/>
      <c r="FCP118" s="6"/>
      <c r="FCQ118" s="6"/>
      <c r="FCR118" s="6"/>
      <c r="FCS118" s="6"/>
      <c r="FCT118" s="6"/>
      <c r="FCU118" s="6"/>
      <c r="FCV118" s="6"/>
      <c r="FCW118" s="6"/>
      <c r="FCX118" s="6"/>
      <c r="FCY118" s="6"/>
      <c r="FCZ118" s="6"/>
      <c r="FDA118" s="6"/>
      <c r="FDB118" s="6"/>
      <c r="FDC118" s="6"/>
      <c r="FDD118" s="6"/>
      <c r="FDE118" s="6"/>
      <c r="FDF118" s="6"/>
      <c r="FDG118" s="6"/>
      <c r="FDH118" s="6"/>
      <c r="FDI118" s="6"/>
      <c r="FDJ118" s="6"/>
      <c r="FDK118" s="6"/>
      <c r="FDL118" s="6"/>
      <c r="FDM118" s="6"/>
      <c r="FDN118" s="6"/>
      <c r="FDO118" s="6"/>
      <c r="FDP118" s="6"/>
      <c r="FDQ118" s="6"/>
      <c r="FDR118" s="6"/>
      <c r="FDS118" s="6"/>
      <c r="FDT118" s="6"/>
      <c r="FDU118" s="6"/>
      <c r="FDV118" s="6"/>
      <c r="FDW118" s="6"/>
      <c r="FDX118" s="6"/>
      <c r="FDY118" s="6"/>
      <c r="FDZ118" s="6"/>
      <c r="FEA118" s="6"/>
      <c r="FEB118" s="6"/>
      <c r="FEC118" s="6"/>
      <c r="FED118" s="6"/>
      <c r="FEE118" s="6"/>
      <c r="FEF118" s="6"/>
      <c r="FEG118" s="6"/>
      <c r="FEH118" s="6"/>
      <c r="FEI118" s="6"/>
      <c r="FEJ118" s="6"/>
      <c r="FEK118" s="6"/>
      <c r="FEL118" s="6"/>
      <c r="FEM118" s="6"/>
      <c r="FEN118" s="6"/>
      <c r="FEO118" s="6"/>
      <c r="FEP118" s="6"/>
      <c r="FEQ118" s="6"/>
      <c r="FER118" s="6"/>
      <c r="FES118" s="6"/>
      <c r="FET118" s="6"/>
      <c r="FEU118" s="6"/>
      <c r="FEV118" s="6"/>
      <c r="FEW118" s="6"/>
      <c r="FEX118" s="6"/>
      <c r="FEY118" s="6"/>
      <c r="FEZ118" s="6"/>
      <c r="FFA118" s="6"/>
      <c r="FFB118" s="6"/>
      <c r="FFC118" s="6"/>
      <c r="FFD118" s="6"/>
      <c r="FFE118" s="6"/>
      <c r="FFF118" s="6"/>
      <c r="FFG118" s="6"/>
      <c r="FFH118" s="6"/>
      <c r="FFI118" s="6"/>
      <c r="FFJ118" s="6"/>
      <c r="FFK118" s="6"/>
      <c r="FFL118" s="6"/>
      <c r="FFM118" s="6"/>
      <c r="FFN118" s="6"/>
      <c r="FFO118" s="6"/>
      <c r="FFP118" s="6"/>
      <c r="FFQ118" s="6"/>
      <c r="FFR118" s="6"/>
      <c r="FFS118" s="6"/>
      <c r="FFT118" s="6"/>
      <c r="FFU118" s="6"/>
      <c r="FFV118" s="6"/>
      <c r="FFW118" s="6"/>
      <c r="FFX118" s="6"/>
      <c r="FFY118" s="6"/>
      <c r="FFZ118" s="6"/>
      <c r="FGA118" s="6"/>
      <c r="FGB118" s="6"/>
      <c r="FGC118" s="6"/>
      <c r="FGD118" s="6"/>
      <c r="FGE118" s="6"/>
      <c r="FGF118" s="6"/>
      <c r="FGG118" s="6"/>
      <c r="FGH118" s="6"/>
      <c r="FGI118" s="6"/>
      <c r="FGJ118" s="6"/>
      <c r="FGK118" s="6"/>
      <c r="FGL118" s="6"/>
      <c r="FGM118" s="6"/>
      <c r="FGN118" s="6"/>
      <c r="FGO118" s="6"/>
      <c r="FGP118" s="6"/>
      <c r="FGQ118" s="6"/>
      <c r="FGR118" s="6"/>
      <c r="FGS118" s="6"/>
      <c r="FGT118" s="6"/>
      <c r="FGU118" s="6"/>
      <c r="FGV118" s="6"/>
      <c r="FGW118" s="6"/>
      <c r="FGX118" s="6"/>
      <c r="FGY118" s="6"/>
      <c r="FGZ118" s="6"/>
      <c r="FHA118" s="6"/>
      <c r="FHB118" s="6"/>
      <c r="FHC118" s="6"/>
      <c r="FHD118" s="6"/>
      <c r="FHE118" s="6"/>
      <c r="FHF118" s="6"/>
      <c r="FHG118" s="6"/>
      <c r="FHH118" s="6"/>
      <c r="FHI118" s="6"/>
      <c r="FHJ118" s="6"/>
      <c r="FHK118" s="6"/>
      <c r="FHL118" s="6"/>
      <c r="FHM118" s="6"/>
      <c r="FHN118" s="6"/>
      <c r="FHO118" s="6"/>
      <c r="FHP118" s="6"/>
      <c r="FHQ118" s="6"/>
      <c r="FHR118" s="6"/>
      <c r="FHS118" s="6"/>
      <c r="FHT118" s="6"/>
      <c r="FHU118" s="6"/>
      <c r="FHV118" s="6"/>
      <c r="FHW118" s="6"/>
      <c r="FHX118" s="6"/>
      <c r="FHY118" s="6"/>
      <c r="FHZ118" s="6"/>
      <c r="FIA118" s="6"/>
      <c r="FIB118" s="6"/>
      <c r="FIC118" s="6"/>
      <c r="FID118" s="6"/>
      <c r="FIE118" s="6"/>
      <c r="FIF118" s="6"/>
      <c r="FIG118" s="6"/>
      <c r="FIH118" s="6"/>
      <c r="FII118" s="6"/>
      <c r="FIJ118" s="6"/>
      <c r="FIK118" s="6"/>
      <c r="FIL118" s="6"/>
      <c r="FIM118" s="6"/>
      <c r="FIN118" s="6"/>
      <c r="FIO118" s="6"/>
      <c r="FIP118" s="6"/>
      <c r="FIQ118" s="6"/>
      <c r="FIR118" s="6"/>
      <c r="FIS118" s="6"/>
      <c r="FIT118" s="6"/>
      <c r="FIU118" s="6"/>
      <c r="FIV118" s="6"/>
      <c r="FIW118" s="6"/>
      <c r="FIX118" s="6"/>
      <c r="FIY118" s="6"/>
      <c r="FIZ118" s="6"/>
      <c r="FJA118" s="6"/>
      <c r="FJB118" s="6"/>
      <c r="FJC118" s="6"/>
      <c r="FJD118" s="6"/>
      <c r="FJE118" s="6"/>
      <c r="FJF118" s="6"/>
      <c r="FJG118" s="6"/>
      <c r="FJH118" s="6"/>
      <c r="FJI118" s="6"/>
      <c r="FJJ118" s="6"/>
      <c r="FJK118" s="6"/>
      <c r="FJL118" s="6"/>
      <c r="FJM118" s="6"/>
      <c r="FJN118" s="6"/>
      <c r="FJO118" s="6"/>
      <c r="FJP118" s="6"/>
      <c r="FJQ118" s="6"/>
      <c r="FJR118" s="6"/>
      <c r="FJS118" s="6"/>
      <c r="FJT118" s="6"/>
      <c r="FJU118" s="6"/>
      <c r="FJV118" s="6"/>
      <c r="FJW118" s="6"/>
      <c r="FJX118" s="6"/>
      <c r="FJY118" s="6"/>
      <c r="FJZ118" s="6"/>
      <c r="FKA118" s="6"/>
      <c r="FKB118" s="6"/>
      <c r="FKC118" s="6"/>
      <c r="FKD118" s="6"/>
      <c r="FKE118" s="6"/>
      <c r="FKF118" s="6"/>
      <c r="FKG118" s="6"/>
      <c r="FKH118" s="6"/>
      <c r="FKI118" s="6"/>
      <c r="FKJ118" s="6"/>
      <c r="FKK118" s="6"/>
      <c r="FKL118" s="6"/>
      <c r="FKM118" s="6"/>
      <c r="FKN118" s="6"/>
      <c r="FKO118" s="6"/>
      <c r="FKP118" s="6"/>
      <c r="FKQ118" s="6"/>
      <c r="FKR118" s="6"/>
      <c r="FKS118" s="6"/>
      <c r="FKT118" s="6"/>
      <c r="FKU118" s="6"/>
      <c r="FKV118" s="6"/>
      <c r="FKW118" s="6"/>
      <c r="FKX118" s="6"/>
      <c r="FKY118" s="6"/>
      <c r="FKZ118" s="6"/>
      <c r="FLA118" s="6"/>
      <c r="FLB118" s="6"/>
      <c r="FLC118" s="6"/>
      <c r="FLD118" s="6"/>
      <c r="FLE118" s="6"/>
      <c r="FLF118" s="6"/>
      <c r="FLG118" s="6"/>
      <c r="FLH118" s="6"/>
      <c r="FLI118" s="6"/>
      <c r="FLJ118" s="6"/>
      <c r="FLK118" s="6"/>
      <c r="FLL118" s="6"/>
      <c r="FLM118" s="6"/>
      <c r="FLN118" s="6"/>
      <c r="FLO118" s="6"/>
      <c r="FLP118" s="6"/>
      <c r="FLQ118" s="6"/>
      <c r="FLR118" s="6"/>
      <c r="FLS118" s="6"/>
      <c r="FLT118" s="6"/>
      <c r="FLU118" s="6"/>
      <c r="FLV118" s="6"/>
      <c r="FLW118" s="6"/>
      <c r="FLX118" s="6"/>
      <c r="FLY118" s="6"/>
      <c r="FLZ118" s="6"/>
      <c r="FMA118" s="6"/>
      <c r="FMB118" s="6"/>
      <c r="FMC118" s="6"/>
      <c r="FMD118" s="6"/>
      <c r="FME118" s="6"/>
      <c r="FMF118" s="6"/>
      <c r="FMG118" s="6"/>
      <c r="FMH118" s="6"/>
      <c r="FMI118" s="6"/>
      <c r="FMJ118" s="6"/>
      <c r="FMK118" s="6"/>
      <c r="FML118" s="6"/>
      <c r="FMM118" s="6"/>
      <c r="FMN118" s="6"/>
      <c r="FMO118" s="6"/>
      <c r="FMP118" s="6"/>
      <c r="FMQ118" s="6"/>
      <c r="FMR118" s="6"/>
      <c r="FMS118" s="6"/>
      <c r="FMT118" s="6"/>
      <c r="FMU118" s="6"/>
      <c r="FMV118" s="6"/>
      <c r="FMW118" s="6"/>
      <c r="FMX118" s="6"/>
      <c r="FMY118" s="6"/>
      <c r="FMZ118" s="6"/>
      <c r="FNA118" s="6"/>
      <c r="FNB118" s="6"/>
      <c r="FNC118" s="6"/>
      <c r="FND118" s="6"/>
      <c r="FNE118" s="6"/>
      <c r="FNF118" s="6"/>
      <c r="FNG118" s="6"/>
      <c r="FNH118" s="6"/>
      <c r="FNI118" s="6"/>
      <c r="FNJ118" s="6"/>
      <c r="FNK118" s="6"/>
      <c r="FNL118" s="6"/>
      <c r="FNM118" s="6"/>
      <c r="FNN118" s="6"/>
      <c r="FNO118" s="6"/>
      <c r="FNP118" s="6"/>
      <c r="FNQ118" s="6"/>
      <c r="FNR118" s="6"/>
      <c r="FNS118" s="6"/>
      <c r="FNT118" s="6"/>
      <c r="FNU118" s="6"/>
      <c r="FNV118" s="6"/>
      <c r="FNW118" s="6"/>
      <c r="FNX118" s="6"/>
      <c r="FNY118" s="6"/>
      <c r="FNZ118" s="6"/>
      <c r="FOA118" s="6"/>
      <c r="FOB118" s="6"/>
      <c r="FOC118" s="6"/>
      <c r="FOD118" s="6"/>
      <c r="FOE118" s="6"/>
      <c r="FOF118" s="6"/>
      <c r="FOG118" s="6"/>
      <c r="FOH118" s="6"/>
      <c r="FOI118" s="6"/>
      <c r="FOJ118" s="6"/>
      <c r="FOK118" s="6"/>
      <c r="FOL118" s="6"/>
      <c r="FOM118" s="6"/>
      <c r="FON118" s="6"/>
      <c r="FOO118" s="6"/>
      <c r="FOP118" s="6"/>
      <c r="FOQ118" s="6"/>
      <c r="FOR118" s="6"/>
      <c r="FOS118" s="6"/>
      <c r="FOT118" s="6"/>
      <c r="FOU118" s="6"/>
      <c r="FOV118" s="6"/>
      <c r="FOW118" s="6"/>
      <c r="FOX118" s="6"/>
      <c r="FOY118" s="6"/>
      <c r="FOZ118" s="6"/>
      <c r="FPA118" s="6"/>
      <c r="FPB118" s="6"/>
      <c r="FPC118" s="6"/>
      <c r="FPD118" s="6"/>
      <c r="FPE118" s="6"/>
      <c r="FPF118" s="6"/>
      <c r="FPG118" s="6"/>
      <c r="FPH118" s="6"/>
      <c r="FPI118" s="6"/>
      <c r="FPJ118" s="6"/>
      <c r="FPK118" s="6"/>
      <c r="FPL118" s="6"/>
      <c r="FPM118" s="6"/>
      <c r="FPN118" s="6"/>
      <c r="FPO118" s="6"/>
      <c r="FPP118" s="6"/>
      <c r="FPQ118" s="6"/>
      <c r="FPR118" s="6"/>
      <c r="FPS118" s="6"/>
      <c r="FPT118" s="6"/>
      <c r="FPU118" s="6"/>
      <c r="FPV118" s="6"/>
      <c r="FPW118" s="6"/>
      <c r="FPX118" s="6"/>
      <c r="FPY118" s="6"/>
      <c r="FPZ118" s="6"/>
      <c r="FQA118" s="6"/>
      <c r="FQB118" s="6"/>
      <c r="FQC118" s="6"/>
      <c r="FQD118" s="6"/>
      <c r="FQE118" s="6"/>
      <c r="FQF118" s="6"/>
      <c r="FQG118" s="6"/>
      <c r="FQH118" s="6"/>
      <c r="FQI118" s="6"/>
      <c r="FQJ118" s="6"/>
      <c r="FQK118" s="6"/>
      <c r="FQL118" s="6"/>
      <c r="FQM118" s="6"/>
      <c r="FQN118" s="6"/>
      <c r="FQO118" s="6"/>
      <c r="FQP118" s="6"/>
      <c r="FQQ118" s="6"/>
      <c r="FQR118" s="6"/>
      <c r="FQS118" s="6"/>
      <c r="FQT118" s="6"/>
      <c r="FQU118" s="6"/>
      <c r="FQV118" s="6"/>
      <c r="FQW118" s="6"/>
      <c r="FQX118" s="6"/>
      <c r="FQY118" s="6"/>
      <c r="FQZ118" s="6"/>
      <c r="FRA118" s="6"/>
      <c r="FRB118" s="6"/>
      <c r="FRC118" s="6"/>
      <c r="FRD118" s="6"/>
      <c r="FRE118" s="6"/>
      <c r="FRF118" s="6"/>
      <c r="FRG118" s="6"/>
      <c r="FRH118" s="6"/>
      <c r="FRI118" s="6"/>
      <c r="FRJ118" s="6"/>
      <c r="FRK118" s="6"/>
      <c r="FRL118" s="6"/>
      <c r="FRM118" s="6"/>
      <c r="FRN118" s="6"/>
      <c r="FRO118" s="6"/>
      <c r="FRP118" s="6"/>
      <c r="FRQ118" s="6"/>
      <c r="FRR118" s="6"/>
      <c r="FRS118" s="6"/>
      <c r="FRT118" s="6"/>
      <c r="FRU118" s="6"/>
      <c r="FRV118" s="6"/>
      <c r="FRW118" s="6"/>
      <c r="FRX118" s="6"/>
      <c r="FRY118" s="6"/>
      <c r="FRZ118" s="6"/>
      <c r="FSA118" s="6"/>
      <c r="FSB118" s="6"/>
      <c r="FSC118" s="6"/>
      <c r="FSD118" s="6"/>
      <c r="FSE118" s="6"/>
      <c r="FSF118" s="6"/>
      <c r="FSG118" s="6"/>
      <c r="FSH118" s="6"/>
      <c r="FSI118" s="6"/>
      <c r="FSJ118" s="6"/>
      <c r="FSK118" s="6"/>
      <c r="FSL118" s="6"/>
      <c r="FSM118" s="6"/>
      <c r="FSN118" s="6"/>
      <c r="FSO118" s="6"/>
      <c r="FSP118" s="6"/>
      <c r="FSQ118" s="6"/>
      <c r="FSR118" s="6"/>
      <c r="FSS118" s="6"/>
      <c r="FST118" s="6"/>
      <c r="FSU118" s="6"/>
      <c r="FSV118" s="6"/>
      <c r="FSW118" s="6"/>
      <c r="FSX118" s="6"/>
      <c r="FSY118" s="6"/>
      <c r="FSZ118" s="6"/>
      <c r="FTA118" s="6"/>
      <c r="FTB118" s="6"/>
      <c r="FTC118" s="6"/>
      <c r="FTD118" s="6"/>
      <c r="FTE118" s="6"/>
      <c r="FTF118" s="6"/>
      <c r="FTG118" s="6"/>
      <c r="FTH118" s="6"/>
      <c r="FTI118" s="6"/>
      <c r="FTJ118" s="6"/>
      <c r="FTK118" s="6"/>
      <c r="FTL118" s="6"/>
      <c r="FTM118" s="6"/>
      <c r="FTN118" s="6"/>
      <c r="FTO118" s="6"/>
      <c r="FTP118" s="6"/>
      <c r="FTQ118" s="6"/>
      <c r="FTR118" s="6"/>
      <c r="FTS118" s="6"/>
      <c r="FTT118" s="6"/>
      <c r="FTU118" s="6"/>
      <c r="FTV118" s="6"/>
      <c r="FTW118" s="6"/>
      <c r="FTX118" s="6"/>
      <c r="FTY118" s="6"/>
      <c r="FTZ118" s="6"/>
      <c r="FUA118" s="6"/>
      <c r="FUB118" s="6"/>
      <c r="FUC118" s="6"/>
      <c r="FUD118" s="6"/>
      <c r="FUE118" s="6"/>
      <c r="FUF118" s="6"/>
      <c r="FUG118" s="6"/>
      <c r="FUH118" s="6"/>
      <c r="FUI118" s="6"/>
      <c r="FUJ118" s="6"/>
      <c r="FUK118" s="6"/>
      <c r="FUL118" s="6"/>
      <c r="FUM118" s="6"/>
      <c r="FUN118" s="6"/>
      <c r="FUO118" s="6"/>
      <c r="FUP118" s="6"/>
      <c r="FUQ118" s="6"/>
      <c r="FUR118" s="6"/>
      <c r="FUS118" s="6"/>
      <c r="FUT118" s="6"/>
      <c r="FUU118" s="6"/>
      <c r="FUV118" s="6"/>
      <c r="FUW118" s="6"/>
      <c r="FUX118" s="6"/>
      <c r="FUY118" s="6"/>
      <c r="FUZ118" s="6"/>
      <c r="FVA118" s="6"/>
      <c r="FVB118" s="6"/>
      <c r="FVC118" s="6"/>
      <c r="FVD118" s="6"/>
      <c r="FVE118" s="6"/>
      <c r="FVF118" s="6"/>
      <c r="FVG118" s="6"/>
      <c r="FVH118" s="6"/>
      <c r="FVI118" s="6"/>
      <c r="FVJ118" s="6"/>
      <c r="FVK118" s="6"/>
      <c r="FVL118" s="6"/>
      <c r="FVM118" s="6"/>
      <c r="FVN118" s="6"/>
      <c r="FVO118" s="6"/>
      <c r="FVP118" s="6"/>
      <c r="FVQ118" s="6"/>
      <c r="FVR118" s="6"/>
      <c r="FVS118" s="6"/>
      <c r="FVT118" s="6"/>
      <c r="FVU118" s="6"/>
      <c r="FVV118" s="6"/>
      <c r="FVW118" s="6"/>
      <c r="FVX118" s="6"/>
      <c r="FVY118" s="6"/>
      <c r="FVZ118" s="6"/>
      <c r="FWA118" s="6"/>
      <c r="FWB118" s="6"/>
      <c r="FWC118" s="6"/>
      <c r="FWD118" s="6"/>
      <c r="FWE118" s="6"/>
      <c r="FWF118" s="6"/>
      <c r="FWG118" s="6"/>
      <c r="FWH118" s="6"/>
      <c r="FWI118" s="6"/>
      <c r="FWJ118" s="6"/>
      <c r="FWK118" s="6"/>
      <c r="FWL118" s="6"/>
      <c r="FWM118" s="6"/>
      <c r="FWN118" s="6"/>
      <c r="FWO118" s="6"/>
      <c r="FWP118" s="6"/>
      <c r="FWQ118" s="6"/>
      <c r="FWR118" s="6"/>
      <c r="FWS118" s="6"/>
      <c r="FWT118" s="6"/>
      <c r="FWU118" s="6"/>
      <c r="FWV118" s="6"/>
      <c r="FWW118" s="6"/>
      <c r="FWX118" s="6"/>
      <c r="FWY118" s="6"/>
      <c r="FWZ118" s="6"/>
      <c r="FXA118" s="6"/>
      <c r="FXB118" s="6"/>
      <c r="FXC118" s="6"/>
      <c r="FXD118" s="6"/>
      <c r="FXE118" s="6"/>
      <c r="FXF118" s="6"/>
      <c r="FXG118" s="6"/>
      <c r="FXH118" s="6"/>
      <c r="FXI118" s="6"/>
      <c r="FXJ118" s="6"/>
      <c r="FXK118" s="6"/>
      <c r="FXL118" s="6"/>
      <c r="FXM118" s="6"/>
      <c r="FXN118" s="6"/>
      <c r="FXO118" s="6"/>
      <c r="FXP118" s="6"/>
      <c r="FXQ118" s="6"/>
      <c r="FXR118" s="6"/>
      <c r="FXS118" s="6"/>
      <c r="FXT118" s="6"/>
      <c r="FXU118" s="6"/>
      <c r="FXV118" s="6"/>
      <c r="FXW118" s="6"/>
      <c r="FXX118" s="6"/>
      <c r="FXY118" s="6"/>
      <c r="FXZ118" s="6"/>
      <c r="FYA118" s="6"/>
      <c r="FYB118" s="6"/>
      <c r="FYC118" s="6"/>
      <c r="FYD118" s="6"/>
      <c r="FYE118" s="6"/>
      <c r="FYF118" s="6"/>
      <c r="FYG118" s="6"/>
      <c r="FYH118" s="6"/>
      <c r="FYI118" s="6"/>
      <c r="FYJ118" s="6"/>
      <c r="FYK118" s="6"/>
      <c r="FYL118" s="6"/>
      <c r="FYM118" s="6"/>
      <c r="FYN118" s="6"/>
      <c r="FYO118" s="6"/>
      <c r="FYP118" s="6"/>
      <c r="FYQ118" s="6"/>
      <c r="FYR118" s="6"/>
      <c r="FYS118" s="6"/>
      <c r="FYT118" s="6"/>
      <c r="FYU118" s="6"/>
      <c r="FYV118" s="6"/>
      <c r="FYW118" s="6"/>
      <c r="FYX118" s="6"/>
      <c r="FYY118" s="6"/>
      <c r="FYZ118" s="6"/>
      <c r="FZA118" s="6"/>
      <c r="FZB118" s="6"/>
      <c r="FZC118" s="6"/>
      <c r="FZD118" s="6"/>
      <c r="FZE118" s="6"/>
      <c r="FZF118" s="6"/>
      <c r="FZG118" s="6"/>
      <c r="FZH118" s="6"/>
      <c r="FZI118" s="6"/>
      <c r="FZJ118" s="6"/>
      <c r="FZK118" s="6"/>
      <c r="FZL118" s="6"/>
      <c r="FZM118" s="6"/>
      <c r="FZN118" s="6"/>
      <c r="FZO118" s="6"/>
      <c r="FZP118" s="6"/>
      <c r="FZQ118" s="6"/>
      <c r="FZR118" s="6"/>
      <c r="FZS118" s="6"/>
      <c r="FZT118" s="6"/>
      <c r="FZU118" s="6"/>
      <c r="FZV118" s="6"/>
      <c r="FZW118" s="6"/>
      <c r="FZX118" s="6"/>
      <c r="FZY118" s="6"/>
      <c r="FZZ118" s="6"/>
      <c r="GAA118" s="6"/>
      <c r="GAB118" s="6"/>
      <c r="GAC118" s="6"/>
      <c r="GAD118" s="6"/>
      <c r="GAE118" s="6"/>
      <c r="GAF118" s="6"/>
      <c r="GAG118" s="6"/>
      <c r="GAH118" s="6"/>
      <c r="GAI118" s="6"/>
      <c r="GAJ118" s="6"/>
      <c r="GAK118" s="6"/>
      <c r="GAL118" s="6"/>
      <c r="GAM118" s="6"/>
      <c r="GAN118" s="6"/>
      <c r="GAO118" s="6"/>
      <c r="GAP118" s="6"/>
      <c r="GAQ118" s="6"/>
      <c r="GAR118" s="6"/>
      <c r="GAS118" s="6"/>
      <c r="GAT118" s="6"/>
      <c r="GAU118" s="6"/>
      <c r="GAV118" s="6"/>
      <c r="GAW118" s="6"/>
      <c r="GAX118" s="6"/>
      <c r="GAY118" s="6"/>
      <c r="GAZ118" s="6"/>
      <c r="GBA118" s="6"/>
      <c r="GBB118" s="6"/>
      <c r="GBC118" s="6"/>
      <c r="GBD118" s="6"/>
      <c r="GBE118" s="6"/>
      <c r="GBF118" s="6"/>
      <c r="GBG118" s="6"/>
      <c r="GBH118" s="6"/>
      <c r="GBI118" s="6"/>
      <c r="GBJ118" s="6"/>
      <c r="GBK118" s="6"/>
      <c r="GBL118" s="6"/>
      <c r="GBM118" s="6"/>
      <c r="GBN118" s="6"/>
      <c r="GBO118" s="6"/>
      <c r="GBP118" s="6"/>
      <c r="GBQ118" s="6"/>
      <c r="GBR118" s="6"/>
      <c r="GBS118" s="6"/>
      <c r="GBT118" s="6"/>
      <c r="GBU118" s="6"/>
      <c r="GBV118" s="6"/>
      <c r="GBW118" s="6"/>
      <c r="GBX118" s="6"/>
      <c r="GBY118" s="6"/>
      <c r="GBZ118" s="6"/>
      <c r="GCA118" s="6"/>
      <c r="GCB118" s="6"/>
      <c r="GCC118" s="6"/>
      <c r="GCD118" s="6"/>
      <c r="GCE118" s="6"/>
      <c r="GCF118" s="6"/>
      <c r="GCG118" s="6"/>
      <c r="GCH118" s="6"/>
      <c r="GCI118" s="6"/>
      <c r="GCJ118" s="6"/>
      <c r="GCK118" s="6"/>
      <c r="GCL118" s="6"/>
      <c r="GCM118" s="6"/>
      <c r="GCN118" s="6"/>
      <c r="GCO118" s="6"/>
      <c r="GCP118" s="6"/>
      <c r="GCQ118" s="6"/>
      <c r="GCR118" s="6"/>
      <c r="GCS118" s="6"/>
      <c r="GCT118" s="6"/>
      <c r="GCU118" s="6"/>
      <c r="GCV118" s="6"/>
      <c r="GCW118" s="6"/>
      <c r="GCX118" s="6"/>
      <c r="GCY118" s="6"/>
      <c r="GCZ118" s="6"/>
      <c r="GDA118" s="6"/>
      <c r="GDB118" s="6"/>
      <c r="GDC118" s="6"/>
      <c r="GDD118" s="6"/>
      <c r="GDE118" s="6"/>
      <c r="GDF118" s="6"/>
      <c r="GDG118" s="6"/>
      <c r="GDH118" s="6"/>
      <c r="GDI118" s="6"/>
      <c r="GDJ118" s="6"/>
      <c r="GDK118" s="6"/>
      <c r="GDL118" s="6"/>
      <c r="GDM118" s="6"/>
      <c r="GDN118" s="6"/>
      <c r="GDO118" s="6"/>
      <c r="GDP118" s="6"/>
      <c r="GDQ118" s="6"/>
      <c r="GDR118" s="6"/>
      <c r="GDS118" s="6"/>
      <c r="GDT118" s="6"/>
      <c r="GDU118" s="6"/>
      <c r="GDV118" s="6"/>
      <c r="GDW118" s="6"/>
      <c r="GDX118" s="6"/>
      <c r="GDY118" s="6"/>
      <c r="GDZ118" s="6"/>
      <c r="GEA118" s="6"/>
      <c r="GEB118" s="6"/>
      <c r="GEC118" s="6"/>
      <c r="GED118" s="6"/>
      <c r="GEE118" s="6"/>
      <c r="GEF118" s="6"/>
      <c r="GEG118" s="6"/>
      <c r="GEH118" s="6"/>
      <c r="GEI118" s="6"/>
      <c r="GEJ118" s="6"/>
      <c r="GEK118" s="6"/>
      <c r="GEL118" s="6"/>
      <c r="GEM118" s="6"/>
      <c r="GEN118" s="6"/>
      <c r="GEO118" s="6"/>
      <c r="GEP118" s="6"/>
      <c r="GEQ118" s="6"/>
      <c r="GER118" s="6"/>
      <c r="GES118" s="6"/>
      <c r="GET118" s="6"/>
      <c r="GEU118" s="6"/>
      <c r="GEV118" s="6"/>
      <c r="GEW118" s="6"/>
      <c r="GEX118" s="6"/>
      <c r="GEY118" s="6"/>
      <c r="GEZ118" s="6"/>
      <c r="GFA118" s="6"/>
      <c r="GFB118" s="6"/>
      <c r="GFC118" s="6"/>
      <c r="GFD118" s="6"/>
      <c r="GFE118" s="6"/>
      <c r="GFF118" s="6"/>
      <c r="GFG118" s="6"/>
      <c r="GFH118" s="6"/>
      <c r="GFI118" s="6"/>
      <c r="GFJ118" s="6"/>
      <c r="GFK118" s="6"/>
      <c r="GFL118" s="6"/>
      <c r="GFM118" s="6"/>
      <c r="GFN118" s="6"/>
      <c r="GFO118" s="6"/>
      <c r="GFP118" s="6"/>
      <c r="GFQ118" s="6"/>
      <c r="GFR118" s="6"/>
      <c r="GFS118" s="6"/>
      <c r="GFT118" s="6"/>
      <c r="GFU118" s="6"/>
      <c r="GFV118" s="6"/>
      <c r="GFW118" s="6"/>
      <c r="GFX118" s="6"/>
      <c r="GFY118" s="6"/>
      <c r="GFZ118" s="6"/>
      <c r="GGA118" s="6"/>
      <c r="GGB118" s="6"/>
      <c r="GGC118" s="6"/>
      <c r="GGD118" s="6"/>
      <c r="GGE118" s="6"/>
      <c r="GGF118" s="6"/>
      <c r="GGG118" s="6"/>
      <c r="GGH118" s="6"/>
      <c r="GGI118" s="6"/>
      <c r="GGJ118" s="6"/>
      <c r="GGK118" s="6"/>
      <c r="GGL118" s="6"/>
      <c r="GGM118" s="6"/>
      <c r="GGN118" s="6"/>
      <c r="GGO118" s="6"/>
      <c r="GGP118" s="6"/>
      <c r="GGQ118" s="6"/>
      <c r="GGR118" s="6"/>
      <c r="GGS118" s="6"/>
      <c r="GGT118" s="6"/>
      <c r="GGU118" s="6"/>
      <c r="GGV118" s="6"/>
      <c r="GGW118" s="6"/>
      <c r="GGX118" s="6"/>
      <c r="GGY118" s="6"/>
      <c r="GGZ118" s="6"/>
      <c r="GHA118" s="6"/>
      <c r="GHB118" s="6"/>
      <c r="GHC118" s="6"/>
      <c r="GHD118" s="6"/>
      <c r="GHE118" s="6"/>
      <c r="GHF118" s="6"/>
      <c r="GHG118" s="6"/>
      <c r="GHH118" s="6"/>
      <c r="GHI118" s="6"/>
      <c r="GHJ118" s="6"/>
      <c r="GHK118" s="6"/>
      <c r="GHL118" s="6"/>
      <c r="GHM118" s="6"/>
      <c r="GHN118" s="6"/>
      <c r="GHO118" s="6"/>
      <c r="GHP118" s="6"/>
      <c r="GHQ118" s="6"/>
      <c r="GHR118" s="6"/>
      <c r="GHS118" s="6"/>
      <c r="GHT118" s="6"/>
      <c r="GHU118" s="6"/>
      <c r="GHV118" s="6"/>
      <c r="GHW118" s="6"/>
      <c r="GHX118" s="6"/>
      <c r="GHY118" s="6"/>
      <c r="GHZ118" s="6"/>
      <c r="GIA118" s="6"/>
      <c r="GIB118" s="6"/>
      <c r="GIC118" s="6"/>
      <c r="GID118" s="6"/>
      <c r="GIE118" s="6"/>
      <c r="GIF118" s="6"/>
      <c r="GIG118" s="6"/>
      <c r="GIH118" s="6"/>
      <c r="GII118" s="6"/>
      <c r="GIJ118" s="6"/>
      <c r="GIK118" s="6"/>
      <c r="GIL118" s="6"/>
      <c r="GIM118" s="6"/>
      <c r="GIN118" s="6"/>
      <c r="GIO118" s="6"/>
      <c r="GIP118" s="6"/>
      <c r="GIQ118" s="6"/>
      <c r="GIR118" s="6"/>
      <c r="GIS118" s="6"/>
      <c r="GIT118" s="6"/>
      <c r="GIU118" s="6"/>
      <c r="GIV118" s="6"/>
      <c r="GIW118" s="6"/>
      <c r="GIX118" s="6"/>
      <c r="GIY118" s="6"/>
      <c r="GIZ118" s="6"/>
      <c r="GJA118" s="6"/>
      <c r="GJB118" s="6"/>
      <c r="GJC118" s="6"/>
      <c r="GJD118" s="6"/>
      <c r="GJE118" s="6"/>
      <c r="GJF118" s="6"/>
      <c r="GJG118" s="6"/>
      <c r="GJH118" s="6"/>
      <c r="GJI118" s="6"/>
      <c r="GJJ118" s="6"/>
      <c r="GJK118" s="6"/>
      <c r="GJL118" s="6"/>
      <c r="GJM118" s="6"/>
      <c r="GJN118" s="6"/>
      <c r="GJO118" s="6"/>
      <c r="GJP118" s="6"/>
      <c r="GJQ118" s="6"/>
      <c r="GJR118" s="6"/>
      <c r="GJS118" s="6"/>
      <c r="GJT118" s="6"/>
      <c r="GJU118" s="6"/>
      <c r="GJV118" s="6"/>
      <c r="GJW118" s="6"/>
      <c r="GJX118" s="6"/>
      <c r="GJY118" s="6"/>
      <c r="GJZ118" s="6"/>
      <c r="GKA118" s="6"/>
      <c r="GKB118" s="6"/>
      <c r="GKC118" s="6"/>
      <c r="GKD118" s="6"/>
      <c r="GKE118" s="6"/>
      <c r="GKF118" s="6"/>
      <c r="GKG118" s="6"/>
      <c r="GKH118" s="6"/>
      <c r="GKI118" s="6"/>
      <c r="GKJ118" s="6"/>
      <c r="GKK118" s="6"/>
      <c r="GKL118" s="6"/>
      <c r="GKM118" s="6"/>
      <c r="GKN118" s="6"/>
      <c r="GKO118" s="6"/>
      <c r="GKP118" s="6"/>
      <c r="GKQ118" s="6"/>
      <c r="GKR118" s="6"/>
      <c r="GKS118" s="6"/>
      <c r="GKT118" s="6"/>
      <c r="GKU118" s="6"/>
      <c r="GKV118" s="6"/>
      <c r="GKW118" s="6"/>
      <c r="GKX118" s="6"/>
      <c r="GKY118" s="6"/>
      <c r="GKZ118" s="6"/>
      <c r="GLA118" s="6"/>
      <c r="GLB118" s="6"/>
      <c r="GLC118" s="6"/>
      <c r="GLD118" s="6"/>
      <c r="GLE118" s="6"/>
      <c r="GLF118" s="6"/>
      <c r="GLG118" s="6"/>
      <c r="GLH118" s="6"/>
      <c r="GLI118" s="6"/>
      <c r="GLJ118" s="6"/>
      <c r="GLK118" s="6"/>
      <c r="GLL118" s="6"/>
      <c r="GLM118" s="6"/>
      <c r="GLN118" s="6"/>
      <c r="GLO118" s="6"/>
      <c r="GLP118" s="6"/>
      <c r="GLQ118" s="6"/>
      <c r="GLR118" s="6"/>
      <c r="GLS118" s="6"/>
      <c r="GLT118" s="6"/>
      <c r="GLU118" s="6"/>
      <c r="GLV118" s="6"/>
      <c r="GLW118" s="6"/>
      <c r="GLX118" s="6"/>
      <c r="GLY118" s="6"/>
      <c r="GLZ118" s="6"/>
      <c r="GMA118" s="6"/>
      <c r="GMB118" s="6"/>
      <c r="GMC118" s="6"/>
      <c r="GMD118" s="6"/>
      <c r="GME118" s="6"/>
      <c r="GMF118" s="6"/>
      <c r="GMG118" s="6"/>
      <c r="GMH118" s="6"/>
      <c r="GMI118" s="6"/>
      <c r="GMJ118" s="6"/>
      <c r="GMK118" s="6"/>
      <c r="GML118" s="6"/>
      <c r="GMM118" s="6"/>
      <c r="GMN118" s="6"/>
      <c r="GMO118" s="6"/>
      <c r="GMP118" s="6"/>
      <c r="GMQ118" s="6"/>
      <c r="GMR118" s="6"/>
      <c r="GMS118" s="6"/>
      <c r="GMT118" s="6"/>
      <c r="GMU118" s="6"/>
      <c r="GMV118" s="6"/>
      <c r="GMW118" s="6"/>
      <c r="GMX118" s="6"/>
      <c r="GMY118" s="6"/>
      <c r="GMZ118" s="6"/>
      <c r="GNA118" s="6"/>
      <c r="GNB118" s="6"/>
      <c r="GNC118" s="6"/>
      <c r="GND118" s="6"/>
      <c r="GNE118" s="6"/>
      <c r="GNF118" s="6"/>
      <c r="GNG118" s="6"/>
      <c r="GNH118" s="6"/>
      <c r="GNI118" s="6"/>
      <c r="GNJ118" s="6"/>
      <c r="GNK118" s="6"/>
      <c r="GNL118" s="6"/>
      <c r="GNM118" s="6"/>
      <c r="GNN118" s="6"/>
      <c r="GNO118" s="6"/>
      <c r="GNP118" s="6"/>
      <c r="GNQ118" s="6"/>
      <c r="GNR118" s="6"/>
      <c r="GNS118" s="6"/>
      <c r="GNT118" s="6"/>
      <c r="GNU118" s="6"/>
      <c r="GNV118" s="6"/>
      <c r="GNW118" s="6"/>
      <c r="GNX118" s="6"/>
      <c r="GNY118" s="6"/>
      <c r="GNZ118" s="6"/>
      <c r="GOA118" s="6"/>
      <c r="GOB118" s="6"/>
      <c r="GOC118" s="6"/>
      <c r="GOD118" s="6"/>
      <c r="GOE118" s="6"/>
      <c r="GOF118" s="6"/>
      <c r="GOG118" s="6"/>
      <c r="GOH118" s="6"/>
      <c r="GOI118" s="6"/>
      <c r="GOJ118" s="6"/>
      <c r="GOK118" s="6"/>
      <c r="GOL118" s="6"/>
      <c r="GOM118" s="6"/>
      <c r="GON118" s="6"/>
      <c r="GOO118" s="6"/>
      <c r="GOP118" s="6"/>
      <c r="GOQ118" s="6"/>
      <c r="GOR118" s="6"/>
      <c r="GOS118" s="6"/>
      <c r="GOT118" s="6"/>
      <c r="GOU118" s="6"/>
      <c r="GOV118" s="6"/>
      <c r="GOW118" s="6"/>
      <c r="GOX118" s="6"/>
      <c r="GOY118" s="6"/>
      <c r="GOZ118" s="6"/>
      <c r="GPA118" s="6"/>
      <c r="GPB118" s="6"/>
      <c r="GPC118" s="6"/>
      <c r="GPD118" s="6"/>
      <c r="GPE118" s="6"/>
      <c r="GPF118" s="6"/>
      <c r="GPG118" s="6"/>
      <c r="GPH118" s="6"/>
      <c r="GPI118" s="6"/>
      <c r="GPJ118" s="6"/>
      <c r="GPK118" s="6"/>
      <c r="GPL118" s="6"/>
      <c r="GPM118" s="6"/>
      <c r="GPN118" s="6"/>
      <c r="GPO118" s="6"/>
      <c r="GPP118" s="6"/>
      <c r="GPQ118" s="6"/>
      <c r="GPR118" s="6"/>
      <c r="GPS118" s="6"/>
      <c r="GPT118" s="6"/>
      <c r="GPU118" s="6"/>
      <c r="GPV118" s="6"/>
      <c r="GPW118" s="6"/>
      <c r="GPX118" s="6"/>
      <c r="GPY118" s="6"/>
      <c r="GPZ118" s="6"/>
      <c r="GQA118" s="6"/>
      <c r="GQB118" s="6"/>
      <c r="GQC118" s="6"/>
      <c r="GQD118" s="6"/>
      <c r="GQE118" s="6"/>
      <c r="GQF118" s="6"/>
      <c r="GQG118" s="6"/>
      <c r="GQH118" s="6"/>
      <c r="GQI118" s="6"/>
      <c r="GQJ118" s="6"/>
      <c r="GQK118" s="6"/>
      <c r="GQL118" s="6"/>
      <c r="GQM118" s="6"/>
      <c r="GQN118" s="6"/>
      <c r="GQO118" s="6"/>
      <c r="GQP118" s="6"/>
      <c r="GQQ118" s="6"/>
      <c r="GQR118" s="6"/>
      <c r="GQS118" s="6"/>
      <c r="GQT118" s="6"/>
      <c r="GQU118" s="6"/>
      <c r="GQV118" s="6"/>
      <c r="GQW118" s="6"/>
      <c r="GQX118" s="6"/>
      <c r="GQY118" s="6"/>
      <c r="GQZ118" s="6"/>
      <c r="GRA118" s="6"/>
      <c r="GRB118" s="6"/>
      <c r="GRC118" s="6"/>
      <c r="GRD118" s="6"/>
      <c r="GRE118" s="6"/>
      <c r="GRF118" s="6"/>
      <c r="GRG118" s="6"/>
      <c r="GRH118" s="6"/>
      <c r="GRI118" s="6"/>
      <c r="GRJ118" s="6"/>
      <c r="GRK118" s="6"/>
      <c r="GRL118" s="6"/>
      <c r="GRM118" s="6"/>
      <c r="GRN118" s="6"/>
      <c r="GRO118" s="6"/>
      <c r="GRP118" s="6"/>
      <c r="GRQ118" s="6"/>
      <c r="GRR118" s="6"/>
      <c r="GRS118" s="6"/>
      <c r="GRT118" s="6"/>
      <c r="GRU118" s="6"/>
      <c r="GRV118" s="6"/>
      <c r="GRW118" s="6"/>
      <c r="GRX118" s="6"/>
      <c r="GRY118" s="6"/>
      <c r="GRZ118" s="6"/>
      <c r="GSA118" s="6"/>
      <c r="GSB118" s="6"/>
      <c r="GSC118" s="6"/>
      <c r="GSD118" s="6"/>
      <c r="GSE118" s="6"/>
      <c r="GSF118" s="6"/>
      <c r="GSG118" s="6"/>
      <c r="GSH118" s="6"/>
      <c r="GSI118" s="6"/>
      <c r="GSJ118" s="6"/>
      <c r="GSK118" s="6"/>
      <c r="GSL118" s="6"/>
      <c r="GSM118" s="6"/>
      <c r="GSN118" s="6"/>
      <c r="GSO118" s="6"/>
      <c r="GSP118" s="6"/>
      <c r="GSQ118" s="6"/>
      <c r="GSR118" s="6"/>
      <c r="GSS118" s="6"/>
      <c r="GST118" s="6"/>
      <c r="GSU118" s="6"/>
      <c r="GSV118" s="6"/>
      <c r="GSW118" s="6"/>
      <c r="GSX118" s="6"/>
      <c r="GSY118" s="6"/>
      <c r="GSZ118" s="6"/>
      <c r="GTA118" s="6"/>
      <c r="GTB118" s="6"/>
      <c r="GTC118" s="6"/>
      <c r="GTD118" s="6"/>
      <c r="GTE118" s="6"/>
      <c r="GTF118" s="6"/>
      <c r="GTG118" s="6"/>
      <c r="GTH118" s="6"/>
      <c r="GTI118" s="6"/>
      <c r="GTJ118" s="6"/>
      <c r="GTK118" s="6"/>
      <c r="GTL118" s="6"/>
      <c r="GTM118" s="6"/>
      <c r="GTN118" s="6"/>
      <c r="GTO118" s="6"/>
      <c r="GTP118" s="6"/>
      <c r="GTQ118" s="6"/>
      <c r="GTR118" s="6"/>
      <c r="GTS118" s="6"/>
      <c r="GTT118" s="6"/>
      <c r="GTU118" s="6"/>
      <c r="GTV118" s="6"/>
      <c r="GTW118" s="6"/>
      <c r="GTX118" s="6"/>
      <c r="GTY118" s="6"/>
      <c r="GTZ118" s="6"/>
      <c r="GUA118" s="6"/>
      <c r="GUB118" s="6"/>
      <c r="GUC118" s="6"/>
      <c r="GUD118" s="6"/>
      <c r="GUE118" s="6"/>
      <c r="GUF118" s="6"/>
      <c r="GUG118" s="6"/>
      <c r="GUH118" s="6"/>
      <c r="GUI118" s="6"/>
      <c r="GUJ118" s="6"/>
      <c r="GUK118" s="6"/>
      <c r="GUL118" s="6"/>
      <c r="GUM118" s="6"/>
      <c r="GUN118" s="6"/>
      <c r="GUO118" s="6"/>
      <c r="GUP118" s="6"/>
      <c r="GUQ118" s="6"/>
      <c r="GUR118" s="6"/>
      <c r="GUS118" s="6"/>
      <c r="GUT118" s="6"/>
      <c r="GUU118" s="6"/>
      <c r="GUV118" s="6"/>
      <c r="GUW118" s="6"/>
      <c r="GUX118" s="6"/>
      <c r="GUY118" s="6"/>
      <c r="GUZ118" s="6"/>
      <c r="GVA118" s="6"/>
      <c r="GVB118" s="6"/>
      <c r="GVC118" s="6"/>
      <c r="GVD118" s="6"/>
      <c r="GVE118" s="6"/>
      <c r="GVF118" s="6"/>
      <c r="GVG118" s="6"/>
      <c r="GVH118" s="6"/>
      <c r="GVI118" s="6"/>
      <c r="GVJ118" s="6"/>
      <c r="GVK118" s="6"/>
      <c r="GVL118" s="6"/>
      <c r="GVM118" s="6"/>
      <c r="GVN118" s="6"/>
      <c r="GVO118" s="6"/>
      <c r="GVP118" s="6"/>
      <c r="GVQ118" s="6"/>
      <c r="GVR118" s="6"/>
      <c r="GVS118" s="6"/>
      <c r="GVT118" s="6"/>
      <c r="GVU118" s="6"/>
      <c r="GVV118" s="6"/>
      <c r="GVW118" s="6"/>
      <c r="GVX118" s="6"/>
      <c r="GVY118" s="6"/>
      <c r="GVZ118" s="6"/>
      <c r="GWA118" s="6"/>
      <c r="GWB118" s="6"/>
      <c r="GWC118" s="6"/>
      <c r="GWD118" s="6"/>
      <c r="GWE118" s="6"/>
      <c r="GWF118" s="6"/>
      <c r="GWG118" s="6"/>
      <c r="GWH118" s="6"/>
      <c r="GWI118" s="6"/>
      <c r="GWJ118" s="6"/>
      <c r="GWK118" s="6"/>
      <c r="GWL118" s="6"/>
      <c r="GWM118" s="6"/>
      <c r="GWN118" s="6"/>
      <c r="GWO118" s="6"/>
      <c r="GWP118" s="6"/>
      <c r="GWQ118" s="6"/>
      <c r="GWR118" s="6"/>
      <c r="GWS118" s="6"/>
      <c r="GWT118" s="6"/>
      <c r="GWU118" s="6"/>
      <c r="GWV118" s="6"/>
      <c r="GWW118" s="6"/>
      <c r="GWX118" s="6"/>
      <c r="GWY118" s="6"/>
      <c r="GWZ118" s="6"/>
      <c r="GXA118" s="6"/>
      <c r="GXB118" s="6"/>
      <c r="GXC118" s="6"/>
      <c r="GXD118" s="6"/>
      <c r="GXE118" s="6"/>
      <c r="GXF118" s="6"/>
      <c r="GXG118" s="6"/>
      <c r="GXH118" s="6"/>
      <c r="GXI118" s="6"/>
      <c r="GXJ118" s="6"/>
      <c r="GXK118" s="6"/>
      <c r="GXL118" s="6"/>
      <c r="GXM118" s="6"/>
      <c r="GXN118" s="6"/>
      <c r="GXO118" s="6"/>
      <c r="GXP118" s="6"/>
      <c r="GXQ118" s="6"/>
      <c r="GXR118" s="6"/>
      <c r="GXS118" s="6"/>
      <c r="GXT118" s="6"/>
      <c r="GXU118" s="6"/>
      <c r="GXV118" s="6"/>
      <c r="GXW118" s="6"/>
      <c r="GXX118" s="6"/>
      <c r="GXY118" s="6"/>
      <c r="GXZ118" s="6"/>
      <c r="GYA118" s="6"/>
      <c r="GYB118" s="6"/>
      <c r="GYC118" s="6"/>
      <c r="GYD118" s="6"/>
      <c r="GYE118" s="6"/>
      <c r="GYF118" s="6"/>
      <c r="GYG118" s="6"/>
      <c r="GYH118" s="6"/>
      <c r="GYI118" s="6"/>
      <c r="GYJ118" s="6"/>
      <c r="GYK118" s="6"/>
      <c r="GYL118" s="6"/>
      <c r="GYM118" s="6"/>
      <c r="GYN118" s="6"/>
      <c r="GYO118" s="6"/>
      <c r="GYP118" s="6"/>
      <c r="GYQ118" s="6"/>
      <c r="GYR118" s="6"/>
      <c r="GYS118" s="6"/>
      <c r="GYT118" s="6"/>
      <c r="GYU118" s="6"/>
      <c r="GYV118" s="6"/>
      <c r="GYW118" s="6"/>
      <c r="GYX118" s="6"/>
      <c r="GYY118" s="6"/>
      <c r="GYZ118" s="6"/>
      <c r="GZA118" s="6"/>
      <c r="GZB118" s="6"/>
      <c r="GZC118" s="6"/>
      <c r="GZD118" s="6"/>
      <c r="GZE118" s="6"/>
      <c r="GZF118" s="6"/>
      <c r="GZG118" s="6"/>
      <c r="GZH118" s="6"/>
      <c r="GZI118" s="6"/>
      <c r="GZJ118" s="6"/>
      <c r="GZK118" s="6"/>
      <c r="GZL118" s="6"/>
      <c r="GZM118" s="6"/>
      <c r="GZN118" s="6"/>
      <c r="GZO118" s="6"/>
      <c r="GZP118" s="6"/>
      <c r="GZQ118" s="6"/>
      <c r="GZR118" s="6"/>
      <c r="GZS118" s="6"/>
      <c r="GZT118" s="6"/>
      <c r="GZU118" s="6"/>
      <c r="GZV118" s="6"/>
      <c r="GZW118" s="6"/>
      <c r="GZX118" s="6"/>
      <c r="GZY118" s="6"/>
      <c r="GZZ118" s="6"/>
      <c r="HAA118" s="6"/>
      <c r="HAB118" s="6"/>
      <c r="HAC118" s="6"/>
      <c r="HAD118" s="6"/>
      <c r="HAE118" s="6"/>
      <c r="HAF118" s="6"/>
      <c r="HAG118" s="6"/>
      <c r="HAH118" s="6"/>
      <c r="HAI118" s="6"/>
      <c r="HAJ118" s="6"/>
      <c r="HAK118" s="6"/>
      <c r="HAL118" s="6"/>
      <c r="HAM118" s="6"/>
      <c r="HAN118" s="6"/>
      <c r="HAO118" s="6"/>
      <c r="HAP118" s="6"/>
      <c r="HAQ118" s="6"/>
      <c r="HAR118" s="6"/>
      <c r="HAS118" s="6"/>
      <c r="HAT118" s="6"/>
      <c r="HAU118" s="6"/>
      <c r="HAV118" s="6"/>
      <c r="HAW118" s="6"/>
      <c r="HAX118" s="6"/>
      <c r="HAY118" s="6"/>
      <c r="HAZ118" s="6"/>
      <c r="HBA118" s="6"/>
      <c r="HBB118" s="6"/>
      <c r="HBC118" s="6"/>
      <c r="HBD118" s="6"/>
      <c r="HBE118" s="6"/>
      <c r="HBF118" s="6"/>
      <c r="HBG118" s="6"/>
      <c r="HBH118" s="6"/>
      <c r="HBI118" s="6"/>
      <c r="HBJ118" s="6"/>
      <c r="HBK118" s="6"/>
      <c r="HBL118" s="6"/>
      <c r="HBM118" s="6"/>
      <c r="HBN118" s="6"/>
      <c r="HBO118" s="6"/>
      <c r="HBP118" s="6"/>
      <c r="HBQ118" s="6"/>
      <c r="HBR118" s="6"/>
      <c r="HBS118" s="6"/>
      <c r="HBT118" s="6"/>
      <c r="HBU118" s="6"/>
      <c r="HBV118" s="6"/>
      <c r="HBW118" s="6"/>
      <c r="HBX118" s="6"/>
      <c r="HBY118" s="6"/>
      <c r="HBZ118" s="6"/>
      <c r="HCA118" s="6"/>
      <c r="HCB118" s="6"/>
      <c r="HCC118" s="6"/>
      <c r="HCD118" s="6"/>
      <c r="HCE118" s="6"/>
      <c r="HCF118" s="6"/>
      <c r="HCG118" s="6"/>
      <c r="HCH118" s="6"/>
      <c r="HCI118" s="6"/>
      <c r="HCJ118" s="6"/>
      <c r="HCK118" s="6"/>
      <c r="HCL118" s="6"/>
      <c r="HCM118" s="6"/>
      <c r="HCN118" s="6"/>
      <c r="HCO118" s="6"/>
      <c r="HCP118" s="6"/>
      <c r="HCQ118" s="6"/>
      <c r="HCR118" s="6"/>
      <c r="HCS118" s="6"/>
      <c r="HCT118" s="6"/>
      <c r="HCU118" s="6"/>
      <c r="HCV118" s="6"/>
      <c r="HCW118" s="6"/>
      <c r="HCX118" s="6"/>
      <c r="HCY118" s="6"/>
      <c r="HCZ118" s="6"/>
      <c r="HDA118" s="6"/>
      <c r="HDB118" s="6"/>
      <c r="HDC118" s="6"/>
      <c r="HDD118" s="6"/>
      <c r="HDE118" s="6"/>
      <c r="HDF118" s="6"/>
      <c r="HDG118" s="6"/>
      <c r="HDH118" s="6"/>
      <c r="HDI118" s="6"/>
      <c r="HDJ118" s="6"/>
      <c r="HDK118" s="6"/>
      <c r="HDL118" s="6"/>
      <c r="HDM118" s="6"/>
      <c r="HDN118" s="6"/>
      <c r="HDO118" s="6"/>
      <c r="HDP118" s="6"/>
      <c r="HDQ118" s="6"/>
      <c r="HDR118" s="6"/>
      <c r="HDS118" s="6"/>
      <c r="HDT118" s="6"/>
      <c r="HDU118" s="6"/>
      <c r="HDV118" s="6"/>
      <c r="HDW118" s="6"/>
      <c r="HDX118" s="6"/>
      <c r="HDY118" s="6"/>
      <c r="HDZ118" s="6"/>
      <c r="HEA118" s="6"/>
      <c r="HEB118" s="6"/>
      <c r="HEC118" s="6"/>
      <c r="HED118" s="6"/>
      <c r="HEE118" s="6"/>
      <c r="HEF118" s="6"/>
      <c r="HEG118" s="6"/>
      <c r="HEH118" s="6"/>
      <c r="HEI118" s="6"/>
      <c r="HEJ118" s="6"/>
      <c r="HEK118" s="6"/>
      <c r="HEL118" s="6"/>
      <c r="HEM118" s="6"/>
      <c r="HEN118" s="6"/>
      <c r="HEO118" s="6"/>
      <c r="HEP118" s="6"/>
      <c r="HEQ118" s="6"/>
      <c r="HER118" s="6"/>
      <c r="HES118" s="6"/>
      <c r="HET118" s="6"/>
      <c r="HEU118" s="6"/>
      <c r="HEV118" s="6"/>
      <c r="HEW118" s="6"/>
      <c r="HEX118" s="6"/>
      <c r="HEY118" s="6"/>
      <c r="HEZ118" s="6"/>
      <c r="HFA118" s="6"/>
      <c r="HFB118" s="6"/>
      <c r="HFC118" s="6"/>
      <c r="HFD118" s="6"/>
      <c r="HFE118" s="6"/>
      <c r="HFF118" s="6"/>
      <c r="HFG118" s="6"/>
      <c r="HFH118" s="6"/>
      <c r="HFI118" s="6"/>
      <c r="HFJ118" s="6"/>
      <c r="HFK118" s="6"/>
      <c r="HFL118" s="6"/>
      <c r="HFM118" s="6"/>
      <c r="HFN118" s="6"/>
      <c r="HFO118" s="6"/>
      <c r="HFP118" s="6"/>
      <c r="HFQ118" s="6"/>
      <c r="HFR118" s="6"/>
      <c r="HFS118" s="6"/>
      <c r="HFT118" s="6"/>
      <c r="HFU118" s="6"/>
      <c r="HFV118" s="6"/>
      <c r="HFW118" s="6"/>
      <c r="HFX118" s="6"/>
      <c r="HFY118" s="6"/>
      <c r="HFZ118" s="6"/>
      <c r="HGA118" s="6"/>
      <c r="HGB118" s="6"/>
      <c r="HGC118" s="6"/>
      <c r="HGD118" s="6"/>
      <c r="HGE118" s="6"/>
      <c r="HGF118" s="6"/>
      <c r="HGG118" s="6"/>
      <c r="HGH118" s="6"/>
      <c r="HGI118" s="6"/>
      <c r="HGJ118" s="6"/>
      <c r="HGK118" s="6"/>
      <c r="HGL118" s="6"/>
      <c r="HGM118" s="6"/>
      <c r="HGN118" s="6"/>
      <c r="HGO118" s="6"/>
      <c r="HGP118" s="6"/>
      <c r="HGQ118" s="6"/>
      <c r="HGR118" s="6"/>
      <c r="HGS118" s="6"/>
      <c r="HGT118" s="6"/>
      <c r="HGU118" s="6"/>
      <c r="HGV118" s="6"/>
      <c r="HGW118" s="6"/>
      <c r="HGX118" s="6"/>
      <c r="HGY118" s="6"/>
      <c r="HGZ118" s="6"/>
      <c r="HHA118" s="6"/>
      <c r="HHB118" s="6"/>
      <c r="HHC118" s="6"/>
      <c r="HHD118" s="6"/>
      <c r="HHE118" s="6"/>
      <c r="HHF118" s="6"/>
      <c r="HHG118" s="6"/>
      <c r="HHH118" s="6"/>
      <c r="HHI118" s="6"/>
      <c r="HHJ118" s="6"/>
      <c r="HHK118" s="6"/>
      <c r="HHL118" s="6"/>
      <c r="HHM118" s="6"/>
      <c r="HHN118" s="6"/>
      <c r="HHO118" s="6"/>
      <c r="HHP118" s="6"/>
      <c r="HHQ118" s="6"/>
      <c r="HHR118" s="6"/>
      <c r="HHS118" s="6"/>
      <c r="HHT118" s="6"/>
      <c r="HHU118" s="6"/>
      <c r="HHV118" s="6"/>
      <c r="HHW118" s="6"/>
      <c r="HHX118" s="6"/>
      <c r="HHY118" s="6"/>
      <c r="HHZ118" s="6"/>
      <c r="HIA118" s="6"/>
      <c r="HIB118" s="6"/>
      <c r="HIC118" s="6"/>
      <c r="HID118" s="6"/>
      <c r="HIE118" s="6"/>
      <c r="HIF118" s="6"/>
      <c r="HIG118" s="6"/>
      <c r="HIH118" s="6"/>
      <c r="HII118" s="6"/>
      <c r="HIJ118" s="6"/>
      <c r="HIK118" s="6"/>
      <c r="HIL118" s="6"/>
      <c r="HIM118" s="6"/>
      <c r="HIN118" s="6"/>
      <c r="HIO118" s="6"/>
      <c r="HIP118" s="6"/>
      <c r="HIQ118" s="6"/>
      <c r="HIR118" s="6"/>
      <c r="HIS118" s="6"/>
      <c r="HIT118" s="6"/>
      <c r="HIU118" s="6"/>
      <c r="HIV118" s="6"/>
      <c r="HIW118" s="6"/>
      <c r="HIX118" s="6"/>
      <c r="HIY118" s="6"/>
      <c r="HIZ118" s="6"/>
      <c r="HJA118" s="6"/>
      <c r="HJB118" s="6"/>
      <c r="HJC118" s="6"/>
      <c r="HJD118" s="6"/>
      <c r="HJE118" s="6"/>
      <c r="HJF118" s="6"/>
      <c r="HJG118" s="6"/>
      <c r="HJH118" s="6"/>
      <c r="HJI118" s="6"/>
      <c r="HJJ118" s="6"/>
      <c r="HJK118" s="6"/>
      <c r="HJL118" s="6"/>
      <c r="HJM118" s="6"/>
      <c r="HJN118" s="6"/>
      <c r="HJO118" s="6"/>
      <c r="HJP118" s="6"/>
      <c r="HJQ118" s="6"/>
      <c r="HJR118" s="6"/>
      <c r="HJS118" s="6"/>
      <c r="HJT118" s="6"/>
      <c r="HJU118" s="6"/>
      <c r="HJV118" s="6"/>
      <c r="HJW118" s="6"/>
      <c r="HJX118" s="6"/>
      <c r="HJY118" s="6"/>
      <c r="HJZ118" s="6"/>
      <c r="HKA118" s="6"/>
      <c r="HKB118" s="6"/>
      <c r="HKC118" s="6"/>
      <c r="HKD118" s="6"/>
      <c r="HKE118" s="6"/>
      <c r="HKF118" s="6"/>
      <c r="HKG118" s="6"/>
      <c r="HKH118" s="6"/>
      <c r="HKI118" s="6"/>
      <c r="HKJ118" s="6"/>
      <c r="HKK118" s="6"/>
      <c r="HKL118" s="6"/>
      <c r="HKM118" s="6"/>
      <c r="HKN118" s="6"/>
      <c r="HKO118" s="6"/>
      <c r="HKP118" s="6"/>
      <c r="HKQ118" s="6"/>
      <c r="HKR118" s="6"/>
      <c r="HKS118" s="6"/>
      <c r="HKT118" s="6"/>
      <c r="HKU118" s="6"/>
      <c r="HKV118" s="6"/>
      <c r="HKW118" s="6"/>
      <c r="HKX118" s="6"/>
      <c r="HKY118" s="6"/>
      <c r="HKZ118" s="6"/>
      <c r="HLA118" s="6"/>
      <c r="HLB118" s="6"/>
      <c r="HLC118" s="6"/>
      <c r="HLD118" s="6"/>
      <c r="HLE118" s="6"/>
      <c r="HLF118" s="6"/>
      <c r="HLG118" s="6"/>
      <c r="HLH118" s="6"/>
      <c r="HLI118" s="6"/>
      <c r="HLJ118" s="6"/>
      <c r="HLK118" s="6"/>
      <c r="HLL118" s="6"/>
      <c r="HLM118" s="6"/>
      <c r="HLN118" s="6"/>
      <c r="HLO118" s="6"/>
      <c r="HLP118" s="6"/>
      <c r="HLQ118" s="6"/>
      <c r="HLR118" s="6"/>
      <c r="HLS118" s="6"/>
      <c r="HLT118" s="6"/>
      <c r="HLU118" s="6"/>
      <c r="HLV118" s="6"/>
      <c r="HLW118" s="6"/>
      <c r="HLX118" s="6"/>
      <c r="HLY118" s="6"/>
      <c r="HLZ118" s="6"/>
      <c r="HMA118" s="6"/>
      <c r="HMB118" s="6"/>
      <c r="HMC118" s="6"/>
      <c r="HMD118" s="6"/>
      <c r="HME118" s="6"/>
      <c r="HMF118" s="6"/>
      <c r="HMG118" s="6"/>
      <c r="HMH118" s="6"/>
      <c r="HMI118" s="6"/>
      <c r="HMJ118" s="6"/>
      <c r="HMK118" s="6"/>
      <c r="HML118" s="6"/>
      <c r="HMM118" s="6"/>
      <c r="HMN118" s="6"/>
      <c r="HMO118" s="6"/>
      <c r="HMP118" s="6"/>
      <c r="HMQ118" s="6"/>
      <c r="HMR118" s="6"/>
      <c r="HMS118" s="6"/>
      <c r="HMT118" s="6"/>
      <c r="HMU118" s="6"/>
      <c r="HMV118" s="6"/>
      <c r="HMW118" s="6"/>
      <c r="HMX118" s="6"/>
      <c r="HMY118" s="6"/>
      <c r="HMZ118" s="6"/>
      <c r="HNA118" s="6"/>
      <c r="HNB118" s="6"/>
      <c r="HNC118" s="6"/>
      <c r="HND118" s="6"/>
      <c r="HNE118" s="6"/>
      <c r="HNF118" s="6"/>
      <c r="HNG118" s="6"/>
      <c r="HNH118" s="6"/>
      <c r="HNI118" s="6"/>
      <c r="HNJ118" s="6"/>
      <c r="HNK118" s="6"/>
      <c r="HNL118" s="6"/>
      <c r="HNM118" s="6"/>
      <c r="HNN118" s="6"/>
      <c r="HNO118" s="6"/>
      <c r="HNP118" s="6"/>
      <c r="HNQ118" s="6"/>
      <c r="HNR118" s="6"/>
      <c r="HNS118" s="6"/>
      <c r="HNT118" s="6"/>
      <c r="HNU118" s="6"/>
      <c r="HNV118" s="6"/>
      <c r="HNW118" s="6"/>
      <c r="HNX118" s="6"/>
      <c r="HNY118" s="6"/>
      <c r="HNZ118" s="6"/>
      <c r="HOA118" s="6"/>
      <c r="HOB118" s="6"/>
      <c r="HOC118" s="6"/>
      <c r="HOD118" s="6"/>
      <c r="HOE118" s="6"/>
      <c r="HOF118" s="6"/>
      <c r="HOG118" s="6"/>
      <c r="HOH118" s="6"/>
      <c r="HOI118" s="6"/>
      <c r="HOJ118" s="6"/>
      <c r="HOK118" s="6"/>
      <c r="HOL118" s="6"/>
      <c r="HOM118" s="6"/>
      <c r="HON118" s="6"/>
      <c r="HOO118" s="6"/>
      <c r="HOP118" s="6"/>
      <c r="HOQ118" s="6"/>
      <c r="HOR118" s="6"/>
      <c r="HOS118" s="6"/>
      <c r="HOT118" s="6"/>
      <c r="HOU118" s="6"/>
      <c r="HOV118" s="6"/>
      <c r="HOW118" s="6"/>
      <c r="HOX118" s="6"/>
      <c r="HOY118" s="6"/>
      <c r="HOZ118" s="6"/>
      <c r="HPA118" s="6"/>
      <c r="HPB118" s="6"/>
      <c r="HPC118" s="6"/>
      <c r="HPD118" s="6"/>
      <c r="HPE118" s="6"/>
      <c r="HPF118" s="6"/>
      <c r="HPG118" s="6"/>
      <c r="HPH118" s="6"/>
      <c r="HPI118" s="6"/>
      <c r="HPJ118" s="6"/>
      <c r="HPK118" s="6"/>
      <c r="HPL118" s="6"/>
      <c r="HPM118" s="6"/>
      <c r="HPN118" s="6"/>
      <c r="HPO118" s="6"/>
      <c r="HPP118" s="6"/>
      <c r="HPQ118" s="6"/>
      <c r="HPR118" s="6"/>
      <c r="HPS118" s="6"/>
      <c r="HPT118" s="6"/>
      <c r="HPU118" s="6"/>
      <c r="HPV118" s="6"/>
      <c r="HPW118" s="6"/>
      <c r="HPX118" s="6"/>
      <c r="HPY118" s="6"/>
      <c r="HPZ118" s="6"/>
      <c r="HQA118" s="6"/>
      <c r="HQB118" s="6"/>
      <c r="HQC118" s="6"/>
      <c r="HQD118" s="6"/>
      <c r="HQE118" s="6"/>
      <c r="HQF118" s="6"/>
      <c r="HQG118" s="6"/>
      <c r="HQH118" s="6"/>
      <c r="HQI118" s="6"/>
      <c r="HQJ118" s="6"/>
      <c r="HQK118" s="6"/>
      <c r="HQL118" s="6"/>
      <c r="HQM118" s="6"/>
      <c r="HQN118" s="6"/>
      <c r="HQO118" s="6"/>
      <c r="HQP118" s="6"/>
      <c r="HQQ118" s="6"/>
      <c r="HQR118" s="6"/>
      <c r="HQS118" s="6"/>
      <c r="HQT118" s="6"/>
      <c r="HQU118" s="6"/>
      <c r="HQV118" s="6"/>
      <c r="HQW118" s="6"/>
      <c r="HQX118" s="6"/>
      <c r="HQY118" s="6"/>
      <c r="HQZ118" s="6"/>
      <c r="HRA118" s="6"/>
      <c r="HRB118" s="6"/>
      <c r="HRC118" s="6"/>
      <c r="HRD118" s="6"/>
      <c r="HRE118" s="6"/>
      <c r="HRF118" s="6"/>
      <c r="HRG118" s="6"/>
      <c r="HRH118" s="6"/>
      <c r="HRI118" s="6"/>
      <c r="HRJ118" s="6"/>
      <c r="HRK118" s="6"/>
      <c r="HRL118" s="6"/>
      <c r="HRM118" s="6"/>
      <c r="HRN118" s="6"/>
      <c r="HRO118" s="6"/>
      <c r="HRP118" s="6"/>
      <c r="HRQ118" s="6"/>
      <c r="HRR118" s="6"/>
      <c r="HRS118" s="6"/>
      <c r="HRT118" s="6"/>
      <c r="HRU118" s="6"/>
      <c r="HRV118" s="6"/>
      <c r="HRW118" s="6"/>
      <c r="HRX118" s="6"/>
      <c r="HRY118" s="6"/>
      <c r="HRZ118" s="6"/>
      <c r="HSA118" s="6"/>
      <c r="HSB118" s="6"/>
      <c r="HSC118" s="6"/>
      <c r="HSD118" s="6"/>
      <c r="HSE118" s="6"/>
      <c r="HSF118" s="6"/>
      <c r="HSG118" s="6"/>
      <c r="HSH118" s="6"/>
      <c r="HSI118" s="6"/>
      <c r="HSJ118" s="6"/>
      <c r="HSK118" s="6"/>
      <c r="HSL118" s="6"/>
      <c r="HSM118" s="6"/>
      <c r="HSN118" s="6"/>
      <c r="HSO118" s="6"/>
      <c r="HSP118" s="6"/>
      <c r="HSQ118" s="6"/>
      <c r="HSR118" s="6"/>
      <c r="HSS118" s="6"/>
      <c r="HST118" s="6"/>
      <c r="HSU118" s="6"/>
      <c r="HSV118" s="6"/>
      <c r="HSW118" s="6"/>
      <c r="HSX118" s="6"/>
      <c r="HSY118" s="6"/>
      <c r="HSZ118" s="6"/>
      <c r="HTA118" s="6"/>
      <c r="HTB118" s="6"/>
      <c r="HTC118" s="6"/>
      <c r="HTD118" s="6"/>
      <c r="HTE118" s="6"/>
      <c r="HTF118" s="6"/>
      <c r="HTG118" s="6"/>
      <c r="HTH118" s="6"/>
      <c r="HTI118" s="6"/>
      <c r="HTJ118" s="6"/>
      <c r="HTK118" s="6"/>
      <c r="HTL118" s="6"/>
      <c r="HTM118" s="6"/>
      <c r="HTN118" s="6"/>
      <c r="HTO118" s="6"/>
      <c r="HTP118" s="6"/>
      <c r="HTQ118" s="6"/>
      <c r="HTR118" s="6"/>
      <c r="HTS118" s="6"/>
      <c r="HTT118" s="6"/>
      <c r="HTU118" s="6"/>
      <c r="HTV118" s="6"/>
      <c r="HTW118" s="6"/>
      <c r="HTX118" s="6"/>
      <c r="HTY118" s="6"/>
      <c r="HTZ118" s="6"/>
      <c r="HUA118" s="6"/>
      <c r="HUB118" s="6"/>
      <c r="HUC118" s="6"/>
      <c r="HUD118" s="6"/>
      <c r="HUE118" s="6"/>
      <c r="HUF118" s="6"/>
      <c r="HUG118" s="6"/>
      <c r="HUH118" s="6"/>
      <c r="HUI118" s="6"/>
      <c r="HUJ118" s="6"/>
      <c r="HUK118" s="6"/>
      <c r="HUL118" s="6"/>
      <c r="HUM118" s="6"/>
      <c r="HUN118" s="6"/>
      <c r="HUO118" s="6"/>
      <c r="HUP118" s="6"/>
      <c r="HUQ118" s="6"/>
      <c r="HUR118" s="6"/>
      <c r="HUS118" s="6"/>
      <c r="HUT118" s="6"/>
      <c r="HUU118" s="6"/>
      <c r="HUV118" s="6"/>
      <c r="HUW118" s="6"/>
      <c r="HUX118" s="6"/>
      <c r="HUY118" s="6"/>
      <c r="HUZ118" s="6"/>
      <c r="HVA118" s="6"/>
      <c r="HVB118" s="6"/>
      <c r="HVC118" s="6"/>
      <c r="HVD118" s="6"/>
      <c r="HVE118" s="6"/>
      <c r="HVF118" s="6"/>
      <c r="HVG118" s="6"/>
      <c r="HVH118" s="6"/>
      <c r="HVI118" s="6"/>
      <c r="HVJ118" s="6"/>
      <c r="HVK118" s="6"/>
      <c r="HVL118" s="6"/>
      <c r="HVM118" s="6"/>
      <c r="HVN118" s="6"/>
      <c r="HVO118" s="6"/>
      <c r="HVP118" s="6"/>
      <c r="HVQ118" s="6"/>
      <c r="HVR118" s="6"/>
      <c r="HVS118" s="6"/>
      <c r="HVT118" s="6"/>
      <c r="HVU118" s="6"/>
      <c r="HVV118" s="6"/>
      <c r="HVW118" s="6"/>
      <c r="HVX118" s="6"/>
      <c r="HVY118" s="6"/>
      <c r="HVZ118" s="6"/>
      <c r="HWA118" s="6"/>
      <c r="HWB118" s="6"/>
      <c r="HWC118" s="6"/>
      <c r="HWD118" s="6"/>
      <c r="HWE118" s="6"/>
      <c r="HWF118" s="6"/>
      <c r="HWG118" s="6"/>
      <c r="HWH118" s="6"/>
      <c r="HWI118" s="6"/>
      <c r="HWJ118" s="6"/>
      <c r="HWK118" s="6"/>
      <c r="HWL118" s="6"/>
      <c r="HWM118" s="6"/>
      <c r="HWN118" s="6"/>
      <c r="HWO118" s="6"/>
      <c r="HWP118" s="6"/>
      <c r="HWQ118" s="6"/>
      <c r="HWR118" s="6"/>
      <c r="HWS118" s="6"/>
      <c r="HWT118" s="6"/>
      <c r="HWU118" s="6"/>
      <c r="HWV118" s="6"/>
      <c r="HWW118" s="6"/>
      <c r="HWX118" s="6"/>
      <c r="HWY118" s="6"/>
      <c r="HWZ118" s="6"/>
      <c r="HXA118" s="6"/>
      <c r="HXB118" s="6"/>
      <c r="HXC118" s="6"/>
      <c r="HXD118" s="6"/>
      <c r="HXE118" s="6"/>
      <c r="HXF118" s="6"/>
      <c r="HXG118" s="6"/>
      <c r="HXH118" s="6"/>
      <c r="HXI118" s="6"/>
      <c r="HXJ118" s="6"/>
      <c r="HXK118" s="6"/>
      <c r="HXL118" s="6"/>
      <c r="HXM118" s="6"/>
      <c r="HXN118" s="6"/>
      <c r="HXO118" s="6"/>
      <c r="HXP118" s="6"/>
      <c r="HXQ118" s="6"/>
      <c r="HXR118" s="6"/>
      <c r="HXS118" s="6"/>
      <c r="HXT118" s="6"/>
      <c r="HXU118" s="6"/>
      <c r="HXV118" s="6"/>
      <c r="HXW118" s="6"/>
      <c r="HXX118" s="6"/>
      <c r="HXY118" s="6"/>
      <c r="HXZ118" s="6"/>
      <c r="HYA118" s="6"/>
      <c r="HYB118" s="6"/>
      <c r="HYC118" s="6"/>
      <c r="HYD118" s="6"/>
      <c r="HYE118" s="6"/>
      <c r="HYF118" s="6"/>
      <c r="HYG118" s="6"/>
      <c r="HYH118" s="6"/>
      <c r="HYI118" s="6"/>
      <c r="HYJ118" s="6"/>
      <c r="HYK118" s="6"/>
      <c r="HYL118" s="6"/>
      <c r="HYM118" s="6"/>
      <c r="HYN118" s="6"/>
      <c r="HYO118" s="6"/>
      <c r="HYP118" s="6"/>
      <c r="HYQ118" s="6"/>
      <c r="HYR118" s="6"/>
      <c r="HYS118" s="6"/>
      <c r="HYT118" s="6"/>
      <c r="HYU118" s="6"/>
      <c r="HYV118" s="6"/>
      <c r="HYW118" s="6"/>
      <c r="HYX118" s="6"/>
      <c r="HYY118" s="6"/>
      <c r="HYZ118" s="6"/>
      <c r="HZA118" s="6"/>
      <c r="HZB118" s="6"/>
      <c r="HZC118" s="6"/>
      <c r="HZD118" s="6"/>
      <c r="HZE118" s="6"/>
      <c r="HZF118" s="6"/>
      <c r="HZG118" s="6"/>
      <c r="HZH118" s="6"/>
      <c r="HZI118" s="6"/>
      <c r="HZJ118" s="6"/>
      <c r="HZK118" s="6"/>
      <c r="HZL118" s="6"/>
      <c r="HZM118" s="6"/>
      <c r="HZN118" s="6"/>
      <c r="HZO118" s="6"/>
      <c r="HZP118" s="6"/>
      <c r="HZQ118" s="6"/>
      <c r="HZR118" s="6"/>
      <c r="HZS118" s="6"/>
      <c r="HZT118" s="6"/>
      <c r="HZU118" s="6"/>
      <c r="HZV118" s="6"/>
      <c r="HZW118" s="6"/>
      <c r="HZX118" s="6"/>
      <c r="HZY118" s="6"/>
      <c r="HZZ118" s="6"/>
      <c r="IAA118" s="6"/>
      <c r="IAB118" s="6"/>
      <c r="IAC118" s="6"/>
      <c r="IAD118" s="6"/>
      <c r="IAE118" s="6"/>
      <c r="IAF118" s="6"/>
      <c r="IAG118" s="6"/>
      <c r="IAH118" s="6"/>
      <c r="IAI118" s="6"/>
      <c r="IAJ118" s="6"/>
      <c r="IAK118" s="6"/>
      <c r="IAL118" s="6"/>
      <c r="IAM118" s="6"/>
      <c r="IAN118" s="6"/>
      <c r="IAO118" s="6"/>
      <c r="IAP118" s="6"/>
      <c r="IAQ118" s="6"/>
      <c r="IAR118" s="6"/>
      <c r="IAS118" s="6"/>
      <c r="IAT118" s="6"/>
      <c r="IAU118" s="6"/>
      <c r="IAV118" s="6"/>
      <c r="IAW118" s="6"/>
      <c r="IAX118" s="6"/>
      <c r="IAY118" s="6"/>
      <c r="IAZ118" s="6"/>
      <c r="IBA118" s="6"/>
      <c r="IBB118" s="6"/>
      <c r="IBC118" s="6"/>
      <c r="IBD118" s="6"/>
      <c r="IBE118" s="6"/>
      <c r="IBF118" s="6"/>
      <c r="IBG118" s="6"/>
      <c r="IBH118" s="6"/>
      <c r="IBI118" s="6"/>
      <c r="IBJ118" s="6"/>
      <c r="IBK118" s="6"/>
      <c r="IBL118" s="6"/>
      <c r="IBM118" s="6"/>
      <c r="IBN118" s="6"/>
      <c r="IBO118" s="6"/>
      <c r="IBP118" s="6"/>
      <c r="IBQ118" s="6"/>
      <c r="IBR118" s="6"/>
      <c r="IBS118" s="6"/>
      <c r="IBT118" s="6"/>
      <c r="IBU118" s="6"/>
      <c r="IBV118" s="6"/>
      <c r="IBW118" s="6"/>
      <c r="IBX118" s="6"/>
      <c r="IBY118" s="6"/>
      <c r="IBZ118" s="6"/>
      <c r="ICA118" s="6"/>
      <c r="ICB118" s="6"/>
      <c r="ICC118" s="6"/>
      <c r="ICD118" s="6"/>
      <c r="ICE118" s="6"/>
      <c r="ICF118" s="6"/>
      <c r="ICG118" s="6"/>
      <c r="ICH118" s="6"/>
      <c r="ICI118" s="6"/>
      <c r="ICJ118" s="6"/>
      <c r="ICK118" s="6"/>
      <c r="ICL118" s="6"/>
      <c r="ICM118" s="6"/>
      <c r="ICN118" s="6"/>
      <c r="ICO118" s="6"/>
      <c r="ICP118" s="6"/>
      <c r="ICQ118" s="6"/>
      <c r="ICR118" s="6"/>
      <c r="ICS118" s="6"/>
      <c r="ICT118" s="6"/>
      <c r="ICU118" s="6"/>
      <c r="ICV118" s="6"/>
      <c r="ICW118" s="6"/>
      <c r="ICX118" s="6"/>
      <c r="ICY118" s="6"/>
      <c r="ICZ118" s="6"/>
      <c r="IDA118" s="6"/>
      <c r="IDB118" s="6"/>
      <c r="IDC118" s="6"/>
      <c r="IDD118" s="6"/>
      <c r="IDE118" s="6"/>
      <c r="IDF118" s="6"/>
      <c r="IDG118" s="6"/>
      <c r="IDH118" s="6"/>
      <c r="IDI118" s="6"/>
      <c r="IDJ118" s="6"/>
      <c r="IDK118" s="6"/>
      <c r="IDL118" s="6"/>
      <c r="IDM118" s="6"/>
      <c r="IDN118" s="6"/>
      <c r="IDO118" s="6"/>
      <c r="IDP118" s="6"/>
      <c r="IDQ118" s="6"/>
      <c r="IDR118" s="6"/>
      <c r="IDS118" s="6"/>
      <c r="IDT118" s="6"/>
      <c r="IDU118" s="6"/>
      <c r="IDV118" s="6"/>
      <c r="IDW118" s="6"/>
      <c r="IDX118" s="6"/>
      <c r="IDY118" s="6"/>
      <c r="IDZ118" s="6"/>
      <c r="IEA118" s="6"/>
      <c r="IEB118" s="6"/>
      <c r="IEC118" s="6"/>
      <c r="IED118" s="6"/>
      <c r="IEE118" s="6"/>
      <c r="IEF118" s="6"/>
      <c r="IEG118" s="6"/>
      <c r="IEH118" s="6"/>
      <c r="IEI118" s="6"/>
      <c r="IEJ118" s="6"/>
      <c r="IEK118" s="6"/>
      <c r="IEL118" s="6"/>
      <c r="IEM118" s="6"/>
      <c r="IEN118" s="6"/>
      <c r="IEO118" s="6"/>
      <c r="IEP118" s="6"/>
      <c r="IEQ118" s="6"/>
      <c r="IER118" s="6"/>
      <c r="IES118" s="6"/>
      <c r="IET118" s="6"/>
      <c r="IEU118" s="6"/>
      <c r="IEV118" s="6"/>
      <c r="IEW118" s="6"/>
      <c r="IEX118" s="6"/>
      <c r="IEY118" s="6"/>
      <c r="IEZ118" s="6"/>
      <c r="IFA118" s="6"/>
      <c r="IFB118" s="6"/>
      <c r="IFC118" s="6"/>
      <c r="IFD118" s="6"/>
      <c r="IFE118" s="6"/>
      <c r="IFF118" s="6"/>
      <c r="IFG118" s="6"/>
      <c r="IFH118" s="6"/>
      <c r="IFI118" s="6"/>
      <c r="IFJ118" s="6"/>
      <c r="IFK118" s="6"/>
      <c r="IFL118" s="6"/>
      <c r="IFM118" s="6"/>
      <c r="IFN118" s="6"/>
      <c r="IFO118" s="6"/>
      <c r="IFP118" s="6"/>
      <c r="IFQ118" s="6"/>
      <c r="IFR118" s="6"/>
      <c r="IFS118" s="6"/>
      <c r="IFT118" s="6"/>
      <c r="IFU118" s="6"/>
      <c r="IFV118" s="6"/>
      <c r="IFW118" s="6"/>
      <c r="IFX118" s="6"/>
      <c r="IFY118" s="6"/>
      <c r="IFZ118" s="6"/>
      <c r="IGA118" s="6"/>
      <c r="IGB118" s="6"/>
      <c r="IGC118" s="6"/>
      <c r="IGD118" s="6"/>
      <c r="IGE118" s="6"/>
      <c r="IGF118" s="6"/>
      <c r="IGG118" s="6"/>
      <c r="IGH118" s="6"/>
      <c r="IGI118" s="6"/>
      <c r="IGJ118" s="6"/>
      <c r="IGK118" s="6"/>
      <c r="IGL118" s="6"/>
      <c r="IGM118" s="6"/>
      <c r="IGN118" s="6"/>
      <c r="IGO118" s="6"/>
      <c r="IGP118" s="6"/>
      <c r="IGQ118" s="6"/>
      <c r="IGR118" s="6"/>
      <c r="IGS118" s="6"/>
      <c r="IGT118" s="6"/>
      <c r="IGU118" s="6"/>
      <c r="IGV118" s="6"/>
      <c r="IGW118" s="6"/>
      <c r="IGX118" s="6"/>
      <c r="IGY118" s="6"/>
      <c r="IGZ118" s="6"/>
      <c r="IHA118" s="6"/>
      <c r="IHB118" s="6"/>
      <c r="IHC118" s="6"/>
      <c r="IHD118" s="6"/>
      <c r="IHE118" s="6"/>
      <c r="IHF118" s="6"/>
      <c r="IHG118" s="6"/>
      <c r="IHH118" s="6"/>
      <c r="IHI118" s="6"/>
      <c r="IHJ118" s="6"/>
      <c r="IHK118" s="6"/>
      <c r="IHL118" s="6"/>
      <c r="IHM118" s="6"/>
      <c r="IHN118" s="6"/>
      <c r="IHO118" s="6"/>
      <c r="IHP118" s="6"/>
      <c r="IHQ118" s="6"/>
      <c r="IHR118" s="6"/>
      <c r="IHS118" s="6"/>
      <c r="IHT118" s="6"/>
      <c r="IHU118" s="6"/>
      <c r="IHV118" s="6"/>
      <c r="IHW118" s="6"/>
      <c r="IHX118" s="6"/>
      <c r="IHY118" s="6"/>
      <c r="IHZ118" s="6"/>
      <c r="IIA118" s="6"/>
      <c r="IIB118" s="6"/>
      <c r="IIC118" s="6"/>
      <c r="IID118" s="6"/>
      <c r="IIE118" s="6"/>
      <c r="IIF118" s="6"/>
      <c r="IIG118" s="6"/>
      <c r="IIH118" s="6"/>
      <c r="III118" s="6"/>
      <c r="IIJ118" s="6"/>
      <c r="IIK118" s="6"/>
      <c r="IIL118" s="6"/>
      <c r="IIM118" s="6"/>
      <c r="IIN118" s="6"/>
      <c r="IIO118" s="6"/>
      <c r="IIP118" s="6"/>
      <c r="IIQ118" s="6"/>
      <c r="IIR118" s="6"/>
      <c r="IIS118" s="6"/>
      <c r="IIT118" s="6"/>
      <c r="IIU118" s="6"/>
      <c r="IIV118" s="6"/>
      <c r="IIW118" s="6"/>
      <c r="IIX118" s="6"/>
      <c r="IIY118" s="6"/>
      <c r="IIZ118" s="6"/>
      <c r="IJA118" s="6"/>
      <c r="IJB118" s="6"/>
      <c r="IJC118" s="6"/>
      <c r="IJD118" s="6"/>
      <c r="IJE118" s="6"/>
      <c r="IJF118" s="6"/>
      <c r="IJG118" s="6"/>
      <c r="IJH118" s="6"/>
      <c r="IJI118" s="6"/>
      <c r="IJJ118" s="6"/>
      <c r="IJK118" s="6"/>
      <c r="IJL118" s="6"/>
      <c r="IJM118" s="6"/>
      <c r="IJN118" s="6"/>
      <c r="IJO118" s="6"/>
      <c r="IJP118" s="6"/>
      <c r="IJQ118" s="6"/>
      <c r="IJR118" s="6"/>
      <c r="IJS118" s="6"/>
      <c r="IJT118" s="6"/>
      <c r="IJU118" s="6"/>
      <c r="IJV118" s="6"/>
      <c r="IJW118" s="6"/>
      <c r="IJX118" s="6"/>
      <c r="IJY118" s="6"/>
      <c r="IJZ118" s="6"/>
      <c r="IKA118" s="6"/>
      <c r="IKB118" s="6"/>
      <c r="IKC118" s="6"/>
      <c r="IKD118" s="6"/>
      <c r="IKE118" s="6"/>
      <c r="IKF118" s="6"/>
      <c r="IKG118" s="6"/>
      <c r="IKH118" s="6"/>
      <c r="IKI118" s="6"/>
      <c r="IKJ118" s="6"/>
      <c r="IKK118" s="6"/>
      <c r="IKL118" s="6"/>
      <c r="IKM118" s="6"/>
      <c r="IKN118" s="6"/>
      <c r="IKO118" s="6"/>
      <c r="IKP118" s="6"/>
      <c r="IKQ118" s="6"/>
      <c r="IKR118" s="6"/>
      <c r="IKS118" s="6"/>
      <c r="IKT118" s="6"/>
      <c r="IKU118" s="6"/>
      <c r="IKV118" s="6"/>
      <c r="IKW118" s="6"/>
      <c r="IKX118" s="6"/>
      <c r="IKY118" s="6"/>
      <c r="IKZ118" s="6"/>
      <c r="ILA118" s="6"/>
      <c r="ILB118" s="6"/>
      <c r="ILC118" s="6"/>
      <c r="ILD118" s="6"/>
      <c r="ILE118" s="6"/>
      <c r="ILF118" s="6"/>
      <c r="ILG118" s="6"/>
      <c r="ILH118" s="6"/>
      <c r="ILI118" s="6"/>
      <c r="ILJ118" s="6"/>
      <c r="ILK118" s="6"/>
      <c r="ILL118" s="6"/>
      <c r="ILM118" s="6"/>
      <c r="ILN118" s="6"/>
      <c r="ILO118" s="6"/>
      <c r="ILP118" s="6"/>
      <c r="ILQ118" s="6"/>
      <c r="ILR118" s="6"/>
      <c r="ILS118" s="6"/>
      <c r="ILT118" s="6"/>
      <c r="ILU118" s="6"/>
      <c r="ILV118" s="6"/>
      <c r="ILW118" s="6"/>
      <c r="ILX118" s="6"/>
      <c r="ILY118" s="6"/>
      <c r="ILZ118" s="6"/>
      <c r="IMA118" s="6"/>
      <c r="IMB118" s="6"/>
      <c r="IMC118" s="6"/>
      <c r="IMD118" s="6"/>
      <c r="IME118" s="6"/>
      <c r="IMF118" s="6"/>
      <c r="IMG118" s="6"/>
      <c r="IMH118" s="6"/>
      <c r="IMI118" s="6"/>
      <c r="IMJ118" s="6"/>
      <c r="IMK118" s="6"/>
      <c r="IML118" s="6"/>
      <c r="IMM118" s="6"/>
      <c r="IMN118" s="6"/>
      <c r="IMO118" s="6"/>
      <c r="IMP118" s="6"/>
      <c r="IMQ118" s="6"/>
      <c r="IMR118" s="6"/>
      <c r="IMS118" s="6"/>
      <c r="IMT118" s="6"/>
      <c r="IMU118" s="6"/>
      <c r="IMV118" s="6"/>
      <c r="IMW118" s="6"/>
      <c r="IMX118" s="6"/>
      <c r="IMY118" s="6"/>
      <c r="IMZ118" s="6"/>
      <c r="INA118" s="6"/>
      <c r="INB118" s="6"/>
      <c r="INC118" s="6"/>
      <c r="IND118" s="6"/>
      <c r="INE118" s="6"/>
      <c r="INF118" s="6"/>
      <c r="ING118" s="6"/>
      <c r="INH118" s="6"/>
      <c r="INI118" s="6"/>
      <c r="INJ118" s="6"/>
      <c r="INK118" s="6"/>
      <c r="INL118" s="6"/>
      <c r="INM118" s="6"/>
      <c r="INN118" s="6"/>
      <c r="INO118" s="6"/>
      <c r="INP118" s="6"/>
      <c r="INQ118" s="6"/>
      <c r="INR118" s="6"/>
      <c r="INS118" s="6"/>
      <c r="INT118" s="6"/>
      <c r="INU118" s="6"/>
      <c r="INV118" s="6"/>
      <c r="INW118" s="6"/>
      <c r="INX118" s="6"/>
      <c r="INY118" s="6"/>
      <c r="INZ118" s="6"/>
      <c r="IOA118" s="6"/>
      <c r="IOB118" s="6"/>
      <c r="IOC118" s="6"/>
      <c r="IOD118" s="6"/>
      <c r="IOE118" s="6"/>
      <c r="IOF118" s="6"/>
      <c r="IOG118" s="6"/>
      <c r="IOH118" s="6"/>
      <c r="IOI118" s="6"/>
      <c r="IOJ118" s="6"/>
      <c r="IOK118" s="6"/>
      <c r="IOL118" s="6"/>
      <c r="IOM118" s="6"/>
      <c r="ION118" s="6"/>
      <c r="IOO118" s="6"/>
      <c r="IOP118" s="6"/>
      <c r="IOQ118" s="6"/>
      <c r="IOR118" s="6"/>
      <c r="IOS118" s="6"/>
      <c r="IOT118" s="6"/>
      <c r="IOU118" s="6"/>
      <c r="IOV118" s="6"/>
      <c r="IOW118" s="6"/>
      <c r="IOX118" s="6"/>
      <c r="IOY118" s="6"/>
      <c r="IOZ118" s="6"/>
      <c r="IPA118" s="6"/>
      <c r="IPB118" s="6"/>
      <c r="IPC118" s="6"/>
      <c r="IPD118" s="6"/>
      <c r="IPE118" s="6"/>
      <c r="IPF118" s="6"/>
      <c r="IPG118" s="6"/>
      <c r="IPH118" s="6"/>
      <c r="IPI118" s="6"/>
      <c r="IPJ118" s="6"/>
      <c r="IPK118" s="6"/>
      <c r="IPL118" s="6"/>
      <c r="IPM118" s="6"/>
      <c r="IPN118" s="6"/>
      <c r="IPO118" s="6"/>
      <c r="IPP118" s="6"/>
      <c r="IPQ118" s="6"/>
      <c r="IPR118" s="6"/>
      <c r="IPS118" s="6"/>
      <c r="IPT118" s="6"/>
      <c r="IPU118" s="6"/>
      <c r="IPV118" s="6"/>
      <c r="IPW118" s="6"/>
      <c r="IPX118" s="6"/>
      <c r="IPY118" s="6"/>
      <c r="IPZ118" s="6"/>
      <c r="IQA118" s="6"/>
      <c r="IQB118" s="6"/>
      <c r="IQC118" s="6"/>
      <c r="IQD118" s="6"/>
      <c r="IQE118" s="6"/>
      <c r="IQF118" s="6"/>
      <c r="IQG118" s="6"/>
      <c r="IQH118" s="6"/>
      <c r="IQI118" s="6"/>
      <c r="IQJ118" s="6"/>
      <c r="IQK118" s="6"/>
      <c r="IQL118" s="6"/>
      <c r="IQM118" s="6"/>
      <c r="IQN118" s="6"/>
      <c r="IQO118" s="6"/>
      <c r="IQP118" s="6"/>
      <c r="IQQ118" s="6"/>
      <c r="IQR118" s="6"/>
      <c r="IQS118" s="6"/>
      <c r="IQT118" s="6"/>
      <c r="IQU118" s="6"/>
      <c r="IQV118" s="6"/>
      <c r="IQW118" s="6"/>
      <c r="IQX118" s="6"/>
      <c r="IQY118" s="6"/>
      <c r="IQZ118" s="6"/>
      <c r="IRA118" s="6"/>
      <c r="IRB118" s="6"/>
      <c r="IRC118" s="6"/>
      <c r="IRD118" s="6"/>
      <c r="IRE118" s="6"/>
      <c r="IRF118" s="6"/>
      <c r="IRG118" s="6"/>
      <c r="IRH118" s="6"/>
      <c r="IRI118" s="6"/>
      <c r="IRJ118" s="6"/>
      <c r="IRK118" s="6"/>
      <c r="IRL118" s="6"/>
      <c r="IRM118" s="6"/>
      <c r="IRN118" s="6"/>
      <c r="IRO118" s="6"/>
      <c r="IRP118" s="6"/>
      <c r="IRQ118" s="6"/>
      <c r="IRR118" s="6"/>
      <c r="IRS118" s="6"/>
      <c r="IRT118" s="6"/>
      <c r="IRU118" s="6"/>
      <c r="IRV118" s="6"/>
      <c r="IRW118" s="6"/>
      <c r="IRX118" s="6"/>
      <c r="IRY118" s="6"/>
      <c r="IRZ118" s="6"/>
      <c r="ISA118" s="6"/>
      <c r="ISB118" s="6"/>
      <c r="ISC118" s="6"/>
      <c r="ISD118" s="6"/>
      <c r="ISE118" s="6"/>
      <c r="ISF118" s="6"/>
      <c r="ISG118" s="6"/>
      <c r="ISH118" s="6"/>
      <c r="ISI118" s="6"/>
      <c r="ISJ118" s="6"/>
      <c r="ISK118" s="6"/>
      <c r="ISL118" s="6"/>
      <c r="ISM118" s="6"/>
      <c r="ISN118" s="6"/>
      <c r="ISO118" s="6"/>
      <c r="ISP118" s="6"/>
      <c r="ISQ118" s="6"/>
      <c r="ISR118" s="6"/>
      <c r="ISS118" s="6"/>
      <c r="IST118" s="6"/>
      <c r="ISU118" s="6"/>
      <c r="ISV118" s="6"/>
      <c r="ISW118" s="6"/>
      <c r="ISX118" s="6"/>
      <c r="ISY118" s="6"/>
      <c r="ISZ118" s="6"/>
      <c r="ITA118" s="6"/>
      <c r="ITB118" s="6"/>
      <c r="ITC118" s="6"/>
      <c r="ITD118" s="6"/>
      <c r="ITE118" s="6"/>
      <c r="ITF118" s="6"/>
      <c r="ITG118" s="6"/>
      <c r="ITH118" s="6"/>
      <c r="ITI118" s="6"/>
      <c r="ITJ118" s="6"/>
      <c r="ITK118" s="6"/>
      <c r="ITL118" s="6"/>
      <c r="ITM118" s="6"/>
      <c r="ITN118" s="6"/>
      <c r="ITO118" s="6"/>
      <c r="ITP118" s="6"/>
      <c r="ITQ118" s="6"/>
      <c r="ITR118" s="6"/>
      <c r="ITS118" s="6"/>
      <c r="ITT118" s="6"/>
      <c r="ITU118" s="6"/>
      <c r="ITV118" s="6"/>
      <c r="ITW118" s="6"/>
      <c r="ITX118" s="6"/>
      <c r="ITY118" s="6"/>
      <c r="ITZ118" s="6"/>
      <c r="IUA118" s="6"/>
      <c r="IUB118" s="6"/>
      <c r="IUC118" s="6"/>
      <c r="IUD118" s="6"/>
      <c r="IUE118" s="6"/>
      <c r="IUF118" s="6"/>
      <c r="IUG118" s="6"/>
      <c r="IUH118" s="6"/>
      <c r="IUI118" s="6"/>
      <c r="IUJ118" s="6"/>
      <c r="IUK118" s="6"/>
      <c r="IUL118" s="6"/>
      <c r="IUM118" s="6"/>
      <c r="IUN118" s="6"/>
      <c r="IUO118" s="6"/>
      <c r="IUP118" s="6"/>
      <c r="IUQ118" s="6"/>
      <c r="IUR118" s="6"/>
      <c r="IUS118" s="6"/>
      <c r="IUT118" s="6"/>
      <c r="IUU118" s="6"/>
      <c r="IUV118" s="6"/>
      <c r="IUW118" s="6"/>
      <c r="IUX118" s="6"/>
      <c r="IUY118" s="6"/>
      <c r="IUZ118" s="6"/>
      <c r="IVA118" s="6"/>
      <c r="IVB118" s="6"/>
      <c r="IVC118" s="6"/>
      <c r="IVD118" s="6"/>
      <c r="IVE118" s="6"/>
      <c r="IVF118" s="6"/>
      <c r="IVG118" s="6"/>
      <c r="IVH118" s="6"/>
      <c r="IVI118" s="6"/>
      <c r="IVJ118" s="6"/>
      <c r="IVK118" s="6"/>
      <c r="IVL118" s="6"/>
      <c r="IVM118" s="6"/>
      <c r="IVN118" s="6"/>
      <c r="IVO118" s="6"/>
      <c r="IVP118" s="6"/>
      <c r="IVQ118" s="6"/>
      <c r="IVR118" s="6"/>
      <c r="IVS118" s="6"/>
      <c r="IVT118" s="6"/>
      <c r="IVU118" s="6"/>
      <c r="IVV118" s="6"/>
      <c r="IVW118" s="6"/>
      <c r="IVX118" s="6"/>
      <c r="IVY118" s="6"/>
      <c r="IVZ118" s="6"/>
      <c r="IWA118" s="6"/>
      <c r="IWB118" s="6"/>
      <c r="IWC118" s="6"/>
      <c r="IWD118" s="6"/>
      <c r="IWE118" s="6"/>
      <c r="IWF118" s="6"/>
      <c r="IWG118" s="6"/>
      <c r="IWH118" s="6"/>
      <c r="IWI118" s="6"/>
      <c r="IWJ118" s="6"/>
      <c r="IWK118" s="6"/>
      <c r="IWL118" s="6"/>
      <c r="IWM118" s="6"/>
      <c r="IWN118" s="6"/>
      <c r="IWO118" s="6"/>
      <c r="IWP118" s="6"/>
      <c r="IWQ118" s="6"/>
      <c r="IWR118" s="6"/>
      <c r="IWS118" s="6"/>
      <c r="IWT118" s="6"/>
      <c r="IWU118" s="6"/>
      <c r="IWV118" s="6"/>
      <c r="IWW118" s="6"/>
      <c r="IWX118" s="6"/>
      <c r="IWY118" s="6"/>
      <c r="IWZ118" s="6"/>
      <c r="IXA118" s="6"/>
      <c r="IXB118" s="6"/>
      <c r="IXC118" s="6"/>
      <c r="IXD118" s="6"/>
      <c r="IXE118" s="6"/>
      <c r="IXF118" s="6"/>
      <c r="IXG118" s="6"/>
      <c r="IXH118" s="6"/>
      <c r="IXI118" s="6"/>
      <c r="IXJ118" s="6"/>
      <c r="IXK118" s="6"/>
      <c r="IXL118" s="6"/>
      <c r="IXM118" s="6"/>
      <c r="IXN118" s="6"/>
      <c r="IXO118" s="6"/>
      <c r="IXP118" s="6"/>
      <c r="IXQ118" s="6"/>
      <c r="IXR118" s="6"/>
      <c r="IXS118" s="6"/>
      <c r="IXT118" s="6"/>
      <c r="IXU118" s="6"/>
      <c r="IXV118" s="6"/>
      <c r="IXW118" s="6"/>
      <c r="IXX118" s="6"/>
      <c r="IXY118" s="6"/>
      <c r="IXZ118" s="6"/>
      <c r="IYA118" s="6"/>
      <c r="IYB118" s="6"/>
      <c r="IYC118" s="6"/>
      <c r="IYD118" s="6"/>
      <c r="IYE118" s="6"/>
      <c r="IYF118" s="6"/>
      <c r="IYG118" s="6"/>
      <c r="IYH118" s="6"/>
      <c r="IYI118" s="6"/>
      <c r="IYJ118" s="6"/>
      <c r="IYK118" s="6"/>
      <c r="IYL118" s="6"/>
      <c r="IYM118" s="6"/>
      <c r="IYN118" s="6"/>
      <c r="IYO118" s="6"/>
      <c r="IYP118" s="6"/>
      <c r="IYQ118" s="6"/>
      <c r="IYR118" s="6"/>
      <c r="IYS118" s="6"/>
      <c r="IYT118" s="6"/>
      <c r="IYU118" s="6"/>
      <c r="IYV118" s="6"/>
      <c r="IYW118" s="6"/>
      <c r="IYX118" s="6"/>
      <c r="IYY118" s="6"/>
      <c r="IYZ118" s="6"/>
      <c r="IZA118" s="6"/>
      <c r="IZB118" s="6"/>
      <c r="IZC118" s="6"/>
      <c r="IZD118" s="6"/>
      <c r="IZE118" s="6"/>
      <c r="IZF118" s="6"/>
      <c r="IZG118" s="6"/>
      <c r="IZH118" s="6"/>
      <c r="IZI118" s="6"/>
      <c r="IZJ118" s="6"/>
      <c r="IZK118" s="6"/>
      <c r="IZL118" s="6"/>
      <c r="IZM118" s="6"/>
      <c r="IZN118" s="6"/>
      <c r="IZO118" s="6"/>
      <c r="IZP118" s="6"/>
      <c r="IZQ118" s="6"/>
      <c r="IZR118" s="6"/>
      <c r="IZS118" s="6"/>
      <c r="IZT118" s="6"/>
      <c r="IZU118" s="6"/>
      <c r="IZV118" s="6"/>
      <c r="IZW118" s="6"/>
      <c r="IZX118" s="6"/>
      <c r="IZY118" s="6"/>
      <c r="IZZ118" s="6"/>
      <c r="JAA118" s="6"/>
      <c r="JAB118" s="6"/>
      <c r="JAC118" s="6"/>
      <c r="JAD118" s="6"/>
      <c r="JAE118" s="6"/>
      <c r="JAF118" s="6"/>
      <c r="JAG118" s="6"/>
      <c r="JAH118" s="6"/>
      <c r="JAI118" s="6"/>
      <c r="JAJ118" s="6"/>
      <c r="JAK118" s="6"/>
      <c r="JAL118" s="6"/>
      <c r="JAM118" s="6"/>
      <c r="JAN118" s="6"/>
      <c r="JAO118" s="6"/>
      <c r="JAP118" s="6"/>
      <c r="JAQ118" s="6"/>
      <c r="JAR118" s="6"/>
      <c r="JAS118" s="6"/>
      <c r="JAT118" s="6"/>
      <c r="JAU118" s="6"/>
      <c r="JAV118" s="6"/>
      <c r="JAW118" s="6"/>
      <c r="JAX118" s="6"/>
      <c r="JAY118" s="6"/>
      <c r="JAZ118" s="6"/>
      <c r="JBA118" s="6"/>
      <c r="JBB118" s="6"/>
      <c r="JBC118" s="6"/>
      <c r="JBD118" s="6"/>
      <c r="JBE118" s="6"/>
      <c r="JBF118" s="6"/>
      <c r="JBG118" s="6"/>
      <c r="JBH118" s="6"/>
      <c r="JBI118" s="6"/>
      <c r="JBJ118" s="6"/>
      <c r="JBK118" s="6"/>
      <c r="JBL118" s="6"/>
      <c r="JBM118" s="6"/>
      <c r="JBN118" s="6"/>
      <c r="JBO118" s="6"/>
      <c r="JBP118" s="6"/>
      <c r="JBQ118" s="6"/>
      <c r="JBR118" s="6"/>
      <c r="JBS118" s="6"/>
      <c r="JBT118" s="6"/>
      <c r="JBU118" s="6"/>
      <c r="JBV118" s="6"/>
      <c r="JBW118" s="6"/>
      <c r="JBX118" s="6"/>
      <c r="JBY118" s="6"/>
      <c r="JBZ118" s="6"/>
      <c r="JCA118" s="6"/>
      <c r="JCB118" s="6"/>
      <c r="JCC118" s="6"/>
      <c r="JCD118" s="6"/>
      <c r="JCE118" s="6"/>
      <c r="JCF118" s="6"/>
      <c r="JCG118" s="6"/>
      <c r="JCH118" s="6"/>
      <c r="JCI118" s="6"/>
      <c r="JCJ118" s="6"/>
      <c r="JCK118" s="6"/>
      <c r="JCL118" s="6"/>
      <c r="JCM118" s="6"/>
      <c r="JCN118" s="6"/>
      <c r="JCO118" s="6"/>
      <c r="JCP118" s="6"/>
      <c r="JCQ118" s="6"/>
      <c r="JCR118" s="6"/>
      <c r="JCS118" s="6"/>
      <c r="JCT118" s="6"/>
      <c r="JCU118" s="6"/>
      <c r="JCV118" s="6"/>
      <c r="JCW118" s="6"/>
      <c r="JCX118" s="6"/>
      <c r="JCY118" s="6"/>
      <c r="JCZ118" s="6"/>
      <c r="JDA118" s="6"/>
      <c r="JDB118" s="6"/>
      <c r="JDC118" s="6"/>
      <c r="JDD118" s="6"/>
      <c r="JDE118" s="6"/>
      <c r="JDF118" s="6"/>
      <c r="JDG118" s="6"/>
      <c r="JDH118" s="6"/>
      <c r="JDI118" s="6"/>
      <c r="JDJ118" s="6"/>
      <c r="JDK118" s="6"/>
      <c r="JDL118" s="6"/>
      <c r="JDM118" s="6"/>
      <c r="JDN118" s="6"/>
      <c r="JDO118" s="6"/>
      <c r="JDP118" s="6"/>
      <c r="JDQ118" s="6"/>
      <c r="JDR118" s="6"/>
      <c r="JDS118" s="6"/>
      <c r="JDT118" s="6"/>
      <c r="JDU118" s="6"/>
      <c r="JDV118" s="6"/>
      <c r="JDW118" s="6"/>
      <c r="JDX118" s="6"/>
      <c r="JDY118" s="6"/>
      <c r="JDZ118" s="6"/>
      <c r="JEA118" s="6"/>
      <c r="JEB118" s="6"/>
      <c r="JEC118" s="6"/>
      <c r="JED118" s="6"/>
      <c r="JEE118" s="6"/>
      <c r="JEF118" s="6"/>
      <c r="JEG118" s="6"/>
      <c r="JEH118" s="6"/>
      <c r="JEI118" s="6"/>
      <c r="JEJ118" s="6"/>
      <c r="JEK118" s="6"/>
      <c r="JEL118" s="6"/>
      <c r="JEM118" s="6"/>
      <c r="JEN118" s="6"/>
      <c r="JEO118" s="6"/>
      <c r="JEP118" s="6"/>
      <c r="JEQ118" s="6"/>
      <c r="JER118" s="6"/>
      <c r="JES118" s="6"/>
      <c r="JET118" s="6"/>
      <c r="JEU118" s="6"/>
      <c r="JEV118" s="6"/>
      <c r="JEW118" s="6"/>
      <c r="JEX118" s="6"/>
      <c r="JEY118" s="6"/>
      <c r="JEZ118" s="6"/>
      <c r="JFA118" s="6"/>
      <c r="JFB118" s="6"/>
      <c r="JFC118" s="6"/>
      <c r="JFD118" s="6"/>
      <c r="JFE118" s="6"/>
      <c r="JFF118" s="6"/>
      <c r="JFG118" s="6"/>
      <c r="JFH118" s="6"/>
      <c r="JFI118" s="6"/>
      <c r="JFJ118" s="6"/>
      <c r="JFK118" s="6"/>
      <c r="JFL118" s="6"/>
      <c r="JFM118" s="6"/>
      <c r="JFN118" s="6"/>
      <c r="JFO118" s="6"/>
      <c r="JFP118" s="6"/>
      <c r="JFQ118" s="6"/>
      <c r="JFR118" s="6"/>
      <c r="JFS118" s="6"/>
      <c r="JFT118" s="6"/>
      <c r="JFU118" s="6"/>
      <c r="JFV118" s="6"/>
      <c r="JFW118" s="6"/>
      <c r="JFX118" s="6"/>
      <c r="JFY118" s="6"/>
      <c r="JFZ118" s="6"/>
      <c r="JGA118" s="6"/>
      <c r="JGB118" s="6"/>
      <c r="JGC118" s="6"/>
      <c r="JGD118" s="6"/>
      <c r="JGE118" s="6"/>
      <c r="JGF118" s="6"/>
      <c r="JGG118" s="6"/>
      <c r="JGH118" s="6"/>
      <c r="JGI118" s="6"/>
      <c r="JGJ118" s="6"/>
      <c r="JGK118" s="6"/>
      <c r="JGL118" s="6"/>
      <c r="JGM118" s="6"/>
      <c r="JGN118" s="6"/>
      <c r="JGO118" s="6"/>
      <c r="JGP118" s="6"/>
      <c r="JGQ118" s="6"/>
      <c r="JGR118" s="6"/>
      <c r="JGS118" s="6"/>
      <c r="JGT118" s="6"/>
      <c r="JGU118" s="6"/>
      <c r="JGV118" s="6"/>
      <c r="JGW118" s="6"/>
      <c r="JGX118" s="6"/>
      <c r="JGY118" s="6"/>
      <c r="JGZ118" s="6"/>
      <c r="JHA118" s="6"/>
      <c r="JHB118" s="6"/>
      <c r="JHC118" s="6"/>
      <c r="JHD118" s="6"/>
      <c r="JHE118" s="6"/>
      <c r="JHF118" s="6"/>
      <c r="JHG118" s="6"/>
      <c r="JHH118" s="6"/>
      <c r="JHI118" s="6"/>
      <c r="JHJ118" s="6"/>
      <c r="JHK118" s="6"/>
      <c r="JHL118" s="6"/>
      <c r="JHM118" s="6"/>
      <c r="JHN118" s="6"/>
      <c r="JHO118" s="6"/>
      <c r="JHP118" s="6"/>
      <c r="JHQ118" s="6"/>
      <c r="JHR118" s="6"/>
      <c r="JHS118" s="6"/>
      <c r="JHT118" s="6"/>
      <c r="JHU118" s="6"/>
      <c r="JHV118" s="6"/>
      <c r="JHW118" s="6"/>
      <c r="JHX118" s="6"/>
      <c r="JHY118" s="6"/>
      <c r="JHZ118" s="6"/>
      <c r="JIA118" s="6"/>
      <c r="JIB118" s="6"/>
      <c r="JIC118" s="6"/>
      <c r="JID118" s="6"/>
      <c r="JIE118" s="6"/>
      <c r="JIF118" s="6"/>
      <c r="JIG118" s="6"/>
      <c r="JIH118" s="6"/>
      <c r="JII118" s="6"/>
      <c r="JIJ118" s="6"/>
      <c r="JIK118" s="6"/>
      <c r="JIL118" s="6"/>
      <c r="JIM118" s="6"/>
      <c r="JIN118" s="6"/>
      <c r="JIO118" s="6"/>
      <c r="JIP118" s="6"/>
      <c r="JIQ118" s="6"/>
      <c r="JIR118" s="6"/>
      <c r="JIS118" s="6"/>
      <c r="JIT118" s="6"/>
      <c r="JIU118" s="6"/>
      <c r="JIV118" s="6"/>
      <c r="JIW118" s="6"/>
      <c r="JIX118" s="6"/>
      <c r="JIY118" s="6"/>
      <c r="JIZ118" s="6"/>
      <c r="JJA118" s="6"/>
      <c r="JJB118" s="6"/>
      <c r="JJC118" s="6"/>
      <c r="JJD118" s="6"/>
      <c r="JJE118" s="6"/>
      <c r="JJF118" s="6"/>
      <c r="JJG118" s="6"/>
      <c r="JJH118" s="6"/>
      <c r="JJI118" s="6"/>
      <c r="JJJ118" s="6"/>
      <c r="JJK118" s="6"/>
      <c r="JJL118" s="6"/>
      <c r="JJM118" s="6"/>
      <c r="JJN118" s="6"/>
      <c r="JJO118" s="6"/>
      <c r="JJP118" s="6"/>
      <c r="JJQ118" s="6"/>
      <c r="JJR118" s="6"/>
      <c r="JJS118" s="6"/>
      <c r="JJT118" s="6"/>
      <c r="JJU118" s="6"/>
      <c r="JJV118" s="6"/>
      <c r="JJW118" s="6"/>
      <c r="JJX118" s="6"/>
      <c r="JJY118" s="6"/>
      <c r="JJZ118" s="6"/>
      <c r="JKA118" s="6"/>
      <c r="JKB118" s="6"/>
      <c r="JKC118" s="6"/>
      <c r="JKD118" s="6"/>
      <c r="JKE118" s="6"/>
      <c r="JKF118" s="6"/>
      <c r="JKG118" s="6"/>
      <c r="JKH118" s="6"/>
      <c r="JKI118" s="6"/>
      <c r="JKJ118" s="6"/>
      <c r="JKK118" s="6"/>
      <c r="JKL118" s="6"/>
      <c r="JKM118" s="6"/>
      <c r="JKN118" s="6"/>
      <c r="JKO118" s="6"/>
      <c r="JKP118" s="6"/>
      <c r="JKQ118" s="6"/>
      <c r="JKR118" s="6"/>
      <c r="JKS118" s="6"/>
      <c r="JKT118" s="6"/>
      <c r="JKU118" s="6"/>
      <c r="JKV118" s="6"/>
      <c r="JKW118" s="6"/>
      <c r="JKX118" s="6"/>
      <c r="JKY118" s="6"/>
      <c r="JKZ118" s="6"/>
      <c r="JLA118" s="6"/>
      <c r="JLB118" s="6"/>
      <c r="JLC118" s="6"/>
      <c r="JLD118" s="6"/>
      <c r="JLE118" s="6"/>
      <c r="JLF118" s="6"/>
      <c r="JLG118" s="6"/>
      <c r="JLH118" s="6"/>
      <c r="JLI118" s="6"/>
      <c r="JLJ118" s="6"/>
      <c r="JLK118" s="6"/>
      <c r="JLL118" s="6"/>
      <c r="JLM118" s="6"/>
      <c r="JLN118" s="6"/>
      <c r="JLO118" s="6"/>
      <c r="JLP118" s="6"/>
      <c r="JLQ118" s="6"/>
      <c r="JLR118" s="6"/>
      <c r="JLS118" s="6"/>
      <c r="JLT118" s="6"/>
      <c r="JLU118" s="6"/>
      <c r="JLV118" s="6"/>
      <c r="JLW118" s="6"/>
      <c r="JLX118" s="6"/>
      <c r="JLY118" s="6"/>
      <c r="JLZ118" s="6"/>
      <c r="JMA118" s="6"/>
      <c r="JMB118" s="6"/>
      <c r="JMC118" s="6"/>
      <c r="JMD118" s="6"/>
      <c r="JME118" s="6"/>
      <c r="JMF118" s="6"/>
      <c r="JMG118" s="6"/>
      <c r="JMH118" s="6"/>
      <c r="JMI118" s="6"/>
      <c r="JMJ118" s="6"/>
      <c r="JMK118" s="6"/>
      <c r="JML118" s="6"/>
      <c r="JMM118" s="6"/>
      <c r="JMN118" s="6"/>
      <c r="JMO118" s="6"/>
      <c r="JMP118" s="6"/>
      <c r="JMQ118" s="6"/>
      <c r="JMR118" s="6"/>
      <c r="JMS118" s="6"/>
      <c r="JMT118" s="6"/>
      <c r="JMU118" s="6"/>
      <c r="JMV118" s="6"/>
      <c r="JMW118" s="6"/>
      <c r="JMX118" s="6"/>
      <c r="JMY118" s="6"/>
      <c r="JMZ118" s="6"/>
      <c r="JNA118" s="6"/>
      <c r="JNB118" s="6"/>
      <c r="JNC118" s="6"/>
      <c r="JND118" s="6"/>
      <c r="JNE118" s="6"/>
      <c r="JNF118" s="6"/>
      <c r="JNG118" s="6"/>
      <c r="JNH118" s="6"/>
      <c r="JNI118" s="6"/>
      <c r="JNJ118" s="6"/>
      <c r="JNK118" s="6"/>
      <c r="JNL118" s="6"/>
      <c r="JNM118" s="6"/>
      <c r="JNN118" s="6"/>
      <c r="JNO118" s="6"/>
      <c r="JNP118" s="6"/>
      <c r="JNQ118" s="6"/>
      <c r="JNR118" s="6"/>
      <c r="JNS118" s="6"/>
      <c r="JNT118" s="6"/>
      <c r="JNU118" s="6"/>
      <c r="JNV118" s="6"/>
      <c r="JNW118" s="6"/>
      <c r="JNX118" s="6"/>
      <c r="JNY118" s="6"/>
      <c r="JNZ118" s="6"/>
      <c r="JOA118" s="6"/>
      <c r="JOB118" s="6"/>
      <c r="JOC118" s="6"/>
      <c r="JOD118" s="6"/>
      <c r="JOE118" s="6"/>
      <c r="JOF118" s="6"/>
      <c r="JOG118" s="6"/>
      <c r="JOH118" s="6"/>
      <c r="JOI118" s="6"/>
      <c r="JOJ118" s="6"/>
      <c r="JOK118" s="6"/>
      <c r="JOL118" s="6"/>
      <c r="JOM118" s="6"/>
      <c r="JON118" s="6"/>
      <c r="JOO118" s="6"/>
      <c r="JOP118" s="6"/>
      <c r="JOQ118" s="6"/>
      <c r="JOR118" s="6"/>
      <c r="JOS118" s="6"/>
      <c r="JOT118" s="6"/>
      <c r="JOU118" s="6"/>
      <c r="JOV118" s="6"/>
      <c r="JOW118" s="6"/>
      <c r="JOX118" s="6"/>
      <c r="JOY118" s="6"/>
      <c r="JOZ118" s="6"/>
      <c r="JPA118" s="6"/>
      <c r="JPB118" s="6"/>
      <c r="JPC118" s="6"/>
      <c r="JPD118" s="6"/>
      <c r="JPE118" s="6"/>
      <c r="JPF118" s="6"/>
      <c r="JPG118" s="6"/>
      <c r="JPH118" s="6"/>
      <c r="JPI118" s="6"/>
      <c r="JPJ118" s="6"/>
      <c r="JPK118" s="6"/>
      <c r="JPL118" s="6"/>
      <c r="JPM118" s="6"/>
      <c r="JPN118" s="6"/>
      <c r="JPO118" s="6"/>
      <c r="JPP118" s="6"/>
      <c r="JPQ118" s="6"/>
      <c r="JPR118" s="6"/>
      <c r="JPS118" s="6"/>
      <c r="JPT118" s="6"/>
      <c r="JPU118" s="6"/>
      <c r="JPV118" s="6"/>
      <c r="JPW118" s="6"/>
      <c r="JPX118" s="6"/>
      <c r="JPY118" s="6"/>
      <c r="JPZ118" s="6"/>
      <c r="JQA118" s="6"/>
      <c r="JQB118" s="6"/>
      <c r="JQC118" s="6"/>
      <c r="JQD118" s="6"/>
      <c r="JQE118" s="6"/>
      <c r="JQF118" s="6"/>
      <c r="JQG118" s="6"/>
      <c r="JQH118" s="6"/>
      <c r="JQI118" s="6"/>
      <c r="JQJ118" s="6"/>
      <c r="JQK118" s="6"/>
      <c r="JQL118" s="6"/>
      <c r="JQM118" s="6"/>
      <c r="JQN118" s="6"/>
      <c r="JQO118" s="6"/>
      <c r="JQP118" s="6"/>
      <c r="JQQ118" s="6"/>
      <c r="JQR118" s="6"/>
      <c r="JQS118" s="6"/>
      <c r="JQT118" s="6"/>
      <c r="JQU118" s="6"/>
      <c r="JQV118" s="6"/>
      <c r="JQW118" s="6"/>
      <c r="JQX118" s="6"/>
      <c r="JQY118" s="6"/>
      <c r="JQZ118" s="6"/>
      <c r="JRA118" s="6"/>
      <c r="JRB118" s="6"/>
      <c r="JRC118" s="6"/>
      <c r="JRD118" s="6"/>
      <c r="JRE118" s="6"/>
      <c r="JRF118" s="6"/>
      <c r="JRG118" s="6"/>
      <c r="JRH118" s="6"/>
      <c r="JRI118" s="6"/>
      <c r="JRJ118" s="6"/>
      <c r="JRK118" s="6"/>
      <c r="JRL118" s="6"/>
      <c r="JRM118" s="6"/>
      <c r="JRN118" s="6"/>
      <c r="JRO118" s="6"/>
      <c r="JRP118" s="6"/>
      <c r="JRQ118" s="6"/>
      <c r="JRR118" s="6"/>
      <c r="JRS118" s="6"/>
      <c r="JRT118" s="6"/>
      <c r="JRU118" s="6"/>
      <c r="JRV118" s="6"/>
      <c r="JRW118" s="6"/>
      <c r="JRX118" s="6"/>
      <c r="JRY118" s="6"/>
      <c r="JRZ118" s="6"/>
      <c r="JSA118" s="6"/>
      <c r="JSB118" s="6"/>
      <c r="JSC118" s="6"/>
      <c r="JSD118" s="6"/>
      <c r="JSE118" s="6"/>
      <c r="JSF118" s="6"/>
      <c r="JSG118" s="6"/>
      <c r="JSH118" s="6"/>
      <c r="JSI118" s="6"/>
      <c r="JSJ118" s="6"/>
      <c r="JSK118" s="6"/>
      <c r="JSL118" s="6"/>
      <c r="JSM118" s="6"/>
      <c r="JSN118" s="6"/>
      <c r="JSO118" s="6"/>
      <c r="JSP118" s="6"/>
      <c r="JSQ118" s="6"/>
      <c r="JSR118" s="6"/>
      <c r="JSS118" s="6"/>
      <c r="JST118" s="6"/>
      <c r="JSU118" s="6"/>
      <c r="JSV118" s="6"/>
      <c r="JSW118" s="6"/>
      <c r="JSX118" s="6"/>
      <c r="JSY118" s="6"/>
      <c r="JSZ118" s="6"/>
      <c r="JTA118" s="6"/>
      <c r="JTB118" s="6"/>
      <c r="JTC118" s="6"/>
      <c r="JTD118" s="6"/>
      <c r="JTE118" s="6"/>
      <c r="JTF118" s="6"/>
      <c r="JTG118" s="6"/>
      <c r="JTH118" s="6"/>
      <c r="JTI118" s="6"/>
      <c r="JTJ118" s="6"/>
      <c r="JTK118" s="6"/>
      <c r="JTL118" s="6"/>
      <c r="JTM118" s="6"/>
      <c r="JTN118" s="6"/>
      <c r="JTO118" s="6"/>
      <c r="JTP118" s="6"/>
      <c r="JTQ118" s="6"/>
      <c r="JTR118" s="6"/>
      <c r="JTS118" s="6"/>
      <c r="JTT118" s="6"/>
      <c r="JTU118" s="6"/>
      <c r="JTV118" s="6"/>
      <c r="JTW118" s="6"/>
      <c r="JTX118" s="6"/>
      <c r="JTY118" s="6"/>
      <c r="JTZ118" s="6"/>
      <c r="JUA118" s="6"/>
      <c r="JUB118" s="6"/>
      <c r="JUC118" s="6"/>
      <c r="JUD118" s="6"/>
      <c r="JUE118" s="6"/>
      <c r="JUF118" s="6"/>
      <c r="JUG118" s="6"/>
      <c r="JUH118" s="6"/>
      <c r="JUI118" s="6"/>
      <c r="JUJ118" s="6"/>
      <c r="JUK118" s="6"/>
      <c r="JUL118" s="6"/>
      <c r="JUM118" s="6"/>
      <c r="JUN118" s="6"/>
      <c r="JUO118" s="6"/>
      <c r="JUP118" s="6"/>
      <c r="JUQ118" s="6"/>
      <c r="JUR118" s="6"/>
      <c r="JUS118" s="6"/>
      <c r="JUT118" s="6"/>
      <c r="JUU118" s="6"/>
      <c r="JUV118" s="6"/>
      <c r="JUW118" s="6"/>
      <c r="JUX118" s="6"/>
      <c r="JUY118" s="6"/>
      <c r="JUZ118" s="6"/>
      <c r="JVA118" s="6"/>
      <c r="JVB118" s="6"/>
      <c r="JVC118" s="6"/>
      <c r="JVD118" s="6"/>
      <c r="JVE118" s="6"/>
      <c r="JVF118" s="6"/>
      <c r="JVG118" s="6"/>
      <c r="JVH118" s="6"/>
      <c r="JVI118" s="6"/>
      <c r="JVJ118" s="6"/>
      <c r="JVK118" s="6"/>
      <c r="JVL118" s="6"/>
      <c r="JVM118" s="6"/>
      <c r="JVN118" s="6"/>
      <c r="JVO118" s="6"/>
      <c r="JVP118" s="6"/>
      <c r="JVQ118" s="6"/>
      <c r="JVR118" s="6"/>
      <c r="JVS118" s="6"/>
      <c r="JVT118" s="6"/>
      <c r="JVU118" s="6"/>
      <c r="JVV118" s="6"/>
      <c r="JVW118" s="6"/>
      <c r="JVX118" s="6"/>
      <c r="JVY118" s="6"/>
      <c r="JVZ118" s="6"/>
      <c r="JWA118" s="6"/>
      <c r="JWB118" s="6"/>
      <c r="JWC118" s="6"/>
      <c r="JWD118" s="6"/>
      <c r="JWE118" s="6"/>
      <c r="JWF118" s="6"/>
      <c r="JWG118" s="6"/>
      <c r="JWH118" s="6"/>
      <c r="JWI118" s="6"/>
      <c r="JWJ118" s="6"/>
      <c r="JWK118" s="6"/>
      <c r="JWL118" s="6"/>
      <c r="JWM118" s="6"/>
      <c r="JWN118" s="6"/>
      <c r="JWO118" s="6"/>
      <c r="JWP118" s="6"/>
      <c r="JWQ118" s="6"/>
      <c r="JWR118" s="6"/>
      <c r="JWS118" s="6"/>
      <c r="JWT118" s="6"/>
      <c r="JWU118" s="6"/>
      <c r="JWV118" s="6"/>
      <c r="JWW118" s="6"/>
      <c r="JWX118" s="6"/>
      <c r="JWY118" s="6"/>
      <c r="JWZ118" s="6"/>
      <c r="JXA118" s="6"/>
      <c r="JXB118" s="6"/>
      <c r="JXC118" s="6"/>
      <c r="JXD118" s="6"/>
      <c r="JXE118" s="6"/>
      <c r="JXF118" s="6"/>
      <c r="JXG118" s="6"/>
      <c r="JXH118" s="6"/>
      <c r="JXI118" s="6"/>
      <c r="JXJ118" s="6"/>
      <c r="JXK118" s="6"/>
      <c r="JXL118" s="6"/>
      <c r="JXM118" s="6"/>
      <c r="JXN118" s="6"/>
      <c r="JXO118" s="6"/>
      <c r="JXP118" s="6"/>
      <c r="JXQ118" s="6"/>
      <c r="JXR118" s="6"/>
      <c r="JXS118" s="6"/>
      <c r="JXT118" s="6"/>
      <c r="JXU118" s="6"/>
      <c r="JXV118" s="6"/>
      <c r="JXW118" s="6"/>
      <c r="JXX118" s="6"/>
      <c r="JXY118" s="6"/>
      <c r="JXZ118" s="6"/>
      <c r="JYA118" s="6"/>
      <c r="JYB118" s="6"/>
      <c r="JYC118" s="6"/>
      <c r="JYD118" s="6"/>
      <c r="JYE118" s="6"/>
      <c r="JYF118" s="6"/>
      <c r="JYG118" s="6"/>
      <c r="JYH118" s="6"/>
      <c r="JYI118" s="6"/>
      <c r="JYJ118" s="6"/>
      <c r="JYK118" s="6"/>
      <c r="JYL118" s="6"/>
      <c r="JYM118" s="6"/>
      <c r="JYN118" s="6"/>
      <c r="JYO118" s="6"/>
      <c r="JYP118" s="6"/>
      <c r="JYQ118" s="6"/>
      <c r="JYR118" s="6"/>
      <c r="JYS118" s="6"/>
      <c r="JYT118" s="6"/>
      <c r="JYU118" s="6"/>
      <c r="JYV118" s="6"/>
      <c r="JYW118" s="6"/>
      <c r="JYX118" s="6"/>
      <c r="JYY118" s="6"/>
      <c r="JYZ118" s="6"/>
      <c r="JZA118" s="6"/>
      <c r="JZB118" s="6"/>
      <c r="JZC118" s="6"/>
      <c r="JZD118" s="6"/>
      <c r="JZE118" s="6"/>
      <c r="JZF118" s="6"/>
      <c r="JZG118" s="6"/>
      <c r="JZH118" s="6"/>
      <c r="JZI118" s="6"/>
      <c r="JZJ118" s="6"/>
      <c r="JZK118" s="6"/>
      <c r="JZL118" s="6"/>
      <c r="JZM118" s="6"/>
      <c r="JZN118" s="6"/>
      <c r="JZO118" s="6"/>
      <c r="JZP118" s="6"/>
      <c r="JZQ118" s="6"/>
      <c r="JZR118" s="6"/>
      <c r="JZS118" s="6"/>
      <c r="JZT118" s="6"/>
      <c r="JZU118" s="6"/>
      <c r="JZV118" s="6"/>
      <c r="JZW118" s="6"/>
      <c r="JZX118" s="6"/>
      <c r="JZY118" s="6"/>
      <c r="JZZ118" s="6"/>
      <c r="KAA118" s="6"/>
      <c r="KAB118" s="6"/>
      <c r="KAC118" s="6"/>
      <c r="KAD118" s="6"/>
      <c r="KAE118" s="6"/>
      <c r="KAF118" s="6"/>
      <c r="KAG118" s="6"/>
      <c r="KAH118" s="6"/>
      <c r="KAI118" s="6"/>
      <c r="KAJ118" s="6"/>
      <c r="KAK118" s="6"/>
      <c r="KAL118" s="6"/>
      <c r="KAM118" s="6"/>
      <c r="KAN118" s="6"/>
      <c r="KAO118" s="6"/>
      <c r="KAP118" s="6"/>
      <c r="KAQ118" s="6"/>
      <c r="KAR118" s="6"/>
      <c r="KAS118" s="6"/>
      <c r="KAT118" s="6"/>
      <c r="KAU118" s="6"/>
      <c r="KAV118" s="6"/>
      <c r="KAW118" s="6"/>
      <c r="KAX118" s="6"/>
      <c r="KAY118" s="6"/>
      <c r="KAZ118" s="6"/>
      <c r="KBA118" s="6"/>
      <c r="KBB118" s="6"/>
      <c r="KBC118" s="6"/>
      <c r="KBD118" s="6"/>
      <c r="KBE118" s="6"/>
      <c r="KBF118" s="6"/>
      <c r="KBG118" s="6"/>
      <c r="KBH118" s="6"/>
      <c r="KBI118" s="6"/>
      <c r="KBJ118" s="6"/>
      <c r="KBK118" s="6"/>
      <c r="KBL118" s="6"/>
      <c r="KBM118" s="6"/>
      <c r="KBN118" s="6"/>
      <c r="KBO118" s="6"/>
      <c r="KBP118" s="6"/>
      <c r="KBQ118" s="6"/>
      <c r="KBR118" s="6"/>
      <c r="KBS118" s="6"/>
      <c r="KBT118" s="6"/>
      <c r="KBU118" s="6"/>
      <c r="KBV118" s="6"/>
      <c r="KBW118" s="6"/>
      <c r="KBX118" s="6"/>
      <c r="KBY118" s="6"/>
      <c r="KBZ118" s="6"/>
      <c r="KCA118" s="6"/>
      <c r="KCB118" s="6"/>
      <c r="KCC118" s="6"/>
      <c r="KCD118" s="6"/>
      <c r="KCE118" s="6"/>
      <c r="KCF118" s="6"/>
      <c r="KCG118" s="6"/>
      <c r="KCH118" s="6"/>
      <c r="KCI118" s="6"/>
      <c r="KCJ118" s="6"/>
      <c r="KCK118" s="6"/>
      <c r="KCL118" s="6"/>
      <c r="KCM118" s="6"/>
      <c r="KCN118" s="6"/>
      <c r="KCO118" s="6"/>
      <c r="KCP118" s="6"/>
      <c r="KCQ118" s="6"/>
      <c r="KCR118" s="6"/>
      <c r="KCS118" s="6"/>
      <c r="KCT118" s="6"/>
      <c r="KCU118" s="6"/>
      <c r="KCV118" s="6"/>
      <c r="KCW118" s="6"/>
      <c r="KCX118" s="6"/>
      <c r="KCY118" s="6"/>
      <c r="KCZ118" s="6"/>
      <c r="KDA118" s="6"/>
      <c r="KDB118" s="6"/>
      <c r="KDC118" s="6"/>
      <c r="KDD118" s="6"/>
      <c r="KDE118" s="6"/>
      <c r="KDF118" s="6"/>
      <c r="KDG118" s="6"/>
      <c r="KDH118" s="6"/>
      <c r="KDI118" s="6"/>
      <c r="KDJ118" s="6"/>
      <c r="KDK118" s="6"/>
      <c r="KDL118" s="6"/>
      <c r="KDM118" s="6"/>
      <c r="KDN118" s="6"/>
      <c r="KDO118" s="6"/>
      <c r="KDP118" s="6"/>
      <c r="KDQ118" s="6"/>
      <c r="KDR118" s="6"/>
      <c r="KDS118" s="6"/>
      <c r="KDT118" s="6"/>
      <c r="KDU118" s="6"/>
      <c r="KDV118" s="6"/>
      <c r="KDW118" s="6"/>
      <c r="KDX118" s="6"/>
      <c r="KDY118" s="6"/>
      <c r="KDZ118" s="6"/>
      <c r="KEA118" s="6"/>
      <c r="KEB118" s="6"/>
      <c r="KEC118" s="6"/>
      <c r="KED118" s="6"/>
      <c r="KEE118" s="6"/>
      <c r="KEF118" s="6"/>
      <c r="KEG118" s="6"/>
      <c r="KEH118" s="6"/>
      <c r="KEI118" s="6"/>
      <c r="KEJ118" s="6"/>
      <c r="KEK118" s="6"/>
      <c r="KEL118" s="6"/>
      <c r="KEM118" s="6"/>
      <c r="KEN118" s="6"/>
      <c r="KEO118" s="6"/>
      <c r="KEP118" s="6"/>
      <c r="KEQ118" s="6"/>
      <c r="KER118" s="6"/>
      <c r="KES118" s="6"/>
      <c r="KET118" s="6"/>
      <c r="KEU118" s="6"/>
      <c r="KEV118" s="6"/>
      <c r="KEW118" s="6"/>
      <c r="KEX118" s="6"/>
      <c r="KEY118" s="6"/>
      <c r="KEZ118" s="6"/>
      <c r="KFA118" s="6"/>
      <c r="KFB118" s="6"/>
      <c r="KFC118" s="6"/>
      <c r="KFD118" s="6"/>
      <c r="KFE118" s="6"/>
      <c r="KFF118" s="6"/>
      <c r="KFG118" s="6"/>
      <c r="KFH118" s="6"/>
      <c r="KFI118" s="6"/>
      <c r="KFJ118" s="6"/>
      <c r="KFK118" s="6"/>
      <c r="KFL118" s="6"/>
      <c r="KFM118" s="6"/>
      <c r="KFN118" s="6"/>
      <c r="KFO118" s="6"/>
      <c r="KFP118" s="6"/>
      <c r="KFQ118" s="6"/>
      <c r="KFR118" s="6"/>
      <c r="KFS118" s="6"/>
      <c r="KFT118" s="6"/>
      <c r="KFU118" s="6"/>
      <c r="KFV118" s="6"/>
      <c r="KFW118" s="6"/>
      <c r="KFX118" s="6"/>
      <c r="KFY118" s="6"/>
      <c r="KFZ118" s="6"/>
      <c r="KGA118" s="6"/>
      <c r="KGB118" s="6"/>
      <c r="KGC118" s="6"/>
      <c r="KGD118" s="6"/>
      <c r="KGE118" s="6"/>
      <c r="KGF118" s="6"/>
      <c r="KGG118" s="6"/>
      <c r="KGH118" s="6"/>
      <c r="KGI118" s="6"/>
      <c r="KGJ118" s="6"/>
      <c r="KGK118" s="6"/>
      <c r="KGL118" s="6"/>
      <c r="KGM118" s="6"/>
      <c r="KGN118" s="6"/>
      <c r="KGO118" s="6"/>
      <c r="KGP118" s="6"/>
      <c r="KGQ118" s="6"/>
      <c r="KGR118" s="6"/>
      <c r="KGS118" s="6"/>
      <c r="KGT118" s="6"/>
      <c r="KGU118" s="6"/>
      <c r="KGV118" s="6"/>
      <c r="KGW118" s="6"/>
      <c r="KGX118" s="6"/>
      <c r="KGY118" s="6"/>
      <c r="KGZ118" s="6"/>
      <c r="KHA118" s="6"/>
      <c r="KHB118" s="6"/>
      <c r="KHC118" s="6"/>
      <c r="KHD118" s="6"/>
      <c r="KHE118" s="6"/>
      <c r="KHF118" s="6"/>
      <c r="KHG118" s="6"/>
      <c r="KHH118" s="6"/>
      <c r="KHI118" s="6"/>
      <c r="KHJ118" s="6"/>
      <c r="KHK118" s="6"/>
      <c r="KHL118" s="6"/>
      <c r="KHM118" s="6"/>
      <c r="KHN118" s="6"/>
      <c r="KHO118" s="6"/>
      <c r="KHP118" s="6"/>
      <c r="KHQ118" s="6"/>
      <c r="KHR118" s="6"/>
      <c r="KHS118" s="6"/>
      <c r="KHT118" s="6"/>
      <c r="KHU118" s="6"/>
      <c r="KHV118" s="6"/>
      <c r="KHW118" s="6"/>
      <c r="KHX118" s="6"/>
      <c r="KHY118" s="6"/>
      <c r="KHZ118" s="6"/>
      <c r="KIA118" s="6"/>
      <c r="KIB118" s="6"/>
      <c r="KIC118" s="6"/>
      <c r="KID118" s="6"/>
      <c r="KIE118" s="6"/>
      <c r="KIF118" s="6"/>
      <c r="KIG118" s="6"/>
      <c r="KIH118" s="6"/>
      <c r="KII118" s="6"/>
      <c r="KIJ118" s="6"/>
      <c r="KIK118" s="6"/>
      <c r="KIL118" s="6"/>
      <c r="KIM118" s="6"/>
      <c r="KIN118" s="6"/>
      <c r="KIO118" s="6"/>
      <c r="KIP118" s="6"/>
      <c r="KIQ118" s="6"/>
      <c r="KIR118" s="6"/>
      <c r="KIS118" s="6"/>
      <c r="KIT118" s="6"/>
      <c r="KIU118" s="6"/>
      <c r="KIV118" s="6"/>
      <c r="KIW118" s="6"/>
      <c r="KIX118" s="6"/>
      <c r="KIY118" s="6"/>
      <c r="KIZ118" s="6"/>
      <c r="KJA118" s="6"/>
      <c r="KJB118" s="6"/>
      <c r="KJC118" s="6"/>
      <c r="KJD118" s="6"/>
      <c r="KJE118" s="6"/>
      <c r="KJF118" s="6"/>
      <c r="KJG118" s="6"/>
      <c r="KJH118" s="6"/>
      <c r="KJI118" s="6"/>
      <c r="KJJ118" s="6"/>
      <c r="KJK118" s="6"/>
      <c r="KJL118" s="6"/>
      <c r="KJM118" s="6"/>
      <c r="KJN118" s="6"/>
      <c r="KJO118" s="6"/>
      <c r="KJP118" s="6"/>
      <c r="KJQ118" s="6"/>
      <c r="KJR118" s="6"/>
      <c r="KJS118" s="6"/>
      <c r="KJT118" s="6"/>
      <c r="KJU118" s="6"/>
      <c r="KJV118" s="6"/>
      <c r="KJW118" s="6"/>
      <c r="KJX118" s="6"/>
      <c r="KJY118" s="6"/>
      <c r="KJZ118" s="6"/>
      <c r="KKA118" s="6"/>
      <c r="KKB118" s="6"/>
      <c r="KKC118" s="6"/>
      <c r="KKD118" s="6"/>
      <c r="KKE118" s="6"/>
      <c r="KKF118" s="6"/>
      <c r="KKG118" s="6"/>
      <c r="KKH118" s="6"/>
      <c r="KKI118" s="6"/>
      <c r="KKJ118" s="6"/>
      <c r="KKK118" s="6"/>
      <c r="KKL118" s="6"/>
      <c r="KKM118" s="6"/>
      <c r="KKN118" s="6"/>
      <c r="KKO118" s="6"/>
      <c r="KKP118" s="6"/>
      <c r="KKQ118" s="6"/>
      <c r="KKR118" s="6"/>
      <c r="KKS118" s="6"/>
      <c r="KKT118" s="6"/>
      <c r="KKU118" s="6"/>
      <c r="KKV118" s="6"/>
      <c r="KKW118" s="6"/>
      <c r="KKX118" s="6"/>
      <c r="KKY118" s="6"/>
      <c r="KKZ118" s="6"/>
      <c r="KLA118" s="6"/>
      <c r="KLB118" s="6"/>
      <c r="KLC118" s="6"/>
      <c r="KLD118" s="6"/>
      <c r="KLE118" s="6"/>
      <c r="KLF118" s="6"/>
      <c r="KLG118" s="6"/>
      <c r="KLH118" s="6"/>
      <c r="KLI118" s="6"/>
      <c r="KLJ118" s="6"/>
      <c r="KLK118" s="6"/>
      <c r="KLL118" s="6"/>
      <c r="KLM118" s="6"/>
      <c r="KLN118" s="6"/>
      <c r="KLO118" s="6"/>
      <c r="KLP118" s="6"/>
      <c r="KLQ118" s="6"/>
      <c r="KLR118" s="6"/>
      <c r="KLS118" s="6"/>
      <c r="KLT118" s="6"/>
      <c r="KLU118" s="6"/>
      <c r="KLV118" s="6"/>
      <c r="KLW118" s="6"/>
      <c r="KLX118" s="6"/>
      <c r="KLY118" s="6"/>
      <c r="KLZ118" s="6"/>
      <c r="KMA118" s="6"/>
      <c r="KMB118" s="6"/>
      <c r="KMC118" s="6"/>
      <c r="KMD118" s="6"/>
      <c r="KME118" s="6"/>
      <c r="KMF118" s="6"/>
      <c r="KMG118" s="6"/>
      <c r="KMH118" s="6"/>
      <c r="KMI118" s="6"/>
      <c r="KMJ118" s="6"/>
      <c r="KMK118" s="6"/>
      <c r="KML118" s="6"/>
      <c r="KMM118" s="6"/>
      <c r="KMN118" s="6"/>
      <c r="KMO118" s="6"/>
      <c r="KMP118" s="6"/>
      <c r="KMQ118" s="6"/>
      <c r="KMR118" s="6"/>
      <c r="KMS118" s="6"/>
      <c r="KMT118" s="6"/>
      <c r="KMU118" s="6"/>
      <c r="KMV118" s="6"/>
      <c r="KMW118" s="6"/>
      <c r="KMX118" s="6"/>
      <c r="KMY118" s="6"/>
      <c r="KMZ118" s="6"/>
      <c r="KNA118" s="6"/>
      <c r="KNB118" s="6"/>
      <c r="KNC118" s="6"/>
      <c r="KND118" s="6"/>
      <c r="KNE118" s="6"/>
      <c r="KNF118" s="6"/>
      <c r="KNG118" s="6"/>
      <c r="KNH118" s="6"/>
      <c r="KNI118" s="6"/>
      <c r="KNJ118" s="6"/>
      <c r="KNK118" s="6"/>
      <c r="KNL118" s="6"/>
      <c r="KNM118" s="6"/>
      <c r="KNN118" s="6"/>
      <c r="KNO118" s="6"/>
      <c r="KNP118" s="6"/>
      <c r="KNQ118" s="6"/>
      <c r="KNR118" s="6"/>
      <c r="KNS118" s="6"/>
      <c r="KNT118" s="6"/>
      <c r="KNU118" s="6"/>
      <c r="KNV118" s="6"/>
      <c r="KNW118" s="6"/>
      <c r="KNX118" s="6"/>
      <c r="KNY118" s="6"/>
      <c r="KNZ118" s="6"/>
      <c r="KOA118" s="6"/>
      <c r="KOB118" s="6"/>
      <c r="KOC118" s="6"/>
      <c r="KOD118" s="6"/>
      <c r="KOE118" s="6"/>
      <c r="KOF118" s="6"/>
      <c r="KOG118" s="6"/>
      <c r="KOH118" s="6"/>
      <c r="KOI118" s="6"/>
      <c r="KOJ118" s="6"/>
      <c r="KOK118" s="6"/>
      <c r="KOL118" s="6"/>
      <c r="KOM118" s="6"/>
      <c r="KON118" s="6"/>
      <c r="KOO118" s="6"/>
      <c r="KOP118" s="6"/>
      <c r="KOQ118" s="6"/>
      <c r="KOR118" s="6"/>
      <c r="KOS118" s="6"/>
      <c r="KOT118" s="6"/>
      <c r="KOU118" s="6"/>
      <c r="KOV118" s="6"/>
      <c r="KOW118" s="6"/>
      <c r="KOX118" s="6"/>
      <c r="KOY118" s="6"/>
      <c r="KOZ118" s="6"/>
      <c r="KPA118" s="6"/>
      <c r="KPB118" s="6"/>
      <c r="KPC118" s="6"/>
      <c r="KPD118" s="6"/>
      <c r="KPE118" s="6"/>
      <c r="KPF118" s="6"/>
      <c r="KPG118" s="6"/>
      <c r="KPH118" s="6"/>
      <c r="KPI118" s="6"/>
      <c r="KPJ118" s="6"/>
      <c r="KPK118" s="6"/>
      <c r="KPL118" s="6"/>
      <c r="KPM118" s="6"/>
      <c r="KPN118" s="6"/>
      <c r="KPO118" s="6"/>
      <c r="KPP118" s="6"/>
      <c r="KPQ118" s="6"/>
      <c r="KPR118" s="6"/>
      <c r="KPS118" s="6"/>
      <c r="KPT118" s="6"/>
      <c r="KPU118" s="6"/>
      <c r="KPV118" s="6"/>
      <c r="KPW118" s="6"/>
      <c r="KPX118" s="6"/>
      <c r="KPY118" s="6"/>
      <c r="KPZ118" s="6"/>
      <c r="KQA118" s="6"/>
      <c r="KQB118" s="6"/>
      <c r="KQC118" s="6"/>
      <c r="KQD118" s="6"/>
      <c r="KQE118" s="6"/>
      <c r="KQF118" s="6"/>
      <c r="KQG118" s="6"/>
      <c r="KQH118" s="6"/>
      <c r="KQI118" s="6"/>
      <c r="KQJ118" s="6"/>
      <c r="KQK118" s="6"/>
      <c r="KQL118" s="6"/>
      <c r="KQM118" s="6"/>
      <c r="KQN118" s="6"/>
      <c r="KQO118" s="6"/>
      <c r="KQP118" s="6"/>
      <c r="KQQ118" s="6"/>
      <c r="KQR118" s="6"/>
      <c r="KQS118" s="6"/>
      <c r="KQT118" s="6"/>
      <c r="KQU118" s="6"/>
      <c r="KQV118" s="6"/>
      <c r="KQW118" s="6"/>
      <c r="KQX118" s="6"/>
      <c r="KQY118" s="6"/>
      <c r="KQZ118" s="6"/>
      <c r="KRA118" s="6"/>
      <c r="KRB118" s="6"/>
      <c r="KRC118" s="6"/>
      <c r="KRD118" s="6"/>
      <c r="KRE118" s="6"/>
      <c r="KRF118" s="6"/>
      <c r="KRG118" s="6"/>
      <c r="KRH118" s="6"/>
      <c r="KRI118" s="6"/>
      <c r="KRJ118" s="6"/>
      <c r="KRK118" s="6"/>
      <c r="KRL118" s="6"/>
      <c r="KRM118" s="6"/>
      <c r="KRN118" s="6"/>
      <c r="KRO118" s="6"/>
      <c r="KRP118" s="6"/>
      <c r="KRQ118" s="6"/>
      <c r="KRR118" s="6"/>
      <c r="KRS118" s="6"/>
      <c r="KRT118" s="6"/>
      <c r="KRU118" s="6"/>
      <c r="KRV118" s="6"/>
      <c r="KRW118" s="6"/>
      <c r="KRX118" s="6"/>
      <c r="KRY118" s="6"/>
      <c r="KRZ118" s="6"/>
      <c r="KSA118" s="6"/>
      <c r="KSB118" s="6"/>
      <c r="KSC118" s="6"/>
      <c r="KSD118" s="6"/>
      <c r="KSE118" s="6"/>
      <c r="KSF118" s="6"/>
      <c r="KSG118" s="6"/>
      <c r="KSH118" s="6"/>
      <c r="KSI118" s="6"/>
      <c r="KSJ118" s="6"/>
      <c r="KSK118" s="6"/>
      <c r="KSL118" s="6"/>
      <c r="KSM118" s="6"/>
      <c r="KSN118" s="6"/>
      <c r="KSO118" s="6"/>
      <c r="KSP118" s="6"/>
      <c r="KSQ118" s="6"/>
      <c r="KSR118" s="6"/>
      <c r="KSS118" s="6"/>
      <c r="KST118" s="6"/>
      <c r="KSU118" s="6"/>
      <c r="KSV118" s="6"/>
      <c r="KSW118" s="6"/>
      <c r="KSX118" s="6"/>
      <c r="KSY118" s="6"/>
      <c r="KSZ118" s="6"/>
      <c r="KTA118" s="6"/>
      <c r="KTB118" s="6"/>
      <c r="KTC118" s="6"/>
      <c r="KTD118" s="6"/>
      <c r="KTE118" s="6"/>
      <c r="KTF118" s="6"/>
      <c r="KTG118" s="6"/>
      <c r="KTH118" s="6"/>
      <c r="KTI118" s="6"/>
      <c r="KTJ118" s="6"/>
      <c r="KTK118" s="6"/>
      <c r="KTL118" s="6"/>
      <c r="KTM118" s="6"/>
      <c r="KTN118" s="6"/>
      <c r="KTO118" s="6"/>
      <c r="KTP118" s="6"/>
      <c r="KTQ118" s="6"/>
      <c r="KTR118" s="6"/>
      <c r="KTS118" s="6"/>
      <c r="KTT118" s="6"/>
      <c r="KTU118" s="6"/>
      <c r="KTV118" s="6"/>
      <c r="KTW118" s="6"/>
      <c r="KTX118" s="6"/>
      <c r="KTY118" s="6"/>
      <c r="KTZ118" s="6"/>
      <c r="KUA118" s="6"/>
      <c r="KUB118" s="6"/>
      <c r="KUC118" s="6"/>
      <c r="KUD118" s="6"/>
      <c r="KUE118" s="6"/>
      <c r="KUF118" s="6"/>
      <c r="KUG118" s="6"/>
      <c r="KUH118" s="6"/>
      <c r="KUI118" s="6"/>
      <c r="KUJ118" s="6"/>
      <c r="KUK118" s="6"/>
      <c r="KUL118" s="6"/>
      <c r="KUM118" s="6"/>
      <c r="KUN118" s="6"/>
      <c r="KUO118" s="6"/>
      <c r="KUP118" s="6"/>
      <c r="KUQ118" s="6"/>
      <c r="KUR118" s="6"/>
      <c r="KUS118" s="6"/>
      <c r="KUT118" s="6"/>
      <c r="KUU118" s="6"/>
      <c r="KUV118" s="6"/>
      <c r="KUW118" s="6"/>
      <c r="KUX118" s="6"/>
      <c r="KUY118" s="6"/>
      <c r="KUZ118" s="6"/>
      <c r="KVA118" s="6"/>
      <c r="KVB118" s="6"/>
      <c r="KVC118" s="6"/>
      <c r="KVD118" s="6"/>
      <c r="KVE118" s="6"/>
      <c r="KVF118" s="6"/>
      <c r="KVG118" s="6"/>
      <c r="KVH118" s="6"/>
      <c r="KVI118" s="6"/>
      <c r="KVJ118" s="6"/>
      <c r="KVK118" s="6"/>
      <c r="KVL118" s="6"/>
      <c r="KVM118" s="6"/>
      <c r="KVN118" s="6"/>
      <c r="KVO118" s="6"/>
      <c r="KVP118" s="6"/>
      <c r="KVQ118" s="6"/>
      <c r="KVR118" s="6"/>
      <c r="KVS118" s="6"/>
      <c r="KVT118" s="6"/>
      <c r="KVU118" s="6"/>
      <c r="KVV118" s="6"/>
      <c r="KVW118" s="6"/>
      <c r="KVX118" s="6"/>
      <c r="KVY118" s="6"/>
      <c r="KVZ118" s="6"/>
      <c r="KWA118" s="6"/>
      <c r="KWB118" s="6"/>
      <c r="KWC118" s="6"/>
      <c r="KWD118" s="6"/>
      <c r="KWE118" s="6"/>
      <c r="KWF118" s="6"/>
      <c r="KWG118" s="6"/>
      <c r="KWH118" s="6"/>
      <c r="KWI118" s="6"/>
      <c r="KWJ118" s="6"/>
      <c r="KWK118" s="6"/>
      <c r="KWL118" s="6"/>
      <c r="KWM118" s="6"/>
      <c r="KWN118" s="6"/>
      <c r="KWO118" s="6"/>
      <c r="KWP118" s="6"/>
      <c r="KWQ118" s="6"/>
      <c r="KWR118" s="6"/>
      <c r="KWS118" s="6"/>
      <c r="KWT118" s="6"/>
      <c r="KWU118" s="6"/>
      <c r="KWV118" s="6"/>
      <c r="KWW118" s="6"/>
      <c r="KWX118" s="6"/>
      <c r="KWY118" s="6"/>
      <c r="KWZ118" s="6"/>
      <c r="KXA118" s="6"/>
      <c r="KXB118" s="6"/>
      <c r="KXC118" s="6"/>
      <c r="KXD118" s="6"/>
      <c r="KXE118" s="6"/>
      <c r="KXF118" s="6"/>
      <c r="KXG118" s="6"/>
      <c r="KXH118" s="6"/>
      <c r="KXI118" s="6"/>
      <c r="KXJ118" s="6"/>
      <c r="KXK118" s="6"/>
      <c r="KXL118" s="6"/>
      <c r="KXM118" s="6"/>
      <c r="KXN118" s="6"/>
      <c r="KXO118" s="6"/>
      <c r="KXP118" s="6"/>
      <c r="KXQ118" s="6"/>
      <c r="KXR118" s="6"/>
      <c r="KXS118" s="6"/>
      <c r="KXT118" s="6"/>
      <c r="KXU118" s="6"/>
      <c r="KXV118" s="6"/>
      <c r="KXW118" s="6"/>
      <c r="KXX118" s="6"/>
      <c r="KXY118" s="6"/>
      <c r="KXZ118" s="6"/>
      <c r="KYA118" s="6"/>
      <c r="KYB118" s="6"/>
      <c r="KYC118" s="6"/>
      <c r="KYD118" s="6"/>
      <c r="KYE118" s="6"/>
      <c r="KYF118" s="6"/>
      <c r="KYG118" s="6"/>
      <c r="KYH118" s="6"/>
      <c r="KYI118" s="6"/>
      <c r="KYJ118" s="6"/>
      <c r="KYK118" s="6"/>
      <c r="KYL118" s="6"/>
      <c r="KYM118" s="6"/>
      <c r="KYN118" s="6"/>
      <c r="KYO118" s="6"/>
      <c r="KYP118" s="6"/>
      <c r="KYQ118" s="6"/>
      <c r="KYR118" s="6"/>
      <c r="KYS118" s="6"/>
      <c r="KYT118" s="6"/>
      <c r="KYU118" s="6"/>
      <c r="KYV118" s="6"/>
      <c r="KYW118" s="6"/>
      <c r="KYX118" s="6"/>
      <c r="KYY118" s="6"/>
      <c r="KYZ118" s="6"/>
      <c r="KZA118" s="6"/>
      <c r="KZB118" s="6"/>
      <c r="KZC118" s="6"/>
      <c r="KZD118" s="6"/>
      <c r="KZE118" s="6"/>
      <c r="KZF118" s="6"/>
      <c r="KZG118" s="6"/>
      <c r="KZH118" s="6"/>
      <c r="KZI118" s="6"/>
      <c r="KZJ118" s="6"/>
      <c r="KZK118" s="6"/>
      <c r="KZL118" s="6"/>
      <c r="KZM118" s="6"/>
      <c r="KZN118" s="6"/>
      <c r="KZO118" s="6"/>
      <c r="KZP118" s="6"/>
      <c r="KZQ118" s="6"/>
      <c r="KZR118" s="6"/>
      <c r="KZS118" s="6"/>
      <c r="KZT118" s="6"/>
      <c r="KZU118" s="6"/>
      <c r="KZV118" s="6"/>
      <c r="KZW118" s="6"/>
      <c r="KZX118" s="6"/>
      <c r="KZY118" s="6"/>
      <c r="KZZ118" s="6"/>
      <c r="LAA118" s="6"/>
      <c r="LAB118" s="6"/>
      <c r="LAC118" s="6"/>
      <c r="LAD118" s="6"/>
      <c r="LAE118" s="6"/>
      <c r="LAF118" s="6"/>
      <c r="LAG118" s="6"/>
      <c r="LAH118" s="6"/>
      <c r="LAI118" s="6"/>
      <c r="LAJ118" s="6"/>
      <c r="LAK118" s="6"/>
      <c r="LAL118" s="6"/>
      <c r="LAM118" s="6"/>
      <c r="LAN118" s="6"/>
      <c r="LAO118" s="6"/>
      <c r="LAP118" s="6"/>
      <c r="LAQ118" s="6"/>
      <c r="LAR118" s="6"/>
      <c r="LAS118" s="6"/>
      <c r="LAT118" s="6"/>
      <c r="LAU118" s="6"/>
      <c r="LAV118" s="6"/>
      <c r="LAW118" s="6"/>
      <c r="LAX118" s="6"/>
      <c r="LAY118" s="6"/>
      <c r="LAZ118" s="6"/>
      <c r="LBA118" s="6"/>
      <c r="LBB118" s="6"/>
      <c r="LBC118" s="6"/>
      <c r="LBD118" s="6"/>
      <c r="LBE118" s="6"/>
      <c r="LBF118" s="6"/>
      <c r="LBG118" s="6"/>
      <c r="LBH118" s="6"/>
      <c r="LBI118" s="6"/>
      <c r="LBJ118" s="6"/>
      <c r="LBK118" s="6"/>
      <c r="LBL118" s="6"/>
      <c r="LBM118" s="6"/>
      <c r="LBN118" s="6"/>
      <c r="LBO118" s="6"/>
      <c r="LBP118" s="6"/>
      <c r="LBQ118" s="6"/>
      <c r="LBR118" s="6"/>
      <c r="LBS118" s="6"/>
      <c r="LBT118" s="6"/>
      <c r="LBU118" s="6"/>
      <c r="LBV118" s="6"/>
      <c r="LBW118" s="6"/>
      <c r="LBX118" s="6"/>
      <c r="LBY118" s="6"/>
      <c r="LBZ118" s="6"/>
      <c r="LCA118" s="6"/>
      <c r="LCB118" s="6"/>
      <c r="LCC118" s="6"/>
      <c r="LCD118" s="6"/>
      <c r="LCE118" s="6"/>
      <c r="LCF118" s="6"/>
      <c r="LCG118" s="6"/>
      <c r="LCH118" s="6"/>
      <c r="LCI118" s="6"/>
      <c r="LCJ118" s="6"/>
      <c r="LCK118" s="6"/>
      <c r="LCL118" s="6"/>
      <c r="LCM118" s="6"/>
      <c r="LCN118" s="6"/>
      <c r="LCO118" s="6"/>
      <c r="LCP118" s="6"/>
      <c r="LCQ118" s="6"/>
      <c r="LCR118" s="6"/>
      <c r="LCS118" s="6"/>
      <c r="LCT118" s="6"/>
      <c r="LCU118" s="6"/>
      <c r="LCV118" s="6"/>
      <c r="LCW118" s="6"/>
      <c r="LCX118" s="6"/>
      <c r="LCY118" s="6"/>
      <c r="LCZ118" s="6"/>
      <c r="LDA118" s="6"/>
      <c r="LDB118" s="6"/>
      <c r="LDC118" s="6"/>
      <c r="LDD118" s="6"/>
      <c r="LDE118" s="6"/>
      <c r="LDF118" s="6"/>
      <c r="LDG118" s="6"/>
      <c r="LDH118" s="6"/>
      <c r="LDI118" s="6"/>
      <c r="LDJ118" s="6"/>
      <c r="LDK118" s="6"/>
      <c r="LDL118" s="6"/>
      <c r="LDM118" s="6"/>
      <c r="LDN118" s="6"/>
      <c r="LDO118" s="6"/>
      <c r="LDP118" s="6"/>
      <c r="LDQ118" s="6"/>
      <c r="LDR118" s="6"/>
      <c r="LDS118" s="6"/>
      <c r="LDT118" s="6"/>
      <c r="LDU118" s="6"/>
      <c r="LDV118" s="6"/>
      <c r="LDW118" s="6"/>
      <c r="LDX118" s="6"/>
      <c r="LDY118" s="6"/>
      <c r="LDZ118" s="6"/>
      <c r="LEA118" s="6"/>
      <c r="LEB118" s="6"/>
      <c r="LEC118" s="6"/>
      <c r="LED118" s="6"/>
      <c r="LEE118" s="6"/>
      <c r="LEF118" s="6"/>
      <c r="LEG118" s="6"/>
      <c r="LEH118" s="6"/>
      <c r="LEI118" s="6"/>
      <c r="LEJ118" s="6"/>
      <c r="LEK118" s="6"/>
      <c r="LEL118" s="6"/>
      <c r="LEM118" s="6"/>
      <c r="LEN118" s="6"/>
      <c r="LEO118" s="6"/>
      <c r="LEP118" s="6"/>
      <c r="LEQ118" s="6"/>
      <c r="LER118" s="6"/>
      <c r="LES118" s="6"/>
      <c r="LET118" s="6"/>
      <c r="LEU118" s="6"/>
      <c r="LEV118" s="6"/>
      <c r="LEW118" s="6"/>
      <c r="LEX118" s="6"/>
      <c r="LEY118" s="6"/>
      <c r="LEZ118" s="6"/>
      <c r="LFA118" s="6"/>
      <c r="LFB118" s="6"/>
      <c r="LFC118" s="6"/>
      <c r="LFD118" s="6"/>
      <c r="LFE118" s="6"/>
      <c r="LFF118" s="6"/>
      <c r="LFG118" s="6"/>
      <c r="LFH118" s="6"/>
      <c r="LFI118" s="6"/>
      <c r="LFJ118" s="6"/>
      <c r="LFK118" s="6"/>
      <c r="LFL118" s="6"/>
      <c r="LFM118" s="6"/>
      <c r="LFN118" s="6"/>
      <c r="LFO118" s="6"/>
      <c r="LFP118" s="6"/>
      <c r="LFQ118" s="6"/>
      <c r="LFR118" s="6"/>
      <c r="LFS118" s="6"/>
      <c r="LFT118" s="6"/>
      <c r="LFU118" s="6"/>
      <c r="LFV118" s="6"/>
      <c r="LFW118" s="6"/>
      <c r="LFX118" s="6"/>
      <c r="LFY118" s="6"/>
      <c r="LFZ118" s="6"/>
      <c r="LGA118" s="6"/>
      <c r="LGB118" s="6"/>
      <c r="LGC118" s="6"/>
      <c r="LGD118" s="6"/>
      <c r="LGE118" s="6"/>
      <c r="LGF118" s="6"/>
      <c r="LGG118" s="6"/>
      <c r="LGH118" s="6"/>
      <c r="LGI118" s="6"/>
      <c r="LGJ118" s="6"/>
      <c r="LGK118" s="6"/>
      <c r="LGL118" s="6"/>
      <c r="LGM118" s="6"/>
      <c r="LGN118" s="6"/>
      <c r="LGO118" s="6"/>
      <c r="LGP118" s="6"/>
      <c r="LGQ118" s="6"/>
      <c r="LGR118" s="6"/>
      <c r="LGS118" s="6"/>
      <c r="LGT118" s="6"/>
      <c r="LGU118" s="6"/>
      <c r="LGV118" s="6"/>
      <c r="LGW118" s="6"/>
      <c r="LGX118" s="6"/>
      <c r="LGY118" s="6"/>
      <c r="LGZ118" s="6"/>
      <c r="LHA118" s="6"/>
      <c r="LHB118" s="6"/>
      <c r="LHC118" s="6"/>
      <c r="LHD118" s="6"/>
      <c r="LHE118" s="6"/>
      <c r="LHF118" s="6"/>
      <c r="LHG118" s="6"/>
      <c r="LHH118" s="6"/>
      <c r="LHI118" s="6"/>
      <c r="LHJ118" s="6"/>
      <c r="LHK118" s="6"/>
      <c r="LHL118" s="6"/>
      <c r="LHM118" s="6"/>
      <c r="LHN118" s="6"/>
      <c r="LHO118" s="6"/>
      <c r="LHP118" s="6"/>
      <c r="LHQ118" s="6"/>
      <c r="LHR118" s="6"/>
      <c r="LHS118" s="6"/>
      <c r="LHT118" s="6"/>
      <c r="LHU118" s="6"/>
      <c r="LHV118" s="6"/>
      <c r="LHW118" s="6"/>
      <c r="LHX118" s="6"/>
      <c r="LHY118" s="6"/>
      <c r="LHZ118" s="6"/>
      <c r="LIA118" s="6"/>
      <c r="LIB118" s="6"/>
      <c r="LIC118" s="6"/>
      <c r="LID118" s="6"/>
      <c r="LIE118" s="6"/>
      <c r="LIF118" s="6"/>
      <c r="LIG118" s="6"/>
      <c r="LIH118" s="6"/>
      <c r="LII118" s="6"/>
      <c r="LIJ118" s="6"/>
      <c r="LIK118" s="6"/>
      <c r="LIL118" s="6"/>
      <c r="LIM118" s="6"/>
      <c r="LIN118" s="6"/>
      <c r="LIO118" s="6"/>
      <c r="LIP118" s="6"/>
      <c r="LIQ118" s="6"/>
      <c r="LIR118" s="6"/>
      <c r="LIS118" s="6"/>
      <c r="LIT118" s="6"/>
      <c r="LIU118" s="6"/>
      <c r="LIV118" s="6"/>
      <c r="LIW118" s="6"/>
      <c r="LIX118" s="6"/>
      <c r="LIY118" s="6"/>
      <c r="LIZ118" s="6"/>
      <c r="LJA118" s="6"/>
      <c r="LJB118" s="6"/>
      <c r="LJC118" s="6"/>
      <c r="LJD118" s="6"/>
      <c r="LJE118" s="6"/>
      <c r="LJF118" s="6"/>
      <c r="LJG118" s="6"/>
      <c r="LJH118" s="6"/>
      <c r="LJI118" s="6"/>
      <c r="LJJ118" s="6"/>
      <c r="LJK118" s="6"/>
      <c r="LJL118" s="6"/>
      <c r="LJM118" s="6"/>
      <c r="LJN118" s="6"/>
      <c r="LJO118" s="6"/>
      <c r="LJP118" s="6"/>
      <c r="LJQ118" s="6"/>
      <c r="LJR118" s="6"/>
      <c r="LJS118" s="6"/>
      <c r="LJT118" s="6"/>
      <c r="LJU118" s="6"/>
      <c r="LJV118" s="6"/>
      <c r="LJW118" s="6"/>
      <c r="LJX118" s="6"/>
      <c r="LJY118" s="6"/>
      <c r="LJZ118" s="6"/>
      <c r="LKA118" s="6"/>
      <c r="LKB118" s="6"/>
      <c r="LKC118" s="6"/>
      <c r="LKD118" s="6"/>
      <c r="LKE118" s="6"/>
      <c r="LKF118" s="6"/>
      <c r="LKG118" s="6"/>
      <c r="LKH118" s="6"/>
      <c r="LKI118" s="6"/>
      <c r="LKJ118" s="6"/>
      <c r="LKK118" s="6"/>
      <c r="LKL118" s="6"/>
      <c r="LKM118" s="6"/>
      <c r="LKN118" s="6"/>
      <c r="LKO118" s="6"/>
      <c r="LKP118" s="6"/>
      <c r="LKQ118" s="6"/>
      <c r="LKR118" s="6"/>
      <c r="LKS118" s="6"/>
      <c r="LKT118" s="6"/>
      <c r="LKU118" s="6"/>
      <c r="LKV118" s="6"/>
      <c r="LKW118" s="6"/>
      <c r="LKX118" s="6"/>
      <c r="LKY118" s="6"/>
      <c r="LKZ118" s="6"/>
      <c r="LLA118" s="6"/>
      <c r="LLB118" s="6"/>
      <c r="LLC118" s="6"/>
      <c r="LLD118" s="6"/>
      <c r="LLE118" s="6"/>
      <c r="LLF118" s="6"/>
      <c r="LLG118" s="6"/>
      <c r="LLH118" s="6"/>
      <c r="LLI118" s="6"/>
      <c r="LLJ118" s="6"/>
      <c r="LLK118" s="6"/>
      <c r="LLL118" s="6"/>
      <c r="LLM118" s="6"/>
      <c r="LLN118" s="6"/>
      <c r="LLO118" s="6"/>
      <c r="LLP118" s="6"/>
      <c r="LLQ118" s="6"/>
      <c r="LLR118" s="6"/>
      <c r="LLS118" s="6"/>
      <c r="LLT118" s="6"/>
      <c r="LLU118" s="6"/>
      <c r="LLV118" s="6"/>
      <c r="LLW118" s="6"/>
      <c r="LLX118" s="6"/>
      <c r="LLY118" s="6"/>
      <c r="LLZ118" s="6"/>
      <c r="LMA118" s="6"/>
      <c r="LMB118" s="6"/>
      <c r="LMC118" s="6"/>
      <c r="LMD118" s="6"/>
      <c r="LME118" s="6"/>
      <c r="LMF118" s="6"/>
      <c r="LMG118" s="6"/>
      <c r="LMH118" s="6"/>
      <c r="LMI118" s="6"/>
      <c r="LMJ118" s="6"/>
      <c r="LMK118" s="6"/>
      <c r="LML118" s="6"/>
      <c r="LMM118" s="6"/>
      <c r="LMN118" s="6"/>
      <c r="LMO118" s="6"/>
      <c r="LMP118" s="6"/>
      <c r="LMQ118" s="6"/>
      <c r="LMR118" s="6"/>
      <c r="LMS118" s="6"/>
      <c r="LMT118" s="6"/>
      <c r="LMU118" s="6"/>
      <c r="LMV118" s="6"/>
      <c r="LMW118" s="6"/>
      <c r="LMX118" s="6"/>
      <c r="LMY118" s="6"/>
      <c r="LMZ118" s="6"/>
      <c r="LNA118" s="6"/>
      <c r="LNB118" s="6"/>
      <c r="LNC118" s="6"/>
      <c r="LND118" s="6"/>
      <c r="LNE118" s="6"/>
      <c r="LNF118" s="6"/>
      <c r="LNG118" s="6"/>
      <c r="LNH118" s="6"/>
      <c r="LNI118" s="6"/>
      <c r="LNJ118" s="6"/>
      <c r="LNK118" s="6"/>
      <c r="LNL118" s="6"/>
      <c r="LNM118" s="6"/>
      <c r="LNN118" s="6"/>
      <c r="LNO118" s="6"/>
      <c r="LNP118" s="6"/>
      <c r="LNQ118" s="6"/>
      <c r="LNR118" s="6"/>
      <c r="LNS118" s="6"/>
      <c r="LNT118" s="6"/>
      <c r="LNU118" s="6"/>
      <c r="LNV118" s="6"/>
      <c r="LNW118" s="6"/>
      <c r="LNX118" s="6"/>
      <c r="LNY118" s="6"/>
      <c r="LNZ118" s="6"/>
      <c r="LOA118" s="6"/>
      <c r="LOB118" s="6"/>
      <c r="LOC118" s="6"/>
      <c r="LOD118" s="6"/>
      <c r="LOE118" s="6"/>
      <c r="LOF118" s="6"/>
      <c r="LOG118" s="6"/>
      <c r="LOH118" s="6"/>
      <c r="LOI118" s="6"/>
      <c r="LOJ118" s="6"/>
      <c r="LOK118" s="6"/>
      <c r="LOL118" s="6"/>
      <c r="LOM118" s="6"/>
      <c r="LON118" s="6"/>
      <c r="LOO118" s="6"/>
      <c r="LOP118" s="6"/>
      <c r="LOQ118" s="6"/>
      <c r="LOR118" s="6"/>
      <c r="LOS118" s="6"/>
      <c r="LOT118" s="6"/>
      <c r="LOU118" s="6"/>
      <c r="LOV118" s="6"/>
      <c r="LOW118" s="6"/>
      <c r="LOX118" s="6"/>
      <c r="LOY118" s="6"/>
      <c r="LOZ118" s="6"/>
      <c r="LPA118" s="6"/>
      <c r="LPB118" s="6"/>
      <c r="LPC118" s="6"/>
      <c r="LPD118" s="6"/>
      <c r="LPE118" s="6"/>
      <c r="LPF118" s="6"/>
      <c r="LPG118" s="6"/>
      <c r="LPH118" s="6"/>
      <c r="LPI118" s="6"/>
      <c r="LPJ118" s="6"/>
      <c r="LPK118" s="6"/>
      <c r="LPL118" s="6"/>
      <c r="LPM118" s="6"/>
      <c r="LPN118" s="6"/>
      <c r="LPO118" s="6"/>
      <c r="LPP118" s="6"/>
      <c r="LPQ118" s="6"/>
      <c r="LPR118" s="6"/>
      <c r="LPS118" s="6"/>
      <c r="LPT118" s="6"/>
      <c r="LPU118" s="6"/>
      <c r="LPV118" s="6"/>
      <c r="LPW118" s="6"/>
      <c r="LPX118" s="6"/>
      <c r="LPY118" s="6"/>
      <c r="LPZ118" s="6"/>
      <c r="LQA118" s="6"/>
      <c r="LQB118" s="6"/>
      <c r="LQC118" s="6"/>
      <c r="LQD118" s="6"/>
      <c r="LQE118" s="6"/>
      <c r="LQF118" s="6"/>
      <c r="LQG118" s="6"/>
      <c r="LQH118" s="6"/>
      <c r="LQI118" s="6"/>
      <c r="LQJ118" s="6"/>
      <c r="LQK118" s="6"/>
      <c r="LQL118" s="6"/>
      <c r="LQM118" s="6"/>
      <c r="LQN118" s="6"/>
      <c r="LQO118" s="6"/>
      <c r="LQP118" s="6"/>
      <c r="LQQ118" s="6"/>
      <c r="LQR118" s="6"/>
      <c r="LQS118" s="6"/>
      <c r="LQT118" s="6"/>
      <c r="LQU118" s="6"/>
      <c r="LQV118" s="6"/>
      <c r="LQW118" s="6"/>
      <c r="LQX118" s="6"/>
      <c r="LQY118" s="6"/>
      <c r="LQZ118" s="6"/>
      <c r="LRA118" s="6"/>
      <c r="LRB118" s="6"/>
      <c r="LRC118" s="6"/>
      <c r="LRD118" s="6"/>
      <c r="LRE118" s="6"/>
      <c r="LRF118" s="6"/>
      <c r="LRG118" s="6"/>
      <c r="LRH118" s="6"/>
      <c r="LRI118" s="6"/>
      <c r="LRJ118" s="6"/>
      <c r="LRK118" s="6"/>
      <c r="LRL118" s="6"/>
      <c r="LRM118" s="6"/>
      <c r="LRN118" s="6"/>
      <c r="LRO118" s="6"/>
      <c r="LRP118" s="6"/>
      <c r="LRQ118" s="6"/>
      <c r="LRR118" s="6"/>
      <c r="LRS118" s="6"/>
      <c r="LRT118" s="6"/>
      <c r="LRU118" s="6"/>
      <c r="LRV118" s="6"/>
      <c r="LRW118" s="6"/>
      <c r="LRX118" s="6"/>
      <c r="LRY118" s="6"/>
      <c r="LRZ118" s="6"/>
      <c r="LSA118" s="6"/>
      <c r="LSB118" s="6"/>
      <c r="LSC118" s="6"/>
      <c r="LSD118" s="6"/>
      <c r="LSE118" s="6"/>
      <c r="LSF118" s="6"/>
      <c r="LSG118" s="6"/>
      <c r="LSH118" s="6"/>
      <c r="LSI118" s="6"/>
      <c r="LSJ118" s="6"/>
      <c r="LSK118" s="6"/>
      <c r="LSL118" s="6"/>
      <c r="LSM118" s="6"/>
      <c r="LSN118" s="6"/>
      <c r="LSO118" s="6"/>
      <c r="LSP118" s="6"/>
      <c r="LSQ118" s="6"/>
      <c r="LSR118" s="6"/>
      <c r="LSS118" s="6"/>
      <c r="LST118" s="6"/>
      <c r="LSU118" s="6"/>
      <c r="LSV118" s="6"/>
      <c r="LSW118" s="6"/>
      <c r="LSX118" s="6"/>
      <c r="LSY118" s="6"/>
      <c r="LSZ118" s="6"/>
      <c r="LTA118" s="6"/>
      <c r="LTB118" s="6"/>
      <c r="LTC118" s="6"/>
      <c r="LTD118" s="6"/>
      <c r="LTE118" s="6"/>
      <c r="LTF118" s="6"/>
      <c r="LTG118" s="6"/>
      <c r="LTH118" s="6"/>
      <c r="LTI118" s="6"/>
      <c r="LTJ118" s="6"/>
      <c r="LTK118" s="6"/>
      <c r="LTL118" s="6"/>
      <c r="LTM118" s="6"/>
      <c r="LTN118" s="6"/>
      <c r="LTO118" s="6"/>
      <c r="LTP118" s="6"/>
      <c r="LTQ118" s="6"/>
      <c r="LTR118" s="6"/>
      <c r="LTS118" s="6"/>
      <c r="LTT118" s="6"/>
      <c r="LTU118" s="6"/>
      <c r="LTV118" s="6"/>
      <c r="LTW118" s="6"/>
      <c r="LTX118" s="6"/>
      <c r="LTY118" s="6"/>
      <c r="LTZ118" s="6"/>
      <c r="LUA118" s="6"/>
      <c r="LUB118" s="6"/>
      <c r="LUC118" s="6"/>
      <c r="LUD118" s="6"/>
      <c r="LUE118" s="6"/>
      <c r="LUF118" s="6"/>
      <c r="LUG118" s="6"/>
      <c r="LUH118" s="6"/>
      <c r="LUI118" s="6"/>
      <c r="LUJ118" s="6"/>
      <c r="LUK118" s="6"/>
      <c r="LUL118" s="6"/>
      <c r="LUM118" s="6"/>
      <c r="LUN118" s="6"/>
      <c r="LUO118" s="6"/>
      <c r="LUP118" s="6"/>
      <c r="LUQ118" s="6"/>
      <c r="LUR118" s="6"/>
      <c r="LUS118" s="6"/>
      <c r="LUT118" s="6"/>
      <c r="LUU118" s="6"/>
      <c r="LUV118" s="6"/>
      <c r="LUW118" s="6"/>
      <c r="LUX118" s="6"/>
      <c r="LUY118" s="6"/>
      <c r="LUZ118" s="6"/>
      <c r="LVA118" s="6"/>
      <c r="LVB118" s="6"/>
      <c r="LVC118" s="6"/>
      <c r="LVD118" s="6"/>
      <c r="LVE118" s="6"/>
      <c r="LVF118" s="6"/>
      <c r="LVG118" s="6"/>
      <c r="LVH118" s="6"/>
      <c r="LVI118" s="6"/>
      <c r="LVJ118" s="6"/>
      <c r="LVK118" s="6"/>
      <c r="LVL118" s="6"/>
      <c r="LVM118" s="6"/>
      <c r="LVN118" s="6"/>
      <c r="LVO118" s="6"/>
      <c r="LVP118" s="6"/>
      <c r="LVQ118" s="6"/>
      <c r="LVR118" s="6"/>
      <c r="LVS118" s="6"/>
      <c r="LVT118" s="6"/>
      <c r="LVU118" s="6"/>
      <c r="LVV118" s="6"/>
      <c r="LVW118" s="6"/>
      <c r="LVX118" s="6"/>
      <c r="LVY118" s="6"/>
      <c r="LVZ118" s="6"/>
      <c r="LWA118" s="6"/>
      <c r="LWB118" s="6"/>
      <c r="LWC118" s="6"/>
      <c r="LWD118" s="6"/>
      <c r="LWE118" s="6"/>
      <c r="LWF118" s="6"/>
      <c r="LWG118" s="6"/>
      <c r="LWH118" s="6"/>
      <c r="LWI118" s="6"/>
      <c r="LWJ118" s="6"/>
      <c r="LWK118" s="6"/>
      <c r="LWL118" s="6"/>
      <c r="LWM118" s="6"/>
      <c r="LWN118" s="6"/>
      <c r="LWO118" s="6"/>
      <c r="LWP118" s="6"/>
      <c r="LWQ118" s="6"/>
      <c r="LWR118" s="6"/>
      <c r="LWS118" s="6"/>
      <c r="LWT118" s="6"/>
      <c r="LWU118" s="6"/>
      <c r="LWV118" s="6"/>
      <c r="LWW118" s="6"/>
      <c r="LWX118" s="6"/>
      <c r="LWY118" s="6"/>
      <c r="LWZ118" s="6"/>
      <c r="LXA118" s="6"/>
      <c r="LXB118" s="6"/>
      <c r="LXC118" s="6"/>
      <c r="LXD118" s="6"/>
      <c r="LXE118" s="6"/>
      <c r="LXF118" s="6"/>
      <c r="LXG118" s="6"/>
      <c r="LXH118" s="6"/>
      <c r="LXI118" s="6"/>
      <c r="LXJ118" s="6"/>
      <c r="LXK118" s="6"/>
      <c r="LXL118" s="6"/>
      <c r="LXM118" s="6"/>
      <c r="LXN118" s="6"/>
      <c r="LXO118" s="6"/>
      <c r="LXP118" s="6"/>
      <c r="LXQ118" s="6"/>
      <c r="LXR118" s="6"/>
      <c r="LXS118" s="6"/>
      <c r="LXT118" s="6"/>
      <c r="LXU118" s="6"/>
      <c r="LXV118" s="6"/>
      <c r="LXW118" s="6"/>
      <c r="LXX118" s="6"/>
      <c r="LXY118" s="6"/>
      <c r="LXZ118" s="6"/>
      <c r="LYA118" s="6"/>
      <c r="LYB118" s="6"/>
      <c r="LYC118" s="6"/>
      <c r="LYD118" s="6"/>
      <c r="LYE118" s="6"/>
      <c r="LYF118" s="6"/>
      <c r="LYG118" s="6"/>
      <c r="LYH118" s="6"/>
      <c r="LYI118" s="6"/>
      <c r="LYJ118" s="6"/>
      <c r="LYK118" s="6"/>
      <c r="LYL118" s="6"/>
      <c r="LYM118" s="6"/>
      <c r="LYN118" s="6"/>
      <c r="LYO118" s="6"/>
      <c r="LYP118" s="6"/>
      <c r="LYQ118" s="6"/>
      <c r="LYR118" s="6"/>
      <c r="LYS118" s="6"/>
      <c r="LYT118" s="6"/>
      <c r="LYU118" s="6"/>
      <c r="LYV118" s="6"/>
      <c r="LYW118" s="6"/>
      <c r="LYX118" s="6"/>
      <c r="LYY118" s="6"/>
      <c r="LYZ118" s="6"/>
      <c r="LZA118" s="6"/>
      <c r="LZB118" s="6"/>
      <c r="LZC118" s="6"/>
      <c r="LZD118" s="6"/>
      <c r="LZE118" s="6"/>
      <c r="LZF118" s="6"/>
      <c r="LZG118" s="6"/>
      <c r="LZH118" s="6"/>
      <c r="LZI118" s="6"/>
      <c r="LZJ118" s="6"/>
      <c r="LZK118" s="6"/>
      <c r="LZL118" s="6"/>
      <c r="LZM118" s="6"/>
      <c r="LZN118" s="6"/>
      <c r="LZO118" s="6"/>
      <c r="LZP118" s="6"/>
      <c r="LZQ118" s="6"/>
      <c r="LZR118" s="6"/>
      <c r="LZS118" s="6"/>
      <c r="LZT118" s="6"/>
      <c r="LZU118" s="6"/>
      <c r="LZV118" s="6"/>
      <c r="LZW118" s="6"/>
      <c r="LZX118" s="6"/>
      <c r="LZY118" s="6"/>
      <c r="LZZ118" s="6"/>
      <c r="MAA118" s="6"/>
      <c r="MAB118" s="6"/>
      <c r="MAC118" s="6"/>
      <c r="MAD118" s="6"/>
      <c r="MAE118" s="6"/>
      <c r="MAF118" s="6"/>
      <c r="MAG118" s="6"/>
      <c r="MAH118" s="6"/>
      <c r="MAI118" s="6"/>
      <c r="MAJ118" s="6"/>
      <c r="MAK118" s="6"/>
      <c r="MAL118" s="6"/>
      <c r="MAM118" s="6"/>
      <c r="MAN118" s="6"/>
      <c r="MAO118" s="6"/>
      <c r="MAP118" s="6"/>
      <c r="MAQ118" s="6"/>
      <c r="MAR118" s="6"/>
      <c r="MAS118" s="6"/>
      <c r="MAT118" s="6"/>
      <c r="MAU118" s="6"/>
      <c r="MAV118" s="6"/>
      <c r="MAW118" s="6"/>
      <c r="MAX118" s="6"/>
      <c r="MAY118" s="6"/>
      <c r="MAZ118" s="6"/>
      <c r="MBA118" s="6"/>
      <c r="MBB118" s="6"/>
      <c r="MBC118" s="6"/>
      <c r="MBD118" s="6"/>
      <c r="MBE118" s="6"/>
      <c r="MBF118" s="6"/>
      <c r="MBG118" s="6"/>
      <c r="MBH118" s="6"/>
      <c r="MBI118" s="6"/>
      <c r="MBJ118" s="6"/>
      <c r="MBK118" s="6"/>
      <c r="MBL118" s="6"/>
      <c r="MBM118" s="6"/>
      <c r="MBN118" s="6"/>
      <c r="MBO118" s="6"/>
      <c r="MBP118" s="6"/>
      <c r="MBQ118" s="6"/>
      <c r="MBR118" s="6"/>
      <c r="MBS118" s="6"/>
      <c r="MBT118" s="6"/>
      <c r="MBU118" s="6"/>
      <c r="MBV118" s="6"/>
      <c r="MBW118" s="6"/>
      <c r="MBX118" s="6"/>
      <c r="MBY118" s="6"/>
      <c r="MBZ118" s="6"/>
      <c r="MCA118" s="6"/>
      <c r="MCB118" s="6"/>
      <c r="MCC118" s="6"/>
      <c r="MCD118" s="6"/>
      <c r="MCE118" s="6"/>
      <c r="MCF118" s="6"/>
      <c r="MCG118" s="6"/>
      <c r="MCH118" s="6"/>
      <c r="MCI118" s="6"/>
      <c r="MCJ118" s="6"/>
      <c r="MCK118" s="6"/>
      <c r="MCL118" s="6"/>
      <c r="MCM118" s="6"/>
      <c r="MCN118" s="6"/>
      <c r="MCO118" s="6"/>
      <c r="MCP118" s="6"/>
      <c r="MCQ118" s="6"/>
      <c r="MCR118" s="6"/>
      <c r="MCS118" s="6"/>
      <c r="MCT118" s="6"/>
      <c r="MCU118" s="6"/>
      <c r="MCV118" s="6"/>
      <c r="MCW118" s="6"/>
      <c r="MCX118" s="6"/>
      <c r="MCY118" s="6"/>
      <c r="MCZ118" s="6"/>
      <c r="MDA118" s="6"/>
      <c r="MDB118" s="6"/>
      <c r="MDC118" s="6"/>
      <c r="MDD118" s="6"/>
      <c r="MDE118" s="6"/>
      <c r="MDF118" s="6"/>
      <c r="MDG118" s="6"/>
      <c r="MDH118" s="6"/>
      <c r="MDI118" s="6"/>
      <c r="MDJ118" s="6"/>
      <c r="MDK118" s="6"/>
      <c r="MDL118" s="6"/>
      <c r="MDM118" s="6"/>
      <c r="MDN118" s="6"/>
      <c r="MDO118" s="6"/>
      <c r="MDP118" s="6"/>
      <c r="MDQ118" s="6"/>
      <c r="MDR118" s="6"/>
      <c r="MDS118" s="6"/>
      <c r="MDT118" s="6"/>
      <c r="MDU118" s="6"/>
      <c r="MDV118" s="6"/>
      <c r="MDW118" s="6"/>
      <c r="MDX118" s="6"/>
      <c r="MDY118" s="6"/>
      <c r="MDZ118" s="6"/>
      <c r="MEA118" s="6"/>
      <c r="MEB118" s="6"/>
      <c r="MEC118" s="6"/>
      <c r="MED118" s="6"/>
      <c r="MEE118" s="6"/>
      <c r="MEF118" s="6"/>
      <c r="MEG118" s="6"/>
      <c r="MEH118" s="6"/>
      <c r="MEI118" s="6"/>
      <c r="MEJ118" s="6"/>
      <c r="MEK118" s="6"/>
      <c r="MEL118" s="6"/>
      <c r="MEM118" s="6"/>
      <c r="MEN118" s="6"/>
      <c r="MEO118" s="6"/>
      <c r="MEP118" s="6"/>
      <c r="MEQ118" s="6"/>
      <c r="MER118" s="6"/>
      <c r="MES118" s="6"/>
      <c r="MET118" s="6"/>
      <c r="MEU118" s="6"/>
      <c r="MEV118" s="6"/>
      <c r="MEW118" s="6"/>
      <c r="MEX118" s="6"/>
      <c r="MEY118" s="6"/>
      <c r="MEZ118" s="6"/>
      <c r="MFA118" s="6"/>
      <c r="MFB118" s="6"/>
      <c r="MFC118" s="6"/>
      <c r="MFD118" s="6"/>
      <c r="MFE118" s="6"/>
      <c r="MFF118" s="6"/>
      <c r="MFG118" s="6"/>
      <c r="MFH118" s="6"/>
      <c r="MFI118" s="6"/>
      <c r="MFJ118" s="6"/>
      <c r="MFK118" s="6"/>
      <c r="MFL118" s="6"/>
      <c r="MFM118" s="6"/>
      <c r="MFN118" s="6"/>
      <c r="MFO118" s="6"/>
      <c r="MFP118" s="6"/>
      <c r="MFQ118" s="6"/>
      <c r="MFR118" s="6"/>
      <c r="MFS118" s="6"/>
      <c r="MFT118" s="6"/>
      <c r="MFU118" s="6"/>
      <c r="MFV118" s="6"/>
      <c r="MFW118" s="6"/>
      <c r="MFX118" s="6"/>
      <c r="MFY118" s="6"/>
      <c r="MFZ118" s="6"/>
      <c r="MGA118" s="6"/>
      <c r="MGB118" s="6"/>
      <c r="MGC118" s="6"/>
      <c r="MGD118" s="6"/>
      <c r="MGE118" s="6"/>
      <c r="MGF118" s="6"/>
      <c r="MGG118" s="6"/>
      <c r="MGH118" s="6"/>
      <c r="MGI118" s="6"/>
      <c r="MGJ118" s="6"/>
      <c r="MGK118" s="6"/>
      <c r="MGL118" s="6"/>
      <c r="MGM118" s="6"/>
      <c r="MGN118" s="6"/>
      <c r="MGO118" s="6"/>
      <c r="MGP118" s="6"/>
      <c r="MGQ118" s="6"/>
      <c r="MGR118" s="6"/>
      <c r="MGS118" s="6"/>
      <c r="MGT118" s="6"/>
      <c r="MGU118" s="6"/>
      <c r="MGV118" s="6"/>
      <c r="MGW118" s="6"/>
      <c r="MGX118" s="6"/>
      <c r="MGY118" s="6"/>
      <c r="MGZ118" s="6"/>
      <c r="MHA118" s="6"/>
      <c r="MHB118" s="6"/>
      <c r="MHC118" s="6"/>
      <c r="MHD118" s="6"/>
      <c r="MHE118" s="6"/>
      <c r="MHF118" s="6"/>
      <c r="MHG118" s="6"/>
      <c r="MHH118" s="6"/>
      <c r="MHI118" s="6"/>
      <c r="MHJ118" s="6"/>
      <c r="MHK118" s="6"/>
      <c r="MHL118" s="6"/>
      <c r="MHM118" s="6"/>
      <c r="MHN118" s="6"/>
      <c r="MHO118" s="6"/>
      <c r="MHP118" s="6"/>
      <c r="MHQ118" s="6"/>
      <c r="MHR118" s="6"/>
      <c r="MHS118" s="6"/>
      <c r="MHT118" s="6"/>
      <c r="MHU118" s="6"/>
      <c r="MHV118" s="6"/>
      <c r="MHW118" s="6"/>
      <c r="MHX118" s="6"/>
      <c r="MHY118" s="6"/>
      <c r="MHZ118" s="6"/>
      <c r="MIA118" s="6"/>
      <c r="MIB118" s="6"/>
      <c r="MIC118" s="6"/>
      <c r="MID118" s="6"/>
      <c r="MIE118" s="6"/>
      <c r="MIF118" s="6"/>
      <c r="MIG118" s="6"/>
      <c r="MIH118" s="6"/>
      <c r="MII118" s="6"/>
      <c r="MIJ118" s="6"/>
      <c r="MIK118" s="6"/>
      <c r="MIL118" s="6"/>
      <c r="MIM118" s="6"/>
      <c r="MIN118" s="6"/>
      <c r="MIO118" s="6"/>
      <c r="MIP118" s="6"/>
      <c r="MIQ118" s="6"/>
      <c r="MIR118" s="6"/>
      <c r="MIS118" s="6"/>
      <c r="MIT118" s="6"/>
      <c r="MIU118" s="6"/>
      <c r="MIV118" s="6"/>
      <c r="MIW118" s="6"/>
      <c r="MIX118" s="6"/>
      <c r="MIY118" s="6"/>
      <c r="MIZ118" s="6"/>
      <c r="MJA118" s="6"/>
      <c r="MJB118" s="6"/>
      <c r="MJC118" s="6"/>
      <c r="MJD118" s="6"/>
      <c r="MJE118" s="6"/>
      <c r="MJF118" s="6"/>
      <c r="MJG118" s="6"/>
      <c r="MJH118" s="6"/>
      <c r="MJI118" s="6"/>
      <c r="MJJ118" s="6"/>
      <c r="MJK118" s="6"/>
      <c r="MJL118" s="6"/>
      <c r="MJM118" s="6"/>
      <c r="MJN118" s="6"/>
      <c r="MJO118" s="6"/>
      <c r="MJP118" s="6"/>
      <c r="MJQ118" s="6"/>
      <c r="MJR118" s="6"/>
      <c r="MJS118" s="6"/>
      <c r="MJT118" s="6"/>
      <c r="MJU118" s="6"/>
      <c r="MJV118" s="6"/>
      <c r="MJW118" s="6"/>
      <c r="MJX118" s="6"/>
      <c r="MJY118" s="6"/>
      <c r="MJZ118" s="6"/>
      <c r="MKA118" s="6"/>
      <c r="MKB118" s="6"/>
      <c r="MKC118" s="6"/>
      <c r="MKD118" s="6"/>
      <c r="MKE118" s="6"/>
      <c r="MKF118" s="6"/>
      <c r="MKG118" s="6"/>
      <c r="MKH118" s="6"/>
      <c r="MKI118" s="6"/>
      <c r="MKJ118" s="6"/>
      <c r="MKK118" s="6"/>
      <c r="MKL118" s="6"/>
      <c r="MKM118" s="6"/>
      <c r="MKN118" s="6"/>
      <c r="MKO118" s="6"/>
      <c r="MKP118" s="6"/>
      <c r="MKQ118" s="6"/>
      <c r="MKR118" s="6"/>
      <c r="MKS118" s="6"/>
      <c r="MKT118" s="6"/>
      <c r="MKU118" s="6"/>
      <c r="MKV118" s="6"/>
      <c r="MKW118" s="6"/>
      <c r="MKX118" s="6"/>
      <c r="MKY118" s="6"/>
      <c r="MKZ118" s="6"/>
      <c r="MLA118" s="6"/>
      <c r="MLB118" s="6"/>
      <c r="MLC118" s="6"/>
      <c r="MLD118" s="6"/>
      <c r="MLE118" s="6"/>
      <c r="MLF118" s="6"/>
      <c r="MLG118" s="6"/>
      <c r="MLH118" s="6"/>
      <c r="MLI118" s="6"/>
      <c r="MLJ118" s="6"/>
      <c r="MLK118" s="6"/>
      <c r="MLL118" s="6"/>
      <c r="MLM118" s="6"/>
      <c r="MLN118" s="6"/>
      <c r="MLO118" s="6"/>
      <c r="MLP118" s="6"/>
      <c r="MLQ118" s="6"/>
      <c r="MLR118" s="6"/>
      <c r="MLS118" s="6"/>
      <c r="MLT118" s="6"/>
      <c r="MLU118" s="6"/>
      <c r="MLV118" s="6"/>
      <c r="MLW118" s="6"/>
      <c r="MLX118" s="6"/>
      <c r="MLY118" s="6"/>
      <c r="MLZ118" s="6"/>
      <c r="MMA118" s="6"/>
      <c r="MMB118" s="6"/>
      <c r="MMC118" s="6"/>
      <c r="MMD118" s="6"/>
      <c r="MME118" s="6"/>
      <c r="MMF118" s="6"/>
      <c r="MMG118" s="6"/>
      <c r="MMH118" s="6"/>
      <c r="MMI118" s="6"/>
      <c r="MMJ118" s="6"/>
      <c r="MMK118" s="6"/>
      <c r="MML118" s="6"/>
      <c r="MMM118" s="6"/>
      <c r="MMN118" s="6"/>
      <c r="MMO118" s="6"/>
      <c r="MMP118" s="6"/>
      <c r="MMQ118" s="6"/>
      <c r="MMR118" s="6"/>
      <c r="MMS118" s="6"/>
      <c r="MMT118" s="6"/>
      <c r="MMU118" s="6"/>
      <c r="MMV118" s="6"/>
      <c r="MMW118" s="6"/>
      <c r="MMX118" s="6"/>
      <c r="MMY118" s="6"/>
      <c r="MMZ118" s="6"/>
      <c r="MNA118" s="6"/>
      <c r="MNB118" s="6"/>
      <c r="MNC118" s="6"/>
      <c r="MND118" s="6"/>
      <c r="MNE118" s="6"/>
      <c r="MNF118" s="6"/>
      <c r="MNG118" s="6"/>
      <c r="MNH118" s="6"/>
      <c r="MNI118" s="6"/>
      <c r="MNJ118" s="6"/>
      <c r="MNK118" s="6"/>
      <c r="MNL118" s="6"/>
      <c r="MNM118" s="6"/>
      <c r="MNN118" s="6"/>
      <c r="MNO118" s="6"/>
      <c r="MNP118" s="6"/>
      <c r="MNQ118" s="6"/>
      <c r="MNR118" s="6"/>
      <c r="MNS118" s="6"/>
      <c r="MNT118" s="6"/>
      <c r="MNU118" s="6"/>
      <c r="MNV118" s="6"/>
      <c r="MNW118" s="6"/>
      <c r="MNX118" s="6"/>
      <c r="MNY118" s="6"/>
      <c r="MNZ118" s="6"/>
      <c r="MOA118" s="6"/>
      <c r="MOB118" s="6"/>
      <c r="MOC118" s="6"/>
      <c r="MOD118" s="6"/>
      <c r="MOE118" s="6"/>
      <c r="MOF118" s="6"/>
      <c r="MOG118" s="6"/>
      <c r="MOH118" s="6"/>
      <c r="MOI118" s="6"/>
      <c r="MOJ118" s="6"/>
      <c r="MOK118" s="6"/>
      <c r="MOL118" s="6"/>
      <c r="MOM118" s="6"/>
      <c r="MON118" s="6"/>
      <c r="MOO118" s="6"/>
      <c r="MOP118" s="6"/>
      <c r="MOQ118" s="6"/>
      <c r="MOR118" s="6"/>
      <c r="MOS118" s="6"/>
      <c r="MOT118" s="6"/>
      <c r="MOU118" s="6"/>
      <c r="MOV118" s="6"/>
      <c r="MOW118" s="6"/>
      <c r="MOX118" s="6"/>
      <c r="MOY118" s="6"/>
      <c r="MOZ118" s="6"/>
      <c r="MPA118" s="6"/>
      <c r="MPB118" s="6"/>
      <c r="MPC118" s="6"/>
      <c r="MPD118" s="6"/>
      <c r="MPE118" s="6"/>
      <c r="MPF118" s="6"/>
      <c r="MPG118" s="6"/>
      <c r="MPH118" s="6"/>
      <c r="MPI118" s="6"/>
      <c r="MPJ118" s="6"/>
      <c r="MPK118" s="6"/>
      <c r="MPL118" s="6"/>
      <c r="MPM118" s="6"/>
      <c r="MPN118" s="6"/>
      <c r="MPO118" s="6"/>
      <c r="MPP118" s="6"/>
      <c r="MPQ118" s="6"/>
      <c r="MPR118" s="6"/>
      <c r="MPS118" s="6"/>
      <c r="MPT118" s="6"/>
      <c r="MPU118" s="6"/>
      <c r="MPV118" s="6"/>
      <c r="MPW118" s="6"/>
      <c r="MPX118" s="6"/>
      <c r="MPY118" s="6"/>
      <c r="MPZ118" s="6"/>
      <c r="MQA118" s="6"/>
      <c r="MQB118" s="6"/>
      <c r="MQC118" s="6"/>
      <c r="MQD118" s="6"/>
      <c r="MQE118" s="6"/>
      <c r="MQF118" s="6"/>
      <c r="MQG118" s="6"/>
      <c r="MQH118" s="6"/>
      <c r="MQI118" s="6"/>
      <c r="MQJ118" s="6"/>
      <c r="MQK118" s="6"/>
      <c r="MQL118" s="6"/>
      <c r="MQM118" s="6"/>
      <c r="MQN118" s="6"/>
      <c r="MQO118" s="6"/>
      <c r="MQP118" s="6"/>
      <c r="MQQ118" s="6"/>
      <c r="MQR118" s="6"/>
      <c r="MQS118" s="6"/>
      <c r="MQT118" s="6"/>
      <c r="MQU118" s="6"/>
      <c r="MQV118" s="6"/>
      <c r="MQW118" s="6"/>
      <c r="MQX118" s="6"/>
      <c r="MQY118" s="6"/>
      <c r="MQZ118" s="6"/>
      <c r="MRA118" s="6"/>
      <c r="MRB118" s="6"/>
      <c r="MRC118" s="6"/>
      <c r="MRD118" s="6"/>
      <c r="MRE118" s="6"/>
      <c r="MRF118" s="6"/>
      <c r="MRG118" s="6"/>
      <c r="MRH118" s="6"/>
      <c r="MRI118" s="6"/>
      <c r="MRJ118" s="6"/>
      <c r="MRK118" s="6"/>
      <c r="MRL118" s="6"/>
      <c r="MRM118" s="6"/>
      <c r="MRN118" s="6"/>
      <c r="MRO118" s="6"/>
      <c r="MRP118" s="6"/>
      <c r="MRQ118" s="6"/>
      <c r="MRR118" s="6"/>
      <c r="MRS118" s="6"/>
      <c r="MRT118" s="6"/>
      <c r="MRU118" s="6"/>
      <c r="MRV118" s="6"/>
      <c r="MRW118" s="6"/>
      <c r="MRX118" s="6"/>
      <c r="MRY118" s="6"/>
      <c r="MRZ118" s="6"/>
      <c r="MSA118" s="6"/>
      <c r="MSB118" s="6"/>
      <c r="MSC118" s="6"/>
      <c r="MSD118" s="6"/>
      <c r="MSE118" s="6"/>
      <c r="MSF118" s="6"/>
      <c r="MSG118" s="6"/>
      <c r="MSH118" s="6"/>
      <c r="MSI118" s="6"/>
      <c r="MSJ118" s="6"/>
      <c r="MSK118" s="6"/>
      <c r="MSL118" s="6"/>
      <c r="MSM118" s="6"/>
      <c r="MSN118" s="6"/>
      <c r="MSO118" s="6"/>
      <c r="MSP118" s="6"/>
      <c r="MSQ118" s="6"/>
      <c r="MSR118" s="6"/>
      <c r="MSS118" s="6"/>
      <c r="MST118" s="6"/>
      <c r="MSU118" s="6"/>
      <c r="MSV118" s="6"/>
      <c r="MSW118" s="6"/>
      <c r="MSX118" s="6"/>
      <c r="MSY118" s="6"/>
      <c r="MSZ118" s="6"/>
      <c r="MTA118" s="6"/>
      <c r="MTB118" s="6"/>
      <c r="MTC118" s="6"/>
      <c r="MTD118" s="6"/>
      <c r="MTE118" s="6"/>
      <c r="MTF118" s="6"/>
      <c r="MTG118" s="6"/>
      <c r="MTH118" s="6"/>
      <c r="MTI118" s="6"/>
      <c r="MTJ118" s="6"/>
      <c r="MTK118" s="6"/>
      <c r="MTL118" s="6"/>
      <c r="MTM118" s="6"/>
      <c r="MTN118" s="6"/>
      <c r="MTO118" s="6"/>
      <c r="MTP118" s="6"/>
      <c r="MTQ118" s="6"/>
      <c r="MTR118" s="6"/>
      <c r="MTS118" s="6"/>
      <c r="MTT118" s="6"/>
      <c r="MTU118" s="6"/>
      <c r="MTV118" s="6"/>
      <c r="MTW118" s="6"/>
      <c r="MTX118" s="6"/>
      <c r="MTY118" s="6"/>
      <c r="MTZ118" s="6"/>
      <c r="MUA118" s="6"/>
      <c r="MUB118" s="6"/>
      <c r="MUC118" s="6"/>
      <c r="MUD118" s="6"/>
      <c r="MUE118" s="6"/>
      <c r="MUF118" s="6"/>
      <c r="MUG118" s="6"/>
      <c r="MUH118" s="6"/>
      <c r="MUI118" s="6"/>
      <c r="MUJ118" s="6"/>
      <c r="MUK118" s="6"/>
      <c r="MUL118" s="6"/>
      <c r="MUM118" s="6"/>
      <c r="MUN118" s="6"/>
      <c r="MUO118" s="6"/>
      <c r="MUP118" s="6"/>
      <c r="MUQ118" s="6"/>
      <c r="MUR118" s="6"/>
      <c r="MUS118" s="6"/>
      <c r="MUT118" s="6"/>
      <c r="MUU118" s="6"/>
      <c r="MUV118" s="6"/>
      <c r="MUW118" s="6"/>
      <c r="MUX118" s="6"/>
      <c r="MUY118" s="6"/>
      <c r="MUZ118" s="6"/>
      <c r="MVA118" s="6"/>
      <c r="MVB118" s="6"/>
      <c r="MVC118" s="6"/>
      <c r="MVD118" s="6"/>
      <c r="MVE118" s="6"/>
      <c r="MVF118" s="6"/>
      <c r="MVG118" s="6"/>
      <c r="MVH118" s="6"/>
      <c r="MVI118" s="6"/>
      <c r="MVJ118" s="6"/>
      <c r="MVK118" s="6"/>
      <c r="MVL118" s="6"/>
      <c r="MVM118" s="6"/>
      <c r="MVN118" s="6"/>
      <c r="MVO118" s="6"/>
      <c r="MVP118" s="6"/>
      <c r="MVQ118" s="6"/>
      <c r="MVR118" s="6"/>
      <c r="MVS118" s="6"/>
      <c r="MVT118" s="6"/>
      <c r="MVU118" s="6"/>
      <c r="MVV118" s="6"/>
      <c r="MVW118" s="6"/>
      <c r="MVX118" s="6"/>
      <c r="MVY118" s="6"/>
      <c r="MVZ118" s="6"/>
      <c r="MWA118" s="6"/>
      <c r="MWB118" s="6"/>
      <c r="MWC118" s="6"/>
      <c r="MWD118" s="6"/>
      <c r="MWE118" s="6"/>
      <c r="MWF118" s="6"/>
      <c r="MWG118" s="6"/>
      <c r="MWH118" s="6"/>
      <c r="MWI118" s="6"/>
      <c r="MWJ118" s="6"/>
      <c r="MWK118" s="6"/>
      <c r="MWL118" s="6"/>
      <c r="MWM118" s="6"/>
      <c r="MWN118" s="6"/>
      <c r="MWO118" s="6"/>
      <c r="MWP118" s="6"/>
      <c r="MWQ118" s="6"/>
      <c r="MWR118" s="6"/>
      <c r="MWS118" s="6"/>
      <c r="MWT118" s="6"/>
      <c r="MWU118" s="6"/>
      <c r="MWV118" s="6"/>
      <c r="MWW118" s="6"/>
      <c r="MWX118" s="6"/>
      <c r="MWY118" s="6"/>
      <c r="MWZ118" s="6"/>
      <c r="MXA118" s="6"/>
      <c r="MXB118" s="6"/>
      <c r="MXC118" s="6"/>
      <c r="MXD118" s="6"/>
      <c r="MXE118" s="6"/>
      <c r="MXF118" s="6"/>
      <c r="MXG118" s="6"/>
      <c r="MXH118" s="6"/>
      <c r="MXI118" s="6"/>
      <c r="MXJ118" s="6"/>
      <c r="MXK118" s="6"/>
      <c r="MXL118" s="6"/>
      <c r="MXM118" s="6"/>
      <c r="MXN118" s="6"/>
      <c r="MXO118" s="6"/>
      <c r="MXP118" s="6"/>
      <c r="MXQ118" s="6"/>
      <c r="MXR118" s="6"/>
      <c r="MXS118" s="6"/>
      <c r="MXT118" s="6"/>
      <c r="MXU118" s="6"/>
      <c r="MXV118" s="6"/>
      <c r="MXW118" s="6"/>
      <c r="MXX118" s="6"/>
      <c r="MXY118" s="6"/>
      <c r="MXZ118" s="6"/>
      <c r="MYA118" s="6"/>
      <c r="MYB118" s="6"/>
      <c r="MYC118" s="6"/>
      <c r="MYD118" s="6"/>
      <c r="MYE118" s="6"/>
      <c r="MYF118" s="6"/>
      <c r="MYG118" s="6"/>
      <c r="MYH118" s="6"/>
      <c r="MYI118" s="6"/>
      <c r="MYJ118" s="6"/>
      <c r="MYK118" s="6"/>
      <c r="MYL118" s="6"/>
      <c r="MYM118" s="6"/>
      <c r="MYN118" s="6"/>
      <c r="MYO118" s="6"/>
      <c r="MYP118" s="6"/>
      <c r="MYQ118" s="6"/>
      <c r="MYR118" s="6"/>
      <c r="MYS118" s="6"/>
      <c r="MYT118" s="6"/>
      <c r="MYU118" s="6"/>
      <c r="MYV118" s="6"/>
      <c r="MYW118" s="6"/>
      <c r="MYX118" s="6"/>
      <c r="MYY118" s="6"/>
      <c r="MYZ118" s="6"/>
      <c r="MZA118" s="6"/>
      <c r="MZB118" s="6"/>
      <c r="MZC118" s="6"/>
      <c r="MZD118" s="6"/>
      <c r="MZE118" s="6"/>
      <c r="MZF118" s="6"/>
      <c r="MZG118" s="6"/>
      <c r="MZH118" s="6"/>
      <c r="MZI118" s="6"/>
      <c r="MZJ118" s="6"/>
      <c r="MZK118" s="6"/>
      <c r="MZL118" s="6"/>
      <c r="MZM118" s="6"/>
      <c r="MZN118" s="6"/>
      <c r="MZO118" s="6"/>
      <c r="MZP118" s="6"/>
      <c r="MZQ118" s="6"/>
      <c r="MZR118" s="6"/>
      <c r="MZS118" s="6"/>
      <c r="MZT118" s="6"/>
      <c r="MZU118" s="6"/>
      <c r="MZV118" s="6"/>
      <c r="MZW118" s="6"/>
      <c r="MZX118" s="6"/>
      <c r="MZY118" s="6"/>
      <c r="MZZ118" s="6"/>
      <c r="NAA118" s="6"/>
      <c r="NAB118" s="6"/>
      <c r="NAC118" s="6"/>
      <c r="NAD118" s="6"/>
      <c r="NAE118" s="6"/>
      <c r="NAF118" s="6"/>
      <c r="NAG118" s="6"/>
      <c r="NAH118" s="6"/>
      <c r="NAI118" s="6"/>
      <c r="NAJ118" s="6"/>
      <c r="NAK118" s="6"/>
      <c r="NAL118" s="6"/>
      <c r="NAM118" s="6"/>
      <c r="NAN118" s="6"/>
      <c r="NAO118" s="6"/>
      <c r="NAP118" s="6"/>
      <c r="NAQ118" s="6"/>
      <c r="NAR118" s="6"/>
      <c r="NAS118" s="6"/>
      <c r="NAT118" s="6"/>
      <c r="NAU118" s="6"/>
      <c r="NAV118" s="6"/>
      <c r="NAW118" s="6"/>
      <c r="NAX118" s="6"/>
      <c r="NAY118" s="6"/>
      <c r="NAZ118" s="6"/>
      <c r="NBA118" s="6"/>
      <c r="NBB118" s="6"/>
      <c r="NBC118" s="6"/>
      <c r="NBD118" s="6"/>
      <c r="NBE118" s="6"/>
      <c r="NBF118" s="6"/>
      <c r="NBG118" s="6"/>
      <c r="NBH118" s="6"/>
      <c r="NBI118" s="6"/>
      <c r="NBJ118" s="6"/>
      <c r="NBK118" s="6"/>
      <c r="NBL118" s="6"/>
      <c r="NBM118" s="6"/>
      <c r="NBN118" s="6"/>
      <c r="NBO118" s="6"/>
      <c r="NBP118" s="6"/>
      <c r="NBQ118" s="6"/>
      <c r="NBR118" s="6"/>
      <c r="NBS118" s="6"/>
      <c r="NBT118" s="6"/>
      <c r="NBU118" s="6"/>
      <c r="NBV118" s="6"/>
      <c r="NBW118" s="6"/>
      <c r="NBX118" s="6"/>
      <c r="NBY118" s="6"/>
      <c r="NBZ118" s="6"/>
      <c r="NCA118" s="6"/>
      <c r="NCB118" s="6"/>
      <c r="NCC118" s="6"/>
      <c r="NCD118" s="6"/>
      <c r="NCE118" s="6"/>
      <c r="NCF118" s="6"/>
      <c r="NCG118" s="6"/>
      <c r="NCH118" s="6"/>
      <c r="NCI118" s="6"/>
      <c r="NCJ118" s="6"/>
      <c r="NCK118" s="6"/>
      <c r="NCL118" s="6"/>
      <c r="NCM118" s="6"/>
      <c r="NCN118" s="6"/>
      <c r="NCO118" s="6"/>
      <c r="NCP118" s="6"/>
      <c r="NCQ118" s="6"/>
      <c r="NCR118" s="6"/>
      <c r="NCS118" s="6"/>
      <c r="NCT118" s="6"/>
      <c r="NCU118" s="6"/>
      <c r="NCV118" s="6"/>
      <c r="NCW118" s="6"/>
      <c r="NCX118" s="6"/>
      <c r="NCY118" s="6"/>
      <c r="NCZ118" s="6"/>
      <c r="NDA118" s="6"/>
      <c r="NDB118" s="6"/>
      <c r="NDC118" s="6"/>
      <c r="NDD118" s="6"/>
      <c r="NDE118" s="6"/>
      <c r="NDF118" s="6"/>
      <c r="NDG118" s="6"/>
      <c r="NDH118" s="6"/>
      <c r="NDI118" s="6"/>
      <c r="NDJ118" s="6"/>
      <c r="NDK118" s="6"/>
      <c r="NDL118" s="6"/>
      <c r="NDM118" s="6"/>
      <c r="NDN118" s="6"/>
      <c r="NDO118" s="6"/>
      <c r="NDP118" s="6"/>
      <c r="NDQ118" s="6"/>
      <c r="NDR118" s="6"/>
      <c r="NDS118" s="6"/>
      <c r="NDT118" s="6"/>
      <c r="NDU118" s="6"/>
      <c r="NDV118" s="6"/>
      <c r="NDW118" s="6"/>
      <c r="NDX118" s="6"/>
      <c r="NDY118" s="6"/>
      <c r="NDZ118" s="6"/>
      <c r="NEA118" s="6"/>
      <c r="NEB118" s="6"/>
      <c r="NEC118" s="6"/>
      <c r="NED118" s="6"/>
      <c r="NEE118" s="6"/>
      <c r="NEF118" s="6"/>
      <c r="NEG118" s="6"/>
      <c r="NEH118" s="6"/>
      <c r="NEI118" s="6"/>
      <c r="NEJ118" s="6"/>
      <c r="NEK118" s="6"/>
      <c r="NEL118" s="6"/>
      <c r="NEM118" s="6"/>
      <c r="NEN118" s="6"/>
      <c r="NEO118" s="6"/>
      <c r="NEP118" s="6"/>
      <c r="NEQ118" s="6"/>
      <c r="NER118" s="6"/>
      <c r="NES118" s="6"/>
      <c r="NET118" s="6"/>
      <c r="NEU118" s="6"/>
      <c r="NEV118" s="6"/>
      <c r="NEW118" s="6"/>
      <c r="NEX118" s="6"/>
      <c r="NEY118" s="6"/>
      <c r="NEZ118" s="6"/>
      <c r="NFA118" s="6"/>
      <c r="NFB118" s="6"/>
      <c r="NFC118" s="6"/>
      <c r="NFD118" s="6"/>
      <c r="NFE118" s="6"/>
      <c r="NFF118" s="6"/>
      <c r="NFG118" s="6"/>
      <c r="NFH118" s="6"/>
      <c r="NFI118" s="6"/>
      <c r="NFJ118" s="6"/>
      <c r="NFK118" s="6"/>
      <c r="NFL118" s="6"/>
      <c r="NFM118" s="6"/>
      <c r="NFN118" s="6"/>
      <c r="NFO118" s="6"/>
      <c r="NFP118" s="6"/>
      <c r="NFQ118" s="6"/>
      <c r="NFR118" s="6"/>
      <c r="NFS118" s="6"/>
      <c r="NFT118" s="6"/>
      <c r="NFU118" s="6"/>
      <c r="NFV118" s="6"/>
      <c r="NFW118" s="6"/>
      <c r="NFX118" s="6"/>
      <c r="NFY118" s="6"/>
      <c r="NFZ118" s="6"/>
      <c r="NGA118" s="6"/>
      <c r="NGB118" s="6"/>
      <c r="NGC118" s="6"/>
      <c r="NGD118" s="6"/>
      <c r="NGE118" s="6"/>
      <c r="NGF118" s="6"/>
      <c r="NGG118" s="6"/>
      <c r="NGH118" s="6"/>
      <c r="NGI118" s="6"/>
      <c r="NGJ118" s="6"/>
      <c r="NGK118" s="6"/>
      <c r="NGL118" s="6"/>
      <c r="NGM118" s="6"/>
      <c r="NGN118" s="6"/>
      <c r="NGO118" s="6"/>
      <c r="NGP118" s="6"/>
      <c r="NGQ118" s="6"/>
      <c r="NGR118" s="6"/>
      <c r="NGS118" s="6"/>
      <c r="NGT118" s="6"/>
      <c r="NGU118" s="6"/>
      <c r="NGV118" s="6"/>
      <c r="NGW118" s="6"/>
      <c r="NGX118" s="6"/>
      <c r="NGY118" s="6"/>
      <c r="NGZ118" s="6"/>
      <c r="NHA118" s="6"/>
      <c r="NHB118" s="6"/>
      <c r="NHC118" s="6"/>
      <c r="NHD118" s="6"/>
      <c r="NHE118" s="6"/>
      <c r="NHF118" s="6"/>
      <c r="NHG118" s="6"/>
      <c r="NHH118" s="6"/>
      <c r="NHI118" s="6"/>
      <c r="NHJ118" s="6"/>
      <c r="NHK118" s="6"/>
      <c r="NHL118" s="6"/>
      <c r="NHM118" s="6"/>
      <c r="NHN118" s="6"/>
      <c r="NHO118" s="6"/>
      <c r="NHP118" s="6"/>
      <c r="NHQ118" s="6"/>
      <c r="NHR118" s="6"/>
      <c r="NHS118" s="6"/>
      <c r="NHT118" s="6"/>
      <c r="NHU118" s="6"/>
      <c r="NHV118" s="6"/>
      <c r="NHW118" s="6"/>
      <c r="NHX118" s="6"/>
      <c r="NHY118" s="6"/>
      <c r="NHZ118" s="6"/>
      <c r="NIA118" s="6"/>
      <c r="NIB118" s="6"/>
      <c r="NIC118" s="6"/>
      <c r="NID118" s="6"/>
      <c r="NIE118" s="6"/>
      <c r="NIF118" s="6"/>
      <c r="NIG118" s="6"/>
      <c r="NIH118" s="6"/>
      <c r="NII118" s="6"/>
      <c r="NIJ118" s="6"/>
      <c r="NIK118" s="6"/>
      <c r="NIL118" s="6"/>
      <c r="NIM118" s="6"/>
      <c r="NIN118" s="6"/>
      <c r="NIO118" s="6"/>
      <c r="NIP118" s="6"/>
      <c r="NIQ118" s="6"/>
      <c r="NIR118" s="6"/>
      <c r="NIS118" s="6"/>
      <c r="NIT118" s="6"/>
      <c r="NIU118" s="6"/>
      <c r="NIV118" s="6"/>
      <c r="NIW118" s="6"/>
      <c r="NIX118" s="6"/>
      <c r="NIY118" s="6"/>
      <c r="NIZ118" s="6"/>
      <c r="NJA118" s="6"/>
      <c r="NJB118" s="6"/>
      <c r="NJC118" s="6"/>
      <c r="NJD118" s="6"/>
      <c r="NJE118" s="6"/>
      <c r="NJF118" s="6"/>
      <c r="NJG118" s="6"/>
      <c r="NJH118" s="6"/>
      <c r="NJI118" s="6"/>
      <c r="NJJ118" s="6"/>
      <c r="NJK118" s="6"/>
      <c r="NJL118" s="6"/>
      <c r="NJM118" s="6"/>
      <c r="NJN118" s="6"/>
      <c r="NJO118" s="6"/>
      <c r="NJP118" s="6"/>
      <c r="NJQ118" s="6"/>
      <c r="NJR118" s="6"/>
      <c r="NJS118" s="6"/>
      <c r="NJT118" s="6"/>
      <c r="NJU118" s="6"/>
      <c r="NJV118" s="6"/>
      <c r="NJW118" s="6"/>
      <c r="NJX118" s="6"/>
      <c r="NJY118" s="6"/>
      <c r="NJZ118" s="6"/>
      <c r="NKA118" s="6"/>
      <c r="NKB118" s="6"/>
      <c r="NKC118" s="6"/>
      <c r="NKD118" s="6"/>
      <c r="NKE118" s="6"/>
      <c r="NKF118" s="6"/>
      <c r="NKG118" s="6"/>
      <c r="NKH118" s="6"/>
      <c r="NKI118" s="6"/>
      <c r="NKJ118" s="6"/>
      <c r="NKK118" s="6"/>
      <c r="NKL118" s="6"/>
      <c r="NKM118" s="6"/>
      <c r="NKN118" s="6"/>
      <c r="NKO118" s="6"/>
      <c r="NKP118" s="6"/>
      <c r="NKQ118" s="6"/>
      <c r="NKR118" s="6"/>
      <c r="NKS118" s="6"/>
      <c r="NKT118" s="6"/>
      <c r="NKU118" s="6"/>
      <c r="NKV118" s="6"/>
      <c r="NKW118" s="6"/>
      <c r="NKX118" s="6"/>
      <c r="NKY118" s="6"/>
      <c r="NKZ118" s="6"/>
      <c r="NLA118" s="6"/>
      <c r="NLB118" s="6"/>
      <c r="NLC118" s="6"/>
      <c r="NLD118" s="6"/>
      <c r="NLE118" s="6"/>
      <c r="NLF118" s="6"/>
      <c r="NLG118" s="6"/>
      <c r="NLH118" s="6"/>
      <c r="NLI118" s="6"/>
      <c r="NLJ118" s="6"/>
      <c r="NLK118" s="6"/>
      <c r="NLL118" s="6"/>
      <c r="NLM118" s="6"/>
      <c r="NLN118" s="6"/>
      <c r="NLO118" s="6"/>
      <c r="NLP118" s="6"/>
      <c r="NLQ118" s="6"/>
      <c r="NLR118" s="6"/>
      <c r="NLS118" s="6"/>
      <c r="NLT118" s="6"/>
      <c r="NLU118" s="6"/>
      <c r="NLV118" s="6"/>
      <c r="NLW118" s="6"/>
      <c r="NLX118" s="6"/>
      <c r="NLY118" s="6"/>
      <c r="NLZ118" s="6"/>
      <c r="NMA118" s="6"/>
      <c r="NMB118" s="6"/>
      <c r="NMC118" s="6"/>
      <c r="NMD118" s="6"/>
      <c r="NME118" s="6"/>
      <c r="NMF118" s="6"/>
      <c r="NMG118" s="6"/>
      <c r="NMH118" s="6"/>
      <c r="NMI118" s="6"/>
      <c r="NMJ118" s="6"/>
      <c r="NMK118" s="6"/>
      <c r="NML118" s="6"/>
      <c r="NMM118" s="6"/>
      <c r="NMN118" s="6"/>
      <c r="NMO118" s="6"/>
      <c r="NMP118" s="6"/>
      <c r="NMQ118" s="6"/>
      <c r="NMR118" s="6"/>
      <c r="NMS118" s="6"/>
      <c r="NMT118" s="6"/>
      <c r="NMU118" s="6"/>
      <c r="NMV118" s="6"/>
      <c r="NMW118" s="6"/>
      <c r="NMX118" s="6"/>
      <c r="NMY118" s="6"/>
      <c r="NMZ118" s="6"/>
      <c r="NNA118" s="6"/>
      <c r="NNB118" s="6"/>
      <c r="NNC118" s="6"/>
      <c r="NND118" s="6"/>
      <c r="NNE118" s="6"/>
      <c r="NNF118" s="6"/>
      <c r="NNG118" s="6"/>
      <c r="NNH118" s="6"/>
      <c r="NNI118" s="6"/>
      <c r="NNJ118" s="6"/>
      <c r="NNK118" s="6"/>
      <c r="NNL118" s="6"/>
      <c r="NNM118" s="6"/>
      <c r="NNN118" s="6"/>
      <c r="NNO118" s="6"/>
      <c r="NNP118" s="6"/>
      <c r="NNQ118" s="6"/>
      <c r="NNR118" s="6"/>
      <c r="NNS118" s="6"/>
      <c r="NNT118" s="6"/>
      <c r="NNU118" s="6"/>
      <c r="NNV118" s="6"/>
      <c r="NNW118" s="6"/>
      <c r="NNX118" s="6"/>
      <c r="NNY118" s="6"/>
      <c r="NNZ118" s="6"/>
      <c r="NOA118" s="6"/>
      <c r="NOB118" s="6"/>
      <c r="NOC118" s="6"/>
      <c r="NOD118" s="6"/>
      <c r="NOE118" s="6"/>
      <c r="NOF118" s="6"/>
      <c r="NOG118" s="6"/>
      <c r="NOH118" s="6"/>
      <c r="NOI118" s="6"/>
      <c r="NOJ118" s="6"/>
      <c r="NOK118" s="6"/>
      <c r="NOL118" s="6"/>
      <c r="NOM118" s="6"/>
      <c r="NON118" s="6"/>
      <c r="NOO118" s="6"/>
      <c r="NOP118" s="6"/>
      <c r="NOQ118" s="6"/>
      <c r="NOR118" s="6"/>
      <c r="NOS118" s="6"/>
      <c r="NOT118" s="6"/>
      <c r="NOU118" s="6"/>
      <c r="NOV118" s="6"/>
      <c r="NOW118" s="6"/>
      <c r="NOX118" s="6"/>
      <c r="NOY118" s="6"/>
      <c r="NOZ118" s="6"/>
      <c r="NPA118" s="6"/>
      <c r="NPB118" s="6"/>
      <c r="NPC118" s="6"/>
      <c r="NPD118" s="6"/>
      <c r="NPE118" s="6"/>
      <c r="NPF118" s="6"/>
      <c r="NPG118" s="6"/>
      <c r="NPH118" s="6"/>
      <c r="NPI118" s="6"/>
      <c r="NPJ118" s="6"/>
      <c r="NPK118" s="6"/>
      <c r="NPL118" s="6"/>
      <c r="NPM118" s="6"/>
      <c r="NPN118" s="6"/>
      <c r="NPO118" s="6"/>
      <c r="NPP118" s="6"/>
      <c r="NPQ118" s="6"/>
      <c r="NPR118" s="6"/>
      <c r="NPS118" s="6"/>
      <c r="NPT118" s="6"/>
      <c r="NPU118" s="6"/>
      <c r="NPV118" s="6"/>
      <c r="NPW118" s="6"/>
      <c r="NPX118" s="6"/>
      <c r="NPY118" s="6"/>
      <c r="NPZ118" s="6"/>
      <c r="NQA118" s="6"/>
      <c r="NQB118" s="6"/>
      <c r="NQC118" s="6"/>
      <c r="NQD118" s="6"/>
      <c r="NQE118" s="6"/>
      <c r="NQF118" s="6"/>
      <c r="NQG118" s="6"/>
      <c r="NQH118" s="6"/>
      <c r="NQI118" s="6"/>
      <c r="NQJ118" s="6"/>
      <c r="NQK118" s="6"/>
      <c r="NQL118" s="6"/>
      <c r="NQM118" s="6"/>
      <c r="NQN118" s="6"/>
      <c r="NQO118" s="6"/>
      <c r="NQP118" s="6"/>
      <c r="NQQ118" s="6"/>
      <c r="NQR118" s="6"/>
      <c r="NQS118" s="6"/>
      <c r="NQT118" s="6"/>
      <c r="NQU118" s="6"/>
      <c r="NQV118" s="6"/>
      <c r="NQW118" s="6"/>
      <c r="NQX118" s="6"/>
      <c r="NQY118" s="6"/>
      <c r="NQZ118" s="6"/>
      <c r="NRA118" s="6"/>
      <c r="NRB118" s="6"/>
      <c r="NRC118" s="6"/>
      <c r="NRD118" s="6"/>
      <c r="NRE118" s="6"/>
      <c r="NRF118" s="6"/>
      <c r="NRG118" s="6"/>
      <c r="NRH118" s="6"/>
      <c r="NRI118" s="6"/>
      <c r="NRJ118" s="6"/>
      <c r="NRK118" s="6"/>
      <c r="NRL118" s="6"/>
      <c r="NRM118" s="6"/>
      <c r="NRN118" s="6"/>
      <c r="NRO118" s="6"/>
      <c r="NRP118" s="6"/>
      <c r="NRQ118" s="6"/>
      <c r="NRR118" s="6"/>
      <c r="NRS118" s="6"/>
      <c r="NRT118" s="6"/>
      <c r="NRU118" s="6"/>
      <c r="NRV118" s="6"/>
      <c r="NRW118" s="6"/>
      <c r="NRX118" s="6"/>
      <c r="NRY118" s="6"/>
      <c r="NRZ118" s="6"/>
      <c r="NSA118" s="6"/>
      <c r="NSB118" s="6"/>
      <c r="NSC118" s="6"/>
      <c r="NSD118" s="6"/>
      <c r="NSE118" s="6"/>
      <c r="NSF118" s="6"/>
      <c r="NSG118" s="6"/>
      <c r="NSH118" s="6"/>
      <c r="NSI118" s="6"/>
      <c r="NSJ118" s="6"/>
      <c r="NSK118" s="6"/>
      <c r="NSL118" s="6"/>
      <c r="NSM118" s="6"/>
      <c r="NSN118" s="6"/>
      <c r="NSO118" s="6"/>
      <c r="NSP118" s="6"/>
      <c r="NSQ118" s="6"/>
      <c r="NSR118" s="6"/>
      <c r="NSS118" s="6"/>
      <c r="NST118" s="6"/>
      <c r="NSU118" s="6"/>
      <c r="NSV118" s="6"/>
      <c r="NSW118" s="6"/>
      <c r="NSX118" s="6"/>
      <c r="NSY118" s="6"/>
      <c r="NSZ118" s="6"/>
      <c r="NTA118" s="6"/>
      <c r="NTB118" s="6"/>
      <c r="NTC118" s="6"/>
      <c r="NTD118" s="6"/>
      <c r="NTE118" s="6"/>
      <c r="NTF118" s="6"/>
      <c r="NTG118" s="6"/>
      <c r="NTH118" s="6"/>
      <c r="NTI118" s="6"/>
      <c r="NTJ118" s="6"/>
      <c r="NTK118" s="6"/>
      <c r="NTL118" s="6"/>
      <c r="NTM118" s="6"/>
      <c r="NTN118" s="6"/>
      <c r="NTO118" s="6"/>
      <c r="NTP118" s="6"/>
      <c r="NTQ118" s="6"/>
      <c r="NTR118" s="6"/>
      <c r="NTS118" s="6"/>
      <c r="NTT118" s="6"/>
      <c r="NTU118" s="6"/>
      <c r="NTV118" s="6"/>
      <c r="NTW118" s="6"/>
      <c r="NTX118" s="6"/>
      <c r="NTY118" s="6"/>
      <c r="NTZ118" s="6"/>
      <c r="NUA118" s="6"/>
      <c r="NUB118" s="6"/>
      <c r="NUC118" s="6"/>
      <c r="NUD118" s="6"/>
      <c r="NUE118" s="6"/>
      <c r="NUF118" s="6"/>
      <c r="NUG118" s="6"/>
      <c r="NUH118" s="6"/>
      <c r="NUI118" s="6"/>
      <c r="NUJ118" s="6"/>
      <c r="NUK118" s="6"/>
      <c r="NUL118" s="6"/>
      <c r="NUM118" s="6"/>
      <c r="NUN118" s="6"/>
      <c r="NUO118" s="6"/>
      <c r="NUP118" s="6"/>
      <c r="NUQ118" s="6"/>
      <c r="NUR118" s="6"/>
      <c r="NUS118" s="6"/>
      <c r="NUT118" s="6"/>
      <c r="NUU118" s="6"/>
      <c r="NUV118" s="6"/>
      <c r="NUW118" s="6"/>
      <c r="NUX118" s="6"/>
      <c r="NUY118" s="6"/>
      <c r="NUZ118" s="6"/>
      <c r="NVA118" s="6"/>
      <c r="NVB118" s="6"/>
      <c r="NVC118" s="6"/>
      <c r="NVD118" s="6"/>
      <c r="NVE118" s="6"/>
      <c r="NVF118" s="6"/>
      <c r="NVG118" s="6"/>
      <c r="NVH118" s="6"/>
      <c r="NVI118" s="6"/>
      <c r="NVJ118" s="6"/>
      <c r="NVK118" s="6"/>
      <c r="NVL118" s="6"/>
      <c r="NVM118" s="6"/>
      <c r="NVN118" s="6"/>
      <c r="NVO118" s="6"/>
      <c r="NVP118" s="6"/>
      <c r="NVQ118" s="6"/>
      <c r="NVR118" s="6"/>
      <c r="NVS118" s="6"/>
      <c r="NVT118" s="6"/>
      <c r="NVU118" s="6"/>
      <c r="NVV118" s="6"/>
      <c r="NVW118" s="6"/>
      <c r="NVX118" s="6"/>
      <c r="NVY118" s="6"/>
      <c r="NVZ118" s="6"/>
      <c r="NWA118" s="6"/>
      <c r="NWB118" s="6"/>
      <c r="NWC118" s="6"/>
      <c r="NWD118" s="6"/>
      <c r="NWE118" s="6"/>
      <c r="NWF118" s="6"/>
      <c r="NWG118" s="6"/>
      <c r="NWH118" s="6"/>
      <c r="NWI118" s="6"/>
      <c r="NWJ118" s="6"/>
      <c r="NWK118" s="6"/>
      <c r="NWL118" s="6"/>
      <c r="NWM118" s="6"/>
      <c r="NWN118" s="6"/>
      <c r="NWO118" s="6"/>
      <c r="NWP118" s="6"/>
      <c r="NWQ118" s="6"/>
      <c r="NWR118" s="6"/>
      <c r="NWS118" s="6"/>
      <c r="NWT118" s="6"/>
      <c r="NWU118" s="6"/>
      <c r="NWV118" s="6"/>
      <c r="NWW118" s="6"/>
      <c r="NWX118" s="6"/>
      <c r="NWY118" s="6"/>
      <c r="NWZ118" s="6"/>
      <c r="NXA118" s="6"/>
      <c r="NXB118" s="6"/>
      <c r="NXC118" s="6"/>
      <c r="NXD118" s="6"/>
      <c r="NXE118" s="6"/>
      <c r="NXF118" s="6"/>
      <c r="NXG118" s="6"/>
      <c r="NXH118" s="6"/>
      <c r="NXI118" s="6"/>
      <c r="NXJ118" s="6"/>
      <c r="NXK118" s="6"/>
      <c r="NXL118" s="6"/>
      <c r="NXM118" s="6"/>
      <c r="NXN118" s="6"/>
      <c r="NXO118" s="6"/>
      <c r="NXP118" s="6"/>
      <c r="NXQ118" s="6"/>
      <c r="NXR118" s="6"/>
      <c r="NXS118" s="6"/>
      <c r="NXT118" s="6"/>
      <c r="NXU118" s="6"/>
      <c r="NXV118" s="6"/>
      <c r="NXW118" s="6"/>
      <c r="NXX118" s="6"/>
      <c r="NXY118" s="6"/>
      <c r="NXZ118" s="6"/>
      <c r="NYA118" s="6"/>
      <c r="NYB118" s="6"/>
      <c r="NYC118" s="6"/>
      <c r="NYD118" s="6"/>
      <c r="NYE118" s="6"/>
      <c r="NYF118" s="6"/>
      <c r="NYG118" s="6"/>
      <c r="NYH118" s="6"/>
      <c r="NYI118" s="6"/>
      <c r="NYJ118" s="6"/>
      <c r="NYK118" s="6"/>
      <c r="NYL118" s="6"/>
      <c r="NYM118" s="6"/>
      <c r="NYN118" s="6"/>
      <c r="NYO118" s="6"/>
      <c r="NYP118" s="6"/>
      <c r="NYQ118" s="6"/>
      <c r="NYR118" s="6"/>
      <c r="NYS118" s="6"/>
      <c r="NYT118" s="6"/>
      <c r="NYU118" s="6"/>
      <c r="NYV118" s="6"/>
      <c r="NYW118" s="6"/>
      <c r="NYX118" s="6"/>
      <c r="NYY118" s="6"/>
      <c r="NYZ118" s="6"/>
      <c r="NZA118" s="6"/>
      <c r="NZB118" s="6"/>
      <c r="NZC118" s="6"/>
      <c r="NZD118" s="6"/>
      <c r="NZE118" s="6"/>
      <c r="NZF118" s="6"/>
      <c r="NZG118" s="6"/>
      <c r="NZH118" s="6"/>
      <c r="NZI118" s="6"/>
      <c r="NZJ118" s="6"/>
      <c r="NZK118" s="6"/>
      <c r="NZL118" s="6"/>
      <c r="NZM118" s="6"/>
      <c r="NZN118" s="6"/>
      <c r="NZO118" s="6"/>
      <c r="NZP118" s="6"/>
      <c r="NZQ118" s="6"/>
      <c r="NZR118" s="6"/>
      <c r="NZS118" s="6"/>
      <c r="NZT118" s="6"/>
      <c r="NZU118" s="6"/>
      <c r="NZV118" s="6"/>
      <c r="NZW118" s="6"/>
      <c r="NZX118" s="6"/>
      <c r="NZY118" s="6"/>
      <c r="NZZ118" s="6"/>
      <c r="OAA118" s="6"/>
      <c r="OAB118" s="6"/>
      <c r="OAC118" s="6"/>
      <c r="OAD118" s="6"/>
      <c r="OAE118" s="6"/>
      <c r="OAF118" s="6"/>
      <c r="OAG118" s="6"/>
      <c r="OAH118" s="6"/>
      <c r="OAI118" s="6"/>
      <c r="OAJ118" s="6"/>
      <c r="OAK118" s="6"/>
      <c r="OAL118" s="6"/>
      <c r="OAM118" s="6"/>
      <c r="OAN118" s="6"/>
      <c r="OAO118" s="6"/>
      <c r="OAP118" s="6"/>
      <c r="OAQ118" s="6"/>
      <c r="OAR118" s="6"/>
      <c r="OAS118" s="6"/>
      <c r="OAT118" s="6"/>
      <c r="OAU118" s="6"/>
      <c r="OAV118" s="6"/>
      <c r="OAW118" s="6"/>
      <c r="OAX118" s="6"/>
      <c r="OAY118" s="6"/>
      <c r="OAZ118" s="6"/>
      <c r="OBA118" s="6"/>
      <c r="OBB118" s="6"/>
      <c r="OBC118" s="6"/>
      <c r="OBD118" s="6"/>
      <c r="OBE118" s="6"/>
      <c r="OBF118" s="6"/>
      <c r="OBG118" s="6"/>
      <c r="OBH118" s="6"/>
      <c r="OBI118" s="6"/>
      <c r="OBJ118" s="6"/>
      <c r="OBK118" s="6"/>
      <c r="OBL118" s="6"/>
      <c r="OBM118" s="6"/>
      <c r="OBN118" s="6"/>
      <c r="OBO118" s="6"/>
      <c r="OBP118" s="6"/>
      <c r="OBQ118" s="6"/>
      <c r="OBR118" s="6"/>
      <c r="OBS118" s="6"/>
      <c r="OBT118" s="6"/>
      <c r="OBU118" s="6"/>
      <c r="OBV118" s="6"/>
      <c r="OBW118" s="6"/>
      <c r="OBX118" s="6"/>
      <c r="OBY118" s="6"/>
      <c r="OBZ118" s="6"/>
      <c r="OCA118" s="6"/>
      <c r="OCB118" s="6"/>
      <c r="OCC118" s="6"/>
      <c r="OCD118" s="6"/>
      <c r="OCE118" s="6"/>
      <c r="OCF118" s="6"/>
      <c r="OCG118" s="6"/>
      <c r="OCH118" s="6"/>
      <c r="OCI118" s="6"/>
      <c r="OCJ118" s="6"/>
      <c r="OCK118" s="6"/>
      <c r="OCL118" s="6"/>
      <c r="OCM118" s="6"/>
      <c r="OCN118" s="6"/>
      <c r="OCO118" s="6"/>
      <c r="OCP118" s="6"/>
      <c r="OCQ118" s="6"/>
      <c r="OCR118" s="6"/>
      <c r="OCS118" s="6"/>
      <c r="OCT118" s="6"/>
      <c r="OCU118" s="6"/>
      <c r="OCV118" s="6"/>
      <c r="OCW118" s="6"/>
      <c r="OCX118" s="6"/>
      <c r="OCY118" s="6"/>
      <c r="OCZ118" s="6"/>
      <c r="ODA118" s="6"/>
      <c r="ODB118" s="6"/>
      <c r="ODC118" s="6"/>
      <c r="ODD118" s="6"/>
      <c r="ODE118" s="6"/>
      <c r="ODF118" s="6"/>
      <c r="ODG118" s="6"/>
      <c r="ODH118" s="6"/>
      <c r="ODI118" s="6"/>
      <c r="ODJ118" s="6"/>
      <c r="ODK118" s="6"/>
      <c r="ODL118" s="6"/>
      <c r="ODM118" s="6"/>
      <c r="ODN118" s="6"/>
      <c r="ODO118" s="6"/>
      <c r="ODP118" s="6"/>
      <c r="ODQ118" s="6"/>
      <c r="ODR118" s="6"/>
      <c r="ODS118" s="6"/>
      <c r="ODT118" s="6"/>
      <c r="ODU118" s="6"/>
      <c r="ODV118" s="6"/>
      <c r="ODW118" s="6"/>
      <c r="ODX118" s="6"/>
      <c r="ODY118" s="6"/>
      <c r="ODZ118" s="6"/>
      <c r="OEA118" s="6"/>
      <c r="OEB118" s="6"/>
      <c r="OEC118" s="6"/>
      <c r="OED118" s="6"/>
      <c r="OEE118" s="6"/>
      <c r="OEF118" s="6"/>
      <c r="OEG118" s="6"/>
      <c r="OEH118" s="6"/>
      <c r="OEI118" s="6"/>
      <c r="OEJ118" s="6"/>
      <c r="OEK118" s="6"/>
      <c r="OEL118" s="6"/>
      <c r="OEM118" s="6"/>
      <c r="OEN118" s="6"/>
      <c r="OEO118" s="6"/>
      <c r="OEP118" s="6"/>
      <c r="OEQ118" s="6"/>
      <c r="OER118" s="6"/>
      <c r="OES118" s="6"/>
      <c r="OET118" s="6"/>
      <c r="OEU118" s="6"/>
      <c r="OEV118" s="6"/>
      <c r="OEW118" s="6"/>
      <c r="OEX118" s="6"/>
      <c r="OEY118" s="6"/>
      <c r="OEZ118" s="6"/>
      <c r="OFA118" s="6"/>
      <c r="OFB118" s="6"/>
      <c r="OFC118" s="6"/>
      <c r="OFD118" s="6"/>
      <c r="OFE118" s="6"/>
      <c r="OFF118" s="6"/>
      <c r="OFG118" s="6"/>
      <c r="OFH118" s="6"/>
      <c r="OFI118" s="6"/>
      <c r="OFJ118" s="6"/>
      <c r="OFK118" s="6"/>
      <c r="OFL118" s="6"/>
      <c r="OFM118" s="6"/>
      <c r="OFN118" s="6"/>
      <c r="OFO118" s="6"/>
      <c r="OFP118" s="6"/>
      <c r="OFQ118" s="6"/>
      <c r="OFR118" s="6"/>
      <c r="OFS118" s="6"/>
      <c r="OFT118" s="6"/>
      <c r="OFU118" s="6"/>
      <c r="OFV118" s="6"/>
      <c r="OFW118" s="6"/>
      <c r="OFX118" s="6"/>
      <c r="OFY118" s="6"/>
      <c r="OFZ118" s="6"/>
      <c r="OGA118" s="6"/>
      <c r="OGB118" s="6"/>
      <c r="OGC118" s="6"/>
      <c r="OGD118" s="6"/>
      <c r="OGE118" s="6"/>
      <c r="OGF118" s="6"/>
      <c r="OGG118" s="6"/>
      <c r="OGH118" s="6"/>
      <c r="OGI118" s="6"/>
      <c r="OGJ118" s="6"/>
      <c r="OGK118" s="6"/>
      <c r="OGL118" s="6"/>
      <c r="OGM118" s="6"/>
      <c r="OGN118" s="6"/>
      <c r="OGO118" s="6"/>
      <c r="OGP118" s="6"/>
      <c r="OGQ118" s="6"/>
      <c r="OGR118" s="6"/>
      <c r="OGS118" s="6"/>
      <c r="OGT118" s="6"/>
      <c r="OGU118" s="6"/>
      <c r="OGV118" s="6"/>
      <c r="OGW118" s="6"/>
      <c r="OGX118" s="6"/>
      <c r="OGY118" s="6"/>
      <c r="OGZ118" s="6"/>
      <c r="OHA118" s="6"/>
      <c r="OHB118" s="6"/>
      <c r="OHC118" s="6"/>
      <c r="OHD118" s="6"/>
      <c r="OHE118" s="6"/>
      <c r="OHF118" s="6"/>
      <c r="OHG118" s="6"/>
      <c r="OHH118" s="6"/>
      <c r="OHI118" s="6"/>
      <c r="OHJ118" s="6"/>
      <c r="OHK118" s="6"/>
      <c r="OHL118" s="6"/>
      <c r="OHM118" s="6"/>
      <c r="OHN118" s="6"/>
      <c r="OHO118" s="6"/>
      <c r="OHP118" s="6"/>
      <c r="OHQ118" s="6"/>
      <c r="OHR118" s="6"/>
      <c r="OHS118" s="6"/>
      <c r="OHT118" s="6"/>
      <c r="OHU118" s="6"/>
      <c r="OHV118" s="6"/>
      <c r="OHW118" s="6"/>
      <c r="OHX118" s="6"/>
      <c r="OHY118" s="6"/>
      <c r="OHZ118" s="6"/>
      <c r="OIA118" s="6"/>
      <c r="OIB118" s="6"/>
      <c r="OIC118" s="6"/>
      <c r="OID118" s="6"/>
      <c r="OIE118" s="6"/>
      <c r="OIF118" s="6"/>
      <c r="OIG118" s="6"/>
      <c r="OIH118" s="6"/>
      <c r="OII118" s="6"/>
      <c r="OIJ118" s="6"/>
      <c r="OIK118" s="6"/>
      <c r="OIL118" s="6"/>
      <c r="OIM118" s="6"/>
      <c r="OIN118" s="6"/>
      <c r="OIO118" s="6"/>
      <c r="OIP118" s="6"/>
      <c r="OIQ118" s="6"/>
      <c r="OIR118" s="6"/>
      <c r="OIS118" s="6"/>
      <c r="OIT118" s="6"/>
      <c r="OIU118" s="6"/>
      <c r="OIV118" s="6"/>
      <c r="OIW118" s="6"/>
      <c r="OIX118" s="6"/>
      <c r="OIY118" s="6"/>
      <c r="OIZ118" s="6"/>
      <c r="OJA118" s="6"/>
      <c r="OJB118" s="6"/>
      <c r="OJC118" s="6"/>
      <c r="OJD118" s="6"/>
      <c r="OJE118" s="6"/>
      <c r="OJF118" s="6"/>
      <c r="OJG118" s="6"/>
      <c r="OJH118" s="6"/>
      <c r="OJI118" s="6"/>
      <c r="OJJ118" s="6"/>
      <c r="OJK118" s="6"/>
      <c r="OJL118" s="6"/>
      <c r="OJM118" s="6"/>
      <c r="OJN118" s="6"/>
      <c r="OJO118" s="6"/>
      <c r="OJP118" s="6"/>
      <c r="OJQ118" s="6"/>
      <c r="OJR118" s="6"/>
      <c r="OJS118" s="6"/>
      <c r="OJT118" s="6"/>
      <c r="OJU118" s="6"/>
      <c r="OJV118" s="6"/>
      <c r="OJW118" s="6"/>
      <c r="OJX118" s="6"/>
      <c r="OJY118" s="6"/>
      <c r="OJZ118" s="6"/>
      <c r="OKA118" s="6"/>
      <c r="OKB118" s="6"/>
      <c r="OKC118" s="6"/>
      <c r="OKD118" s="6"/>
      <c r="OKE118" s="6"/>
      <c r="OKF118" s="6"/>
      <c r="OKG118" s="6"/>
      <c r="OKH118" s="6"/>
      <c r="OKI118" s="6"/>
      <c r="OKJ118" s="6"/>
      <c r="OKK118" s="6"/>
      <c r="OKL118" s="6"/>
      <c r="OKM118" s="6"/>
      <c r="OKN118" s="6"/>
      <c r="OKO118" s="6"/>
      <c r="OKP118" s="6"/>
      <c r="OKQ118" s="6"/>
      <c r="OKR118" s="6"/>
      <c r="OKS118" s="6"/>
      <c r="OKT118" s="6"/>
      <c r="OKU118" s="6"/>
      <c r="OKV118" s="6"/>
      <c r="OKW118" s="6"/>
      <c r="OKX118" s="6"/>
      <c r="OKY118" s="6"/>
      <c r="OKZ118" s="6"/>
      <c r="OLA118" s="6"/>
      <c r="OLB118" s="6"/>
      <c r="OLC118" s="6"/>
      <c r="OLD118" s="6"/>
      <c r="OLE118" s="6"/>
      <c r="OLF118" s="6"/>
      <c r="OLG118" s="6"/>
      <c r="OLH118" s="6"/>
      <c r="OLI118" s="6"/>
      <c r="OLJ118" s="6"/>
      <c r="OLK118" s="6"/>
      <c r="OLL118" s="6"/>
      <c r="OLM118" s="6"/>
      <c r="OLN118" s="6"/>
      <c r="OLO118" s="6"/>
      <c r="OLP118" s="6"/>
      <c r="OLQ118" s="6"/>
      <c r="OLR118" s="6"/>
      <c r="OLS118" s="6"/>
      <c r="OLT118" s="6"/>
      <c r="OLU118" s="6"/>
      <c r="OLV118" s="6"/>
      <c r="OLW118" s="6"/>
      <c r="OLX118" s="6"/>
      <c r="OLY118" s="6"/>
      <c r="OLZ118" s="6"/>
      <c r="OMA118" s="6"/>
      <c r="OMB118" s="6"/>
      <c r="OMC118" s="6"/>
      <c r="OMD118" s="6"/>
      <c r="OME118" s="6"/>
      <c r="OMF118" s="6"/>
      <c r="OMG118" s="6"/>
      <c r="OMH118" s="6"/>
      <c r="OMI118" s="6"/>
      <c r="OMJ118" s="6"/>
      <c r="OMK118" s="6"/>
      <c r="OML118" s="6"/>
      <c r="OMM118" s="6"/>
      <c r="OMN118" s="6"/>
      <c r="OMO118" s="6"/>
      <c r="OMP118" s="6"/>
      <c r="OMQ118" s="6"/>
      <c r="OMR118" s="6"/>
      <c r="OMS118" s="6"/>
      <c r="OMT118" s="6"/>
      <c r="OMU118" s="6"/>
      <c r="OMV118" s="6"/>
      <c r="OMW118" s="6"/>
      <c r="OMX118" s="6"/>
      <c r="OMY118" s="6"/>
      <c r="OMZ118" s="6"/>
      <c r="ONA118" s="6"/>
      <c r="ONB118" s="6"/>
      <c r="ONC118" s="6"/>
      <c r="OND118" s="6"/>
      <c r="ONE118" s="6"/>
      <c r="ONF118" s="6"/>
      <c r="ONG118" s="6"/>
      <c r="ONH118" s="6"/>
      <c r="ONI118" s="6"/>
      <c r="ONJ118" s="6"/>
      <c r="ONK118" s="6"/>
      <c r="ONL118" s="6"/>
      <c r="ONM118" s="6"/>
      <c r="ONN118" s="6"/>
      <c r="ONO118" s="6"/>
      <c r="ONP118" s="6"/>
      <c r="ONQ118" s="6"/>
      <c r="ONR118" s="6"/>
      <c r="ONS118" s="6"/>
      <c r="ONT118" s="6"/>
      <c r="ONU118" s="6"/>
      <c r="ONV118" s="6"/>
      <c r="ONW118" s="6"/>
      <c r="ONX118" s="6"/>
      <c r="ONY118" s="6"/>
      <c r="ONZ118" s="6"/>
      <c r="OOA118" s="6"/>
      <c r="OOB118" s="6"/>
      <c r="OOC118" s="6"/>
      <c r="OOD118" s="6"/>
      <c r="OOE118" s="6"/>
      <c r="OOF118" s="6"/>
      <c r="OOG118" s="6"/>
      <c r="OOH118" s="6"/>
      <c r="OOI118" s="6"/>
      <c r="OOJ118" s="6"/>
      <c r="OOK118" s="6"/>
      <c r="OOL118" s="6"/>
      <c r="OOM118" s="6"/>
      <c r="OON118" s="6"/>
      <c r="OOO118" s="6"/>
      <c r="OOP118" s="6"/>
      <c r="OOQ118" s="6"/>
      <c r="OOR118" s="6"/>
      <c r="OOS118" s="6"/>
      <c r="OOT118" s="6"/>
      <c r="OOU118" s="6"/>
      <c r="OOV118" s="6"/>
      <c r="OOW118" s="6"/>
      <c r="OOX118" s="6"/>
      <c r="OOY118" s="6"/>
      <c r="OOZ118" s="6"/>
      <c r="OPA118" s="6"/>
      <c r="OPB118" s="6"/>
      <c r="OPC118" s="6"/>
      <c r="OPD118" s="6"/>
      <c r="OPE118" s="6"/>
      <c r="OPF118" s="6"/>
      <c r="OPG118" s="6"/>
      <c r="OPH118" s="6"/>
      <c r="OPI118" s="6"/>
      <c r="OPJ118" s="6"/>
      <c r="OPK118" s="6"/>
      <c r="OPL118" s="6"/>
      <c r="OPM118" s="6"/>
      <c r="OPN118" s="6"/>
      <c r="OPO118" s="6"/>
      <c r="OPP118" s="6"/>
      <c r="OPQ118" s="6"/>
      <c r="OPR118" s="6"/>
      <c r="OPS118" s="6"/>
      <c r="OPT118" s="6"/>
      <c r="OPU118" s="6"/>
      <c r="OPV118" s="6"/>
      <c r="OPW118" s="6"/>
      <c r="OPX118" s="6"/>
      <c r="OPY118" s="6"/>
      <c r="OPZ118" s="6"/>
      <c r="OQA118" s="6"/>
      <c r="OQB118" s="6"/>
      <c r="OQC118" s="6"/>
      <c r="OQD118" s="6"/>
      <c r="OQE118" s="6"/>
      <c r="OQF118" s="6"/>
      <c r="OQG118" s="6"/>
      <c r="OQH118" s="6"/>
      <c r="OQI118" s="6"/>
      <c r="OQJ118" s="6"/>
      <c r="OQK118" s="6"/>
      <c r="OQL118" s="6"/>
      <c r="OQM118" s="6"/>
      <c r="OQN118" s="6"/>
      <c r="OQO118" s="6"/>
      <c r="OQP118" s="6"/>
      <c r="OQQ118" s="6"/>
      <c r="OQR118" s="6"/>
      <c r="OQS118" s="6"/>
      <c r="OQT118" s="6"/>
      <c r="OQU118" s="6"/>
      <c r="OQV118" s="6"/>
      <c r="OQW118" s="6"/>
      <c r="OQX118" s="6"/>
      <c r="OQY118" s="6"/>
      <c r="OQZ118" s="6"/>
      <c r="ORA118" s="6"/>
      <c r="ORB118" s="6"/>
      <c r="ORC118" s="6"/>
      <c r="ORD118" s="6"/>
      <c r="ORE118" s="6"/>
      <c r="ORF118" s="6"/>
      <c r="ORG118" s="6"/>
      <c r="ORH118" s="6"/>
      <c r="ORI118" s="6"/>
      <c r="ORJ118" s="6"/>
      <c r="ORK118" s="6"/>
      <c r="ORL118" s="6"/>
      <c r="ORM118" s="6"/>
      <c r="ORN118" s="6"/>
      <c r="ORO118" s="6"/>
      <c r="ORP118" s="6"/>
      <c r="ORQ118" s="6"/>
      <c r="ORR118" s="6"/>
      <c r="ORS118" s="6"/>
      <c r="ORT118" s="6"/>
      <c r="ORU118" s="6"/>
      <c r="ORV118" s="6"/>
      <c r="ORW118" s="6"/>
      <c r="ORX118" s="6"/>
      <c r="ORY118" s="6"/>
      <c r="ORZ118" s="6"/>
      <c r="OSA118" s="6"/>
      <c r="OSB118" s="6"/>
      <c r="OSC118" s="6"/>
      <c r="OSD118" s="6"/>
      <c r="OSE118" s="6"/>
      <c r="OSF118" s="6"/>
      <c r="OSG118" s="6"/>
      <c r="OSH118" s="6"/>
      <c r="OSI118" s="6"/>
      <c r="OSJ118" s="6"/>
      <c r="OSK118" s="6"/>
      <c r="OSL118" s="6"/>
      <c r="OSM118" s="6"/>
      <c r="OSN118" s="6"/>
      <c r="OSO118" s="6"/>
      <c r="OSP118" s="6"/>
      <c r="OSQ118" s="6"/>
      <c r="OSR118" s="6"/>
      <c r="OSS118" s="6"/>
      <c r="OST118" s="6"/>
      <c r="OSU118" s="6"/>
      <c r="OSV118" s="6"/>
      <c r="OSW118" s="6"/>
      <c r="OSX118" s="6"/>
      <c r="OSY118" s="6"/>
      <c r="OSZ118" s="6"/>
      <c r="OTA118" s="6"/>
      <c r="OTB118" s="6"/>
      <c r="OTC118" s="6"/>
      <c r="OTD118" s="6"/>
      <c r="OTE118" s="6"/>
      <c r="OTF118" s="6"/>
      <c r="OTG118" s="6"/>
      <c r="OTH118" s="6"/>
      <c r="OTI118" s="6"/>
      <c r="OTJ118" s="6"/>
      <c r="OTK118" s="6"/>
      <c r="OTL118" s="6"/>
      <c r="OTM118" s="6"/>
      <c r="OTN118" s="6"/>
      <c r="OTO118" s="6"/>
      <c r="OTP118" s="6"/>
      <c r="OTQ118" s="6"/>
      <c r="OTR118" s="6"/>
      <c r="OTS118" s="6"/>
      <c r="OTT118" s="6"/>
      <c r="OTU118" s="6"/>
      <c r="OTV118" s="6"/>
      <c r="OTW118" s="6"/>
      <c r="OTX118" s="6"/>
      <c r="OTY118" s="6"/>
      <c r="OTZ118" s="6"/>
      <c r="OUA118" s="6"/>
      <c r="OUB118" s="6"/>
      <c r="OUC118" s="6"/>
      <c r="OUD118" s="6"/>
      <c r="OUE118" s="6"/>
      <c r="OUF118" s="6"/>
      <c r="OUG118" s="6"/>
      <c r="OUH118" s="6"/>
      <c r="OUI118" s="6"/>
      <c r="OUJ118" s="6"/>
      <c r="OUK118" s="6"/>
      <c r="OUL118" s="6"/>
      <c r="OUM118" s="6"/>
      <c r="OUN118" s="6"/>
      <c r="OUO118" s="6"/>
      <c r="OUP118" s="6"/>
      <c r="OUQ118" s="6"/>
      <c r="OUR118" s="6"/>
      <c r="OUS118" s="6"/>
      <c r="OUT118" s="6"/>
      <c r="OUU118" s="6"/>
      <c r="OUV118" s="6"/>
      <c r="OUW118" s="6"/>
      <c r="OUX118" s="6"/>
      <c r="OUY118" s="6"/>
      <c r="OUZ118" s="6"/>
      <c r="OVA118" s="6"/>
      <c r="OVB118" s="6"/>
      <c r="OVC118" s="6"/>
      <c r="OVD118" s="6"/>
      <c r="OVE118" s="6"/>
      <c r="OVF118" s="6"/>
      <c r="OVG118" s="6"/>
      <c r="OVH118" s="6"/>
      <c r="OVI118" s="6"/>
      <c r="OVJ118" s="6"/>
      <c r="OVK118" s="6"/>
      <c r="OVL118" s="6"/>
      <c r="OVM118" s="6"/>
      <c r="OVN118" s="6"/>
      <c r="OVO118" s="6"/>
      <c r="OVP118" s="6"/>
      <c r="OVQ118" s="6"/>
      <c r="OVR118" s="6"/>
      <c r="OVS118" s="6"/>
      <c r="OVT118" s="6"/>
      <c r="OVU118" s="6"/>
      <c r="OVV118" s="6"/>
      <c r="OVW118" s="6"/>
      <c r="OVX118" s="6"/>
      <c r="OVY118" s="6"/>
      <c r="OVZ118" s="6"/>
      <c r="OWA118" s="6"/>
      <c r="OWB118" s="6"/>
      <c r="OWC118" s="6"/>
      <c r="OWD118" s="6"/>
      <c r="OWE118" s="6"/>
      <c r="OWF118" s="6"/>
      <c r="OWG118" s="6"/>
      <c r="OWH118" s="6"/>
      <c r="OWI118" s="6"/>
      <c r="OWJ118" s="6"/>
      <c r="OWK118" s="6"/>
      <c r="OWL118" s="6"/>
      <c r="OWM118" s="6"/>
      <c r="OWN118" s="6"/>
      <c r="OWO118" s="6"/>
      <c r="OWP118" s="6"/>
      <c r="OWQ118" s="6"/>
      <c r="OWR118" s="6"/>
      <c r="OWS118" s="6"/>
      <c r="OWT118" s="6"/>
      <c r="OWU118" s="6"/>
      <c r="OWV118" s="6"/>
      <c r="OWW118" s="6"/>
      <c r="OWX118" s="6"/>
      <c r="OWY118" s="6"/>
      <c r="OWZ118" s="6"/>
      <c r="OXA118" s="6"/>
      <c r="OXB118" s="6"/>
      <c r="OXC118" s="6"/>
      <c r="OXD118" s="6"/>
      <c r="OXE118" s="6"/>
      <c r="OXF118" s="6"/>
      <c r="OXG118" s="6"/>
      <c r="OXH118" s="6"/>
      <c r="OXI118" s="6"/>
      <c r="OXJ118" s="6"/>
      <c r="OXK118" s="6"/>
      <c r="OXL118" s="6"/>
      <c r="OXM118" s="6"/>
      <c r="OXN118" s="6"/>
      <c r="OXO118" s="6"/>
      <c r="OXP118" s="6"/>
      <c r="OXQ118" s="6"/>
      <c r="OXR118" s="6"/>
      <c r="OXS118" s="6"/>
      <c r="OXT118" s="6"/>
      <c r="OXU118" s="6"/>
      <c r="OXV118" s="6"/>
      <c r="OXW118" s="6"/>
      <c r="OXX118" s="6"/>
      <c r="OXY118" s="6"/>
      <c r="OXZ118" s="6"/>
      <c r="OYA118" s="6"/>
      <c r="OYB118" s="6"/>
      <c r="OYC118" s="6"/>
      <c r="OYD118" s="6"/>
      <c r="OYE118" s="6"/>
      <c r="OYF118" s="6"/>
      <c r="OYG118" s="6"/>
      <c r="OYH118" s="6"/>
      <c r="OYI118" s="6"/>
      <c r="OYJ118" s="6"/>
      <c r="OYK118" s="6"/>
      <c r="OYL118" s="6"/>
      <c r="OYM118" s="6"/>
      <c r="OYN118" s="6"/>
      <c r="OYO118" s="6"/>
      <c r="OYP118" s="6"/>
      <c r="OYQ118" s="6"/>
      <c r="OYR118" s="6"/>
      <c r="OYS118" s="6"/>
      <c r="OYT118" s="6"/>
      <c r="OYU118" s="6"/>
      <c r="OYV118" s="6"/>
      <c r="OYW118" s="6"/>
      <c r="OYX118" s="6"/>
      <c r="OYY118" s="6"/>
      <c r="OYZ118" s="6"/>
      <c r="OZA118" s="6"/>
      <c r="OZB118" s="6"/>
      <c r="OZC118" s="6"/>
      <c r="OZD118" s="6"/>
      <c r="OZE118" s="6"/>
      <c r="OZF118" s="6"/>
      <c r="OZG118" s="6"/>
      <c r="OZH118" s="6"/>
      <c r="OZI118" s="6"/>
      <c r="OZJ118" s="6"/>
      <c r="OZK118" s="6"/>
      <c r="OZL118" s="6"/>
      <c r="OZM118" s="6"/>
      <c r="OZN118" s="6"/>
      <c r="OZO118" s="6"/>
      <c r="OZP118" s="6"/>
      <c r="OZQ118" s="6"/>
      <c r="OZR118" s="6"/>
      <c r="OZS118" s="6"/>
      <c r="OZT118" s="6"/>
      <c r="OZU118" s="6"/>
      <c r="OZV118" s="6"/>
      <c r="OZW118" s="6"/>
      <c r="OZX118" s="6"/>
      <c r="OZY118" s="6"/>
      <c r="OZZ118" s="6"/>
      <c r="PAA118" s="6"/>
      <c r="PAB118" s="6"/>
      <c r="PAC118" s="6"/>
      <c r="PAD118" s="6"/>
      <c r="PAE118" s="6"/>
      <c r="PAF118" s="6"/>
      <c r="PAG118" s="6"/>
      <c r="PAH118" s="6"/>
      <c r="PAI118" s="6"/>
      <c r="PAJ118" s="6"/>
      <c r="PAK118" s="6"/>
      <c r="PAL118" s="6"/>
      <c r="PAM118" s="6"/>
      <c r="PAN118" s="6"/>
      <c r="PAO118" s="6"/>
      <c r="PAP118" s="6"/>
      <c r="PAQ118" s="6"/>
      <c r="PAR118" s="6"/>
      <c r="PAS118" s="6"/>
      <c r="PAT118" s="6"/>
      <c r="PAU118" s="6"/>
      <c r="PAV118" s="6"/>
      <c r="PAW118" s="6"/>
      <c r="PAX118" s="6"/>
      <c r="PAY118" s="6"/>
      <c r="PAZ118" s="6"/>
      <c r="PBA118" s="6"/>
      <c r="PBB118" s="6"/>
      <c r="PBC118" s="6"/>
      <c r="PBD118" s="6"/>
      <c r="PBE118" s="6"/>
      <c r="PBF118" s="6"/>
      <c r="PBG118" s="6"/>
      <c r="PBH118" s="6"/>
      <c r="PBI118" s="6"/>
      <c r="PBJ118" s="6"/>
      <c r="PBK118" s="6"/>
      <c r="PBL118" s="6"/>
      <c r="PBM118" s="6"/>
      <c r="PBN118" s="6"/>
      <c r="PBO118" s="6"/>
      <c r="PBP118" s="6"/>
      <c r="PBQ118" s="6"/>
      <c r="PBR118" s="6"/>
      <c r="PBS118" s="6"/>
      <c r="PBT118" s="6"/>
      <c r="PBU118" s="6"/>
      <c r="PBV118" s="6"/>
      <c r="PBW118" s="6"/>
      <c r="PBX118" s="6"/>
      <c r="PBY118" s="6"/>
      <c r="PBZ118" s="6"/>
      <c r="PCA118" s="6"/>
      <c r="PCB118" s="6"/>
      <c r="PCC118" s="6"/>
      <c r="PCD118" s="6"/>
      <c r="PCE118" s="6"/>
      <c r="PCF118" s="6"/>
      <c r="PCG118" s="6"/>
      <c r="PCH118" s="6"/>
      <c r="PCI118" s="6"/>
      <c r="PCJ118" s="6"/>
      <c r="PCK118" s="6"/>
      <c r="PCL118" s="6"/>
      <c r="PCM118" s="6"/>
      <c r="PCN118" s="6"/>
      <c r="PCO118" s="6"/>
      <c r="PCP118" s="6"/>
      <c r="PCQ118" s="6"/>
      <c r="PCR118" s="6"/>
      <c r="PCS118" s="6"/>
      <c r="PCT118" s="6"/>
      <c r="PCU118" s="6"/>
      <c r="PCV118" s="6"/>
      <c r="PCW118" s="6"/>
      <c r="PCX118" s="6"/>
      <c r="PCY118" s="6"/>
      <c r="PCZ118" s="6"/>
      <c r="PDA118" s="6"/>
      <c r="PDB118" s="6"/>
      <c r="PDC118" s="6"/>
      <c r="PDD118" s="6"/>
      <c r="PDE118" s="6"/>
      <c r="PDF118" s="6"/>
      <c r="PDG118" s="6"/>
      <c r="PDH118" s="6"/>
      <c r="PDI118" s="6"/>
      <c r="PDJ118" s="6"/>
      <c r="PDK118" s="6"/>
      <c r="PDL118" s="6"/>
      <c r="PDM118" s="6"/>
      <c r="PDN118" s="6"/>
      <c r="PDO118" s="6"/>
      <c r="PDP118" s="6"/>
      <c r="PDQ118" s="6"/>
      <c r="PDR118" s="6"/>
      <c r="PDS118" s="6"/>
      <c r="PDT118" s="6"/>
      <c r="PDU118" s="6"/>
      <c r="PDV118" s="6"/>
      <c r="PDW118" s="6"/>
      <c r="PDX118" s="6"/>
      <c r="PDY118" s="6"/>
      <c r="PDZ118" s="6"/>
      <c r="PEA118" s="6"/>
      <c r="PEB118" s="6"/>
      <c r="PEC118" s="6"/>
      <c r="PED118" s="6"/>
      <c r="PEE118" s="6"/>
      <c r="PEF118" s="6"/>
      <c r="PEG118" s="6"/>
      <c r="PEH118" s="6"/>
      <c r="PEI118" s="6"/>
      <c r="PEJ118" s="6"/>
      <c r="PEK118" s="6"/>
      <c r="PEL118" s="6"/>
      <c r="PEM118" s="6"/>
      <c r="PEN118" s="6"/>
      <c r="PEO118" s="6"/>
      <c r="PEP118" s="6"/>
      <c r="PEQ118" s="6"/>
      <c r="PER118" s="6"/>
      <c r="PES118" s="6"/>
      <c r="PET118" s="6"/>
      <c r="PEU118" s="6"/>
      <c r="PEV118" s="6"/>
      <c r="PEW118" s="6"/>
      <c r="PEX118" s="6"/>
      <c r="PEY118" s="6"/>
      <c r="PEZ118" s="6"/>
      <c r="PFA118" s="6"/>
      <c r="PFB118" s="6"/>
      <c r="PFC118" s="6"/>
      <c r="PFD118" s="6"/>
      <c r="PFE118" s="6"/>
      <c r="PFF118" s="6"/>
      <c r="PFG118" s="6"/>
      <c r="PFH118" s="6"/>
      <c r="PFI118" s="6"/>
      <c r="PFJ118" s="6"/>
      <c r="PFK118" s="6"/>
      <c r="PFL118" s="6"/>
      <c r="PFM118" s="6"/>
      <c r="PFN118" s="6"/>
      <c r="PFO118" s="6"/>
      <c r="PFP118" s="6"/>
      <c r="PFQ118" s="6"/>
      <c r="PFR118" s="6"/>
      <c r="PFS118" s="6"/>
      <c r="PFT118" s="6"/>
      <c r="PFU118" s="6"/>
      <c r="PFV118" s="6"/>
      <c r="PFW118" s="6"/>
      <c r="PFX118" s="6"/>
      <c r="PFY118" s="6"/>
      <c r="PFZ118" s="6"/>
      <c r="PGA118" s="6"/>
      <c r="PGB118" s="6"/>
      <c r="PGC118" s="6"/>
      <c r="PGD118" s="6"/>
      <c r="PGE118" s="6"/>
      <c r="PGF118" s="6"/>
      <c r="PGG118" s="6"/>
      <c r="PGH118" s="6"/>
      <c r="PGI118" s="6"/>
      <c r="PGJ118" s="6"/>
      <c r="PGK118" s="6"/>
      <c r="PGL118" s="6"/>
      <c r="PGM118" s="6"/>
      <c r="PGN118" s="6"/>
      <c r="PGO118" s="6"/>
      <c r="PGP118" s="6"/>
      <c r="PGQ118" s="6"/>
      <c r="PGR118" s="6"/>
      <c r="PGS118" s="6"/>
      <c r="PGT118" s="6"/>
      <c r="PGU118" s="6"/>
      <c r="PGV118" s="6"/>
      <c r="PGW118" s="6"/>
      <c r="PGX118" s="6"/>
      <c r="PGY118" s="6"/>
      <c r="PGZ118" s="6"/>
      <c r="PHA118" s="6"/>
      <c r="PHB118" s="6"/>
      <c r="PHC118" s="6"/>
      <c r="PHD118" s="6"/>
      <c r="PHE118" s="6"/>
      <c r="PHF118" s="6"/>
      <c r="PHG118" s="6"/>
      <c r="PHH118" s="6"/>
      <c r="PHI118" s="6"/>
      <c r="PHJ118" s="6"/>
      <c r="PHK118" s="6"/>
      <c r="PHL118" s="6"/>
      <c r="PHM118" s="6"/>
      <c r="PHN118" s="6"/>
      <c r="PHO118" s="6"/>
      <c r="PHP118" s="6"/>
      <c r="PHQ118" s="6"/>
      <c r="PHR118" s="6"/>
      <c r="PHS118" s="6"/>
      <c r="PHT118" s="6"/>
      <c r="PHU118" s="6"/>
      <c r="PHV118" s="6"/>
      <c r="PHW118" s="6"/>
      <c r="PHX118" s="6"/>
      <c r="PHY118" s="6"/>
      <c r="PHZ118" s="6"/>
      <c r="PIA118" s="6"/>
      <c r="PIB118" s="6"/>
      <c r="PIC118" s="6"/>
      <c r="PID118" s="6"/>
      <c r="PIE118" s="6"/>
      <c r="PIF118" s="6"/>
      <c r="PIG118" s="6"/>
      <c r="PIH118" s="6"/>
      <c r="PII118" s="6"/>
      <c r="PIJ118" s="6"/>
      <c r="PIK118" s="6"/>
      <c r="PIL118" s="6"/>
      <c r="PIM118" s="6"/>
      <c r="PIN118" s="6"/>
      <c r="PIO118" s="6"/>
      <c r="PIP118" s="6"/>
      <c r="PIQ118" s="6"/>
      <c r="PIR118" s="6"/>
      <c r="PIS118" s="6"/>
      <c r="PIT118" s="6"/>
      <c r="PIU118" s="6"/>
      <c r="PIV118" s="6"/>
      <c r="PIW118" s="6"/>
      <c r="PIX118" s="6"/>
      <c r="PIY118" s="6"/>
      <c r="PIZ118" s="6"/>
      <c r="PJA118" s="6"/>
      <c r="PJB118" s="6"/>
      <c r="PJC118" s="6"/>
      <c r="PJD118" s="6"/>
      <c r="PJE118" s="6"/>
      <c r="PJF118" s="6"/>
      <c r="PJG118" s="6"/>
      <c r="PJH118" s="6"/>
      <c r="PJI118" s="6"/>
      <c r="PJJ118" s="6"/>
      <c r="PJK118" s="6"/>
      <c r="PJL118" s="6"/>
      <c r="PJM118" s="6"/>
      <c r="PJN118" s="6"/>
      <c r="PJO118" s="6"/>
      <c r="PJP118" s="6"/>
      <c r="PJQ118" s="6"/>
      <c r="PJR118" s="6"/>
      <c r="PJS118" s="6"/>
      <c r="PJT118" s="6"/>
      <c r="PJU118" s="6"/>
      <c r="PJV118" s="6"/>
      <c r="PJW118" s="6"/>
      <c r="PJX118" s="6"/>
      <c r="PJY118" s="6"/>
      <c r="PJZ118" s="6"/>
      <c r="PKA118" s="6"/>
      <c r="PKB118" s="6"/>
      <c r="PKC118" s="6"/>
      <c r="PKD118" s="6"/>
      <c r="PKE118" s="6"/>
      <c r="PKF118" s="6"/>
      <c r="PKG118" s="6"/>
      <c r="PKH118" s="6"/>
      <c r="PKI118" s="6"/>
      <c r="PKJ118" s="6"/>
      <c r="PKK118" s="6"/>
      <c r="PKL118" s="6"/>
      <c r="PKM118" s="6"/>
      <c r="PKN118" s="6"/>
      <c r="PKO118" s="6"/>
      <c r="PKP118" s="6"/>
      <c r="PKQ118" s="6"/>
      <c r="PKR118" s="6"/>
      <c r="PKS118" s="6"/>
      <c r="PKT118" s="6"/>
      <c r="PKU118" s="6"/>
      <c r="PKV118" s="6"/>
      <c r="PKW118" s="6"/>
      <c r="PKX118" s="6"/>
      <c r="PKY118" s="6"/>
      <c r="PKZ118" s="6"/>
      <c r="PLA118" s="6"/>
      <c r="PLB118" s="6"/>
      <c r="PLC118" s="6"/>
      <c r="PLD118" s="6"/>
      <c r="PLE118" s="6"/>
      <c r="PLF118" s="6"/>
      <c r="PLG118" s="6"/>
      <c r="PLH118" s="6"/>
      <c r="PLI118" s="6"/>
      <c r="PLJ118" s="6"/>
      <c r="PLK118" s="6"/>
      <c r="PLL118" s="6"/>
      <c r="PLM118" s="6"/>
      <c r="PLN118" s="6"/>
      <c r="PLO118" s="6"/>
      <c r="PLP118" s="6"/>
      <c r="PLQ118" s="6"/>
      <c r="PLR118" s="6"/>
      <c r="PLS118" s="6"/>
      <c r="PLT118" s="6"/>
      <c r="PLU118" s="6"/>
      <c r="PLV118" s="6"/>
      <c r="PLW118" s="6"/>
      <c r="PLX118" s="6"/>
      <c r="PLY118" s="6"/>
      <c r="PLZ118" s="6"/>
      <c r="PMA118" s="6"/>
      <c r="PMB118" s="6"/>
      <c r="PMC118" s="6"/>
      <c r="PMD118" s="6"/>
      <c r="PME118" s="6"/>
      <c r="PMF118" s="6"/>
      <c r="PMG118" s="6"/>
      <c r="PMH118" s="6"/>
      <c r="PMI118" s="6"/>
      <c r="PMJ118" s="6"/>
      <c r="PMK118" s="6"/>
      <c r="PML118" s="6"/>
      <c r="PMM118" s="6"/>
      <c r="PMN118" s="6"/>
      <c r="PMO118" s="6"/>
      <c r="PMP118" s="6"/>
      <c r="PMQ118" s="6"/>
      <c r="PMR118" s="6"/>
      <c r="PMS118" s="6"/>
      <c r="PMT118" s="6"/>
      <c r="PMU118" s="6"/>
      <c r="PMV118" s="6"/>
      <c r="PMW118" s="6"/>
      <c r="PMX118" s="6"/>
      <c r="PMY118" s="6"/>
      <c r="PMZ118" s="6"/>
      <c r="PNA118" s="6"/>
      <c r="PNB118" s="6"/>
      <c r="PNC118" s="6"/>
      <c r="PND118" s="6"/>
      <c r="PNE118" s="6"/>
      <c r="PNF118" s="6"/>
      <c r="PNG118" s="6"/>
      <c r="PNH118" s="6"/>
      <c r="PNI118" s="6"/>
      <c r="PNJ118" s="6"/>
      <c r="PNK118" s="6"/>
      <c r="PNL118" s="6"/>
      <c r="PNM118" s="6"/>
      <c r="PNN118" s="6"/>
      <c r="PNO118" s="6"/>
      <c r="PNP118" s="6"/>
      <c r="PNQ118" s="6"/>
      <c r="PNR118" s="6"/>
      <c r="PNS118" s="6"/>
      <c r="PNT118" s="6"/>
      <c r="PNU118" s="6"/>
      <c r="PNV118" s="6"/>
      <c r="PNW118" s="6"/>
      <c r="PNX118" s="6"/>
      <c r="PNY118" s="6"/>
      <c r="PNZ118" s="6"/>
      <c r="POA118" s="6"/>
      <c r="POB118" s="6"/>
      <c r="POC118" s="6"/>
      <c r="POD118" s="6"/>
      <c r="POE118" s="6"/>
      <c r="POF118" s="6"/>
      <c r="POG118" s="6"/>
      <c r="POH118" s="6"/>
      <c r="POI118" s="6"/>
      <c r="POJ118" s="6"/>
      <c r="POK118" s="6"/>
      <c r="POL118" s="6"/>
      <c r="POM118" s="6"/>
      <c r="PON118" s="6"/>
      <c r="POO118" s="6"/>
      <c r="POP118" s="6"/>
      <c r="POQ118" s="6"/>
      <c r="POR118" s="6"/>
      <c r="POS118" s="6"/>
      <c r="POT118" s="6"/>
      <c r="POU118" s="6"/>
      <c r="POV118" s="6"/>
      <c r="POW118" s="6"/>
      <c r="POX118" s="6"/>
      <c r="POY118" s="6"/>
      <c r="POZ118" s="6"/>
      <c r="PPA118" s="6"/>
      <c r="PPB118" s="6"/>
      <c r="PPC118" s="6"/>
      <c r="PPD118" s="6"/>
      <c r="PPE118" s="6"/>
      <c r="PPF118" s="6"/>
      <c r="PPG118" s="6"/>
      <c r="PPH118" s="6"/>
      <c r="PPI118" s="6"/>
      <c r="PPJ118" s="6"/>
      <c r="PPK118" s="6"/>
      <c r="PPL118" s="6"/>
      <c r="PPM118" s="6"/>
      <c r="PPN118" s="6"/>
      <c r="PPO118" s="6"/>
      <c r="PPP118" s="6"/>
      <c r="PPQ118" s="6"/>
      <c r="PPR118" s="6"/>
      <c r="PPS118" s="6"/>
      <c r="PPT118" s="6"/>
      <c r="PPU118" s="6"/>
      <c r="PPV118" s="6"/>
      <c r="PPW118" s="6"/>
      <c r="PPX118" s="6"/>
      <c r="PPY118" s="6"/>
      <c r="PPZ118" s="6"/>
      <c r="PQA118" s="6"/>
      <c r="PQB118" s="6"/>
      <c r="PQC118" s="6"/>
      <c r="PQD118" s="6"/>
      <c r="PQE118" s="6"/>
      <c r="PQF118" s="6"/>
      <c r="PQG118" s="6"/>
      <c r="PQH118" s="6"/>
      <c r="PQI118" s="6"/>
      <c r="PQJ118" s="6"/>
      <c r="PQK118" s="6"/>
      <c r="PQL118" s="6"/>
      <c r="PQM118" s="6"/>
      <c r="PQN118" s="6"/>
      <c r="PQO118" s="6"/>
      <c r="PQP118" s="6"/>
      <c r="PQQ118" s="6"/>
      <c r="PQR118" s="6"/>
      <c r="PQS118" s="6"/>
      <c r="PQT118" s="6"/>
      <c r="PQU118" s="6"/>
      <c r="PQV118" s="6"/>
      <c r="PQW118" s="6"/>
      <c r="PQX118" s="6"/>
      <c r="PQY118" s="6"/>
      <c r="PQZ118" s="6"/>
      <c r="PRA118" s="6"/>
      <c r="PRB118" s="6"/>
      <c r="PRC118" s="6"/>
      <c r="PRD118" s="6"/>
      <c r="PRE118" s="6"/>
      <c r="PRF118" s="6"/>
      <c r="PRG118" s="6"/>
      <c r="PRH118" s="6"/>
      <c r="PRI118" s="6"/>
      <c r="PRJ118" s="6"/>
      <c r="PRK118" s="6"/>
      <c r="PRL118" s="6"/>
      <c r="PRM118" s="6"/>
      <c r="PRN118" s="6"/>
      <c r="PRO118" s="6"/>
      <c r="PRP118" s="6"/>
      <c r="PRQ118" s="6"/>
      <c r="PRR118" s="6"/>
      <c r="PRS118" s="6"/>
      <c r="PRT118" s="6"/>
      <c r="PRU118" s="6"/>
      <c r="PRV118" s="6"/>
      <c r="PRW118" s="6"/>
      <c r="PRX118" s="6"/>
      <c r="PRY118" s="6"/>
      <c r="PRZ118" s="6"/>
      <c r="PSA118" s="6"/>
      <c r="PSB118" s="6"/>
      <c r="PSC118" s="6"/>
      <c r="PSD118" s="6"/>
      <c r="PSE118" s="6"/>
      <c r="PSF118" s="6"/>
      <c r="PSG118" s="6"/>
      <c r="PSH118" s="6"/>
      <c r="PSI118" s="6"/>
      <c r="PSJ118" s="6"/>
      <c r="PSK118" s="6"/>
      <c r="PSL118" s="6"/>
      <c r="PSM118" s="6"/>
      <c r="PSN118" s="6"/>
      <c r="PSO118" s="6"/>
      <c r="PSP118" s="6"/>
      <c r="PSQ118" s="6"/>
      <c r="PSR118" s="6"/>
      <c r="PSS118" s="6"/>
      <c r="PST118" s="6"/>
      <c r="PSU118" s="6"/>
      <c r="PSV118" s="6"/>
      <c r="PSW118" s="6"/>
      <c r="PSX118" s="6"/>
      <c r="PSY118" s="6"/>
      <c r="PSZ118" s="6"/>
      <c r="PTA118" s="6"/>
      <c r="PTB118" s="6"/>
      <c r="PTC118" s="6"/>
      <c r="PTD118" s="6"/>
      <c r="PTE118" s="6"/>
      <c r="PTF118" s="6"/>
      <c r="PTG118" s="6"/>
      <c r="PTH118" s="6"/>
      <c r="PTI118" s="6"/>
      <c r="PTJ118" s="6"/>
      <c r="PTK118" s="6"/>
      <c r="PTL118" s="6"/>
      <c r="PTM118" s="6"/>
      <c r="PTN118" s="6"/>
      <c r="PTO118" s="6"/>
      <c r="PTP118" s="6"/>
      <c r="PTQ118" s="6"/>
      <c r="PTR118" s="6"/>
      <c r="PTS118" s="6"/>
      <c r="PTT118" s="6"/>
      <c r="PTU118" s="6"/>
      <c r="PTV118" s="6"/>
      <c r="PTW118" s="6"/>
      <c r="PTX118" s="6"/>
      <c r="PTY118" s="6"/>
      <c r="PTZ118" s="6"/>
      <c r="PUA118" s="6"/>
      <c r="PUB118" s="6"/>
      <c r="PUC118" s="6"/>
      <c r="PUD118" s="6"/>
      <c r="PUE118" s="6"/>
      <c r="PUF118" s="6"/>
      <c r="PUG118" s="6"/>
      <c r="PUH118" s="6"/>
      <c r="PUI118" s="6"/>
      <c r="PUJ118" s="6"/>
      <c r="PUK118" s="6"/>
      <c r="PUL118" s="6"/>
      <c r="PUM118" s="6"/>
      <c r="PUN118" s="6"/>
      <c r="PUO118" s="6"/>
      <c r="PUP118" s="6"/>
      <c r="PUQ118" s="6"/>
      <c r="PUR118" s="6"/>
      <c r="PUS118" s="6"/>
      <c r="PUT118" s="6"/>
      <c r="PUU118" s="6"/>
      <c r="PUV118" s="6"/>
      <c r="PUW118" s="6"/>
      <c r="PUX118" s="6"/>
      <c r="PUY118" s="6"/>
      <c r="PUZ118" s="6"/>
      <c r="PVA118" s="6"/>
      <c r="PVB118" s="6"/>
      <c r="PVC118" s="6"/>
      <c r="PVD118" s="6"/>
      <c r="PVE118" s="6"/>
      <c r="PVF118" s="6"/>
      <c r="PVG118" s="6"/>
      <c r="PVH118" s="6"/>
      <c r="PVI118" s="6"/>
      <c r="PVJ118" s="6"/>
      <c r="PVK118" s="6"/>
      <c r="PVL118" s="6"/>
      <c r="PVM118" s="6"/>
      <c r="PVN118" s="6"/>
      <c r="PVO118" s="6"/>
      <c r="PVP118" s="6"/>
      <c r="PVQ118" s="6"/>
      <c r="PVR118" s="6"/>
      <c r="PVS118" s="6"/>
      <c r="PVT118" s="6"/>
      <c r="PVU118" s="6"/>
      <c r="PVV118" s="6"/>
      <c r="PVW118" s="6"/>
      <c r="PVX118" s="6"/>
      <c r="PVY118" s="6"/>
      <c r="PVZ118" s="6"/>
      <c r="PWA118" s="6"/>
      <c r="PWB118" s="6"/>
      <c r="PWC118" s="6"/>
      <c r="PWD118" s="6"/>
      <c r="PWE118" s="6"/>
      <c r="PWF118" s="6"/>
      <c r="PWG118" s="6"/>
      <c r="PWH118" s="6"/>
      <c r="PWI118" s="6"/>
      <c r="PWJ118" s="6"/>
      <c r="PWK118" s="6"/>
      <c r="PWL118" s="6"/>
      <c r="PWM118" s="6"/>
      <c r="PWN118" s="6"/>
      <c r="PWO118" s="6"/>
      <c r="PWP118" s="6"/>
      <c r="PWQ118" s="6"/>
      <c r="PWR118" s="6"/>
      <c r="PWS118" s="6"/>
      <c r="PWT118" s="6"/>
      <c r="PWU118" s="6"/>
      <c r="PWV118" s="6"/>
      <c r="PWW118" s="6"/>
      <c r="PWX118" s="6"/>
      <c r="PWY118" s="6"/>
      <c r="PWZ118" s="6"/>
      <c r="PXA118" s="6"/>
      <c r="PXB118" s="6"/>
      <c r="PXC118" s="6"/>
      <c r="PXD118" s="6"/>
      <c r="PXE118" s="6"/>
      <c r="PXF118" s="6"/>
      <c r="PXG118" s="6"/>
      <c r="PXH118" s="6"/>
      <c r="PXI118" s="6"/>
      <c r="PXJ118" s="6"/>
      <c r="PXK118" s="6"/>
      <c r="PXL118" s="6"/>
      <c r="PXM118" s="6"/>
      <c r="PXN118" s="6"/>
      <c r="PXO118" s="6"/>
      <c r="PXP118" s="6"/>
      <c r="PXQ118" s="6"/>
      <c r="PXR118" s="6"/>
      <c r="PXS118" s="6"/>
      <c r="PXT118" s="6"/>
      <c r="PXU118" s="6"/>
      <c r="PXV118" s="6"/>
      <c r="PXW118" s="6"/>
      <c r="PXX118" s="6"/>
      <c r="PXY118" s="6"/>
      <c r="PXZ118" s="6"/>
      <c r="PYA118" s="6"/>
      <c r="PYB118" s="6"/>
      <c r="PYC118" s="6"/>
      <c r="PYD118" s="6"/>
      <c r="PYE118" s="6"/>
      <c r="PYF118" s="6"/>
      <c r="PYG118" s="6"/>
      <c r="PYH118" s="6"/>
      <c r="PYI118" s="6"/>
      <c r="PYJ118" s="6"/>
      <c r="PYK118" s="6"/>
      <c r="PYL118" s="6"/>
      <c r="PYM118" s="6"/>
      <c r="PYN118" s="6"/>
      <c r="PYO118" s="6"/>
      <c r="PYP118" s="6"/>
      <c r="PYQ118" s="6"/>
      <c r="PYR118" s="6"/>
      <c r="PYS118" s="6"/>
      <c r="PYT118" s="6"/>
      <c r="PYU118" s="6"/>
      <c r="PYV118" s="6"/>
      <c r="PYW118" s="6"/>
      <c r="PYX118" s="6"/>
      <c r="PYY118" s="6"/>
      <c r="PYZ118" s="6"/>
      <c r="PZA118" s="6"/>
      <c r="PZB118" s="6"/>
      <c r="PZC118" s="6"/>
      <c r="PZD118" s="6"/>
      <c r="PZE118" s="6"/>
      <c r="PZF118" s="6"/>
      <c r="PZG118" s="6"/>
      <c r="PZH118" s="6"/>
      <c r="PZI118" s="6"/>
      <c r="PZJ118" s="6"/>
      <c r="PZK118" s="6"/>
      <c r="PZL118" s="6"/>
      <c r="PZM118" s="6"/>
      <c r="PZN118" s="6"/>
      <c r="PZO118" s="6"/>
      <c r="PZP118" s="6"/>
      <c r="PZQ118" s="6"/>
      <c r="PZR118" s="6"/>
      <c r="PZS118" s="6"/>
      <c r="PZT118" s="6"/>
      <c r="PZU118" s="6"/>
      <c r="PZV118" s="6"/>
      <c r="PZW118" s="6"/>
      <c r="PZX118" s="6"/>
      <c r="PZY118" s="6"/>
      <c r="PZZ118" s="6"/>
      <c r="QAA118" s="6"/>
      <c r="QAB118" s="6"/>
      <c r="QAC118" s="6"/>
      <c r="QAD118" s="6"/>
      <c r="QAE118" s="6"/>
      <c r="QAF118" s="6"/>
      <c r="QAG118" s="6"/>
      <c r="QAH118" s="6"/>
      <c r="QAI118" s="6"/>
      <c r="QAJ118" s="6"/>
      <c r="QAK118" s="6"/>
      <c r="QAL118" s="6"/>
      <c r="QAM118" s="6"/>
      <c r="QAN118" s="6"/>
      <c r="QAO118" s="6"/>
      <c r="QAP118" s="6"/>
      <c r="QAQ118" s="6"/>
      <c r="QAR118" s="6"/>
      <c r="QAS118" s="6"/>
      <c r="QAT118" s="6"/>
      <c r="QAU118" s="6"/>
      <c r="QAV118" s="6"/>
      <c r="QAW118" s="6"/>
      <c r="QAX118" s="6"/>
      <c r="QAY118" s="6"/>
      <c r="QAZ118" s="6"/>
      <c r="QBA118" s="6"/>
      <c r="QBB118" s="6"/>
      <c r="QBC118" s="6"/>
      <c r="QBD118" s="6"/>
      <c r="QBE118" s="6"/>
      <c r="QBF118" s="6"/>
      <c r="QBG118" s="6"/>
      <c r="QBH118" s="6"/>
      <c r="QBI118" s="6"/>
      <c r="QBJ118" s="6"/>
      <c r="QBK118" s="6"/>
      <c r="QBL118" s="6"/>
      <c r="QBM118" s="6"/>
      <c r="QBN118" s="6"/>
      <c r="QBO118" s="6"/>
      <c r="QBP118" s="6"/>
      <c r="QBQ118" s="6"/>
      <c r="QBR118" s="6"/>
      <c r="QBS118" s="6"/>
      <c r="QBT118" s="6"/>
      <c r="QBU118" s="6"/>
      <c r="QBV118" s="6"/>
      <c r="QBW118" s="6"/>
      <c r="QBX118" s="6"/>
      <c r="QBY118" s="6"/>
      <c r="QBZ118" s="6"/>
      <c r="QCA118" s="6"/>
      <c r="QCB118" s="6"/>
      <c r="QCC118" s="6"/>
      <c r="QCD118" s="6"/>
      <c r="QCE118" s="6"/>
      <c r="QCF118" s="6"/>
      <c r="QCG118" s="6"/>
      <c r="QCH118" s="6"/>
      <c r="QCI118" s="6"/>
      <c r="QCJ118" s="6"/>
      <c r="QCK118" s="6"/>
      <c r="QCL118" s="6"/>
      <c r="QCM118" s="6"/>
      <c r="QCN118" s="6"/>
      <c r="QCO118" s="6"/>
      <c r="QCP118" s="6"/>
      <c r="QCQ118" s="6"/>
      <c r="QCR118" s="6"/>
      <c r="QCS118" s="6"/>
      <c r="QCT118" s="6"/>
      <c r="QCU118" s="6"/>
      <c r="QCV118" s="6"/>
      <c r="QCW118" s="6"/>
      <c r="QCX118" s="6"/>
      <c r="QCY118" s="6"/>
      <c r="QCZ118" s="6"/>
      <c r="QDA118" s="6"/>
      <c r="QDB118" s="6"/>
      <c r="QDC118" s="6"/>
      <c r="QDD118" s="6"/>
      <c r="QDE118" s="6"/>
      <c r="QDF118" s="6"/>
      <c r="QDG118" s="6"/>
      <c r="QDH118" s="6"/>
      <c r="QDI118" s="6"/>
      <c r="QDJ118" s="6"/>
      <c r="QDK118" s="6"/>
      <c r="QDL118" s="6"/>
      <c r="QDM118" s="6"/>
      <c r="QDN118" s="6"/>
      <c r="QDO118" s="6"/>
      <c r="QDP118" s="6"/>
      <c r="QDQ118" s="6"/>
      <c r="QDR118" s="6"/>
      <c r="QDS118" s="6"/>
      <c r="QDT118" s="6"/>
      <c r="QDU118" s="6"/>
      <c r="QDV118" s="6"/>
      <c r="QDW118" s="6"/>
      <c r="QDX118" s="6"/>
      <c r="QDY118" s="6"/>
      <c r="QDZ118" s="6"/>
      <c r="QEA118" s="6"/>
      <c r="QEB118" s="6"/>
      <c r="QEC118" s="6"/>
      <c r="QED118" s="6"/>
      <c r="QEE118" s="6"/>
      <c r="QEF118" s="6"/>
      <c r="QEG118" s="6"/>
      <c r="QEH118" s="6"/>
      <c r="QEI118" s="6"/>
      <c r="QEJ118" s="6"/>
      <c r="QEK118" s="6"/>
      <c r="QEL118" s="6"/>
      <c r="QEM118" s="6"/>
      <c r="QEN118" s="6"/>
      <c r="QEO118" s="6"/>
      <c r="QEP118" s="6"/>
      <c r="QEQ118" s="6"/>
      <c r="QER118" s="6"/>
      <c r="QES118" s="6"/>
      <c r="QET118" s="6"/>
      <c r="QEU118" s="6"/>
      <c r="QEV118" s="6"/>
      <c r="QEW118" s="6"/>
      <c r="QEX118" s="6"/>
      <c r="QEY118" s="6"/>
      <c r="QEZ118" s="6"/>
      <c r="QFA118" s="6"/>
      <c r="QFB118" s="6"/>
      <c r="QFC118" s="6"/>
      <c r="QFD118" s="6"/>
      <c r="QFE118" s="6"/>
      <c r="QFF118" s="6"/>
      <c r="QFG118" s="6"/>
      <c r="QFH118" s="6"/>
      <c r="QFI118" s="6"/>
      <c r="QFJ118" s="6"/>
      <c r="QFK118" s="6"/>
      <c r="QFL118" s="6"/>
      <c r="QFM118" s="6"/>
      <c r="QFN118" s="6"/>
      <c r="QFO118" s="6"/>
      <c r="QFP118" s="6"/>
      <c r="QFQ118" s="6"/>
      <c r="QFR118" s="6"/>
      <c r="QFS118" s="6"/>
      <c r="QFT118" s="6"/>
      <c r="QFU118" s="6"/>
      <c r="QFV118" s="6"/>
      <c r="QFW118" s="6"/>
      <c r="QFX118" s="6"/>
      <c r="QFY118" s="6"/>
      <c r="QFZ118" s="6"/>
      <c r="QGA118" s="6"/>
      <c r="QGB118" s="6"/>
      <c r="QGC118" s="6"/>
      <c r="QGD118" s="6"/>
      <c r="QGE118" s="6"/>
      <c r="QGF118" s="6"/>
      <c r="QGG118" s="6"/>
      <c r="QGH118" s="6"/>
      <c r="QGI118" s="6"/>
      <c r="QGJ118" s="6"/>
      <c r="QGK118" s="6"/>
      <c r="QGL118" s="6"/>
      <c r="QGM118" s="6"/>
      <c r="QGN118" s="6"/>
      <c r="QGO118" s="6"/>
      <c r="QGP118" s="6"/>
      <c r="QGQ118" s="6"/>
      <c r="QGR118" s="6"/>
      <c r="QGS118" s="6"/>
      <c r="QGT118" s="6"/>
      <c r="QGU118" s="6"/>
      <c r="QGV118" s="6"/>
      <c r="QGW118" s="6"/>
      <c r="QGX118" s="6"/>
      <c r="QGY118" s="6"/>
      <c r="QGZ118" s="6"/>
      <c r="QHA118" s="6"/>
      <c r="QHB118" s="6"/>
      <c r="QHC118" s="6"/>
      <c r="QHD118" s="6"/>
      <c r="QHE118" s="6"/>
      <c r="QHF118" s="6"/>
      <c r="QHG118" s="6"/>
      <c r="QHH118" s="6"/>
      <c r="QHI118" s="6"/>
      <c r="QHJ118" s="6"/>
      <c r="QHK118" s="6"/>
      <c r="QHL118" s="6"/>
      <c r="QHM118" s="6"/>
      <c r="QHN118" s="6"/>
      <c r="QHO118" s="6"/>
      <c r="QHP118" s="6"/>
      <c r="QHQ118" s="6"/>
      <c r="QHR118" s="6"/>
      <c r="QHS118" s="6"/>
      <c r="QHT118" s="6"/>
      <c r="QHU118" s="6"/>
      <c r="QHV118" s="6"/>
      <c r="QHW118" s="6"/>
      <c r="QHX118" s="6"/>
      <c r="QHY118" s="6"/>
      <c r="QHZ118" s="6"/>
      <c r="QIA118" s="6"/>
      <c r="QIB118" s="6"/>
      <c r="QIC118" s="6"/>
      <c r="QID118" s="6"/>
      <c r="QIE118" s="6"/>
      <c r="QIF118" s="6"/>
      <c r="QIG118" s="6"/>
      <c r="QIH118" s="6"/>
      <c r="QII118" s="6"/>
      <c r="QIJ118" s="6"/>
      <c r="QIK118" s="6"/>
      <c r="QIL118" s="6"/>
      <c r="QIM118" s="6"/>
      <c r="QIN118" s="6"/>
      <c r="QIO118" s="6"/>
      <c r="QIP118" s="6"/>
      <c r="QIQ118" s="6"/>
      <c r="QIR118" s="6"/>
      <c r="QIS118" s="6"/>
      <c r="QIT118" s="6"/>
      <c r="QIU118" s="6"/>
      <c r="QIV118" s="6"/>
      <c r="QIW118" s="6"/>
      <c r="QIX118" s="6"/>
      <c r="QIY118" s="6"/>
      <c r="QIZ118" s="6"/>
      <c r="QJA118" s="6"/>
      <c r="QJB118" s="6"/>
      <c r="QJC118" s="6"/>
      <c r="QJD118" s="6"/>
      <c r="QJE118" s="6"/>
      <c r="QJF118" s="6"/>
      <c r="QJG118" s="6"/>
      <c r="QJH118" s="6"/>
      <c r="QJI118" s="6"/>
      <c r="QJJ118" s="6"/>
      <c r="QJK118" s="6"/>
      <c r="QJL118" s="6"/>
      <c r="QJM118" s="6"/>
      <c r="QJN118" s="6"/>
      <c r="QJO118" s="6"/>
      <c r="QJP118" s="6"/>
      <c r="QJQ118" s="6"/>
      <c r="QJR118" s="6"/>
      <c r="QJS118" s="6"/>
      <c r="QJT118" s="6"/>
      <c r="QJU118" s="6"/>
      <c r="QJV118" s="6"/>
      <c r="QJW118" s="6"/>
      <c r="QJX118" s="6"/>
      <c r="QJY118" s="6"/>
      <c r="QJZ118" s="6"/>
      <c r="QKA118" s="6"/>
      <c r="QKB118" s="6"/>
      <c r="QKC118" s="6"/>
      <c r="QKD118" s="6"/>
      <c r="QKE118" s="6"/>
      <c r="QKF118" s="6"/>
      <c r="QKG118" s="6"/>
      <c r="QKH118" s="6"/>
      <c r="QKI118" s="6"/>
      <c r="QKJ118" s="6"/>
      <c r="QKK118" s="6"/>
      <c r="QKL118" s="6"/>
      <c r="QKM118" s="6"/>
      <c r="QKN118" s="6"/>
      <c r="QKO118" s="6"/>
      <c r="QKP118" s="6"/>
      <c r="QKQ118" s="6"/>
      <c r="QKR118" s="6"/>
      <c r="QKS118" s="6"/>
      <c r="QKT118" s="6"/>
      <c r="QKU118" s="6"/>
      <c r="QKV118" s="6"/>
      <c r="QKW118" s="6"/>
      <c r="QKX118" s="6"/>
      <c r="QKY118" s="6"/>
      <c r="QKZ118" s="6"/>
      <c r="QLA118" s="6"/>
      <c r="QLB118" s="6"/>
      <c r="QLC118" s="6"/>
      <c r="QLD118" s="6"/>
      <c r="QLE118" s="6"/>
      <c r="QLF118" s="6"/>
      <c r="QLG118" s="6"/>
      <c r="QLH118" s="6"/>
      <c r="QLI118" s="6"/>
      <c r="QLJ118" s="6"/>
      <c r="QLK118" s="6"/>
      <c r="QLL118" s="6"/>
      <c r="QLM118" s="6"/>
      <c r="QLN118" s="6"/>
      <c r="QLO118" s="6"/>
      <c r="QLP118" s="6"/>
      <c r="QLQ118" s="6"/>
      <c r="QLR118" s="6"/>
      <c r="QLS118" s="6"/>
      <c r="QLT118" s="6"/>
      <c r="QLU118" s="6"/>
      <c r="QLV118" s="6"/>
      <c r="QLW118" s="6"/>
      <c r="QLX118" s="6"/>
      <c r="QLY118" s="6"/>
      <c r="QLZ118" s="6"/>
      <c r="QMA118" s="6"/>
      <c r="QMB118" s="6"/>
      <c r="QMC118" s="6"/>
      <c r="QMD118" s="6"/>
      <c r="QME118" s="6"/>
      <c r="QMF118" s="6"/>
      <c r="QMG118" s="6"/>
      <c r="QMH118" s="6"/>
      <c r="QMI118" s="6"/>
      <c r="QMJ118" s="6"/>
      <c r="QMK118" s="6"/>
      <c r="QML118" s="6"/>
      <c r="QMM118" s="6"/>
      <c r="QMN118" s="6"/>
      <c r="QMO118" s="6"/>
      <c r="QMP118" s="6"/>
      <c r="QMQ118" s="6"/>
      <c r="QMR118" s="6"/>
      <c r="QMS118" s="6"/>
      <c r="QMT118" s="6"/>
      <c r="QMU118" s="6"/>
      <c r="QMV118" s="6"/>
      <c r="QMW118" s="6"/>
      <c r="QMX118" s="6"/>
      <c r="QMY118" s="6"/>
      <c r="QMZ118" s="6"/>
      <c r="QNA118" s="6"/>
      <c r="QNB118" s="6"/>
      <c r="QNC118" s="6"/>
      <c r="QND118" s="6"/>
      <c r="QNE118" s="6"/>
      <c r="QNF118" s="6"/>
      <c r="QNG118" s="6"/>
      <c r="QNH118" s="6"/>
      <c r="QNI118" s="6"/>
      <c r="QNJ118" s="6"/>
      <c r="QNK118" s="6"/>
      <c r="QNL118" s="6"/>
      <c r="QNM118" s="6"/>
      <c r="QNN118" s="6"/>
      <c r="QNO118" s="6"/>
      <c r="QNP118" s="6"/>
      <c r="QNQ118" s="6"/>
      <c r="QNR118" s="6"/>
      <c r="QNS118" s="6"/>
      <c r="QNT118" s="6"/>
      <c r="QNU118" s="6"/>
      <c r="QNV118" s="6"/>
      <c r="QNW118" s="6"/>
      <c r="QNX118" s="6"/>
      <c r="QNY118" s="6"/>
      <c r="QNZ118" s="6"/>
      <c r="QOA118" s="6"/>
      <c r="QOB118" s="6"/>
      <c r="QOC118" s="6"/>
      <c r="QOD118" s="6"/>
      <c r="QOE118" s="6"/>
      <c r="QOF118" s="6"/>
      <c r="QOG118" s="6"/>
      <c r="QOH118" s="6"/>
      <c r="QOI118" s="6"/>
      <c r="QOJ118" s="6"/>
      <c r="QOK118" s="6"/>
      <c r="QOL118" s="6"/>
      <c r="QOM118" s="6"/>
      <c r="QON118" s="6"/>
      <c r="QOO118" s="6"/>
      <c r="QOP118" s="6"/>
      <c r="QOQ118" s="6"/>
      <c r="QOR118" s="6"/>
      <c r="QOS118" s="6"/>
      <c r="QOT118" s="6"/>
      <c r="QOU118" s="6"/>
      <c r="QOV118" s="6"/>
      <c r="QOW118" s="6"/>
      <c r="QOX118" s="6"/>
      <c r="QOY118" s="6"/>
      <c r="QOZ118" s="6"/>
      <c r="QPA118" s="6"/>
      <c r="QPB118" s="6"/>
      <c r="QPC118" s="6"/>
      <c r="QPD118" s="6"/>
      <c r="QPE118" s="6"/>
      <c r="QPF118" s="6"/>
      <c r="QPG118" s="6"/>
      <c r="QPH118" s="6"/>
      <c r="QPI118" s="6"/>
      <c r="QPJ118" s="6"/>
      <c r="QPK118" s="6"/>
      <c r="QPL118" s="6"/>
      <c r="QPM118" s="6"/>
      <c r="QPN118" s="6"/>
      <c r="QPO118" s="6"/>
      <c r="QPP118" s="6"/>
      <c r="QPQ118" s="6"/>
      <c r="QPR118" s="6"/>
      <c r="QPS118" s="6"/>
      <c r="QPT118" s="6"/>
      <c r="QPU118" s="6"/>
      <c r="QPV118" s="6"/>
      <c r="QPW118" s="6"/>
      <c r="QPX118" s="6"/>
      <c r="QPY118" s="6"/>
      <c r="QPZ118" s="6"/>
      <c r="QQA118" s="6"/>
      <c r="QQB118" s="6"/>
      <c r="QQC118" s="6"/>
      <c r="QQD118" s="6"/>
      <c r="QQE118" s="6"/>
      <c r="QQF118" s="6"/>
      <c r="QQG118" s="6"/>
      <c r="QQH118" s="6"/>
      <c r="QQI118" s="6"/>
      <c r="QQJ118" s="6"/>
      <c r="QQK118" s="6"/>
      <c r="QQL118" s="6"/>
      <c r="QQM118" s="6"/>
      <c r="QQN118" s="6"/>
      <c r="QQO118" s="6"/>
      <c r="QQP118" s="6"/>
      <c r="QQQ118" s="6"/>
      <c r="QQR118" s="6"/>
      <c r="QQS118" s="6"/>
      <c r="QQT118" s="6"/>
      <c r="QQU118" s="6"/>
      <c r="QQV118" s="6"/>
      <c r="QQW118" s="6"/>
      <c r="QQX118" s="6"/>
      <c r="QQY118" s="6"/>
      <c r="QQZ118" s="6"/>
      <c r="QRA118" s="6"/>
      <c r="QRB118" s="6"/>
      <c r="QRC118" s="6"/>
      <c r="QRD118" s="6"/>
      <c r="QRE118" s="6"/>
      <c r="QRF118" s="6"/>
      <c r="QRG118" s="6"/>
      <c r="QRH118" s="6"/>
      <c r="QRI118" s="6"/>
      <c r="QRJ118" s="6"/>
      <c r="QRK118" s="6"/>
      <c r="QRL118" s="6"/>
      <c r="QRM118" s="6"/>
      <c r="QRN118" s="6"/>
      <c r="QRO118" s="6"/>
      <c r="QRP118" s="6"/>
      <c r="QRQ118" s="6"/>
      <c r="QRR118" s="6"/>
      <c r="QRS118" s="6"/>
      <c r="QRT118" s="6"/>
      <c r="QRU118" s="6"/>
      <c r="QRV118" s="6"/>
      <c r="QRW118" s="6"/>
      <c r="QRX118" s="6"/>
      <c r="QRY118" s="6"/>
      <c r="QRZ118" s="6"/>
      <c r="QSA118" s="6"/>
      <c r="QSB118" s="6"/>
      <c r="QSC118" s="6"/>
      <c r="QSD118" s="6"/>
      <c r="QSE118" s="6"/>
      <c r="QSF118" s="6"/>
      <c r="QSG118" s="6"/>
      <c r="QSH118" s="6"/>
      <c r="QSI118" s="6"/>
      <c r="QSJ118" s="6"/>
      <c r="QSK118" s="6"/>
      <c r="QSL118" s="6"/>
      <c r="QSM118" s="6"/>
      <c r="QSN118" s="6"/>
      <c r="QSO118" s="6"/>
      <c r="QSP118" s="6"/>
      <c r="QSQ118" s="6"/>
      <c r="QSR118" s="6"/>
      <c r="QSS118" s="6"/>
      <c r="QST118" s="6"/>
      <c r="QSU118" s="6"/>
      <c r="QSV118" s="6"/>
      <c r="QSW118" s="6"/>
      <c r="QSX118" s="6"/>
      <c r="QSY118" s="6"/>
      <c r="QSZ118" s="6"/>
      <c r="QTA118" s="6"/>
      <c r="QTB118" s="6"/>
      <c r="QTC118" s="6"/>
      <c r="QTD118" s="6"/>
      <c r="QTE118" s="6"/>
      <c r="QTF118" s="6"/>
      <c r="QTG118" s="6"/>
      <c r="QTH118" s="6"/>
      <c r="QTI118" s="6"/>
      <c r="QTJ118" s="6"/>
      <c r="QTK118" s="6"/>
      <c r="QTL118" s="6"/>
      <c r="QTM118" s="6"/>
      <c r="QTN118" s="6"/>
      <c r="QTO118" s="6"/>
      <c r="QTP118" s="6"/>
      <c r="QTQ118" s="6"/>
      <c r="QTR118" s="6"/>
      <c r="QTS118" s="6"/>
      <c r="QTT118" s="6"/>
      <c r="QTU118" s="6"/>
      <c r="QTV118" s="6"/>
      <c r="QTW118" s="6"/>
      <c r="QTX118" s="6"/>
      <c r="QTY118" s="6"/>
      <c r="QTZ118" s="6"/>
      <c r="QUA118" s="6"/>
      <c r="QUB118" s="6"/>
      <c r="QUC118" s="6"/>
      <c r="QUD118" s="6"/>
      <c r="QUE118" s="6"/>
      <c r="QUF118" s="6"/>
      <c r="QUG118" s="6"/>
      <c r="QUH118" s="6"/>
      <c r="QUI118" s="6"/>
      <c r="QUJ118" s="6"/>
      <c r="QUK118" s="6"/>
      <c r="QUL118" s="6"/>
      <c r="QUM118" s="6"/>
      <c r="QUN118" s="6"/>
      <c r="QUO118" s="6"/>
      <c r="QUP118" s="6"/>
      <c r="QUQ118" s="6"/>
      <c r="QUR118" s="6"/>
      <c r="QUS118" s="6"/>
      <c r="QUT118" s="6"/>
      <c r="QUU118" s="6"/>
      <c r="QUV118" s="6"/>
      <c r="QUW118" s="6"/>
      <c r="QUX118" s="6"/>
      <c r="QUY118" s="6"/>
      <c r="QUZ118" s="6"/>
      <c r="QVA118" s="6"/>
      <c r="QVB118" s="6"/>
      <c r="QVC118" s="6"/>
      <c r="QVD118" s="6"/>
      <c r="QVE118" s="6"/>
      <c r="QVF118" s="6"/>
      <c r="QVG118" s="6"/>
      <c r="QVH118" s="6"/>
      <c r="QVI118" s="6"/>
      <c r="QVJ118" s="6"/>
      <c r="QVK118" s="6"/>
      <c r="QVL118" s="6"/>
      <c r="QVM118" s="6"/>
      <c r="QVN118" s="6"/>
      <c r="QVO118" s="6"/>
      <c r="QVP118" s="6"/>
      <c r="QVQ118" s="6"/>
      <c r="QVR118" s="6"/>
      <c r="QVS118" s="6"/>
      <c r="QVT118" s="6"/>
      <c r="QVU118" s="6"/>
      <c r="QVV118" s="6"/>
      <c r="QVW118" s="6"/>
      <c r="QVX118" s="6"/>
      <c r="QVY118" s="6"/>
      <c r="QVZ118" s="6"/>
      <c r="QWA118" s="6"/>
      <c r="QWB118" s="6"/>
      <c r="QWC118" s="6"/>
      <c r="QWD118" s="6"/>
      <c r="QWE118" s="6"/>
      <c r="QWF118" s="6"/>
      <c r="QWG118" s="6"/>
      <c r="QWH118" s="6"/>
      <c r="QWI118" s="6"/>
      <c r="QWJ118" s="6"/>
      <c r="QWK118" s="6"/>
      <c r="QWL118" s="6"/>
      <c r="QWM118" s="6"/>
      <c r="QWN118" s="6"/>
      <c r="QWO118" s="6"/>
      <c r="QWP118" s="6"/>
      <c r="QWQ118" s="6"/>
      <c r="QWR118" s="6"/>
      <c r="QWS118" s="6"/>
      <c r="QWT118" s="6"/>
      <c r="QWU118" s="6"/>
      <c r="QWV118" s="6"/>
      <c r="QWW118" s="6"/>
      <c r="QWX118" s="6"/>
      <c r="QWY118" s="6"/>
      <c r="QWZ118" s="6"/>
      <c r="QXA118" s="6"/>
      <c r="QXB118" s="6"/>
      <c r="QXC118" s="6"/>
      <c r="QXD118" s="6"/>
      <c r="QXE118" s="6"/>
      <c r="QXF118" s="6"/>
      <c r="QXG118" s="6"/>
      <c r="QXH118" s="6"/>
      <c r="QXI118" s="6"/>
      <c r="QXJ118" s="6"/>
      <c r="QXK118" s="6"/>
      <c r="QXL118" s="6"/>
      <c r="QXM118" s="6"/>
      <c r="QXN118" s="6"/>
      <c r="QXO118" s="6"/>
      <c r="QXP118" s="6"/>
      <c r="QXQ118" s="6"/>
      <c r="QXR118" s="6"/>
      <c r="QXS118" s="6"/>
      <c r="QXT118" s="6"/>
      <c r="QXU118" s="6"/>
      <c r="QXV118" s="6"/>
      <c r="QXW118" s="6"/>
      <c r="QXX118" s="6"/>
      <c r="QXY118" s="6"/>
      <c r="QXZ118" s="6"/>
      <c r="QYA118" s="6"/>
      <c r="QYB118" s="6"/>
      <c r="QYC118" s="6"/>
      <c r="QYD118" s="6"/>
      <c r="QYE118" s="6"/>
      <c r="QYF118" s="6"/>
      <c r="QYG118" s="6"/>
      <c r="QYH118" s="6"/>
      <c r="QYI118" s="6"/>
      <c r="QYJ118" s="6"/>
      <c r="QYK118" s="6"/>
      <c r="QYL118" s="6"/>
      <c r="QYM118" s="6"/>
      <c r="QYN118" s="6"/>
      <c r="QYO118" s="6"/>
      <c r="QYP118" s="6"/>
      <c r="QYQ118" s="6"/>
      <c r="QYR118" s="6"/>
      <c r="QYS118" s="6"/>
      <c r="QYT118" s="6"/>
      <c r="QYU118" s="6"/>
      <c r="QYV118" s="6"/>
      <c r="QYW118" s="6"/>
      <c r="QYX118" s="6"/>
      <c r="QYY118" s="6"/>
      <c r="QYZ118" s="6"/>
      <c r="QZA118" s="6"/>
      <c r="QZB118" s="6"/>
      <c r="QZC118" s="6"/>
      <c r="QZD118" s="6"/>
      <c r="QZE118" s="6"/>
      <c r="QZF118" s="6"/>
      <c r="QZG118" s="6"/>
      <c r="QZH118" s="6"/>
      <c r="QZI118" s="6"/>
      <c r="QZJ118" s="6"/>
      <c r="QZK118" s="6"/>
      <c r="QZL118" s="6"/>
      <c r="QZM118" s="6"/>
      <c r="QZN118" s="6"/>
      <c r="QZO118" s="6"/>
      <c r="QZP118" s="6"/>
      <c r="QZQ118" s="6"/>
      <c r="QZR118" s="6"/>
      <c r="QZS118" s="6"/>
      <c r="QZT118" s="6"/>
      <c r="QZU118" s="6"/>
      <c r="QZV118" s="6"/>
      <c r="QZW118" s="6"/>
      <c r="QZX118" s="6"/>
      <c r="QZY118" s="6"/>
      <c r="QZZ118" s="6"/>
      <c r="RAA118" s="6"/>
      <c r="RAB118" s="6"/>
      <c r="RAC118" s="6"/>
      <c r="RAD118" s="6"/>
      <c r="RAE118" s="6"/>
      <c r="RAF118" s="6"/>
      <c r="RAG118" s="6"/>
      <c r="RAH118" s="6"/>
      <c r="RAI118" s="6"/>
      <c r="RAJ118" s="6"/>
      <c r="RAK118" s="6"/>
      <c r="RAL118" s="6"/>
      <c r="RAM118" s="6"/>
      <c r="RAN118" s="6"/>
      <c r="RAO118" s="6"/>
      <c r="RAP118" s="6"/>
      <c r="RAQ118" s="6"/>
      <c r="RAR118" s="6"/>
      <c r="RAS118" s="6"/>
      <c r="RAT118" s="6"/>
      <c r="RAU118" s="6"/>
      <c r="RAV118" s="6"/>
      <c r="RAW118" s="6"/>
      <c r="RAX118" s="6"/>
      <c r="RAY118" s="6"/>
      <c r="RAZ118" s="6"/>
      <c r="RBA118" s="6"/>
      <c r="RBB118" s="6"/>
      <c r="RBC118" s="6"/>
      <c r="RBD118" s="6"/>
      <c r="RBE118" s="6"/>
      <c r="RBF118" s="6"/>
      <c r="RBG118" s="6"/>
      <c r="RBH118" s="6"/>
      <c r="RBI118" s="6"/>
      <c r="RBJ118" s="6"/>
      <c r="RBK118" s="6"/>
      <c r="RBL118" s="6"/>
      <c r="RBM118" s="6"/>
      <c r="RBN118" s="6"/>
      <c r="RBO118" s="6"/>
      <c r="RBP118" s="6"/>
      <c r="RBQ118" s="6"/>
      <c r="RBR118" s="6"/>
      <c r="RBS118" s="6"/>
      <c r="RBT118" s="6"/>
      <c r="RBU118" s="6"/>
      <c r="RBV118" s="6"/>
      <c r="RBW118" s="6"/>
      <c r="RBX118" s="6"/>
      <c r="RBY118" s="6"/>
      <c r="RBZ118" s="6"/>
      <c r="RCA118" s="6"/>
      <c r="RCB118" s="6"/>
      <c r="RCC118" s="6"/>
      <c r="RCD118" s="6"/>
      <c r="RCE118" s="6"/>
      <c r="RCF118" s="6"/>
      <c r="RCG118" s="6"/>
      <c r="RCH118" s="6"/>
      <c r="RCI118" s="6"/>
      <c r="RCJ118" s="6"/>
      <c r="RCK118" s="6"/>
      <c r="RCL118" s="6"/>
      <c r="RCM118" s="6"/>
      <c r="RCN118" s="6"/>
      <c r="RCO118" s="6"/>
      <c r="RCP118" s="6"/>
      <c r="RCQ118" s="6"/>
      <c r="RCR118" s="6"/>
      <c r="RCS118" s="6"/>
      <c r="RCT118" s="6"/>
      <c r="RCU118" s="6"/>
      <c r="RCV118" s="6"/>
      <c r="RCW118" s="6"/>
      <c r="RCX118" s="6"/>
      <c r="RCY118" s="6"/>
      <c r="RCZ118" s="6"/>
      <c r="RDA118" s="6"/>
      <c r="RDB118" s="6"/>
      <c r="RDC118" s="6"/>
      <c r="RDD118" s="6"/>
      <c r="RDE118" s="6"/>
      <c r="RDF118" s="6"/>
      <c r="RDG118" s="6"/>
      <c r="RDH118" s="6"/>
      <c r="RDI118" s="6"/>
      <c r="RDJ118" s="6"/>
      <c r="RDK118" s="6"/>
      <c r="RDL118" s="6"/>
      <c r="RDM118" s="6"/>
      <c r="RDN118" s="6"/>
      <c r="RDO118" s="6"/>
      <c r="RDP118" s="6"/>
      <c r="RDQ118" s="6"/>
      <c r="RDR118" s="6"/>
      <c r="RDS118" s="6"/>
      <c r="RDT118" s="6"/>
      <c r="RDU118" s="6"/>
      <c r="RDV118" s="6"/>
      <c r="RDW118" s="6"/>
      <c r="RDX118" s="6"/>
      <c r="RDY118" s="6"/>
      <c r="RDZ118" s="6"/>
      <c r="REA118" s="6"/>
      <c r="REB118" s="6"/>
      <c r="REC118" s="6"/>
      <c r="RED118" s="6"/>
      <c r="REE118" s="6"/>
      <c r="REF118" s="6"/>
      <c r="REG118" s="6"/>
      <c r="REH118" s="6"/>
      <c r="REI118" s="6"/>
      <c r="REJ118" s="6"/>
      <c r="REK118" s="6"/>
      <c r="REL118" s="6"/>
      <c r="REM118" s="6"/>
      <c r="REN118" s="6"/>
      <c r="REO118" s="6"/>
      <c r="REP118" s="6"/>
      <c r="REQ118" s="6"/>
      <c r="RER118" s="6"/>
      <c r="RES118" s="6"/>
      <c r="RET118" s="6"/>
      <c r="REU118" s="6"/>
      <c r="REV118" s="6"/>
      <c r="REW118" s="6"/>
      <c r="REX118" s="6"/>
      <c r="REY118" s="6"/>
      <c r="REZ118" s="6"/>
      <c r="RFA118" s="6"/>
      <c r="RFB118" s="6"/>
      <c r="RFC118" s="6"/>
      <c r="RFD118" s="6"/>
      <c r="RFE118" s="6"/>
      <c r="RFF118" s="6"/>
      <c r="RFG118" s="6"/>
      <c r="RFH118" s="6"/>
      <c r="RFI118" s="6"/>
      <c r="RFJ118" s="6"/>
      <c r="RFK118" s="6"/>
      <c r="RFL118" s="6"/>
      <c r="RFM118" s="6"/>
      <c r="RFN118" s="6"/>
      <c r="RFO118" s="6"/>
      <c r="RFP118" s="6"/>
      <c r="RFQ118" s="6"/>
      <c r="RFR118" s="6"/>
      <c r="RFS118" s="6"/>
      <c r="RFT118" s="6"/>
      <c r="RFU118" s="6"/>
      <c r="RFV118" s="6"/>
      <c r="RFW118" s="6"/>
      <c r="RFX118" s="6"/>
      <c r="RFY118" s="6"/>
      <c r="RFZ118" s="6"/>
      <c r="RGA118" s="6"/>
      <c r="RGB118" s="6"/>
      <c r="RGC118" s="6"/>
      <c r="RGD118" s="6"/>
      <c r="RGE118" s="6"/>
      <c r="RGF118" s="6"/>
      <c r="RGG118" s="6"/>
      <c r="RGH118" s="6"/>
      <c r="RGI118" s="6"/>
      <c r="RGJ118" s="6"/>
      <c r="RGK118" s="6"/>
      <c r="RGL118" s="6"/>
      <c r="RGM118" s="6"/>
      <c r="RGN118" s="6"/>
      <c r="RGO118" s="6"/>
      <c r="RGP118" s="6"/>
      <c r="RGQ118" s="6"/>
      <c r="RGR118" s="6"/>
      <c r="RGS118" s="6"/>
      <c r="RGT118" s="6"/>
      <c r="RGU118" s="6"/>
      <c r="RGV118" s="6"/>
      <c r="RGW118" s="6"/>
      <c r="RGX118" s="6"/>
      <c r="RGY118" s="6"/>
      <c r="RGZ118" s="6"/>
      <c r="RHA118" s="6"/>
      <c r="RHB118" s="6"/>
      <c r="RHC118" s="6"/>
      <c r="RHD118" s="6"/>
      <c r="RHE118" s="6"/>
      <c r="RHF118" s="6"/>
      <c r="RHG118" s="6"/>
      <c r="RHH118" s="6"/>
      <c r="RHI118" s="6"/>
      <c r="RHJ118" s="6"/>
      <c r="RHK118" s="6"/>
      <c r="RHL118" s="6"/>
      <c r="RHM118" s="6"/>
      <c r="RHN118" s="6"/>
      <c r="RHO118" s="6"/>
      <c r="RHP118" s="6"/>
      <c r="RHQ118" s="6"/>
      <c r="RHR118" s="6"/>
      <c r="RHS118" s="6"/>
      <c r="RHT118" s="6"/>
      <c r="RHU118" s="6"/>
      <c r="RHV118" s="6"/>
      <c r="RHW118" s="6"/>
      <c r="RHX118" s="6"/>
      <c r="RHY118" s="6"/>
      <c r="RHZ118" s="6"/>
      <c r="RIA118" s="6"/>
      <c r="RIB118" s="6"/>
      <c r="RIC118" s="6"/>
      <c r="RID118" s="6"/>
      <c r="RIE118" s="6"/>
      <c r="RIF118" s="6"/>
      <c r="RIG118" s="6"/>
      <c r="RIH118" s="6"/>
      <c r="RII118" s="6"/>
      <c r="RIJ118" s="6"/>
      <c r="RIK118" s="6"/>
      <c r="RIL118" s="6"/>
      <c r="RIM118" s="6"/>
      <c r="RIN118" s="6"/>
      <c r="RIO118" s="6"/>
      <c r="RIP118" s="6"/>
      <c r="RIQ118" s="6"/>
      <c r="RIR118" s="6"/>
      <c r="RIS118" s="6"/>
      <c r="RIT118" s="6"/>
      <c r="RIU118" s="6"/>
      <c r="RIV118" s="6"/>
      <c r="RIW118" s="6"/>
      <c r="RIX118" s="6"/>
      <c r="RIY118" s="6"/>
      <c r="RIZ118" s="6"/>
      <c r="RJA118" s="6"/>
      <c r="RJB118" s="6"/>
      <c r="RJC118" s="6"/>
      <c r="RJD118" s="6"/>
      <c r="RJE118" s="6"/>
      <c r="RJF118" s="6"/>
      <c r="RJG118" s="6"/>
      <c r="RJH118" s="6"/>
      <c r="RJI118" s="6"/>
      <c r="RJJ118" s="6"/>
      <c r="RJK118" s="6"/>
      <c r="RJL118" s="6"/>
      <c r="RJM118" s="6"/>
      <c r="RJN118" s="6"/>
      <c r="RJO118" s="6"/>
      <c r="RJP118" s="6"/>
      <c r="RJQ118" s="6"/>
      <c r="RJR118" s="6"/>
      <c r="RJS118" s="6"/>
      <c r="RJT118" s="6"/>
      <c r="RJU118" s="6"/>
      <c r="RJV118" s="6"/>
      <c r="RJW118" s="6"/>
      <c r="RJX118" s="6"/>
      <c r="RJY118" s="6"/>
      <c r="RJZ118" s="6"/>
      <c r="RKA118" s="6"/>
      <c r="RKB118" s="6"/>
      <c r="RKC118" s="6"/>
      <c r="RKD118" s="6"/>
      <c r="RKE118" s="6"/>
      <c r="RKF118" s="6"/>
      <c r="RKG118" s="6"/>
      <c r="RKH118" s="6"/>
      <c r="RKI118" s="6"/>
      <c r="RKJ118" s="6"/>
      <c r="RKK118" s="6"/>
      <c r="RKL118" s="6"/>
      <c r="RKM118" s="6"/>
      <c r="RKN118" s="6"/>
      <c r="RKO118" s="6"/>
      <c r="RKP118" s="6"/>
      <c r="RKQ118" s="6"/>
      <c r="RKR118" s="6"/>
      <c r="RKS118" s="6"/>
      <c r="RKT118" s="6"/>
      <c r="RKU118" s="6"/>
      <c r="RKV118" s="6"/>
      <c r="RKW118" s="6"/>
      <c r="RKX118" s="6"/>
      <c r="RKY118" s="6"/>
      <c r="RKZ118" s="6"/>
      <c r="RLA118" s="6"/>
      <c r="RLB118" s="6"/>
      <c r="RLC118" s="6"/>
      <c r="RLD118" s="6"/>
      <c r="RLE118" s="6"/>
      <c r="RLF118" s="6"/>
      <c r="RLG118" s="6"/>
      <c r="RLH118" s="6"/>
      <c r="RLI118" s="6"/>
      <c r="RLJ118" s="6"/>
      <c r="RLK118" s="6"/>
      <c r="RLL118" s="6"/>
      <c r="RLM118" s="6"/>
      <c r="RLN118" s="6"/>
      <c r="RLO118" s="6"/>
      <c r="RLP118" s="6"/>
      <c r="RLQ118" s="6"/>
      <c r="RLR118" s="6"/>
      <c r="RLS118" s="6"/>
      <c r="RLT118" s="6"/>
      <c r="RLU118" s="6"/>
      <c r="RLV118" s="6"/>
      <c r="RLW118" s="6"/>
      <c r="RLX118" s="6"/>
      <c r="RLY118" s="6"/>
      <c r="RLZ118" s="6"/>
      <c r="RMA118" s="6"/>
      <c r="RMB118" s="6"/>
      <c r="RMC118" s="6"/>
      <c r="RMD118" s="6"/>
      <c r="RME118" s="6"/>
      <c r="RMF118" s="6"/>
      <c r="RMG118" s="6"/>
      <c r="RMH118" s="6"/>
      <c r="RMI118" s="6"/>
      <c r="RMJ118" s="6"/>
      <c r="RMK118" s="6"/>
      <c r="RML118" s="6"/>
      <c r="RMM118" s="6"/>
      <c r="RMN118" s="6"/>
      <c r="RMO118" s="6"/>
      <c r="RMP118" s="6"/>
      <c r="RMQ118" s="6"/>
      <c r="RMR118" s="6"/>
      <c r="RMS118" s="6"/>
      <c r="RMT118" s="6"/>
      <c r="RMU118" s="6"/>
      <c r="RMV118" s="6"/>
      <c r="RMW118" s="6"/>
      <c r="RMX118" s="6"/>
      <c r="RMY118" s="6"/>
      <c r="RMZ118" s="6"/>
      <c r="RNA118" s="6"/>
      <c r="RNB118" s="6"/>
      <c r="RNC118" s="6"/>
      <c r="RND118" s="6"/>
      <c r="RNE118" s="6"/>
      <c r="RNF118" s="6"/>
      <c r="RNG118" s="6"/>
      <c r="RNH118" s="6"/>
      <c r="RNI118" s="6"/>
      <c r="RNJ118" s="6"/>
      <c r="RNK118" s="6"/>
      <c r="RNL118" s="6"/>
      <c r="RNM118" s="6"/>
      <c r="RNN118" s="6"/>
      <c r="RNO118" s="6"/>
      <c r="RNP118" s="6"/>
      <c r="RNQ118" s="6"/>
      <c r="RNR118" s="6"/>
      <c r="RNS118" s="6"/>
      <c r="RNT118" s="6"/>
      <c r="RNU118" s="6"/>
      <c r="RNV118" s="6"/>
      <c r="RNW118" s="6"/>
      <c r="RNX118" s="6"/>
      <c r="RNY118" s="6"/>
      <c r="RNZ118" s="6"/>
      <c r="ROA118" s="6"/>
      <c r="ROB118" s="6"/>
      <c r="ROC118" s="6"/>
      <c r="ROD118" s="6"/>
      <c r="ROE118" s="6"/>
      <c r="ROF118" s="6"/>
      <c r="ROG118" s="6"/>
      <c r="ROH118" s="6"/>
      <c r="ROI118" s="6"/>
      <c r="ROJ118" s="6"/>
      <c r="ROK118" s="6"/>
      <c r="ROL118" s="6"/>
      <c r="ROM118" s="6"/>
      <c r="RON118" s="6"/>
      <c r="ROO118" s="6"/>
      <c r="ROP118" s="6"/>
      <c r="ROQ118" s="6"/>
      <c r="ROR118" s="6"/>
      <c r="ROS118" s="6"/>
      <c r="ROT118" s="6"/>
      <c r="ROU118" s="6"/>
      <c r="ROV118" s="6"/>
      <c r="ROW118" s="6"/>
      <c r="ROX118" s="6"/>
      <c r="ROY118" s="6"/>
      <c r="ROZ118" s="6"/>
      <c r="RPA118" s="6"/>
      <c r="RPB118" s="6"/>
      <c r="RPC118" s="6"/>
      <c r="RPD118" s="6"/>
      <c r="RPE118" s="6"/>
      <c r="RPF118" s="6"/>
      <c r="RPG118" s="6"/>
      <c r="RPH118" s="6"/>
      <c r="RPI118" s="6"/>
      <c r="RPJ118" s="6"/>
      <c r="RPK118" s="6"/>
      <c r="RPL118" s="6"/>
      <c r="RPM118" s="6"/>
      <c r="RPN118" s="6"/>
      <c r="RPO118" s="6"/>
      <c r="RPP118" s="6"/>
      <c r="RPQ118" s="6"/>
      <c r="RPR118" s="6"/>
      <c r="RPS118" s="6"/>
      <c r="RPT118" s="6"/>
      <c r="RPU118" s="6"/>
      <c r="RPV118" s="6"/>
      <c r="RPW118" s="6"/>
      <c r="RPX118" s="6"/>
      <c r="RPY118" s="6"/>
      <c r="RPZ118" s="6"/>
      <c r="RQA118" s="6"/>
      <c r="RQB118" s="6"/>
      <c r="RQC118" s="6"/>
      <c r="RQD118" s="6"/>
      <c r="RQE118" s="6"/>
      <c r="RQF118" s="6"/>
      <c r="RQG118" s="6"/>
      <c r="RQH118" s="6"/>
      <c r="RQI118" s="6"/>
      <c r="RQJ118" s="6"/>
      <c r="RQK118" s="6"/>
      <c r="RQL118" s="6"/>
      <c r="RQM118" s="6"/>
      <c r="RQN118" s="6"/>
      <c r="RQO118" s="6"/>
      <c r="RQP118" s="6"/>
      <c r="RQQ118" s="6"/>
      <c r="RQR118" s="6"/>
      <c r="RQS118" s="6"/>
      <c r="RQT118" s="6"/>
      <c r="RQU118" s="6"/>
      <c r="RQV118" s="6"/>
      <c r="RQW118" s="6"/>
      <c r="RQX118" s="6"/>
      <c r="RQY118" s="6"/>
      <c r="RQZ118" s="6"/>
      <c r="RRA118" s="6"/>
      <c r="RRB118" s="6"/>
      <c r="RRC118" s="6"/>
      <c r="RRD118" s="6"/>
      <c r="RRE118" s="6"/>
      <c r="RRF118" s="6"/>
      <c r="RRG118" s="6"/>
      <c r="RRH118" s="6"/>
      <c r="RRI118" s="6"/>
      <c r="RRJ118" s="6"/>
      <c r="RRK118" s="6"/>
      <c r="RRL118" s="6"/>
      <c r="RRM118" s="6"/>
      <c r="RRN118" s="6"/>
      <c r="RRO118" s="6"/>
      <c r="RRP118" s="6"/>
      <c r="RRQ118" s="6"/>
      <c r="RRR118" s="6"/>
      <c r="RRS118" s="6"/>
      <c r="RRT118" s="6"/>
      <c r="RRU118" s="6"/>
      <c r="RRV118" s="6"/>
      <c r="RRW118" s="6"/>
      <c r="RRX118" s="6"/>
      <c r="RRY118" s="6"/>
      <c r="RRZ118" s="6"/>
      <c r="RSA118" s="6"/>
      <c r="RSB118" s="6"/>
      <c r="RSC118" s="6"/>
      <c r="RSD118" s="6"/>
      <c r="RSE118" s="6"/>
      <c r="RSF118" s="6"/>
      <c r="RSG118" s="6"/>
      <c r="RSH118" s="6"/>
      <c r="RSI118" s="6"/>
      <c r="RSJ118" s="6"/>
      <c r="RSK118" s="6"/>
      <c r="RSL118" s="6"/>
      <c r="RSM118" s="6"/>
      <c r="RSN118" s="6"/>
      <c r="RSO118" s="6"/>
      <c r="RSP118" s="6"/>
      <c r="RSQ118" s="6"/>
      <c r="RSR118" s="6"/>
      <c r="RSS118" s="6"/>
      <c r="RST118" s="6"/>
      <c r="RSU118" s="6"/>
      <c r="RSV118" s="6"/>
      <c r="RSW118" s="6"/>
      <c r="RSX118" s="6"/>
      <c r="RSY118" s="6"/>
      <c r="RSZ118" s="6"/>
      <c r="RTA118" s="6"/>
      <c r="RTB118" s="6"/>
      <c r="RTC118" s="6"/>
      <c r="RTD118" s="6"/>
      <c r="RTE118" s="6"/>
      <c r="RTF118" s="6"/>
      <c r="RTG118" s="6"/>
      <c r="RTH118" s="6"/>
      <c r="RTI118" s="6"/>
      <c r="RTJ118" s="6"/>
      <c r="RTK118" s="6"/>
      <c r="RTL118" s="6"/>
      <c r="RTM118" s="6"/>
      <c r="RTN118" s="6"/>
      <c r="RTO118" s="6"/>
      <c r="RTP118" s="6"/>
      <c r="RTQ118" s="6"/>
      <c r="RTR118" s="6"/>
      <c r="RTS118" s="6"/>
      <c r="RTT118" s="6"/>
      <c r="RTU118" s="6"/>
      <c r="RTV118" s="6"/>
      <c r="RTW118" s="6"/>
      <c r="RTX118" s="6"/>
      <c r="RTY118" s="6"/>
      <c r="RTZ118" s="6"/>
      <c r="RUA118" s="6"/>
      <c r="RUB118" s="6"/>
      <c r="RUC118" s="6"/>
      <c r="RUD118" s="6"/>
      <c r="RUE118" s="6"/>
      <c r="RUF118" s="6"/>
      <c r="RUG118" s="6"/>
      <c r="RUH118" s="6"/>
      <c r="RUI118" s="6"/>
      <c r="RUJ118" s="6"/>
      <c r="RUK118" s="6"/>
      <c r="RUL118" s="6"/>
      <c r="RUM118" s="6"/>
      <c r="RUN118" s="6"/>
      <c r="RUO118" s="6"/>
      <c r="RUP118" s="6"/>
      <c r="RUQ118" s="6"/>
      <c r="RUR118" s="6"/>
      <c r="RUS118" s="6"/>
      <c r="RUT118" s="6"/>
      <c r="RUU118" s="6"/>
      <c r="RUV118" s="6"/>
      <c r="RUW118" s="6"/>
      <c r="RUX118" s="6"/>
      <c r="RUY118" s="6"/>
      <c r="RUZ118" s="6"/>
      <c r="RVA118" s="6"/>
      <c r="RVB118" s="6"/>
      <c r="RVC118" s="6"/>
      <c r="RVD118" s="6"/>
      <c r="RVE118" s="6"/>
      <c r="RVF118" s="6"/>
      <c r="RVG118" s="6"/>
      <c r="RVH118" s="6"/>
      <c r="RVI118" s="6"/>
      <c r="RVJ118" s="6"/>
      <c r="RVK118" s="6"/>
      <c r="RVL118" s="6"/>
      <c r="RVM118" s="6"/>
      <c r="RVN118" s="6"/>
      <c r="RVO118" s="6"/>
      <c r="RVP118" s="6"/>
      <c r="RVQ118" s="6"/>
      <c r="RVR118" s="6"/>
      <c r="RVS118" s="6"/>
      <c r="RVT118" s="6"/>
      <c r="RVU118" s="6"/>
      <c r="RVV118" s="6"/>
      <c r="RVW118" s="6"/>
      <c r="RVX118" s="6"/>
      <c r="RVY118" s="6"/>
      <c r="RVZ118" s="6"/>
      <c r="RWA118" s="6"/>
      <c r="RWB118" s="6"/>
      <c r="RWC118" s="6"/>
      <c r="RWD118" s="6"/>
      <c r="RWE118" s="6"/>
      <c r="RWF118" s="6"/>
      <c r="RWG118" s="6"/>
      <c r="RWH118" s="6"/>
      <c r="RWI118" s="6"/>
      <c r="RWJ118" s="6"/>
      <c r="RWK118" s="6"/>
      <c r="RWL118" s="6"/>
      <c r="RWM118" s="6"/>
      <c r="RWN118" s="6"/>
      <c r="RWO118" s="6"/>
      <c r="RWP118" s="6"/>
      <c r="RWQ118" s="6"/>
      <c r="RWR118" s="6"/>
      <c r="RWS118" s="6"/>
      <c r="RWT118" s="6"/>
      <c r="RWU118" s="6"/>
      <c r="RWV118" s="6"/>
      <c r="RWW118" s="6"/>
      <c r="RWX118" s="6"/>
      <c r="RWY118" s="6"/>
      <c r="RWZ118" s="6"/>
      <c r="RXA118" s="6"/>
      <c r="RXB118" s="6"/>
      <c r="RXC118" s="6"/>
      <c r="RXD118" s="6"/>
      <c r="RXE118" s="6"/>
      <c r="RXF118" s="6"/>
      <c r="RXG118" s="6"/>
      <c r="RXH118" s="6"/>
      <c r="RXI118" s="6"/>
      <c r="RXJ118" s="6"/>
      <c r="RXK118" s="6"/>
      <c r="RXL118" s="6"/>
      <c r="RXM118" s="6"/>
      <c r="RXN118" s="6"/>
      <c r="RXO118" s="6"/>
      <c r="RXP118" s="6"/>
      <c r="RXQ118" s="6"/>
      <c r="RXR118" s="6"/>
      <c r="RXS118" s="6"/>
      <c r="RXT118" s="6"/>
      <c r="RXU118" s="6"/>
      <c r="RXV118" s="6"/>
      <c r="RXW118" s="6"/>
      <c r="RXX118" s="6"/>
      <c r="RXY118" s="6"/>
      <c r="RXZ118" s="6"/>
      <c r="RYA118" s="6"/>
      <c r="RYB118" s="6"/>
      <c r="RYC118" s="6"/>
      <c r="RYD118" s="6"/>
      <c r="RYE118" s="6"/>
      <c r="RYF118" s="6"/>
      <c r="RYG118" s="6"/>
      <c r="RYH118" s="6"/>
      <c r="RYI118" s="6"/>
      <c r="RYJ118" s="6"/>
      <c r="RYK118" s="6"/>
      <c r="RYL118" s="6"/>
      <c r="RYM118" s="6"/>
      <c r="RYN118" s="6"/>
      <c r="RYO118" s="6"/>
      <c r="RYP118" s="6"/>
      <c r="RYQ118" s="6"/>
      <c r="RYR118" s="6"/>
      <c r="RYS118" s="6"/>
      <c r="RYT118" s="6"/>
      <c r="RYU118" s="6"/>
      <c r="RYV118" s="6"/>
      <c r="RYW118" s="6"/>
      <c r="RYX118" s="6"/>
      <c r="RYY118" s="6"/>
      <c r="RYZ118" s="6"/>
      <c r="RZA118" s="6"/>
      <c r="RZB118" s="6"/>
      <c r="RZC118" s="6"/>
      <c r="RZD118" s="6"/>
      <c r="RZE118" s="6"/>
      <c r="RZF118" s="6"/>
      <c r="RZG118" s="6"/>
      <c r="RZH118" s="6"/>
      <c r="RZI118" s="6"/>
      <c r="RZJ118" s="6"/>
      <c r="RZK118" s="6"/>
      <c r="RZL118" s="6"/>
      <c r="RZM118" s="6"/>
      <c r="RZN118" s="6"/>
      <c r="RZO118" s="6"/>
      <c r="RZP118" s="6"/>
      <c r="RZQ118" s="6"/>
      <c r="RZR118" s="6"/>
      <c r="RZS118" s="6"/>
      <c r="RZT118" s="6"/>
      <c r="RZU118" s="6"/>
      <c r="RZV118" s="6"/>
      <c r="RZW118" s="6"/>
      <c r="RZX118" s="6"/>
      <c r="RZY118" s="6"/>
      <c r="RZZ118" s="6"/>
      <c r="SAA118" s="6"/>
      <c r="SAB118" s="6"/>
      <c r="SAC118" s="6"/>
      <c r="SAD118" s="6"/>
      <c r="SAE118" s="6"/>
      <c r="SAF118" s="6"/>
      <c r="SAG118" s="6"/>
      <c r="SAH118" s="6"/>
      <c r="SAI118" s="6"/>
      <c r="SAJ118" s="6"/>
      <c r="SAK118" s="6"/>
      <c r="SAL118" s="6"/>
      <c r="SAM118" s="6"/>
      <c r="SAN118" s="6"/>
      <c r="SAO118" s="6"/>
      <c r="SAP118" s="6"/>
      <c r="SAQ118" s="6"/>
      <c r="SAR118" s="6"/>
      <c r="SAS118" s="6"/>
      <c r="SAT118" s="6"/>
      <c r="SAU118" s="6"/>
      <c r="SAV118" s="6"/>
      <c r="SAW118" s="6"/>
      <c r="SAX118" s="6"/>
      <c r="SAY118" s="6"/>
      <c r="SAZ118" s="6"/>
      <c r="SBA118" s="6"/>
      <c r="SBB118" s="6"/>
      <c r="SBC118" s="6"/>
      <c r="SBD118" s="6"/>
      <c r="SBE118" s="6"/>
      <c r="SBF118" s="6"/>
      <c r="SBG118" s="6"/>
      <c r="SBH118" s="6"/>
      <c r="SBI118" s="6"/>
      <c r="SBJ118" s="6"/>
      <c r="SBK118" s="6"/>
      <c r="SBL118" s="6"/>
      <c r="SBM118" s="6"/>
      <c r="SBN118" s="6"/>
      <c r="SBO118" s="6"/>
      <c r="SBP118" s="6"/>
      <c r="SBQ118" s="6"/>
      <c r="SBR118" s="6"/>
      <c r="SBS118" s="6"/>
      <c r="SBT118" s="6"/>
      <c r="SBU118" s="6"/>
      <c r="SBV118" s="6"/>
      <c r="SBW118" s="6"/>
      <c r="SBX118" s="6"/>
      <c r="SBY118" s="6"/>
      <c r="SBZ118" s="6"/>
      <c r="SCA118" s="6"/>
      <c r="SCB118" s="6"/>
      <c r="SCC118" s="6"/>
      <c r="SCD118" s="6"/>
      <c r="SCE118" s="6"/>
      <c r="SCF118" s="6"/>
      <c r="SCG118" s="6"/>
      <c r="SCH118" s="6"/>
      <c r="SCI118" s="6"/>
      <c r="SCJ118" s="6"/>
      <c r="SCK118" s="6"/>
      <c r="SCL118" s="6"/>
      <c r="SCM118" s="6"/>
      <c r="SCN118" s="6"/>
      <c r="SCO118" s="6"/>
      <c r="SCP118" s="6"/>
      <c r="SCQ118" s="6"/>
      <c r="SCR118" s="6"/>
      <c r="SCS118" s="6"/>
      <c r="SCT118" s="6"/>
      <c r="SCU118" s="6"/>
      <c r="SCV118" s="6"/>
      <c r="SCW118" s="6"/>
      <c r="SCX118" s="6"/>
      <c r="SCY118" s="6"/>
      <c r="SCZ118" s="6"/>
      <c r="SDA118" s="6"/>
      <c r="SDB118" s="6"/>
      <c r="SDC118" s="6"/>
      <c r="SDD118" s="6"/>
      <c r="SDE118" s="6"/>
      <c r="SDF118" s="6"/>
      <c r="SDG118" s="6"/>
      <c r="SDH118" s="6"/>
      <c r="SDI118" s="6"/>
      <c r="SDJ118" s="6"/>
      <c r="SDK118" s="6"/>
      <c r="SDL118" s="6"/>
      <c r="SDM118" s="6"/>
      <c r="SDN118" s="6"/>
      <c r="SDO118" s="6"/>
      <c r="SDP118" s="6"/>
      <c r="SDQ118" s="6"/>
      <c r="SDR118" s="6"/>
      <c r="SDS118" s="6"/>
      <c r="SDT118" s="6"/>
      <c r="SDU118" s="6"/>
      <c r="SDV118" s="6"/>
      <c r="SDW118" s="6"/>
      <c r="SDX118" s="6"/>
      <c r="SDY118" s="6"/>
      <c r="SDZ118" s="6"/>
      <c r="SEA118" s="6"/>
      <c r="SEB118" s="6"/>
      <c r="SEC118" s="6"/>
      <c r="SED118" s="6"/>
      <c r="SEE118" s="6"/>
      <c r="SEF118" s="6"/>
      <c r="SEG118" s="6"/>
      <c r="SEH118" s="6"/>
      <c r="SEI118" s="6"/>
      <c r="SEJ118" s="6"/>
      <c r="SEK118" s="6"/>
      <c r="SEL118" s="6"/>
      <c r="SEM118" s="6"/>
      <c r="SEN118" s="6"/>
      <c r="SEO118" s="6"/>
      <c r="SEP118" s="6"/>
      <c r="SEQ118" s="6"/>
      <c r="SER118" s="6"/>
      <c r="SES118" s="6"/>
      <c r="SET118" s="6"/>
      <c r="SEU118" s="6"/>
      <c r="SEV118" s="6"/>
      <c r="SEW118" s="6"/>
      <c r="SEX118" s="6"/>
      <c r="SEY118" s="6"/>
      <c r="SEZ118" s="6"/>
      <c r="SFA118" s="6"/>
      <c r="SFB118" s="6"/>
      <c r="SFC118" s="6"/>
      <c r="SFD118" s="6"/>
      <c r="SFE118" s="6"/>
      <c r="SFF118" s="6"/>
      <c r="SFG118" s="6"/>
      <c r="SFH118" s="6"/>
      <c r="SFI118" s="6"/>
      <c r="SFJ118" s="6"/>
      <c r="SFK118" s="6"/>
      <c r="SFL118" s="6"/>
      <c r="SFM118" s="6"/>
      <c r="SFN118" s="6"/>
      <c r="SFO118" s="6"/>
      <c r="SFP118" s="6"/>
      <c r="SFQ118" s="6"/>
      <c r="SFR118" s="6"/>
      <c r="SFS118" s="6"/>
      <c r="SFT118" s="6"/>
      <c r="SFU118" s="6"/>
      <c r="SFV118" s="6"/>
      <c r="SFW118" s="6"/>
      <c r="SFX118" s="6"/>
      <c r="SFY118" s="6"/>
      <c r="SFZ118" s="6"/>
      <c r="SGA118" s="6"/>
      <c r="SGB118" s="6"/>
      <c r="SGC118" s="6"/>
      <c r="SGD118" s="6"/>
      <c r="SGE118" s="6"/>
      <c r="SGF118" s="6"/>
      <c r="SGG118" s="6"/>
      <c r="SGH118" s="6"/>
      <c r="SGI118" s="6"/>
      <c r="SGJ118" s="6"/>
      <c r="SGK118" s="6"/>
      <c r="SGL118" s="6"/>
      <c r="SGM118" s="6"/>
      <c r="SGN118" s="6"/>
      <c r="SGO118" s="6"/>
      <c r="SGP118" s="6"/>
      <c r="SGQ118" s="6"/>
      <c r="SGR118" s="6"/>
      <c r="SGS118" s="6"/>
      <c r="SGT118" s="6"/>
      <c r="SGU118" s="6"/>
      <c r="SGV118" s="6"/>
      <c r="SGW118" s="6"/>
      <c r="SGX118" s="6"/>
      <c r="SGY118" s="6"/>
      <c r="SGZ118" s="6"/>
      <c r="SHA118" s="6"/>
      <c r="SHB118" s="6"/>
      <c r="SHC118" s="6"/>
      <c r="SHD118" s="6"/>
      <c r="SHE118" s="6"/>
      <c r="SHF118" s="6"/>
      <c r="SHG118" s="6"/>
      <c r="SHH118" s="6"/>
      <c r="SHI118" s="6"/>
      <c r="SHJ118" s="6"/>
      <c r="SHK118" s="6"/>
      <c r="SHL118" s="6"/>
      <c r="SHM118" s="6"/>
      <c r="SHN118" s="6"/>
      <c r="SHO118" s="6"/>
      <c r="SHP118" s="6"/>
      <c r="SHQ118" s="6"/>
      <c r="SHR118" s="6"/>
      <c r="SHS118" s="6"/>
      <c r="SHT118" s="6"/>
      <c r="SHU118" s="6"/>
      <c r="SHV118" s="6"/>
      <c r="SHW118" s="6"/>
      <c r="SHX118" s="6"/>
      <c r="SHY118" s="6"/>
      <c r="SHZ118" s="6"/>
      <c r="SIA118" s="6"/>
      <c r="SIB118" s="6"/>
      <c r="SIC118" s="6"/>
      <c r="SID118" s="6"/>
      <c r="SIE118" s="6"/>
      <c r="SIF118" s="6"/>
      <c r="SIG118" s="6"/>
      <c r="SIH118" s="6"/>
      <c r="SII118" s="6"/>
      <c r="SIJ118" s="6"/>
      <c r="SIK118" s="6"/>
      <c r="SIL118" s="6"/>
      <c r="SIM118" s="6"/>
      <c r="SIN118" s="6"/>
      <c r="SIO118" s="6"/>
      <c r="SIP118" s="6"/>
      <c r="SIQ118" s="6"/>
      <c r="SIR118" s="6"/>
      <c r="SIS118" s="6"/>
      <c r="SIT118" s="6"/>
      <c r="SIU118" s="6"/>
      <c r="SIV118" s="6"/>
      <c r="SIW118" s="6"/>
      <c r="SIX118" s="6"/>
      <c r="SIY118" s="6"/>
      <c r="SIZ118" s="6"/>
      <c r="SJA118" s="6"/>
      <c r="SJB118" s="6"/>
      <c r="SJC118" s="6"/>
      <c r="SJD118" s="6"/>
      <c r="SJE118" s="6"/>
      <c r="SJF118" s="6"/>
      <c r="SJG118" s="6"/>
      <c r="SJH118" s="6"/>
      <c r="SJI118" s="6"/>
      <c r="SJJ118" s="6"/>
      <c r="SJK118" s="6"/>
      <c r="SJL118" s="6"/>
      <c r="SJM118" s="6"/>
      <c r="SJN118" s="6"/>
      <c r="SJO118" s="6"/>
      <c r="SJP118" s="6"/>
      <c r="SJQ118" s="6"/>
      <c r="SJR118" s="6"/>
      <c r="SJS118" s="6"/>
      <c r="SJT118" s="6"/>
      <c r="SJU118" s="6"/>
      <c r="SJV118" s="6"/>
      <c r="SJW118" s="6"/>
      <c r="SJX118" s="6"/>
      <c r="SJY118" s="6"/>
      <c r="SJZ118" s="6"/>
      <c r="SKA118" s="6"/>
      <c r="SKB118" s="6"/>
      <c r="SKC118" s="6"/>
      <c r="SKD118" s="6"/>
      <c r="SKE118" s="6"/>
      <c r="SKF118" s="6"/>
      <c r="SKG118" s="6"/>
      <c r="SKH118" s="6"/>
      <c r="SKI118" s="6"/>
      <c r="SKJ118" s="6"/>
      <c r="SKK118" s="6"/>
      <c r="SKL118" s="6"/>
      <c r="SKM118" s="6"/>
      <c r="SKN118" s="6"/>
      <c r="SKO118" s="6"/>
      <c r="SKP118" s="6"/>
      <c r="SKQ118" s="6"/>
      <c r="SKR118" s="6"/>
      <c r="SKS118" s="6"/>
      <c r="SKT118" s="6"/>
      <c r="SKU118" s="6"/>
      <c r="SKV118" s="6"/>
      <c r="SKW118" s="6"/>
      <c r="SKX118" s="6"/>
      <c r="SKY118" s="6"/>
      <c r="SKZ118" s="6"/>
      <c r="SLA118" s="6"/>
      <c r="SLB118" s="6"/>
      <c r="SLC118" s="6"/>
      <c r="SLD118" s="6"/>
      <c r="SLE118" s="6"/>
      <c r="SLF118" s="6"/>
      <c r="SLG118" s="6"/>
      <c r="SLH118" s="6"/>
      <c r="SLI118" s="6"/>
      <c r="SLJ118" s="6"/>
      <c r="SLK118" s="6"/>
      <c r="SLL118" s="6"/>
      <c r="SLM118" s="6"/>
      <c r="SLN118" s="6"/>
      <c r="SLO118" s="6"/>
      <c r="SLP118" s="6"/>
      <c r="SLQ118" s="6"/>
      <c r="SLR118" s="6"/>
      <c r="SLS118" s="6"/>
      <c r="SLT118" s="6"/>
      <c r="SLU118" s="6"/>
      <c r="SLV118" s="6"/>
      <c r="SLW118" s="6"/>
      <c r="SLX118" s="6"/>
      <c r="SLY118" s="6"/>
      <c r="SLZ118" s="6"/>
      <c r="SMA118" s="6"/>
      <c r="SMB118" s="6"/>
      <c r="SMC118" s="6"/>
      <c r="SMD118" s="6"/>
      <c r="SME118" s="6"/>
      <c r="SMF118" s="6"/>
      <c r="SMG118" s="6"/>
      <c r="SMH118" s="6"/>
      <c r="SMI118" s="6"/>
      <c r="SMJ118" s="6"/>
      <c r="SMK118" s="6"/>
      <c r="SML118" s="6"/>
      <c r="SMM118" s="6"/>
      <c r="SMN118" s="6"/>
      <c r="SMO118" s="6"/>
      <c r="SMP118" s="6"/>
      <c r="SMQ118" s="6"/>
      <c r="SMR118" s="6"/>
      <c r="SMS118" s="6"/>
      <c r="SMT118" s="6"/>
      <c r="SMU118" s="6"/>
      <c r="SMV118" s="6"/>
      <c r="SMW118" s="6"/>
      <c r="SMX118" s="6"/>
      <c r="SMY118" s="6"/>
      <c r="SMZ118" s="6"/>
      <c r="SNA118" s="6"/>
      <c r="SNB118" s="6"/>
      <c r="SNC118" s="6"/>
      <c r="SND118" s="6"/>
      <c r="SNE118" s="6"/>
      <c r="SNF118" s="6"/>
      <c r="SNG118" s="6"/>
      <c r="SNH118" s="6"/>
      <c r="SNI118" s="6"/>
      <c r="SNJ118" s="6"/>
      <c r="SNK118" s="6"/>
      <c r="SNL118" s="6"/>
      <c r="SNM118" s="6"/>
      <c r="SNN118" s="6"/>
      <c r="SNO118" s="6"/>
      <c r="SNP118" s="6"/>
      <c r="SNQ118" s="6"/>
      <c r="SNR118" s="6"/>
      <c r="SNS118" s="6"/>
      <c r="SNT118" s="6"/>
      <c r="SNU118" s="6"/>
      <c r="SNV118" s="6"/>
      <c r="SNW118" s="6"/>
      <c r="SNX118" s="6"/>
      <c r="SNY118" s="6"/>
      <c r="SNZ118" s="6"/>
      <c r="SOA118" s="6"/>
      <c r="SOB118" s="6"/>
      <c r="SOC118" s="6"/>
      <c r="SOD118" s="6"/>
      <c r="SOE118" s="6"/>
      <c r="SOF118" s="6"/>
      <c r="SOG118" s="6"/>
      <c r="SOH118" s="6"/>
      <c r="SOI118" s="6"/>
      <c r="SOJ118" s="6"/>
      <c r="SOK118" s="6"/>
      <c r="SOL118" s="6"/>
      <c r="SOM118" s="6"/>
      <c r="SON118" s="6"/>
      <c r="SOO118" s="6"/>
      <c r="SOP118" s="6"/>
      <c r="SOQ118" s="6"/>
      <c r="SOR118" s="6"/>
      <c r="SOS118" s="6"/>
      <c r="SOT118" s="6"/>
      <c r="SOU118" s="6"/>
      <c r="SOV118" s="6"/>
      <c r="SOW118" s="6"/>
      <c r="SOX118" s="6"/>
      <c r="SOY118" s="6"/>
      <c r="SOZ118" s="6"/>
      <c r="SPA118" s="6"/>
      <c r="SPB118" s="6"/>
      <c r="SPC118" s="6"/>
      <c r="SPD118" s="6"/>
      <c r="SPE118" s="6"/>
      <c r="SPF118" s="6"/>
      <c r="SPG118" s="6"/>
      <c r="SPH118" s="6"/>
      <c r="SPI118" s="6"/>
      <c r="SPJ118" s="6"/>
      <c r="SPK118" s="6"/>
      <c r="SPL118" s="6"/>
      <c r="SPM118" s="6"/>
      <c r="SPN118" s="6"/>
      <c r="SPO118" s="6"/>
      <c r="SPP118" s="6"/>
      <c r="SPQ118" s="6"/>
      <c r="SPR118" s="6"/>
      <c r="SPS118" s="6"/>
      <c r="SPT118" s="6"/>
      <c r="SPU118" s="6"/>
      <c r="SPV118" s="6"/>
      <c r="SPW118" s="6"/>
      <c r="SPX118" s="6"/>
      <c r="SPY118" s="6"/>
      <c r="SPZ118" s="6"/>
      <c r="SQA118" s="6"/>
      <c r="SQB118" s="6"/>
      <c r="SQC118" s="6"/>
      <c r="SQD118" s="6"/>
      <c r="SQE118" s="6"/>
      <c r="SQF118" s="6"/>
      <c r="SQG118" s="6"/>
      <c r="SQH118" s="6"/>
      <c r="SQI118" s="6"/>
      <c r="SQJ118" s="6"/>
      <c r="SQK118" s="6"/>
      <c r="SQL118" s="6"/>
      <c r="SQM118" s="6"/>
      <c r="SQN118" s="6"/>
      <c r="SQO118" s="6"/>
      <c r="SQP118" s="6"/>
      <c r="SQQ118" s="6"/>
      <c r="SQR118" s="6"/>
      <c r="SQS118" s="6"/>
      <c r="SQT118" s="6"/>
      <c r="SQU118" s="6"/>
      <c r="SQV118" s="6"/>
      <c r="SQW118" s="6"/>
      <c r="SQX118" s="6"/>
      <c r="SQY118" s="6"/>
      <c r="SQZ118" s="6"/>
      <c r="SRA118" s="6"/>
      <c r="SRB118" s="6"/>
      <c r="SRC118" s="6"/>
      <c r="SRD118" s="6"/>
      <c r="SRE118" s="6"/>
      <c r="SRF118" s="6"/>
      <c r="SRG118" s="6"/>
      <c r="SRH118" s="6"/>
      <c r="SRI118" s="6"/>
      <c r="SRJ118" s="6"/>
      <c r="SRK118" s="6"/>
      <c r="SRL118" s="6"/>
      <c r="SRM118" s="6"/>
      <c r="SRN118" s="6"/>
      <c r="SRO118" s="6"/>
      <c r="SRP118" s="6"/>
      <c r="SRQ118" s="6"/>
      <c r="SRR118" s="6"/>
      <c r="SRS118" s="6"/>
      <c r="SRT118" s="6"/>
      <c r="SRU118" s="6"/>
      <c r="SRV118" s="6"/>
      <c r="SRW118" s="6"/>
      <c r="SRX118" s="6"/>
      <c r="SRY118" s="6"/>
      <c r="SRZ118" s="6"/>
      <c r="SSA118" s="6"/>
      <c r="SSB118" s="6"/>
      <c r="SSC118" s="6"/>
      <c r="SSD118" s="6"/>
      <c r="SSE118" s="6"/>
      <c r="SSF118" s="6"/>
      <c r="SSG118" s="6"/>
      <c r="SSH118" s="6"/>
      <c r="SSI118" s="6"/>
      <c r="SSJ118" s="6"/>
      <c r="SSK118" s="6"/>
      <c r="SSL118" s="6"/>
      <c r="SSM118" s="6"/>
      <c r="SSN118" s="6"/>
      <c r="SSO118" s="6"/>
      <c r="SSP118" s="6"/>
      <c r="SSQ118" s="6"/>
      <c r="SSR118" s="6"/>
      <c r="SSS118" s="6"/>
      <c r="SST118" s="6"/>
      <c r="SSU118" s="6"/>
      <c r="SSV118" s="6"/>
      <c r="SSW118" s="6"/>
      <c r="SSX118" s="6"/>
      <c r="SSY118" s="6"/>
      <c r="SSZ118" s="6"/>
      <c r="STA118" s="6"/>
      <c r="STB118" s="6"/>
      <c r="STC118" s="6"/>
      <c r="STD118" s="6"/>
      <c r="STE118" s="6"/>
      <c r="STF118" s="6"/>
      <c r="STG118" s="6"/>
      <c r="STH118" s="6"/>
      <c r="STI118" s="6"/>
      <c r="STJ118" s="6"/>
      <c r="STK118" s="6"/>
      <c r="STL118" s="6"/>
      <c r="STM118" s="6"/>
      <c r="STN118" s="6"/>
      <c r="STO118" s="6"/>
      <c r="STP118" s="6"/>
      <c r="STQ118" s="6"/>
      <c r="STR118" s="6"/>
      <c r="STS118" s="6"/>
      <c r="STT118" s="6"/>
      <c r="STU118" s="6"/>
      <c r="STV118" s="6"/>
      <c r="STW118" s="6"/>
      <c r="STX118" s="6"/>
      <c r="STY118" s="6"/>
      <c r="STZ118" s="6"/>
      <c r="SUA118" s="6"/>
      <c r="SUB118" s="6"/>
      <c r="SUC118" s="6"/>
      <c r="SUD118" s="6"/>
      <c r="SUE118" s="6"/>
      <c r="SUF118" s="6"/>
      <c r="SUG118" s="6"/>
      <c r="SUH118" s="6"/>
      <c r="SUI118" s="6"/>
      <c r="SUJ118" s="6"/>
      <c r="SUK118" s="6"/>
      <c r="SUL118" s="6"/>
      <c r="SUM118" s="6"/>
      <c r="SUN118" s="6"/>
      <c r="SUO118" s="6"/>
      <c r="SUP118" s="6"/>
      <c r="SUQ118" s="6"/>
      <c r="SUR118" s="6"/>
      <c r="SUS118" s="6"/>
      <c r="SUT118" s="6"/>
      <c r="SUU118" s="6"/>
      <c r="SUV118" s="6"/>
      <c r="SUW118" s="6"/>
      <c r="SUX118" s="6"/>
      <c r="SUY118" s="6"/>
      <c r="SUZ118" s="6"/>
      <c r="SVA118" s="6"/>
      <c r="SVB118" s="6"/>
      <c r="SVC118" s="6"/>
      <c r="SVD118" s="6"/>
      <c r="SVE118" s="6"/>
      <c r="SVF118" s="6"/>
      <c r="SVG118" s="6"/>
      <c r="SVH118" s="6"/>
      <c r="SVI118" s="6"/>
      <c r="SVJ118" s="6"/>
      <c r="SVK118" s="6"/>
      <c r="SVL118" s="6"/>
      <c r="SVM118" s="6"/>
      <c r="SVN118" s="6"/>
      <c r="SVO118" s="6"/>
      <c r="SVP118" s="6"/>
      <c r="SVQ118" s="6"/>
      <c r="SVR118" s="6"/>
      <c r="SVS118" s="6"/>
      <c r="SVT118" s="6"/>
      <c r="SVU118" s="6"/>
      <c r="SVV118" s="6"/>
      <c r="SVW118" s="6"/>
      <c r="SVX118" s="6"/>
      <c r="SVY118" s="6"/>
      <c r="SVZ118" s="6"/>
      <c r="SWA118" s="6"/>
      <c r="SWB118" s="6"/>
      <c r="SWC118" s="6"/>
      <c r="SWD118" s="6"/>
      <c r="SWE118" s="6"/>
      <c r="SWF118" s="6"/>
      <c r="SWG118" s="6"/>
      <c r="SWH118" s="6"/>
      <c r="SWI118" s="6"/>
      <c r="SWJ118" s="6"/>
      <c r="SWK118" s="6"/>
      <c r="SWL118" s="6"/>
      <c r="SWM118" s="6"/>
      <c r="SWN118" s="6"/>
      <c r="SWO118" s="6"/>
      <c r="SWP118" s="6"/>
      <c r="SWQ118" s="6"/>
      <c r="SWR118" s="6"/>
      <c r="SWS118" s="6"/>
      <c r="SWT118" s="6"/>
      <c r="SWU118" s="6"/>
      <c r="SWV118" s="6"/>
      <c r="SWW118" s="6"/>
      <c r="SWX118" s="6"/>
      <c r="SWY118" s="6"/>
      <c r="SWZ118" s="6"/>
      <c r="SXA118" s="6"/>
      <c r="SXB118" s="6"/>
      <c r="SXC118" s="6"/>
      <c r="SXD118" s="6"/>
      <c r="SXE118" s="6"/>
      <c r="SXF118" s="6"/>
      <c r="SXG118" s="6"/>
      <c r="SXH118" s="6"/>
      <c r="SXI118" s="6"/>
      <c r="SXJ118" s="6"/>
      <c r="SXK118" s="6"/>
      <c r="SXL118" s="6"/>
      <c r="SXM118" s="6"/>
      <c r="SXN118" s="6"/>
      <c r="SXO118" s="6"/>
      <c r="SXP118" s="6"/>
      <c r="SXQ118" s="6"/>
      <c r="SXR118" s="6"/>
      <c r="SXS118" s="6"/>
      <c r="SXT118" s="6"/>
      <c r="SXU118" s="6"/>
      <c r="SXV118" s="6"/>
      <c r="SXW118" s="6"/>
      <c r="SXX118" s="6"/>
      <c r="SXY118" s="6"/>
      <c r="SXZ118" s="6"/>
      <c r="SYA118" s="6"/>
      <c r="SYB118" s="6"/>
      <c r="SYC118" s="6"/>
      <c r="SYD118" s="6"/>
      <c r="SYE118" s="6"/>
      <c r="SYF118" s="6"/>
      <c r="SYG118" s="6"/>
      <c r="SYH118" s="6"/>
      <c r="SYI118" s="6"/>
      <c r="SYJ118" s="6"/>
      <c r="SYK118" s="6"/>
      <c r="SYL118" s="6"/>
      <c r="SYM118" s="6"/>
      <c r="SYN118" s="6"/>
      <c r="SYO118" s="6"/>
      <c r="SYP118" s="6"/>
      <c r="SYQ118" s="6"/>
      <c r="SYR118" s="6"/>
      <c r="SYS118" s="6"/>
      <c r="SYT118" s="6"/>
      <c r="SYU118" s="6"/>
      <c r="SYV118" s="6"/>
      <c r="SYW118" s="6"/>
      <c r="SYX118" s="6"/>
      <c r="SYY118" s="6"/>
      <c r="SYZ118" s="6"/>
      <c r="SZA118" s="6"/>
      <c r="SZB118" s="6"/>
      <c r="SZC118" s="6"/>
      <c r="SZD118" s="6"/>
      <c r="SZE118" s="6"/>
      <c r="SZF118" s="6"/>
      <c r="SZG118" s="6"/>
      <c r="SZH118" s="6"/>
      <c r="SZI118" s="6"/>
      <c r="SZJ118" s="6"/>
      <c r="SZK118" s="6"/>
      <c r="SZL118" s="6"/>
      <c r="SZM118" s="6"/>
      <c r="SZN118" s="6"/>
      <c r="SZO118" s="6"/>
      <c r="SZP118" s="6"/>
      <c r="SZQ118" s="6"/>
      <c r="SZR118" s="6"/>
      <c r="SZS118" s="6"/>
      <c r="SZT118" s="6"/>
      <c r="SZU118" s="6"/>
      <c r="SZV118" s="6"/>
      <c r="SZW118" s="6"/>
      <c r="SZX118" s="6"/>
      <c r="SZY118" s="6"/>
      <c r="SZZ118" s="6"/>
      <c r="TAA118" s="6"/>
      <c r="TAB118" s="6"/>
      <c r="TAC118" s="6"/>
      <c r="TAD118" s="6"/>
      <c r="TAE118" s="6"/>
      <c r="TAF118" s="6"/>
      <c r="TAG118" s="6"/>
      <c r="TAH118" s="6"/>
      <c r="TAI118" s="6"/>
      <c r="TAJ118" s="6"/>
      <c r="TAK118" s="6"/>
      <c r="TAL118" s="6"/>
      <c r="TAM118" s="6"/>
      <c r="TAN118" s="6"/>
      <c r="TAO118" s="6"/>
      <c r="TAP118" s="6"/>
      <c r="TAQ118" s="6"/>
      <c r="TAR118" s="6"/>
      <c r="TAS118" s="6"/>
      <c r="TAT118" s="6"/>
      <c r="TAU118" s="6"/>
      <c r="TAV118" s="6"/>
      <c r="TAW118" s="6"/>
      <c r="TAX118" s="6"/>
      <c r="TAY118" s="6"/>
      <c r="TAZ118" s="6"/>
      <c r="TBA118" s="6"/>
      <c r="TBB118" s="6"/>
      <c r="TBC118" s="6"/>
      <c r="TBD118" s="6"/>
      <c r="TBE118" s="6"/>
      <c r="TBF118" s="6"/>
      <c r="TBG118" s="6"/>
      <c r="TBH118" s="6"/>
      <c r="TBI118" s="6"/>
      <c r="TBJ118" s="6"/>
      <c r="TBK118" s="6"/>
      <c r="TBL118" s="6"/>
      <c r="TBM118" s="6"/>
      <c r="TBN118" s="6"/>
      <c r="TBO118" s="6"/>
      <c r="TBP118" s="6"/>
      <c r="TBQ118" s="6"/>
      <c r="TBR118" s="6"/>
      <c r="TBS118" s="6"/>
      <c r="TBT118" s="6"/>
      <c r="TBU118" s="6"/>
      <c r="TBV118" s="6"/>
      <c r="TBW118" s="6"/>
      <c r="TBX118" s="6"/>
      <c r="TBY118" s="6"/>
      <c r="TBZ118" s="6"/>
      <c r="TCA118" s="6"/>
      <c r="TCB118" s="6"/>
      <c r="TCC118" s="6"/>
      <c r="TCD118" s="6"/>
      <c r="TCE118" s="6"/>
      <c r="TCF118" s="6"/>
      <c r="TCG118" s="6"/>
      <c r="TCH118" s="6"/>
      <c r="TCI118" s="6"/>
      <c r="TCJ118" s="6"/>
      <c r="TCK118" s="6"/>
      <c r="TCL118" s="6"/>
      <c r="TCM118" s="6"/>
      <c r="TCN118" s="6"/>
      <c r="TCO118" s="6"/>
      <c r="TCP118" s="6"/>
      <c r="TCQ118" s="6"/>
      <c r="TCR118" s="6"/>
      <c r="TCS118" s="6"/>
      <c r="TCT118" s="6"/>
      <c r="TCU118" s="6"/>
      <c r="TCV118" s="6"/>
      <c r="TCW118" s="6"/>
      <c r="TCX118" s="6"/>
      <c r="TCY118" s="6"/>
      <c r="TCZ118" s="6"/>
      <c r="TDA118" s="6"/>
      <c r="TDB118" s="6"/>
      <c r="TDC118" s="6"/>
      <c r="TDD118" s="6"/>
      <c r="TDE118" s="6"/>
      <c r="TDF118" s="6"/>
      <c r="TDG118" s="6"/>
      <c r="TDH118" s="6"/>
      <c r="TDI118" s="6"/>
      <c r="TDJ118" s="6"/>
      <c r="TDK118" s="6"/>
      <c r="TDL118" s="6"/>
      <c r="TDM118" s="6"/>
      <c r="TDN118" s="6"/>
      <c r="TDO118" s="6"/>
      <c r="TDP118" s="6"/>
      <c r="TDQ118" s="6"/>
      <c r="TDR118" s="6"/>
      <c r="TDS118" s="6"/>
      <c r="TDT118" s="6"/>
      <c r="TDU118" s="6"/>
      <c r="TDV118" s="6"/>
      <c r="TDW118" s="6"/>
      <c r="TDX118" s="6"/>
      <c r="TDY118" s="6"/>
      <c r="TDZ118" s="6"/>
      <c r="TEA118" s="6"/>
      <c r="TEB118" s="6"/>
      <c r="TEC118" s="6"/>
      <c r="TED118" s="6"/>
      <c r="TEE118" s="6"/>
      <c r="TEF118" s="6"/>
      <c r="TEG118" s="6"/>
      <c r="TEH118" s="6"/>
      <c r="TEI118" s="6"/>
      <c r="TEJ118" s="6"/>
      <c r="TEK118" s="6"/>
      <c r="TEL118" s="6"/>
      <c r="TEM118" s="6"/>
      <c r="TEN118" s="6"/>
      <c r="TEO118" s="6"/>
      <c r="TEP118" s="6"/>
      <c r="TEQ118" s="6"/>
      <c r="TER118" s="6"/>
      <c r="TES118" s="6"/>
      <c r="TET118" s="6"/>
      <c r="TEU118" s="6"/>
      <c r="TEV118" s="6"/>
      <c r="TEW118" s="6"/>
      <c r="TEX118" s="6"/>
      <c r="TEY118" s="6"/>
      <c r="TEZ118" s="6"/>
      <c r="TFA118" s="6"/>
      <c r="TFB118" s="6"/>
      <c r="TFC118" s="6"/>
      <c r="TFD118" s="6"/>
      <c r="TFE118" s="6"/>
      <c r="TFF118" s="6"/>
      <c r="TFG118" s="6"/>
      <c r="TFH118" s="6"/>
      <c r="TFI118" s="6"/>
      <c r="TFJ118" s="6"/>
      <c r="TFK118" s="6"/>
      <c r="TFL118" s="6"/>
      <c r="TFM118" s="6"/>
      <c r="TFN118" s="6"/>
      <c r="TFO118" s="6"/>
      <c r="TFP118" s="6"/>
      <c r="TFQ118" s="6"/>
      <c r="TFR118" s="6"/>
      <c r="TFS118" s="6"/>
      <c r="TFT118" s="6"/>
      <c r="TFU118" s="6"/>
      <c r="TFV118" s="6"/>
      <c r="TFW118" s="6"/>
      <c r="TFX118" s="6"/>
      <c r="TFY118" s="6"/>
      <c r="TFZ118" s="6"/>
      <c r="TGA118" s="6"/>
      <c r="TGB118" s="6"/>
      <c r="TGC118" s="6"/>
      <c r="TGD118" s="6"/>
      <c r="TGE118" s="6"/>
      <c r="TGF118" s="6"/>
      <c r="TGG118" s="6"/>
      <c r="TGH118" s="6"/>
      <c r="TGI118" s="6"/>
      <c r="TGJ118" s="6"/>
      <c r="TGK118" s="6"/>
      <c r="TGL118" s="6"/>
      <c r="TGM118" s="6"/>
      <c r="TGN118" s="6"/>
      <c r="TGO118" s="6"/>
      <c r="TGP118" s="6"/>
      <c r="TGQ118" s="6"/>
      <c r="TGR118" s="6"/>
      <c r="TGS118" s="6"/>
      <c r="TGT118" s="6"/>
      <c r="TGU118" s="6"/>
      <c r="TGV118" s="6"/>
      <c r="TGW118" s="6"/>
      <c r="TGX118" s="6"/>
      <c r="TGY118" s="6"/>
      <c r="TGZ118" s="6"/>
      <c r="THA118" s="6"/>
      <c r="THB118" s="6"/>
      <c r="THC118" s="6"/>
      <c r="THD118" s="6"/>
      <c r="THE118" s="6"/>
      <c r="THF118" s="6"/>
      <c r="THG118" s="6"/>
      <c r="THH118" s="6"/>
      <c r="THI118" s="6"/>
      <c r="THJ118" s="6"/>
      <c r="THK118" s="6"/>
      <c r="THL118" s="6"/>
      <c r="THM118" s="6"/>
      <c r="THN118" s="6"/>
      <c r="THO118" s="6"/>
      <c r="THP118" s="6"/>
      <c r="THQ118" s="6"/>
      <c r="THR118" s="6"/>
      <c r="THS118" s="6"/>
      <c r="THT118" s="6"/>
      <c r="THU118" s="6"/>
      <c r="THV118" s="6"/>
      <c r="THW118" s="6"/>
      <c r="THX118" s="6"/>
      <c r="THY118" s="6"/>
      <c r="THZ118" s="6"/>
      <c r="TIA118" s="6"/>
      <c r="TIB118" s="6"/>
      <c r="TIC118" s="6"/>
      <c r="TID118" s="6"/>
      <c r="TIE118" s="6"/>
      <c r="TIF118" s="6"/>
      <c r="TIG118" s="6"/>
      <c r="TIH118" s="6"/>
      <c r="TII118" s="6"/>
      <c r="TIJ118" s="6"/>
      <c r="TIK118" s="6"/>
      <c r="TIL118" s="6"/>
      <c r="TIM118" s="6"/>
      <c r="TIN118" s="6"/>
      <c r="TIO118" s="6"/>
      <c r="TIP118" s="6"/>
      <c r="TIQ118" s="6"/>
      <c r="TIR118" s="6"/>
      <c r="TIS118" s="6"/>
      <c r="TIT118" s="6"/>
      <c r="TIU118" s="6"/>
      <c r="TIV118" s="6"/>
      <c r="TIW118" s="6"/>
      <c r="TIX118" s="6"/>
      <c r="TIY118" s="6"/>
      <c r="TIZ118" s="6"/>
      <c r="TJA118" s="6"/>
      <c r="TJB118" s="6"/>
      <c r="TJC118" s="6"/>
      <c r="TJD118" s="6"/>
      <c r="TJE118" s="6"/>
      <c r="TJF118" s="6"/>
      <c r="TJG118" s="6"/>
      <c r="TJH118" s="6"/>
      <c r="TJI118" s="6"/>
      <c r="TJJ118" s="6"/>
      <c r="TJK118" s="6"/>
      <c r="TJL118" s="6"/>
      <c r="TJM118" s="6"/>
      <c r="TJN118" s="6"/>
      <c r="TJO118" s="6"/>
      <c r="TJP118" s="6"/>
      <c r="TJQ118" s="6"/>
      <c r="TJR118" s="6"/>
      <c r="TJS118" s="6"/>
      <c r="TJT118" s="6"/>
      <c r="TJU118" s="6"/>
      <c r="TJV118" s="6"/>
      <c r="TJW118" s="6"/>
      <c r="TJX118" s="6"/>
      <c r="TJY118" s="6"/>
      <c r="TJZ118" s="6"/>
      <c r="TKA118" s="6"/>
      <c r="TKB118" s="6"/>
      <c r="TKC118" s="6"/>
      <c r="TKD118" s="6"/>
      <c r="TKE118" s="6"/>
      <c r="TKF118" s="6"/>
      <c r="TKG118" s="6"/>
      <c r="TKH118" s="6"/>
      <c r="TKI118" s="6"/>
      <c r="TKJ118" s="6"/>
      <c r="TKK118" s="6"/>
      <c r="TKL118" s="6"/>
      <c r="TKM118" s="6"/>
      <c r="TKN118" s="6"/>
      <c r="TKO118" s="6"/>
      <c r="TKP118" s="6"/>
      <c r="TKQ118" s="6"/>
      <c r="TKR118" s="6"/>
      <c r="TKS118" s="6"/>
      <c r="TKT118" s="6"/>
      <c r="TKU118" s="6"/>
      <c r="TKV118" s="6"/>
      <c r="TKW118" s="6"/>
      <c r="TKX118" s="6"/>
      <c r="TKY118" s="6"/>
      <c r="TKZ118" s="6"/>
      <c r="TLA118" s="6"/>
      <c r="TLB118" s="6"/>
      <c r="TLC118" s="6"/>
      <c r="TLD118" s="6"/>
      <c r="TLE118" s="6"/>
      <c r="TLF118" s="6"/>
      <c r="TLG118" s="6"/>
      <c r="TLH118" s="6"/>
      <c r="TLI118" s="6"/>
      <c r="TLJ118" s="6"/>
      <c r="TLK118" s="6"/>
      <c r="TLL118" s="6"/>
      <c r="TLM118" s="6"/>
      <c r="TLN118" s="6"/>
      <c r="TLO118" s="6"/>
      <c r="TLP118" s="6"/>
      <c r="TLQ118" s="6"/>
      <c r="TLR118" s="6"/>
      <c r="TLS118" s="6"/>
      <c r="TLT118" s="6"/>
      <c r="TLU118" s="6"/>
      <c r="TLV118" s="6"/>
      <c r="TLW118" s="6"/>
      <c r="TLX118" s="6"/>
      <c r="TLY118" s="6"/>
      <c r="TLZ118" s="6"/>
      <c r="TMA118" s="6"/>
      <c r="TMB118" s="6"/>
      <c r="TMC118" s="6"/>
      <c r="TMD118" s="6"/>
      <c r="TME118" s="6"/>
      <c r="TMF118" s="6"/>
      <c r="TMG118" s="6"/>
      <c r="TMH118" s="6"/>
      <c r="TMI118" s="6"/>
      <c r="TMJ118" s="6"/>
      <c r="TMK118" s="6"/>
      <c r="TML118" s="6"/>
      <c r="TMM118" s="6"/>
      <c r="TMN118" s="6"/>
      <c r="TMO118" s="6"/>
      <c r="TMP118" s="6"/>
      <c r="TMQ118" s="6"/>
      <c r="TMR118" s="6"/>
      <c r="TMS118" s="6"/>
      <c r="TMT118" s="6"/>
      <c r="TMU118" s="6"/>
      <c r="TMV118" s="6"/>
      <c r="TMW118" s="6"/>
      <c r="TMX118" s="6"/>
      <c r="TMY118" s="6"/>
      <c r="TMZ118" s="6"/>
      <c r="TNA118" s="6"/>
      <c r="TNB118" s="6"/>
      <c r="TNC118" s="6"/>
      <c r="TND118" s="6"/>
      <c r="TNE118" s="6"/>
      <c r="TNF118" s="6"/>
      <c r="TNG118" s="6"/>
      <c r="TNH118" s="6"/>
      <c r="TNI118" s="6"/>
      <c r="TNJ118" s="6"/>
      <c r="TNK118" s="6"/>
      <c r="TNL118" s="6"/>
      <c r="TNM118" s="6"/>
      <c r="TNN118" s="6"/>
      <c r="TNO118" s="6"/>
      <c r="TNP118" s="6"/>
      <c r="TNQ118" s="6"/>
      <c r="TNR118" s="6"/>
      <c r="TNS118" s="6"/>
      <c r="TNT118" s="6"/>
      <c r="TNU118" s="6"/>
      <c r="TNV118" s="6"/>
      <c r="TNW118" s="6"/>
      <c r="TNX118" s="6"/>
      <c r="TNY118" s="6"/>
      <c r="TNZ118" s="6"/>
      <c r="TOA118" s="6"/>
      <c r="TOB118" s="6"/>
      <c r="TOC118" s="6"/>
      <c r="TOD118" s="6"/>
      <c r="TOE118" s="6"/>
      <c r="TOF118" s="6"/>
      <c r="TOG118" s="6"/>
      <c r="TOH118" s="6"/>
      <c r="TOI118" s="6"/>
      <c r="TOJ118" s="6"/>
      <c r="TOK118" s="6"/>
      <c r="TOL118" s="6"/>
      <c r="TOM118" s="6"/>
      <c r="TON118" s="6"/>
      <c r="TOO118" s="6"/>
      <c r="TOP118" s="6"/>
      <c r="TOQ118" s="6"/>
      <c r="TOR118" s="6"/>
      <c r="TOS118" s="6"/>
      <c r="TOT118" s="6"/>
      <c r="TOU118" s="6"/>
      <c r="TOV118" s="6"/>
      <c r="TOW118" s="6"/>
      <c r="TOX118" s="6"/>
      <c r="TOY118" s="6"/>
      <c r="TOZ118" s="6"/>
      <c r="TPA118" s="6"/>
      <c r="TPB118" s="6"/>
      <c r="TPC118" s="6"/>
      <c r="TPD118" s="6"/>
      <c r="TPE118" s="6"/>
      <c r="TPF118" s="6"/>
      <c r="TPG118" s="6"/>
      <c r="TPH118" s="6"/>
      <c r="TPI118" s="6"/>
      <c r="TPJ118" s="6"/>
      <c r="TPK118" s="6"/>
      <c r="TPL118" s="6"/>
      <c r="TPM118" s="6"/>
      <c r="TPN118" s="6"/>
      <c r="TPO118" s="6"/>
      <c r="TPP118" s="6"/>
      <c r="TPQ118" s="6"/>
      <c r="TPR118" s="6"/>
      <c r="TPS118" s="6"/>
      <c r="TPT118" s="6"/>
      <c r="TPU118" s="6"/>
      <c r="TPV118" s="6"/>
      <c r="TPW118" s="6"/>
      <c r="TPX118" s="6"/>
      <c r="TPY118" s="6"/>
      <c r="TPZ118" s="6"/>
      <c r="TQA118" s="6"/>
      <c r="TQB118" s="6"/>
      <c r="TQC118" s="6"/>
      <c r="TQD118" s="6"/>
      <c r="TQE118" s="6"/>
      <c r="TQF118" s="6"/>
      <c r="TQG118" s="6"/>
      <c r="TQH118" s="6"/>
      <c r="TQI118" s="6"/>
      <c r="TQJ118" s="6"/>
      <c r="TQK118" s="6"/>
      <c r="TQL118" s="6"/>
      <c r="TQM118" s="6"/>
      <c r="TQN118" s="6"/>
      <c r="TQO118" s="6"/>
      <c r="TQP118" s="6"/>
      <c r="TQQ118" s="6"/>
      <c r="TQR118" s="6"/>
      <c r="TQS118" s="6"/>
      <c r="TQT118" s="6"/>
      <c r="TQU118" s="6"/>
      <c r="TQV118" s="6"/>
      <c r="TQW118" s="6"/>
      <c r="TQX118" s="6"/>
      <c r="TQY118" s="6"/>
      <c r="TQZ118" s="6"/>
      <c r="TRA118" s="6"/>
      <c r="TRB118" s="6"/>
      <c r="TRC118" s="6"/>
      <c r="TRD118" s="6"/>
      <c r="TRE118" s="6"/>
      <c r="TRF118" s="6"/>
      <c r="TRG118" s="6"/>
      <c r="TRH118" s="6"/>
      <c r="TRI118" s="6"/>
      <c r="TRJ118" s="6"/>
      <c r="TRK118" s="6"/>
      <c r="TRL118" s="6"/>
      <c r="TRM118" s="6"/>
      <c r="TRN118" s="6"/>
      <c r="TRO118" s="6"/>
      <c r="TRP118" s="6"/>
      <c r="TRQ118" s="6"/>
      <c r="TRR118" s="6"/>
      <c r="TRS118" s="6"/>
      <c r="TRT118" s="6"/>
      <c r="TRU118" s="6"/>
      <c r="TRV118" s="6"/>
      <c r="TRW118" s="6"/>
      <c r="TRX118" s="6"/>
      <c r="TRY118" s="6"/>
      <c r="TRZ118" s="6"/>
      <c r="TSA118" s="6"/>
      <c r="TSB118" s="6"/>
      <c r="TSC118" s="6"/>
      <c r="TSD118" s="6"/>
      <c r="TSE118" s="6"/>
      <c r="TSF118" s="6"/>
      <c r="TSG118" s="6"/>
      <c r="TSH118" s="6"/>
      <c r="TSI118" s="6"/>
      <c r="TSJ118" s="6"/>
      <c r="TSK118" s="6"/>
      <c r="TSL118" s="6"/>
      <c r="TSM118" s="6"/>
      <c r="TSN118" s="6"/>
      <c r="TSO118" s="6"/>
      <c r="TSP118" s="6"/>
      <c r="TSQ118" s="6"/>
      <c r="TSR118" s="6"/>
      <c r="TSS118" s="6"/>
      <c r="TST118" s="6"/>
      <c r="TSU118" s="6"/>
      <c r="TSV118" s="6"/>
      <c r="TSW118" s="6"/>
      <c r="TSX118" s="6"/>
      <c r="TSY118" s="6"/>
      <c r="TSZ118" s="6"/>
      <c r="TTA118" s="6"/>
      <c r="TTB118" s="6"/>
      <c r="TTC118" s="6"/>
      <c r="TTD118" s="6"/>
      <c r="TTE118" s="6"/>
      <c r="TTF118" s="6"/>
      <c r="TTG118" s="6"/>
      <c r="TTH118" s="6"/>
      <c r="TTI118" s="6"/>
      <c r="TTJ118" s="6"/>
      <c r="TTK118" s="6"/>
      <c r="TTL118" s="6"/>
      <c r="TTM118" s="6"/>
      <c r="TTN118" s="6"/>
      <c r="TTO118" s="6"/>
      <c r="TTP118" s="6"/>
      <c r="TTQ118" s="6"/>
      <c r="TTR118" s="6"/>
      <c r="TTS118" s="6"/>
      <c r="TTT118" s="6"/>
      <c r="TTU118" s="6"/>
      <c r="TTV118" s="6"/>
      <c r="TTW118" s="6"/>
      <c r="TTX118" s="6"/>
      <c r="TTY118" s="6"/>
      <c r="TTZ118" s="6"/>
      <c r="TUA118" s="6"/>
      <c r="TUB118" s="6"/>
      <c r="TUC118" s="6"/>
      <c r="TUD118" s="6"/>
      <c r="TUE118" s="6"/>
      <c r="TUF118" s="6"/>
      <c r="TUG118" s="6"/>
      <c r="TUH118" s="6"/>
      <c r="TUI118" s="6"/>
      <c r="TUJ118" s="6"/>
      <c r="TUK118" s="6"/>
      <c r="TUL118" s="6"/>
      <c r="TUM118" s="6"/>
      <c r="TUN118" s="6"/>
      <c r="TUO118" s="6"/>
      <c r="TUP118" s="6"/>
      <c r="TUQ118" s="6"/>
      <c r="TUR118" s="6"/>
      <c r="TUS118" s="6"/>
      <c r="TUT118" s="6"/>
      <c r="TUU118" s="6"/>
      <c r="TUV118" s="6"/>
      <c r="TUW118" s="6"/>
      <c r="TUX118" s="6"/>
      <c r="TUY118" s="6"/>
      <c r="TUZ118" s="6"/>
      <c r="TVA118" s="6"/>
      <c r="TVB118" s="6"/>
      <c r="TVC118" s="6"/>
      <c r="TVD118" s="6"/>
      <c r="TVE118" s="6"/>
      <c r="TVF118" s="6"/>
      <c r="TVG118" s="6"/>
      <c r="TVH118" s="6"/>
      <c r="TVI118" s="6"/>
      <c r="TVJ118" s="6"/>
      <c r="TVK118" s="6"/>
      <c r="TVL118" s="6"/>
      <c r="TVM118" s="6"/>
      <c r="TVN118" s="6"/>
      <c r="TVO118" s="6"/>
      <c r="TVP118" s="6"/>
      <c r="TVQ118" s="6"/>
      <c r="TVR118" s="6"/>
      <c r="TVS118" s="6"/>
      <c r="TVT118" s="6"/>
      <c r="TVU118" s="6"/>
      <c r="TVV118" s="6"/>
      <c r="TVW118" s="6"/>
      <c r="TVX118" s="6"/>
      <c r="TVY118" s="6"/>
      <c r="TVZ118" s="6"/>
      <c r="TWA118" s="6"/>
      <c r="TWB118" s="6"/>
      <c r="TWC118" s="6"/>
      <c r="TWD118" s="6"/>
      <c r="TWE118" s="6"/>
      <c r="TWF118" s="6"/>
      <c r="TWG118" s="6"/>
      <c r="TWH118" s="6"/>
      <c r="TWI118" s="6"/>
      <c r="TWJ118" s="6"/>
      <c r="TWK118" s="6"/>
      <c r="TWL118" s="6"/>
      <c r="TWM118" s="6"/>
      <c r="TWN118" s="6"/>
      <c r="TWO118" s="6"/>
      <c r="TWP118" s="6"/>
      <c r="TWQ118" s="6"/>
      <c r="TWR118" s="6"/>
      <c r="TWS118" s="6"/>
      <c r="TWT118" s="6"/>
      <c r="TWU118" s="6"/>
      <c r="TWV118" s="6"/>
      <c r="TWW118" s="6"/>
      <c r="TWX118" s="6"/>
      <c r="TWY118" s="6"/>
      <c r="TWZ118" s="6"/>
      <c r="TXA118" s="6"/>
      <c r="TXB118" s="6"/>
      <c r="TXC118" s="6"/>
      <c r="TXD118" s="6"/>
      <c r="TXE118" s="6"/>
      <c r="TXF118" s="6"/>
      <c r="TXG118" s="6"/>
      <c r="TXH118" s="6"/>
      <c r="TXI118" s="6"/>
      <c r="TXJ118" s="6"/>
      <c r="TXK118" s="6"/>
      <c r="TXL118" s="6"/>
      <c r="TXM118" s="6"/>
      <c r="TXN118" s="6"/>
      <c r="TXO118" s="6"/>
      <c r="TXP118" s="6"/>
      <c r="TXQ118" s="6"/>
      <c r="TXR118" s="6"/>
      <c r="TXS118" s="6"/>
      <c r="TXT118" s="6"/>
      <c r="TXU118" s="6"/>
      <c r="TXV118" s="6"/>
      <c r="TXW118" s="6"/>
      <c r="TXX118" s="6"/>
      <c r="TXY118" s="6"/>
      <c r="TXZ118" s="6"/>
      <c r="TYA118" s="6"/>
      <c r="TYB118" s="6"/>
      <c r="TYC118" s="6"/>
      <c r="TYD118" s="6"/>
      <c r="TYE118" s="6"/>
      <c r="TYF118" s="6"/>
      <c r="TYG118" s="6"/>
      <c r="TYH118" s="6"/>
      <c r="TYI118" s="6"/>
      <c r="TYJ118" s="6"/>
      <c r="TYK118" s="6"/>
      <c r="TYL118" s="6"/>
      <c r="TYM118" s="6"/>
      <c r="TYN118" s="6"/>
      <c r="TYO118" s="6"/>
      <c r="TYP118" s="6"/>
      <c r="TYQ118" s="6"/>
      <c r="TYR118" s="6"/>
      <c r="TYS118" s="6"/>
      <c r="TYT118" s="6"/>
      <c r="TYU118" s="6"/>
      <c r="TYV118" s="6"/>
      <c r="TYW118" s="6"/>
      <c r="TYX118" s="6"/>
      <c r="TYY118" s="6"/>
      <c r="TYZ118" s="6"/>
      <c r="TZA118" s="6"/>
      <c r="TZB118" s="6"/>
      <c r="TZC118" s="6"/>
      <c r="TZD118" s="6"/>
      <c r="TZE118" s="6"/>
      <c r="TZF118" s="6"/>
      <c r="TZG118" s="6"/>
      <c r="TZH118" s="6"/>
      <c r="TZI118" s="6"/>
      <c r="TZJ118" s="6"/>
      <c r="TZK118" s="6"/>
      <c r="TZL118" s="6"/>
      <c r="TZM118" s="6"/>
      <c r="TZN118" s="6"/>
      <c r="TZO118" s="6"/>
      <c r="TZP118" s="6"/>
      <c r="TZQ118" s="6"/>
      <c r="TZR118" s="6"/>
      <c r="TZS118" s="6"/>
      <c r="TZT118" s="6"/>
      <c r="TZU118" s="6"/>
      <c r="TZV118" s="6"/>
      <c r="TZW118" s="6"/>
      <c r="TZX118" s="6"/>
      <c r="TZY118" s="6"/>
      <c r="TZZ118" s="6"/>
      <c r="UAA118" s="6"/>
      <c r="UAB118" s="6"/>
      <c r="UAC118" s="6"/>
      <c r="UAD118" s="6"/>
      <c r="UAE118" s="6"/>
      <c r="UAF118" s="6"/>
      <c r="UAG118" s="6"/>
      <c r="UAH118" s="6"/>
      <c r="UAI118" s="6"/>
      <c r="UAJ118" s="6"/>
      <c r="UAK118" s="6"/>
      <c r="UAL118" s="6"/>
      <c r="UAM118" s="6"/>
      <c r="UAN118" s="6"/>
      <c r="UAO118" s="6"/>
      <c r="UAP118" s="6"/>
      <c r="UAQ118" s="6"/>
      <c r="UAR118" s="6"/>
      <c r="UAS118" s="6"/>
      <c r="UAT118" s="6"/>
      <c r="UAU118" s="6"/>
      <c r="UAV118" s="6"/>
      <c r="UAW118" s="6"/>
      <c r="UAX118" s="6"/>
      <c r="UAY118" s="6"/>
      <c r="UAZ118" s="6"/>
      <c r="UBA118" s="6"/>
      <c r="UBB118" s="6"/>
      <c r="UBC118" s="6"/>
      <c r="UBD118" s="6"/>
      <c r="UBE118" s="6"/>
      <c r="UBF118" s="6"/>
      <c r="UBG118" s="6"/>
      <c r="UBH118" s="6"/>
      <c r="UBI118" s="6"/>
      <c r="UBJ118" s="6"/>
      <c r="UBK118" s="6"/>
      <c r="UBL118" s="6"/>
      <c r="UBM118" s="6"/>
      <c r="UBN118" s="6"/>
      <c r="UBO118" s="6"/>
      <c r="UBP118" s="6"/>
      <c r="UBQ118" s="6"/>
      <c r="UBR118" s="6"/>
      <c r="UBS118" s="6"/>
      <c r="UBT118" s="6"/>
      <c r="UBU118" s="6"/>
      <c r="UBV118" s="6"/>
      <c r="UBW118" s="6"/>
      <c r="UBX118" s="6"/>
      <c r="UBY118" s="6"/>
      <c r="UBZ118" s="6"/>
      <c r="UCA118" s="6"/>
      <c r="UCB118" s="6"/>
      <c r="UCC118" s="6"/>
      <c r="UCD118" s="6"/>
      <c r="UCE118" s="6"/>
      <c r="UCF118" s="6"/>
      <c r="UCG118" s="6"/>
      <c r="UCH118" s="6"/>
      <c r="UCI118" s="6"/>
      <c r="UCJ118" s="6"/>
      <c r="UCK118" s="6"/>
      <c r="UCL118" s="6"/>
      <c r="UCM118" s="6"/>
      <c r="UCN118" s="6"/>
      <c r="UCO118" s="6"/>
      <c r="UCP118" s="6"/>
      <c r="UCQ118" s="6"/>
      <c r="UCR118" s="6"/>
      <c r="UCS118" s="6"/>
      <c r="UCT118" s="6"/>
      <c r="UCU118" s="6"/>
      <c r="UCV118" s="6"/>
      <c r="UCW118" s="6"/>
      <c r="UCX118" s="6"/>
      <c r="UCY118" s="6"/>
      <c r="UCZ118" s="6"/>
      <c r="UDA118" s="6"/>
      <c r="UDB118" s="6"/>
      <c r="UDC118" s="6"/>
      <c r="UDD118" s="6"/>
      <c r="UDE118" s="6"/>
      <c r="UDF118" s="6"/>
      <c r="UDG118" s="6"/>
      <c r="UDH118" s="6"/>
      <c r="UDI118" s="6"/>
      <c r="UDJ118" s="6"/>
      <c r="UDK118" s="6"/>
      <c r="UDL118" s="6"/>
      <c r="UDM118" s="6"/>
      <c r="UDN118" s="6"/>
      <c r="UDO118" s="6"/>
      <c r="UDP118" s="6"/>
      <c r="UDQ118" s="6"/>
      <c r="UDR118" s="6"/>
      <c r="UDS118" s="6"/>
      <c r="UDT118" s="6"/>
      <c r="UDU118" s="6"/>
      <c r="UDV118" s="6"/>
      <c r="UDW118" s="6"/>
      <c r="UDX118" s="6"/>
      <c r="UDY118" s="6"/>
      <c r="UDZ118" s="6"/>
      <c r="UEA118" s="6"/>
      <c r="UEB118" s="6"/>
      <c r="UEC118" s="6"/>
      <c r="UED118" s="6"/>
      <c r="UEE118" s="6"/>
      <c r="UEF118" s="6"/>
      <c r="UEG118" s="6"/>
      <c r="UEH118" s="6"/>
      <c r="UEI118" s="6"/>
      <c r="UEJ118" s="6"/>
      <c r="UEK118" s="6"/>
      <c r="UEL118" s="6"/>
      <c r="UEM118" s="6"/>
      <c r="UEN118" s="6"/>
      <c r="UEO118" s="6"/>
      <c r="UEP118" s="6"/>
      <c r="UEQ118" s="6"/>
      <c r="UER118" s="6"/>
      <c r="UES118" s="6"/>
      <c r="UET118" s="6"/>
      <c r="UEU118" s="6"/>
      <c r="UEV118" s="6"/>
      <c r="UEW118" s="6"/>
      <c r="UEX118" s="6"/>
      <c r="UEY118" s="6"/>
      <c r="UEZ118" s="6"/>
      <c r="UFA118" s="6"/>
      <c r="UFB118" s="6"/>
      <c r="UFC118" s="6"/>
      <c r="UFD118" s="6"/>
      <c r="UFE118" s="6"/>
      <c r="UFF118" s="6"/>
      <c r="UFG118" s="6"/>
      <c r="UFH118" s="6"/>
      <c r="UFI118" s="6"/>
      <c r="UFJ118" s="6"/>
      <c r="UFK118" s="6"/>
      <c r="UFL118" s="6"/>
      <c r="UFM118" s="6"/>
      <c r="UFN118" s="6"/>
      <c r="UFO118" s="6"/>
      <c r="UFP118" s="6"/>
      <c r="UFQ118" s="6"/>
      <c r="UFR118" s="6"/>
      <c r="UFS118" s="6"/>
      <c r="UFT118" s="6"/>
      <c r="UFU118" s="6"/>
      <c r="UFV118" s="6"/>
      <c r="UFW118" s="6"/>
      <c r="UFX118" s="6"/>
      <c r="UFY118" s="6"/>
      <c r="UFZ118" s="6"/>
      <c r="UGA118" s="6"/>
      <c r="UGB118" s="6"/>
      <c r="UGC118" s="6"/>
      <c r="UGD118" s="6"/>
      <c r="UGE118" s="6"/>
      <c r="UGF118" s="6"/>
      <c r="UGG118" s="6"/>
      <c r="UGH118" s="6"/>
      <c r="UGI118" s="6"/>
      <c r="UGJ118" s="6"/>
      <c r="UGK118" s="6"/>
      <c r="UGL118" s="6"/>
      <c r="UGM118" s="6"/>
      <c r="UGN118" s="6"/>
      <c r="UGO118" s="6"/>
      <c r="UGP118" s="6"/>
      <c r="UGQ118" s="6"/>
      <c r="UGR118" s="6"/>
      <c r="UGS118" s="6"/>
      <c r="UGT118" s="6"/>
      <c r="UGU118" s="6"/>
      <c r="UGV118" s="6"/>
      <c r="UGW118" s="6"/>
      <c r="UGX118" s="6"/>
      <c r="UGY118" s="6"/>
      <c r="UGZ118" s="6"/>
      <c r="UHA118" s="6"/>
      <c r="UHB118" s="6"/>
      <c r="UHC118" s="6"/>
      <c r="UHD118" s="6"/>
      <c r="UHE118" s="6"/>
      <c r="UHF118" s="6"/>
      <c r="UHG118" s="6"/>
      <c r="UHH118" s="6"/>
      <c r="UHI118" s="6"/>
      <c r="UHJ118" s="6"/>
      <c r="UHK118" s="6"/>
      <c r="UHL118" s="6"/>
      <c r="UHM118" s="6"/>
      <c r="UHN118" s="6"/>
      <c r="UHO118" s="6"/>
      <c r="UHP118" s="6"/>
      <c r="UHQ118" s="6"/>
      <c r="UHR118" s="6"/>
      <c r="UHS118" s="6"/>
      <c r="UHT118" s="6"/>
      <c r="UHU118" s="6"/>
      <c r="UHV118" s="6"/>
      <c r="UHW118" s="6"/>
      <c r="UHX118" s="6"/>
      <c r="UHY118" s="6"/>
      <c r="UHZ118" s="6"/>
      <c r="UIA118" s="6"/>
      <c r="UIB118" s="6"/>
      <c r="UIC118" s="6"/>
      <c r="UID118" s="6"/>
      <c r="UIE118" s="6"/>
      <c r="UIF118" s="6"/>
      <c r="UIG118" s="6"/>
      <c r="UIH118" s="6"/>
      <c r="UII118" s="6"/>
      <c r="UIJ118" s="6"/>
      <c r="UIK118" s="6"/>
      <c r="UIL118" s="6"/>
      <c r="UIM118" s="6"/>
      <c r="UIN118" s="6"/>
      <c r="UIO118" s="6"/>
      <c r="UIP118" s="6"/>
      <c r="UIQ118" s="6"/>
      <c r="UIR118" s="6"/>
      <c r="UIS118" s="6"/>
      <c r="UIT118" s="6"/>
      <c r="UIU118" s="6"/>
      <c r="UIV118" s="6"/>
      <c r="UIW118" s="6"/>
      <c r="UIX118" s="6"/>
      <c r="UIY118" s="6"/>
      <c r="UIZ118" s="6"/>
      <c r="UJA118" s="6"/>
      <c r="UJB118" s="6"/>
      <c r="UJC118" s="6"/>
      <c r="UJD118" s="6"/>
      <c r="UJE118" s="6"/>
      <c r="UJF118" s="6"/>
      <c r="UJG118" s="6"/>
      <c r="UJH118" s="6"/>
      <c r="UJI118" s="6"/>
      <c r="UJJ118" s="6"/>
      <c r="UJK118" s="6"/>
      <c r="UJL118" s="6"/>
      <c r="UJM118" s="6"/>
      <c r="UJN118" s="6"/>
      <c r="UJO118" s="6"/>
      <c r="UJP118" s="6"/>
      <c r="UJQ118" s="6"/>
      <c r="UJR118" s="6"/>
      <c r="UJS118" s="6"/>
      <c r="UJT118" s="6"/>
      <c r="UJU118" s="6"/>
      <c r="UJV118" s="6"/>
      <c r="UJW118" s="6"/>
      <c r="UJX118" s="6"/>
      <c r="UJY118" s="6"/>
      <c r="UJZ118" s="6"/>
      <c r="UKA118" s="6"/>
      <c r="UKB118" s="6"/>
      <c r="UKC118" s="6"/>
      <c r="UKD118" s="6"/>
      <c r="UKE118" s="6"/>
      <c r="UKF118" s="6"/>
      <c r="UKG118" s="6"/>
      <c r="UKH118" s="6"/>
      <c r="UKI118" s="6"/>
      <c r="UKJ118" s="6"/>
      <c r="UKK118" s="6"/>
      <c r="UKL118" s="6"/>
      <c r="UKM118" s="6"/>
      <c r="UKN118" s="6"/>
      <c r="UKO118" s="6"/>
      <c r="UKP118" s="6"/>
      <c r="UKQ118" s="6"/>
      <c r="UKR118" s="6"/>
      <c r="UKS118" s="6"/>
      <c r="UKT118" s="6"/>
      <c r="UKU118" s="6"/>
      <c r="UKV118" s="6"/>
      <c r="UKW118" s="6"/>
      <c r="UKX118" s="6"/>
      <c r="UKY118" s="6"/>
      <c r="UKZ118" s="6"/>
      <c r="ULA118" s="6"/>
      <c r="ULB118" s="6"/>
      <c r="ULC118" s="6"/>
      <c r="ULD118" s="6"/>
      <c r="ULE118" s="6"/>
      <c r="ULF118" s="6"/>
      <c r="ULG118" s="6"/>
      <c r="ULH118" s="6"/>
      <c r="ULI118" s="6"/>
      <c r="ULJ118" s="6"/>
      <c r="ULK118" s="6"/>
      <c r="ULL118" s="6"/>
      <c r="ULM118" s="6"/>
      <c r="ULN118" s="6"/>
      <c r="ULO118" s="6"/>
      <c r="ULP118" s="6"/>
      <c r="ULQ118" s="6"/>
      <c r="ULR118" s="6"/>
      <c r="ULS118" s="6"/>
      <c r="ULT118" s="6"/>
      <c r="ULU118" s="6"/>
      <c r="ULV118" s="6"/>
      <c r="ULW118" s="6"/>
      <c r="ULX118" s="6"/>
      <c r="ULY118" s="6"/>
      <c r="ULZ118" s="6"/>
      <c r="UMA118" s="6"/>
      <c r="UMB118" s="6"/>
      <c r="UMC118" s="6"/>
      <c r="UMD118" s="6"/>
      <c r="UME118" s="6"/>
      <c r="UMF118" s="6"/>
      <c r="UMG118" s="6"/>
      <c r="UMH118" s="6"/>
      <c r="UMI118" s="6"/>
      <c r="UMJ118" s="6"/>
      <c r="UMK118" s="6"/>
      <c r="UML118" s="6"/>
      <c r="UMM118" s="6"/>
      <c r="UMN118" s="6"/>
      <c r="UMO118" s="6"/>
      <c r="UMP118" s="6"/>
      <c r="UMQ118" s="6"/>
      <c r="UMR118" s="6"/>
      <c r="UMS118" s="6"/>
      <c r="UMT118" s="6"/>
      <c r="UMU118" s="6"/>
      <c r="UMV118" s="6"/>
      <c r="UMW118" s="6"/>
      <c r="UMX118" s="6"/>
      <c r="UMY118" s="6"/>
      <c r="UMZ118" s="6"/>
      <c r="UNA118" s="6"/>
      <c r="UNB118" s="6"/>
      <c r="UNC118" s="6"/>
      <c r="UND118" s="6"/>
      <c r="UNE118" s="6"/>
      <c r="UNF118" s="6"/>
      <c r="UNG118" s="6"/>
      <c r="UNH118" s="6"/>
      <c r="UNI118" s="6"/>
      <c r="UNJ118" s="6"/>
      <c r="UNK118" s="6"/>
      <c r="UNL118" s="6"/>
      <c r="UNM118" s="6"/>
      <c r="UNN118" s="6"/>
      <c r="UNO118" s="6"/>
      <c r="UNP118" s="6"/>
      <c r="UNQ118" s="6"/>
      <c r="UNR118" s="6"/>
      <c r="UNS118" s="6"/>
      <c r="UNT118" s="6"/>
      <c r="UNU118" s="6"/>
      <c r="UNV118" s="6"/>
      <c r="UNW118" s="6"/>
      <c r="UNX118" s="6"/>
      <c r="UNY118" s="6"/>
      <c r="UNZ118" s="6"/>
      <c r="UOA118" s="6"/>
      <c r="UOB118" s="6"/>
      <c r="UOC118" s="6"/>
      <c r="UOD118" s="6"/>
      <c r="UOE118" s="6"/>
      <c r="UOF118" s="6"/>
      <c r="UOG118" s="6"/>
      <c r="UOH118" s="6"/>
      <c r="UOI118" s="6"/>
      <c r="UOJ118" s="6"/>
      <c r="UOK118" s="6"/>
      <c r="UOL118" s="6"/>
      <c r="UOM118" s="6"/>
      <c r="UON118" s="6"/>
      <c r="UOO118" s="6"/>
      <c r="UOP118" s="6"/>
      <c r="UOQ118" s="6"/>
      <c r="UOR118" s="6"/>
      <c r="UOS118" s="6"/>
      <c r="UOT118" s="6"/>
      <c r="UOU118" s="6"/>
      <c r="UOV118" s="6"/>
      <c r="UOW118" s="6"/>
      <c r="UOX118" s="6"/>
      <c r="UOY118" s="6"/>
      <c r="UOZ118" s="6"/>
      <c r="UPA118" s="6"/>
      <c r="UPB118" s="6"/>
      <c r="UPC118" s="6"/>
      <c r="UPD118" s="6"/>
      <c r="UPE118" s="6"/>
      <c r="UPF118" s="6"/>
      <c r="UPG118" s="6"/>
      <c r="UPH118" s="6"/>
      <c r="UPI118" s="6"/>
      <c r="UPJ118" s="6"/>
      <c r="UPK118" s="6"/>
      <c r="UPL118" s="6"/>
      <c r="UPM118" s="6"/>
      <c r="UPN118" s="6"/>
      <c r="UPO118" s="6"/>
      <c r="UPP118" s="6"/>
      <c r="UPQ118" s="6"/>
      <c r="UPR118" s="6"/>
      <c r="UPS118" s="6"/>
      <c r="UPT118" s="6"/>
      <c r="UPU118" s="6"/>
      <c r="UPV118" s="6"/>
      <c r="UPW118" s="6"/>
      <c r="UPX118" s="6"/>
      <c r="UPY118" s="6"/>
      <c r="UPZ118" s="6"/>
      <c r="UQA118" s="6"/>
      <c r="UQB118" s="6"/>
      <c r="UQC118" s="6"/>
      <c r="UQD118" s="6"/>
      <c r="UQE118" s="6"/>
      <c r="UQF118" s="6"/>
      <c r="UQG118" s="6"/>
      <c r="UQH118" s="6"/>
      <c r="UQI118" s="6"/>
      <c r="UQJ118" s="6"/>
      <c r="UQK118" s="6"/>
      <c r="UQL118" s="6"/>
      <c r="UQM118" s="6"/>
      <c r="UQN118" s="6"/>
      <c r="UQO118" s="6"/>
      <c r="UQP118" s="6"/>
      <c r="UQQ118" s="6"/>
      <c r="UQR118" s="6"/>
      <c r="UQS118" s="6"/>
      <c r="UQT118" s="6"/>
      <c r="UQU118" s="6"/>
      <c r="UQV118" s="6"/>
      <c r="UQW118" s="6"/>
      <c r="UQX118" s="6"/>
      <c r="UQY118" s="6"/>
      <c r="UQZ118" s="6"/>
      <c r="URA118" s="6"/>
      <c r="URB118" s="6"/>
      <c r="URC118" s="6"/>
      <c r="URD118" s="6"/>
      <c r="URE118" s="6"/>
      <c r="URF118" s="6"/>
      <c r="URG118" s="6"/>
      <c r="URH118" s="6"/>
      <c r="URI118" s="6"/>
      <c r="URJ118" s="6"/>
      <c r="URK118" s="6"/>
      <c r="URL118" s="6"/>
      <c r="URM118" s="6"/>
      <c r="URN118" s="6"/>
      <c r="URO118" s="6"/>
      <c r="URP118" s="6"/>
      <c r="URQ118" s="6"/>
      <c r="URR118" s="6"/>
      <c r="URS118" s="6"/>
      <c r="URT118" s="6"/>
      <c r="URU118" s="6"/>
      <c r="URV118" s="6"/>
      <c r="URW118" s="6"/>
      <c r="URX118" s="6"/>
      <c r="URY118" s="6"/>
      <c r="URZ118" s="6"/>
      <c r="USA118" s="6"/>
      <c r="USB118" s="6"/>
      <c r="USC118" s="6"/>
      <c r="USD118" s="6"/>
      <c r="USE118" s="6"/>
      <c r="USF118" s="6"/>
      <c r="USG118" s="6"/>
      <c r="USH118" s="6"/>
      <c r="USI118" s="6"/>
      <c r="USJ118" s="6"/>
      <c r="USK118" s="6"/>
      <c r="USL118" s="6"/>
      <c r="USM118" s="6"/>
      <c r="USN118" s="6"/>
      <c r="USO118" s="6"/>
      <c r="USP118" s="6"/>
      <c r="USQ118" s="6"/>
      <c r="USR118" s="6"/>
      <c r="USS118" s="6"/>
      <c r="UST118" s="6"/>
      <c r="USU118" s="6"/>
      <c r="USV118" s="6"/>
      <c r="USW118" s="6"/>
      <c r="USX118" s="6"/>
      <c r="USY118" s="6"/>
      <c r="USZ118" s="6"/>
      <c r="UTA118" s="6"/>
      <c r="UTB118" s="6"/>
      <c r="UTC118" s="6"/>
      <c r="UTD118" s="6"/>
      <c r="UTE118" s="6"/>
      <c r="UTF118" s="6"/>
      <c r="UTG118" s="6"/>
      <c r="UTH118" s="6"/>
      <c r="UTI118" s="6"/>
      <c r="UTJ118" s="6"/>
      <c r="UTK118" s="6"/>
      <c r="UTL118" s="6"/>
      <c r="UTM118" s="6"/>
      <c r="UTN118" s="6"/>
      <c r="UTO118" s="6"/>
      <c r="UTP118" s="6"/>
      <c r="UTQ118" s="6"/>
      <c r="UTR118" s="6"/>
      <c r="UTS118" s="6"/>
      <c r="UTT118" s="6"/>
      <c r="UTU118" s="6"/>
      <c r="UTV118" s="6"/>
      <c r="UTW118" s="6"/>
      <c r="UTX118" s="6"/>
      <c r="UTY118" s="6"/>
      <c r="UTZ118" s="6"/>
      <c r="UUA118" s="6"/>
      <c r="UUB118" s="6"/>
      <c r="UUC118" s="6"/>
      <c r="UUD118" s="6"/>
      <c r="UUE118" s="6"/>
      <c r="UUF118" s="6"/>
      <c r="UUG118" s="6"/>
      <c r="UUH118" s="6"/>
      <c r="UUI118" s="6"/>
      <c r="UUJ118" s="6"/>
      <c r="UUK118" s="6"/>
      <c r="UUL118" s="6"/>
      <c r="UUM118" s="6"/>
      <c r="UUN118" s="6"/>
      <c r="UUO118" s="6"/>
      <c r="UUP118" s="6"/>
      <c r="UUQ118" s="6"/>
      <c r="UUR118" s="6"/>
      <c r="UUS118" s="6"/>
      <c r="UUT118" s="6"/>
      <c r="UUU118" s="6"/>
      <c r="UUV118" s="6"/>
      <c r="UUW118" s="6"/>
      <c r="UUX118" s="6"/>
      <c r="UUY118" s="6"/>
      <c r="UUZ118" s="6"/>
      <c r="UVA118" s="6"/>
      <c r="UVB118" s="6"/>
      <c r="UVC118" s="6"/>
      <c r="UVD118" s="6"/>
      <c r="UVE118" s="6"/>
      <c r="UVF118" s="6"/>
      <c r="UVG118" s="6"/>
      <c r="UVH118" s="6"/>
      <c r="UVI118" s="6"/>
      <c r="UVJ118" s="6"/>
      <c r="UVK118" s="6"/>
      <c r="UVL118" s="6"/>
      <c r="UVM118" s="6"/>
      <c r="UVN118" s="6"/>
      <c r="UVO118" s="6"/>
      <c r="UVP118" s="6"/>
      <c r="UVQ118" s="6"/>
      <c r="UVR118" s="6"/>
      <c r="UVS118" s="6"/>
      <c r="UVT118" s="6"/>
      <c r="UVU118" s="6"/>
      <c r="UVV118" s="6"/>
      <c r="UVW118" s="6"/>
      <c r="UVX118" s="6"/>
      <c r="UVY118" s="6"/>
      <c r="UVZ118" s="6"/>
      <c r="UWA118" s="6"/>
      <c r="UWB118" s="6"/>
      <c r="UWC118" s="6"/>
      <c r="UWD118" s="6"/>
      <c r="UWE118" s="6"/>
      <c r="UWF118" s="6"/>
      <c r="UWG118" s="6"/>
      <c r="UWH118" s="6"/>
      <c r="UWI118" s="6"/>
      <c r="UWJ118" s="6"/>
      <c r="UWK118" s="6"/>
      <c r="UWL118" s="6"/>
      <c r="UWM118" s="6"/>
      <c r="UWN118" s="6"/>
      <c r="UWO118" s="6"/>
      <c r="UWP118" s="6"/>
      <c r="UWQ118" s="6"/>
      <c r="UWR118" s="6"/>
      <c r="UWS118" s="6"/>
      <c r="UWT118" s="6"/>
      <c r="UWU118" s="6"/>
      <c r="UWV118" s="6"/>
      <c r="UWW118" s="6"/>
      <c r="UWX118" s="6"/>
      <c r="UWY118" s="6"/>
      <c r="UWZ118" s="6"/>
      <c r="UXA118" s="6"/>
      <c r="UXB118" s="6"/>
      <c r="UXC118" s="6"/>
      <c r="UXD118" s="6"/>
      <c r="UXE118" s="6"/>
      <c r="UXF118" s="6"/>
      <c r="UXG118" s="6"/>
      <c r="UXH118" s="6"/>
      <c r="UXI118" s="6"/>
      <c r="UXJ118" s="6"/>
      <c r="UXK118" s="6"/>
      <c r="UXL118" s="6"/>
      <c r="UXM118" s="6"/>
      <c r="UXN118" s="6"/>
      <c r="UXO118" s="6"/>
      <c r="UXP118" s="6"/>
      <c r="UXQ118" s="6"/>
      <c r="UXR118" s="6"/>
      <c r="UXS118" s="6"/>
      <c r="UXT118" s="6"/>
      <c r="UXU118" s="6"/>
      <c r="UXV118" s="6"/>
      <c r="UXW118" s="6"/>
      <c r="UXX118" s="6"/>
      <c r="UXY118" s="6"/>
      <c r="UXZ118" s="6"/>
      <c r="UYA118" s="6"/>
      <c r="UYB118" s="6"/>
      <c r="UYC118" s="6"/>
      <c r="UYD118" s="6"/>
      <c r="UYE118" s="6"/>
      <c r="UYF118" s="6"/>
      <c r="UYG118" s="6"/>
      <c r="UYH118" s="6"/>
      <c r="UYI118" s="6"/>
      <c r="UYJ118" s="6"/>
      <c r="UYK118" s="6"/>
      <c r="UYL118" s="6"/>
      <c r="UYM118" s="6"/>
      <c r="UYN118" s="6"/>
      <c r="UYO118" s="6"/>
      <c r="UYP118" s="6"/>
      <c r="UYQ118" s="6"/>
      <c r="UYR118" s="6"/>
      <c r="UYS118" s="6"/>
      <c r="UYT118" s="6"/>
      <c r="UYU118" s="6"/>
      <c r="UYV118" s="6"/>
      <c r="UYW118" s="6"/>
      <c r="UYX118" s="6"/>
      <c r="UYY118" s="6"/>
      <c r="UYZ118" s="6"/>
      <c r="UZA118" s="6"/>
      <c r="UZB118" s="6"/>
      <c r="UZC118" s="6"/>
      <c r="UZD118" s="6"/>
      <c r="UZE118" s="6"/>
      <c r="UZF118" s="6"/>
      <c r="UZG118" s="6"/>
      <c r="UZH118" s="6"/>
      <c r="UZI118" s="6"/>
      <c r="UZJ118" s="6"/>
      <c r="UZK118" s="6"/>
      <c r="UZL118" s="6"/>
      <c r="UZM118" s="6"/>
      <c r="UZN118" s="6"/>
      <c r="UZO118" s="6"/>
      <c r="UZP118" s="6"/>
      <c r="UZQ118" s="6"/>
      <c r="UZR118" s="6"/>
      <c r="UZS118" s="6"/>
      <c r="UZT118" s="6"/>
      <c r="UZU118" s="6"/>
      <c r="UZV118" s="6"/>
      <c r="UZW118" s="6"/>
      <c r="UZX118" s="6"/>
      <c r="UZY118" s="6"/>
      <c r="UZZ118" s="6"/>
      <c r="VAA118" s="6"/>
      <c r="VAB118" s="6"/>
      <c r="VAC118" s="6"/>
      <c r="VAD118" s="6"/>
      <c r="VAE118" s="6"/>
      <c r="VAF118" s="6"/>
      <c r="VAG118" s="6"/>
      <c r="VAH118" s="6"/>
      <c r="VAI118" s="6"/>
      <c r="VAJ118" s="6"/>
      <c r="VAK118" s="6"/>
      <c r="VAL118" s="6"/>
      <c r="VAM118" s="6"/>
      <c r="VAN118" s="6"/>
      <c r="VAO118" s="6"/>
      <c r="VAP118" s="6"/>
      <c r="VAQ118" s="6"/>
      <c r="VAR118" s="6"/>
      <c r="VAS118" s="6"/>
      <c r="VAT118" s="6"/>
      <c r="VAU118" s="6"/>
      <c r="VAV118" s="6"/>
      <c r="VAW118" s="6"/>
      <c r="VAX118" s="6"/>
      <c r="VAY118" s="6"/>
      <c r="VAZ118" s="6"/>
      <c r="VBA118" s="6"/>
      <c r="VBB118" s="6"/>
      <c r="VBC118" s="6"/>
      <c r="VBD118" s="6"/>
      <c r="VBE118" s="6"/>
      <c r="VBF118" s="6"/>
      <c r="VBG118" s="6"/>
      <c r="VBH118" s="6"/>
      <c r="VBI118" s="6"/>
      <c r="VBJ118" s="6"/>
      <c r="VBK118" s="6"/>
      <c r="VBL118" s="6"/>
      <c r="VBM118" s="6"/>
      <c r="VBN118" s="6"/>
      <c r="VBO118" s="6"/>
      <c r="VBP118" s="6"/>
      <c r="VBQ118" s="6"/>
      <c r="VBR118" s="6"/>
      <c r="VBS118" s="6"/>
      <c r="VBT118" s="6"/>
      <c r="VBU118" s="6"/>
      <c r="VBV118" s="6"/>
      <c r="VBW118" s="6"/>
      <c r="VBX118" s="6"/>
      <c r="VBY118" s="6"/>
      <c r="VBZ118" s="6"/>
      <c r="VCA118" s="6"/>
      <c r="VCB118" s="6"/>
      <c r="VCC118" s="6"/>
      <c r="VCD118" s="6"/>
      <c r="VCE118" s="6"/>
      <c r="VCF118" s="6"/>
      <c r="VCG118" s="6"/>
      <c r="VCH118" s="6"/>
      <c r="VCI118" s="6"/>
      <c r="VCJ118" s="6"/>
      <c r="VCK118" s="6"/>
      <c r="VCL118" s="6"/>
      <c r="VCM118" s="6"/>
      <c r="VCN118" s="6"/>
      <c r="VCO118" s="6"/>
      <c r="VCP118" s="6"/>
      <c r="VCQ118" s="6"/>
      <c r="VCR118" s="6"/>
      <c r="VCS118" s="6"/>
      <c r="VCT118" s="6"/>
      <c r="VCU118" s="6"/>
      <c r="VCV118" s="6"/>
      <c r="VCW118" s="6"/>
      <c r="VCX118" s="6"/>
      <c r="VCY118" s="6"/>
      <c r="VCZ118" s="6"/>
      <c r="VDA118" s="6"/>
      <c r="VDB118" s="6"/>
      <c r="VDC118" s="6"/>
      <c r="VDD118" s="6"/>
      <c r="VDE118" s="6"/>
      <c r="VDF118" s="6"/>
      <c r="VDG118" s="6"/>
      <c r="VDH118" s="6"/>
      <c r="VDI118" s="6"/>
      <c r="VDJ118" s="6"/>
      <c r="VDK118" s="6"/>
      <c r="VDL118" s="6"/>
      <c r="VDM118" s="6"/>
      <c r="VDN118" s="6"/>
      <c r="VDO118" s="6"/>
      <c r="VDP118" s="6"/>
      <c r="VDQ118" s="6"/>
      <c r="VDR118" s="6"/>
      <c r="VDS118" s="6"/>
      <c r="VDT118" s="6"/>
      <c r="VDU118" s="6"/>
      <c r="VDV118" s="6"/>
      <c r="VDW118" s="6"/>
      <c r="VDX118" s="6"/>
      <c r="VDY118" s="6"/>
      <c r="VDZ118" s="6"/>
      <c r="VEA118" s="6"/>
      <c r="VEB118" s="6"/>
      <c r="VEC118" s="6"/>
      <c r="VED118" s="6"/>
      <c r="VEE118" s="6"/>
      <c r="VEF118" s="6"/>
      <c r="VEG118" s="6"/>
      <c r="VEH118" s="6"/>
      <c r="VEI118" s="6"/>
      <c r="VEJ118" s="6"/>
      <c r="VEK118" s="6"/>
      <c r="VEL118" s="6"/>
      <c r="VEM118" s="6"/>
      <c r="VEN118" s="6"/>
      <c r="VEO118" s="6"/>
      <c r="VEP118" s="6"/>
      <c r="VEQ118" s="6"/>
      <c r="VER118" s="6"/>
      <c r="VES118" s="6"/>
      <c r="VET118" s="6"/>
      <c r="VEU118" s="6"/>
      <c r="VEV118" s="6"/>
      <c r="VEW118" s="6"/>
      <c r="VEX118" s="6"/>
      <c r="VEY118" s="6"/>
      <c r="VEZ118" s="6"/>
      <c r="VFA118" s="6"/>
      <c r="VFB118" s="6"/>
      <c r="VFC118" s="6"/>
      <c r="VFD118" s="6"/>
      <c r="VFE118" s="6"/>
      <c r="VFF118" s="6"/>
      <c r="VFG118" s="6"/>
      <c r="VFH118" s="6"/>
      <c r="VFI118" s="6"/>
      <c r="VFJ118" s="6"/>
      <c r="VFK118" s="6"/>
      <c r="VFL118" s="6"/>
      <c r="VFM118" s="6"/>
      <c r="VFN118" s="6"/>
      <c r="VFO118" s="6"/>
      <c r="VFP118" s="6"/>
      <c r="VFQ118" s="6"/>
      <c r="VFR118" s="6"/>
      <c r="VFS118" s="6"/>
      <c r="VFT118" s="6"/>
      <c r="VFU118" s="6"/>
      <c r="VFV118" s="6"/>
      <c r="VFW118" s="6"/>
      <c r="VFX118" s="6"/>
      <c r="VFY118" s="6"/>
      <c r="VFZ118" s="6"/>
      <c r="VGA118" s="6"/>
      <c r="VGB118" s="6"/>
      <c r="VGC118" s="6"/>
      <c r="VGD118" s="6"/>
      <c r="VGE118" s="6"/>
      <c r="VGF118" s="6"/>
      <c r="VGG118" s="6"/>
      <c r="VGH118" s="6"/>
      <c r="VGI118" s="6"/>
      <c r="VGJ118" s="6"/>
      <c r="VGK118" s="6"/>
      <c r="VGL118" s="6"/>
      <c r="VGM118" s="6"/>
      <c r="VGN118" s="6"/>
      <c r="VGO118" s="6"/>
      <c r="VGP118" s="6"/>
      <c r="VGQ118" s="6"/>
      <c r="VGR118" s="6"/>
      <c r="VGS118" s="6"/>
      <c r="VGT118" s="6"/>
      <c r="VGU118" s="6"/>
      <c r="VGV118" s="6"/>
      <c r="VGW118" s="6"/>
      <c r="VGX118" s="6"/>
      <c r="VGY118" s="6"/>
      <c r="VGZ118" s="6"/>
      <c r="VHA118" s="6"/>
      <c r="VHB118" s="6"/>
      <c r="VHC118" s="6"/>
      <c r="VHD118" s="6"/>
      <c r="VHE118" s="6"/>
      <c r="VHF118" s="6"/>
      <c r="VHG118" s="6"/>
      <c r="VHH118" s="6"/>
      <c r="VHI118" s="6"/>
      <c r="VHJ118" s="6"/>
      <c r="VHK118" s="6"/>
      <c r="VHL118" s="6"/>
      <c r="VHM118" s="6"/>
      <c r="VHN118" s="6"/>
      <c r="VHO118" s="6"/>
      <c r="VHP118" s="6"/>
      <c r="VHQ118" s="6"/>
      <c r="VHR118" s="6"/>
      <c r="VHS118" s="6"/>
      <c r="VHT118" s="6"/>
      <c r="VHU118" s="6"/>
      <c r="VHV118" s="6"/>
      <c r="VHW118" s="6"/>
      <c r="VHX118" s="6"/>
      <c r="VHY118" s="6"/>
      <c r="VHZ118" s="6"/>
      <c r="VIA118" s="6"/>
      <c r="VIB118" s="6"/>
      <c r="VIC118" s="6"/>
      <c r="VID118" s="6"/>
      <c r="VIE118" s="6"/>
      <c r="VIF118" s="6"/>
      <c r="VIG118" s="6"/>
      <c r="VIH118" s="6"/>
      <c r="VII118" s="6"/>
      <c r="VIJ118" s="6"/>
      <c r="VIK118" s="6"/>
      <c r="VIL118" s="6"/>
      <c r="VIM118" s="6"/>
      <c r="VIN118" s="6"/>
      <c r="VIO118" s="6"/>
      <c r="VIP118" s="6"/>
      <c r="VIQ118" s="6"/>
      <c r="VIR118" s="6"/>
      <c r="VIS118" s="6"/>
      <c r="VIT118" s="6"/>
      <c r="VIU118" s="6"/>
      <c r="VIV118" s="6"/>
      <c r="VIW118" s="6"/>
      <c r="VIX118" s="6"/>
      <c r="VIY118" s="6"/>
      <c r="VIZ118" s="6"/>
      <c r="VJA118" s="6"/>
      <c r="VJB118" s="6"/>
      <c r="VJC118" s="6"/>
      <c r="VJD118" s="6"/>
      <c r="VJE118" s="6"/>
      <c r="VJF118" s="6"/>
      <c r="VJG118" s="6"/>
      <c r="VJH118" s="6"/>
      <c r="VJI118" s="6"/>
      <c r="VJJ118" s="6"/>
      <c r="VJK118" s="6"/>
      <c r="VJL118" s="6"/>
      <c r="VJM118" s="6"/>
      <c r="VJN118" s="6"/>
      <c r="VJO118" s="6"/>
      <c r="VJP118" s="6"/>
      <c r="VJQ118" s="6"/>
      <c r="VJR118" s="6"/>
      <c r="VJS118" s="6"/>
      <c r="VJT118" s="6"/>
      <c r="VJU118" s="6"/>
      <c r="VJV118" s="6"/>
      <c r="VJW118" s="6"/>
      <c r="VJX118" s="6"/>
      <c r="VJY118" s="6"/>
      <c r="VJZ118" s="6"/>
      <c r="VKA118" s="6"/>
      <c r="VKB118" s="6"/>
      <c r="VKC118" s="6"/>
      <c r="VKD118" s="6"/>
      <c r="VKE118" s="6"/>
      <c r="VKF118" s="6"/>
      <c r="VKG118" s="6"/>
      <c r="VKH118" s="6"/>
      <c r="VKI118" s="6"/>
      <c r="VKJ118" s="6"/>
      <c r="VKK118" s="6"/>
      <c r="VKL118" s="6"/>
      <c r="VKM118" s="6"/>
      <c r="VKN118" s="6"/>
      <c r="VKO118" s="6"/>
      <c r="VKP118" s="6"/>
      <c r="VKQ118" s="6"/>
      <c r="VKR118" s="6"/>
      <c r="VKS118" s="6"/>
      <c r="VKT118" s="6"/>
      <c r="VKU118" s="6"/>
      <c r="VKV118" s="6"/>
      <c r="VKW118" s="6"/>
      <c r="VKX118" s="6"/>
      <c r="VKY118" s="6"/>
      <c r="VKZ118" s="6"/>
      <c r="VLA118" s="6"/>
      <c r="VLB118" s="6"/>
      <c r="VLC118" s="6"/>
      <c r="VLD118" s="6"/>
      <c r="VLE118" s="6"/>
      <c r="VLF118" s="6"/>
      <c r="VLG118" s="6"/>
      <c r="VLH118" s="6"/>
      <c r="VLI118" s="6"/>
      <c r="VLJ118" s="6"/>
      <c r="VLK118" s="6"/>
      <c r="VLL118" s="6"/>
      <c r="VLM118" s="6"/>
      <c r="VLN118" s="6"/>
      <c r="VLO118" s="6"/>
      <c r="VLP118" s="6"/>
      <c r="VLQ118" s="6"/>
      <c r="VLR118" s="6"/>
      <c r="VLS118" s="6"/>
      <c r="VLT118" s="6"/>
      <c r="VLU118" s="6"/>
      <c r="VLV118" s="6"/>
      <c r="VLW118" s="6"/>
      <c r="VLX118" s="6"/>
      <c r="VLY118" s="6"/>
      <c r="VLZ118" s="6"/>
      <c r="VMA118" s="6"/>
      <c r="VMB118" s="6"/>
      <c r="VMC118" s="6"/>
      <c r="VMD118" s="6"/>
      <c r="VME118" s="6"/>
      <c r="VMF118" s="6"/>
      <c r="VMG118" s="6"/>
      <c r="VMH118" s="6"/>
      <c r="VMI118" s="6"/>
      <c r="VMJ118" s="6"/>
      <c r="VMK118" s="6"/>
      <c r="VML118" s="6"/>
      <c r="VMM118" s="6"/>
      <c r="VMN118" s="6"/>
      <c r="VMO118" s="6"/>
      <c r="VMP118" s="6"/>
      <c r="VMQ118" s="6"/>
      <c r="VMR118" s="6"/>
      <c r="VMS118" s="6"/>
      <c r="VMT118" s="6"/>
      <c r="VMU118" s="6"/>
      <c r="VMV118" s="6"/>
      <c r="VMW118" s="6"/>
      <c r="VMX118" s="6"/>
      <c r="VMY118" s="6"/>
      <c r="VMZ118" s="6"/>
      <c r="VNA118" s="6"/>
      <c r="VNB118" s="6"/>
      <c r="VNC118" s="6"/>
      <c r="VND118" s="6"/>
      <c r="VNE118" s="6"/>
      <c r="VNF118" s="6"/>
      <c r="VNG118" s="6"/>
      <c r="VNH118" s="6"/>
      <c r="VNI118" s="6"/>
      <c r="VNJ118" s="6"/>
      <c r="VNK118" s="6"/>
      <c r="VNL118" s="6"/>
      <c r="VNM118" s="6"/>
      <c r="VNN118" s="6"/>
      <c r="VNO118" s="6"/>
      <c r="VNP118" s="6"/>
      <c r="VNQ118" s="6"/>
      <c r="VNR118" s="6"/>
      <c r="VNS118" s="6"/>
      <c r="VNT118" s="6"/>
      <c r="VNU118" s="6"/>
      <c r="VNV118" s="6"/>
      <c r="VNW118" s="6"/>
      <c r="VNX118" s="6"/>
      <c r="VNY118" s="6"/>
      <c r="VNZ118" s="6"/>
      <c r="VOA118" s="6"/>
      <c r="VOB118" s="6"/>
      <c r="VOC118" s="6"/>
      <c r="VOD118" s="6"/>
      <c r="VOE118" s="6"/>
      <c r="VOF118" s="6"/>
      <c r="VOG118" s="6"/>
      <c r="VOH118" s="6"/>
      <c r="VOI118" s="6"/>
      <c r="VOJ118" s="6"/>
      <c r="VOK118" s="6"/>
      <c r="VOL118" s="6"/>
      <c r="VOM118" s="6"/>
      <c r="VON118" s="6"/>
      <c r="VOO118" s="6"/>
      <c r="VOP118" s="6"/>
      <c r="VOQ118" s="6"/>
      <c r="VOR118" s="6"/>
      <c r="VOS118" s="6"/>
      <c r="VOT118" s="6"/>
      <c r="VOU118" s="6"/>
      <c r="VOV118" s="6"/>
      <c r="VOW118" s="6"/>
      <c r="VOX118" s="6"/>
      <c r="VOY118" s="6"/>
      <c r="VOZ118" s="6"/>
      <c r="VPA118" s="6"/>
      <c r="VPB118" s="6"/>
      <c r="VPC118" s="6"/>
      <c r="VPD118" s="6"/>
      <c r="VPE118" s="6"/>
      <c r="VPF118" s="6"/>
      <c r="VPG118" s="6"/>
      <c r="VPH118" s="6"/>
      <c r="VPI118" s="6"/>
      <c r="VPJ118" s="6"/>
      <c r="VPK118" s="6"/>
      <c r="VPL118" s="6"/>
      <c r="VPM118" s="6"/>
      <c r="VPN118" s="6"/>
      <c r="VPO118" s="6"/>
      <c r="VPP118" s="6"/>
      <c r="VPQ118" s="6"/>
      <c r="VPR118" s="6"/>
      <c r="VPS118" s="6"/>
      <c r="VPT118" s="6"/>
      <c r="VPU118" s="6"/>
      <c r="VPV118" s="6"/>
      <c r="VPW118" s="6"/>
      <c r="VPX118" s="6"/>
      <c r="VPY118" s="6"/>
      <c r="VPZ118" s="6"/>
      <c r="VQA118" s="6"/>
      <c r="VQB118" s="6"/>
      <c r="VQC118" s="6"/>
      <c r="VQD118" s="6"/>
      <c r="VQE118" s="6"/>
      <c r="VQF118" s="6"/>
      <c r="VQG118" s="6"/>
      <c r="VQH118" s="6"/>
      <c r="VQI118" s="6"/>
      <c r="VQJ118" s="6"/>
      <c r="VQK118" s="6"/>
      <c r="VQL118" s="6"/>
      <c r="VQM118" s="6"/>
      <c r="VQN118" s="6"/>
      <c r="VQO118" s="6"/>
      <c r="VQP118" s="6"/>
      <c r="VQQ118" s="6"/>
      <c r="VQR118" s="6"/>
      <c r="VQS118" s="6"/>
      <c r="VQT118" s="6"/>
      <c r="VQU118" s="6"/>
      <c r="VQV118" s="6"/>
      <c r="VQW118" s="6"/>
      <c r="VQX118" s="6"/>
      <c r="VQY118" s="6"/>
      <c r="VQZ118" s="6"/>
      <c r="VRA118" s="6"/>
      <c r="VRB118" s="6"/>
      <c r="VRC118" s="6"/>
      <c r="VRD118" s="6"/>
      <c r="VRE118" s="6"/>
      <c r="VRF118" s="6"/>
      <c r="VRG118" s="6"/>
      <c r="VRH118" s="6"/>
      <c r="VRI118" s="6"/>
      <c r="VRJ118" s="6"/>
      <c r="VRK118" s="6"/>
      <c r="VRL118" s="6"/>
      <c r="VRM118" s="6"/>
      <c r="VRN118" s="6"/>
      <c r="VRO118" s="6"/>
      <c r="VRP118" s="6"/>
      <c r="VRQ118" s="6"/>
      <c r="VRR118" s="6"/>
      <c r="VRS118" s="6"/>
      <c r="VRT118" s="6"/>
      <c r="VRU118" s="6"/>
      <c r="VRV118" s="6"/>
      <c r="VRW118" s="6"/>
      <c r="VRX118" s="6"/>
      <c r="VRY118" s="6"/>
      <c r="VRZ118" s="6"/>
      <c r="VSA118" s="6"/>
      <c r="VSB118" s="6"/>
      <c r="VSC118" s="6"/>
      <c r="VSD118" s="6"/>
      <c r="VSE118" s="6"/>
      <c r="VSF118" s="6"/>
      <c r="VSG118" s="6"/>
      <c r="VSH118" s="6"/>
      <c r="VSI118" s="6"/>
      <c r="VSJ118" s="6"/>
      <c r="VSK118" s="6"/>
      <c r="VSL118" s="6"/>
      <c r="VSM118" s="6"/>
      <c r="VSN118" s="6"/>
      <c r="VSO118" s="6"/>
      <c r="VSP118" s="6"/>
      <c r="VSQ118" s="6"/>
      <c r="VSR118" s="6"/>
      <c r="VSS118" s="6"/>
      <c r="VST118" s="6"/>
      <c r="VSU118" s="6"/>
      <c r="VSV118" s="6"/>
      <c r="VSW118" s="6"/>
      <c r="VSX118" s="6"/>
      <c r="VSY118" s="6"/>
      <c r="VSZ118" s="6"/>
      <c r="VTA118" s="6"/>
      <c r="VTB118" s="6"/>
      <c r="VTC118" s="6"/>
      <c r="VTD118" s="6"/>
      <c r="VTE118" s="6"/>
      <c r="VTF118" s="6"/>
      <c r="VTG118" s="6"/>
      <c r="VTH118" s="6"/>
      <c r="VTI118" s="6"/>
      <c r="VTJ118" s="6"/>
      <c r="VTK118" s="6"/>
      <c r="VTL118" s="6"/>
      <c r="VTM118" s="6"/>
      <c r="VTN118" s="6"/>
      <c r="VTO118" s="6"/>
      <c r="VTP118" s="6"/>
      <c r="VTQ118" s="6"/>
      <c r="VTR118" s="6"/>
      <c r="VTS118" s="6"/>
      <c r="VTT118" s="6"/>
      <c r="VTU118" s="6"/>
      <c r="VTV118" s="6"/>
      <c r="VTW118" s="6"/>
      <c r="VTX118" s="6"/>
      <c r="VTY118" s="6"/>
      <c r="VTZ118" s="6"/>
      <c r="VUA118" s="6"/>
      <c r="VUB118" s="6"/>
      <c r="VUC118" s="6"/>
      <c r="VUD118" s="6"/>
      <c r="VUE118" s="6"/>
      <c r="VUF118" s="6"/>
      <c r="VUG118" s="6"/>
      <c r="VUH118" s="6"/>
      <c r="VUI118" s="6"/>
      <c r="VUJ118" s="6"/>
      <c r="VUK118" s="6"/>
      <c r="VUL118" s="6"/>
      <c r="VUM118" s="6"/>
      <c r="VUN118" s="6"/>
      <c r="VUO118" s="6"/>
      <c r="VUP118" s="6"/>
      <c r="VUQ118" s="6"/>
      <c r="VUR118" s="6"/>
      <c r="VUS118" s="6"/>
      <c r="VUT118" s="6"/>
      <c r="VUU118" s="6"/>
      <c r="VUV118" s="6"/>
      <c r="VUW118" s="6"/>
      <c r="VUX118" s="6"/>
      <c r="VUY118" s="6"/>
      <c r="VUZ118" s="6"/>
      <c r="VVA118" s="6"/>
      <c r="VVB118" s="6"/>
      <c r="VVC118" s="6"/>
      <c r="VVD118" s="6"/>
      <c r="VVE118" s="6"/>
      <c r="VVF118" s="6"/>
      <c r="VVG118" s="6"/>
      <c r="VVH118" s="6"/>
      <c r="VVI118" s="6"/>
      <c r="VVJ118" s="6"/>
      <c r="VVK118" s="6"/>
      <c r="VVL118" s="6"/>
      <c r="VVM118" s="6"/>
      <c r="VVN118" s="6"/>
      <c r="VVO118" s="6"/>
      <c r="VVP118" s="6"/>
      <c r="VVQ118" s="6"/>
      <c r="VVR118" s="6"/>
      <c r="VVS118" s="6"/>
      <c r="VVT118" s="6"/>
      <c r="VVU118" s="6"/>
      <c r="VVV118" s="6"/>
      <c r="VVW118" s="6"/>
      <c r="VVX118" s="6"/>
      <c r="VVY118" s="6"/>
      <c r="VVZ118" s="6"/>
      <c r="VWA118" s="6"/>
      <c r="VWB118" s="6"/>
      <c r="VWC118" s="6"/>
      <c r="VWD118" s="6"/>
      <c r="VWE118" s="6"/>
      <c r="VWF118" s="6"/>
      <c r="VWG118" s="6"/>
      <c r="VWH118" s="6"/>
      <c r="VWI118" s="6"/>
      <c r="VWJ118" s="6"/>
      <c r="VWK118" s="6"/>
      <c r="VWL118" s="6"/>
      <c r="VWM118" s="6"/>
      <c r="VWN118" s="6"/>
      <c r="VWO118" s="6"/>
      <c r="VWP118" s="6"/>
      <c r="VWQ118" s="6"/>
      <c r="VWR118" s="6"/>
      <c r="VWS118" s="6"/>
      <c r="VWT118" s="6"/>
      <c r="VWU118" s="6"/>
      <c r="VWV118" s="6"/>
      <c r="VWW118" s="6"/>
      <c r="VWX118" s="6"/>
      <c r="VWY118" s="6"/>
      <c r="VWZ118" s="6"/>
      <c r="VXA118" s="6"/>
      <c r="VXB118" s="6"/>
      <c r="VXC118" s="6"/>
      <c r="VXD118" s="6"/>
      <c r="VXE118" s="6"/>
      <c r="VXF118" s="6"/>
      <c r="VXG118" s="6"/>
      <c r="VXH118" s="6"/>
      <c r="VXI118" s="6"/>
      <c r="VXJ118" s="6"/>
      <c r="VXK118" s="6"/>
      <c r="VXL118" s="6"/>
      <c r="VXM118" s="6"/>
      <c r="VXN118" s="6"/>
      <c r="VXO118" s="6"/>
      <c r="VXP118" s="6"/>
      <c r="VXQ118" s="6"/>
      <c r="VXR118" s="6"/>
      <c r="VXS118" s="6"/>
      <c r="VXT118" s="6"/>
      <c r="VXU118" s="6"/>
      <c r="VXV118" s="6"/>
      <c r="VXW118" s="6"/>
      <c r="VXX118" s="6"/>
      <c r="VXY118" s="6"/>
      <c r="VXZ118" s="6"/>
      <c r="VYA118" s="6"/>
      <c r="VYB118" s="6"/>
      <c r="VYC118" s="6"/>
      <c r="VYD118" s="6"/>
      <c r="VYE118" s="6"/>
      <c r="VYF118" s="6"/>
      <c r="VYG118" s="6"/>
      <c r="VYH118" s="6"/>
      <c r="VYI118" s="6"/>
      <c r="VYJ118" s="6"/>
      <c r="VYK118" s="6"/>
      <c r="VYL118" s="6"/>
      <c r="VYM118" s="6"/>
      <c r="VYN118" s="6"/>
      <c r="VYO118" s="6"/>
      <c r="VYP118" s="6"/>
      <c r="VYQ118" s="6"/>
      <c r="VYR118" s="6"/>
      <c r="VYS118" s="6"/>
      <c r="VYT118" s="6"/>
      <c r="VYU118" s="6"/>
      <c r="VYV118" s="6"/>
      <c r="VYW118" s="6"/>
      <c r="VYX118" s="6"/>
      <c r="VYY118" s="6"/>
      <c r="VYZ118" s="6"/>
      <c r="VZA118" s="6"/>
      <c r="VZB118" s="6"/>
      <c r="VZC118" s="6"/>
      <c r="VZD118" s="6"/>
      <c r="VZE118" s="6"/>
      <c r="VZF118" s="6"/>
      <c r="VZG118" s="6"/>
      <c r="VZH118" s="6"/>
      <c r="VZI118" s="6"/>
      <c r="VZJ118" s="6"/>
      <c r="VZK118" s="6"/>
      <c r="VZL118" s="6"/>
      <c r="VZM118" s="6"/>
      <c r="VZN118" s="6"/>
      <c r="VZO118" s="6"/>
      <c r="VZP118" s="6"/>
      <c r="VZQ118" s="6"/>
      <c r="VZR118" s="6"/>
      <c r="VZS118" s="6"/>
      <c r="VZT118" s="6"/>
      <c r="VZU118" s="6"/>
      <c r="VZV118" s="6"/>
      <c r="VZW118" s="6"/>
      <c r="VZX118" s="6"/>
      <c r="VZY118" s="6"/>
      <c r="VZZ118" s="6"/>
      <c r="WAA118" s="6"/>
      <c r="WAB118" s="6"/>
      <c r="WAC118" s="6"/>
      <c r="WAD118" s="6"/>
      <c r="WAE118" s="6"/>
      <c r="WAF118" s="6"/>
      <c r="WAG118" s="6"/>
      <c r="WAH118" s="6"/>
      <c r="WAI118" s="6"/>
      <c r="WAJ118" s="6"/>
      <c r="WAK118" s="6"/>
      <c r="WAL118" s="6"/>
      <c r="WAM118" s="6"/>
      <c r="WAN118" s="6"/>
      <c r="WAO118" s="6"/>
      <c r="WAP118" s="6"/>
      <c r="WAQ118" s="6"/>
      <c r="WAR118" s="6"/>
      <c r="WAS118" s="6"/>
      <c r="WAT118" s="6"/>
      <c r="WAU118" s="6"/>
      <c r="WAV118" s="6"/>
      <c r="WAW118" s="6"/>
      <c r="WAX118" s="6"/>
      <c r="WAY118" s="6"/>
      <c r="WAZ118" s="6"/>
      <c r="WBA118" s="6"/>
      <c r="WBB118" s="6"/>
      <c r="WBC118" s="6"/>
      <c r="WBD118" s="6"/>
      <c r="WBE118" s="6"/>
      <c r="WBF118" s="6"/>
      <c r="WBG118" s="6"/>
      <c r="WBH118" s="6"/>
      <c r="WBI118" s="6"/>
      <c r="WBJ118" s="6"/>
      <c r="WBK118" s="6"/>
      <c r="WBL118" s="6"/>
      <c r="WBM118" s="6"/>
      <c r="WBN118" s="6"/>
      <c r="WBO118" s="6"/>
      <c r="WBP118" s="6"/>
      <c r="WBQ118" s="6"/>
      <c r="WBR118" s="6"/>
      <c r="WBS118" s="6"/>
      <c r="WBT118" s="6"/>
      <c r="WBU118" s="6"/>
      <c r="WBV118" s="6"/>
      <c r="WBW118" s="6"/>
      <c r="WBX118" s="6"/>
      <c r="WBY118" s="6"/>
      <c r="WBZ118" s="6"/>
      <c r="WCA118" s="6"/>
      <c r="WCB118" s="6"/>
      <c r="WCC118" s="6"/>
      <c r="WCD118" s="6"/>
      <c r="WCE118" s="6"/>
      <c r="WCF118" s="6"/>
      <c r="WCG118" s="6"/>
      <c r="WCH118" s="6"/>
      <c r="WCI118" s="6"/>
      <c r="WCJ118" s="6"/>
      <c r="WCK118" s="6"/>
      <c r="WCL118" s="6"/>
      <c r="WCM118" s="6"/>
      <c r="WCN118" s="6"/>
      <c r="WCO118" s="6"/>
      <c r="WCP118" s="6"/>
      <c r="WCQ118" s="6"/>
      <c r="WCR118" s="6"/>
      <c r="WCS118" s="6"/>
      <c r="WCT118" s="6"/>
      <c r="WCU118" s="6"/>
      <c r="WCV118" s="6"/>
      <c r="WCW118" s="6"/>
      <c r="WCX118" s="6"/>
      <c r="WCY118" s="6"/>
      <c r="WCZ118" s="6"/>
      <c r="WDA118" s="6"/>
      <c r="WDB118" s="6"/>
      <c r="WDC118" s="6"/>
      <c r="WDD118" s="6"/>
      <c r="WDE118" s="6"/>
      <c r="WDF118" s="6"/>
      <c r="WDG118" s="6"/>
      <c r="WDH118" s="6"/>
      <c r="WDI118" s="6"/>
      <c r="WDJ118" s="6"/>
      <c r="WDK118" s="6"/>
      <c r="WDL118" s="6"/>
      <c r="WDM118" s="6"/>
      <c r="WDN118" s="6"/>
      <c r="WDO118" s="6"/>
      <c r="WDP118" s="6"/>
      <c r="WDQ118" s="6"/>
      <c r="WDR118" s="6"/>
      <c r="WDS118" s="6"/>
      <c r="WDT118" s="6"/>
      <c r="WDU118" s="6"/>
      <c r="WDV118" s="6"/>
      <c r="WDW118" s="6"/>
      <c r="WDX118" s="6"/>
      <c r="WDY118" s="6"/>
      <c r="WDZ118" s="6"/>
      <c r="WEA118" s="6"/>
      <c r="WEB118" s="6"/>
      <c r="WEC118" s="6"/>
      <c r="WED118" s="6"/>
      <c r="WEE118" s="6"/>
      <c r="WEF118" s="6"/>
      <c r="WEG118" s="6"/>
      <c r="WEH118" s="6"/>
      <c r="WEI118" s="6"/>
      <c r="WEJ118" s="6"/>
      <c r="WEK118" s="6"/>
      <c r="WEL118" s="6"/>
      <c r="WEM118" s="6"/>
      <c r="WEN118" s="6"/>
      <c r="WEO118" s="6"/>
      <c r="WEP118" s="6"/>
      <c r="WEQ118" s="6"/>
      <c r="WER118" s="6"/>
      <c r="WES118" s="6"/>
      <c r="WET118" s="6"/>
      <c r="WEU118" s="6"/>
      <c r="WEV118" s="6"/>
      <c r="WEW118" s="6"/>
      <c r="WEX118" s="6"/>
      <c r="WEY118" s="6"/>
      <c r="WEZ118" s="6"/>
      <c r="WFA118" s="6"/>
      <c r="WFB118" s="6"/>
      <c r="WFC118" s="6"/>
      <c r="WFD118" s="6"/>
      <c r="WFE118" s="6"/>
      <c r="WFF118" s="6"/>
      <c r="WFG118" s="6"/>
      <c r="WFH118" s="6"/>
      <c r="WFI118" s="6"/>
      <c r="WFJ118" s="6"/>
      <c r="WFK118" s="6"/>
      <c r="WFL118" s="6"/>
      <c r="WFM118" s="6"/>
      <c r="WFN118" s="6"/>
      <c r="WFO118" s="6"/>
      <c r="WFP118" s="6"/>
      <c r="WFQ118" s="6"/>
      <c r="WFR118" s="6"/>
      <c r="WFS118" s="6"/>
      <c r="WFT118" s="6"/>
      <c r="WFU118" s="6"/>
      <c r="WFV118" s="6"/>
      <c r="WFW118" s="6"/>
      <c r="WFX118" s="6"/>
      <c r="WFY118" s="6"/>
      <c r="WFZ118" s="6"/>
      <c r="WGA118" s="6"/>
      <c r="WGB118" s="6"/>
      <c r="WGC118" s="6"/>
      <c r="WGD118" s="6"/>
      <c r="WGE118" s="6"/>
      <c r="WGF118" s="6"/>
      <c r="WGG118" s="6"/>
      <c r="WGH118" s="6"/>
      <c r="WGI118" s="6"/>
      <c r="WGJ118" s="6"/>
      <c r="WGK118" s="6"/>
      <c r="WGL118" s="6"/>
      <c r="WGM118" s="6"/>
      <c r="WGN118" s="6"/>
      <c r="WGO118" s="6"/>
      <c r="WGP118" s="6"/>
      <c r="WGQ118" s="6"/>
      <c r="WGR118" s="6"/>
      <c r="WGS118" s="6"/>
      <c r="WGT118" s="6"/>
      <c r="WGU118" s="6"/>
      <c r="WGV118" s="6"/>
      <c r="WGW118" s="6"/>
      <c r="WGX118" s="6"/>
      <c r="WGY118" s="6"/>
      <c r="WGZ118" s="6"/>
      <c r="WHA118" s="6"/>
      <c r="WHB118" s="6"/>
      <c r="WHC118" s="6"/>
      <c r="WHD118" s="6"/>
      <c r="WHE118" s="6"/>
      <c r="WHF118" s="6"/>
      <c r="WHG118" s="6"/>
      <c r="WHH118" s="6"/>
      <c r="WHI118" s="6"/>
      <c r="WHJ118" s="6"/>
      <c r="WHK118" s="6"/>
      <c r="WHL118" s="6"/>
      <c r="WHM118" s="6"/>
      <c r="WHN118" s="6"/>
      <c r="WHO118" s="6"/>
      <c r="WHP118" s="6"/>
      <c r="WHQ118" s="6"/>
      <c r="WHR118" s="6"/>
      <c r="WHS118" s="6"/>
      <c r="WHT118" s="6"/>
      <c r="WHU118" s="6"/>
      <c r="WHV118" s="6"/>
      <c r="WHW118" s="6"/>
      <c r="WHX118" s="6"/>
      <c r="WHY118" s="6"/>
      <c r="WHZ118" s="6"/>
      <c r="WIA118" s="6"/>
      <c r="WIB118" s="6"/>
      <c r="WIC118" s="6"/>
      <c r="WID118" s="6"/>
      <c r="WIE118" s="6"/>
      <c r="WIF118" s="6"/>
      <c r="WIG118" s="6"/>
      <c r="WIH118" s="6"/>
      <c r="WII118" s="6"/>
      <c r="WIJ118" s="6"/>
      <c r="WIK118" s="6"/>
      <c r="WIL118" s="6"/>
      <c r="WIM118" s="6"/>
      <c r="WIN118" s="6"/>
      <c r="WIO118" s="6"/>
      <c r="WIP118" s="6"/>
      <c r="WIQ118" s="6"/>
      <c r="WIR118" s="6"/>
      <c r="WIS118" s="6"/>
      <c r="WIT118" s="6"/>
      <c r="WIU118" s="6"/>
      <c r="WIV118" s="6"/>
      <c r="WIW118" s="6"/>
      <c r="WIX118" s="6"/>
      <c r="WIY118" s="6"/>
      <c r="WIZ118" s="6"/>
      <c r="WJA118" s="6"/>
      <c r="WJB118" s="6"/>
      <c r="WJC118" s="6"/>
      <c r="WJD118" s="6"/>
      <c r="WJE118" s="6"/>
      <c r="WJF118" s="6"/>
      <c r="WJG118" s="6"/>
      <c r="WJH118" s="6"/>
      <c r="WJI118" s="6"/>
      <c r="WJJ118" s="6"/>
      <c r="WJK118" s="6"/>
      <c r="WJL118" s="6"/>
      <c r="WJM118" s="6"/>
      <c r="WJN118" s="6"/>
      <c r="WJO118" s="6"/>
      <c r="WJP118" s="6"/>
      <c r="WJQ118" s="6"/>
      <c r="WJR118" s="6"/>
      <c r="WJS118" s="6"/>
      <c r="WJT118" s="6"/>
      <c r="WJU118" s="6"/>
      <c r="WJV118" s="6"/>
      <c r="WJW118" s="6"/>
      <c r="WJX118" s="6"/>
      <c r="WJY118" s="6"/>
      <c r="WJZ118" s="6"/>
      <c r="WKA118" s="6"/>
      <c r="WKB118" s="6"/>
      <c r="WKC118" s="6"/>
      <c r="WKD118" s="6"/>
      <c r="WKE118" s="6"/>
      <c r="WKF118" s="6"/>
      <c r="WKG118" s="6"/>
      <c r="WKH118" s="6"/>
      <c r="WKI118" s="6"/>
      <c r="WKJ118" s="6"/>
      <c r="WKK118" s="6"/>
      <c r="WKL118" s="6"/>
      <c r="WKM118" s="6"/>
      <c r="WKN118" s="6"/>
      <c r="WKO118" s="6"/>
      <c r="WKP118" s="6"/>
      <c r="WKQ118" s="6"/>
      <c r="WKR118" s="6"/>
      <c r="WKS118" s="6"/>
      <c r="WKT118" s="6"/>
      <c r="WKU118" s="6"/>
      <c r="WKV118" s="6"/>
      <c r="WKW118" s="6"/>
      <c r="WKX118" s="6"/>
      <c r="WKY118" s="6"/>
      <c r="WKZ118" s="6"/>
      <c r="WLA118" s="6"/>
      <c r="WLB118" s="6"/>
      <c r="WLC118" s="6"/>
      <c r="WLD118" s="6"/>
      <c r="WLE118" s="6"/>
      <c r="WLF118" s="6"/>
      <c r="WLG118" s="6"/>
      <c r="WLH118" s="6"/>
      <c r="WLI118" s="6"/>
      <c r="WLJ118" s="6"/>
      <c r="WLK118" s="6"/>
      <c r="WLL118" s="6"/>
      <c r="WLM118" s="6"/>
      <c r="WLN118" s="6"/>
      <c r="WLO118" s="6"/>
      <c r="WLP118" s="6"/>
      <c r="WLQ118" s="6"/>
      <c r="WLR118" s="6"/>
      <c r="WLS118" s="6"/>
      <c r="WLT118" s="6"/>
      <c r="WLU118" s="6"/>
      <c r="WLV118" s="6"/>
      <c r="WLW118" s="6"/>
      <c r="WLX118" s="6"/>
      <c r="WLY118" s="6"/>
      <c r="WLZ118" s="6"/>
      <c r="WMA118" s="6"/>
      <c r="WMB118" s="6"/>
      <c r="WMC118" s="6"/>
      <c r="WMD118" s="6"/>
      <c r="WME118" s="6"/>
      <c r="WMF118" s="6"/>
      <c r="WMG118" s="6"/>
      <c r="WMH118" s="6"/>
      <c r="WMI118" s="6"/>
      <c r="WMJ118" s="6"/>
      <c r="WMK118" s="6"/>
      <c r="WML118" s="6"/>
      <c r="WMM118" s="6"/>
      <c r="WMN118" s="6"/>
      <c r="WMO118" s="6"/>
      <c r="WMP118" s="6"/>
      <c r="WMQ118" s="6"/>
      <c r="WMR118" s="6"/>
      <c r="WMS118" s="6"/>
      <c r="WMT118" s="6"/>
      <c r="WMU118" s="6"/>
      <c r="WMV118" s="6"/>
      <c r="WMW118" s="6"/>
      <c r="WMX118" s="6"/>
      <c r="WMY118" s="6"/>
      <c r="WMZ118" s="6"/>
      <c r="WNA118" s="6"/>
      <c r="WNB118" s="6"/>
      <c r="WNC118" s="6"/>
      <c r="WND118" s="6"/>
      <c r="WNE118" s="6"/>
      <c r="WNF118" s="6"/>
      <c r="WNG118" s="6"/>
      <c r="WNH118" s="6"/>
      <c r="WNI118" s="6"/>
      <c r="WNJ118" s="6"/>
      <c r="WNK118" s="6"/>
      <c r="WNL118" s="6"/>
      <c r="WNM118" s="6"/>
      <c r="WNN118" s="6"/>
      <c r="WNO118" s="6"/>
      <c r="WNP118" s="6"/>
      <c r="WNQ118" s="6"/>
      <c r="WNR118" s="6"/>
      <c r="WNS118" s="6"/>
      <c r="WNT118" s="6"/>
      <c r="WNU118" s="6"/>
      <c r="WNV118" s="6"/>
      <c r="WNW118" s="6"/>
      <c r="WNX118" s="6"/>
      <c r="WNY118" s="6"/>
      <c r="WNZ118" s="6"/>
      <c r="WOA118" s="6"/>
      <c r="WOB118" s="6"/>
      <c r="WOC118" s="6"/>
      <c r="WOD118" s="6"/>
      <c r="WOE118" s="6"/>
      <c r="WOF118" s="6"/>
      <c r="WOG118" s="6"/>
      <c r="WOH118" s="6"/>
      <c r="WOI118" s="6"/>
      <c r="WOJ118" s="6"/>
      <c r="WOK118" s="6"/>
      <c r="WOL118" s="6"/>
      <c r="WOM118" s="6"/>
      <c r="WON118" s="6"/>
      <c r="WOO118" s="6"/>
      <c r="WOP118" s="6"/>
      <c r="WOQ118" s="6"/>
      <c r="WOR118" s="6"/>
      <c r="WOS118" s="6"/>
      <c r="WOT118" s="6"/>
      <c r="WOU118" s="6"/>
      <c r="WOV118" s="6"/>
      <c r="WOW118" s="6"/>
      <c r="WOX118" s="6"/>
      <c r="WOY118" s="6"/>
      <c r="WOZ118" s="6"/>
      <c r="WPA118" s="6"/>
      <c r="WPB118" s="6"/>
      <c r="WPC118" s="6"/>
      <c r="WPD118" s="6"/>
      <c r="WPE118" s="6"/>
      <c r="WPF118" s="6"/>
      <c r="WPG118" s="6"/>
      <c r="WPH118" s="6"/>
      <c r="WPI118" s="6"/>
      <c r="WPJ118" s="6"/>
      <c r="WPK118" s="6"/>
      <c r="WPL118" s="6"/>
      <c r="WPM118" s="6"/>
      <c r="WPN118" s="6"/>
      <c r="WPO118" s="6"/>
      <c r="WPP118" s="6"/>
      <c r="WPQ118" s="6"/>
      <c r="WPR118" s="6"/>
      <c r="WPS118" s="6"/>
      <c r="WPT118" s="6"/>
      <c r="WPU118" s="6"/>
      <c r="WPV118" s="6"/>
      <c r="WPW118" s="6"/>
      <c r="WPX118" s="6"/>
      <c r="WPY118" s="6"/>
      <c r="WPZ118" s="6"/>
      <c r="WQA118" s="6"/>
      <c r="WQB118" s="6"/>
      <c r="WQC118" s="6"/>
      <c r="WQD118" s="6"/>
      <c r="WQE118" s="6"/>
      <c r="WQF118" s="6"/>
      <c r="WQG118" s="6"/>
      <c r="WQH118" s="6"/>
      <c r="WQI118" s="6"/>
      <c r="WQJ118" s="6"/>
      <c r="WQK118" s="6"/>
      <c r="WQL118" s="6"/>
      <c r="WQM118" s="6"/>
      <c r="WQN118" s="6"/>
      <c r="WQO118" s="6"/>
      <c r="WQP118" s="6"/>
      <c r="WQQ118" s="6"/>
      <c r="WQR118" s="6"/>
      <c r="WQS118" s="6"/>
      <c r="WQT118" s="6"/>
      <c r="WQU118" s="6"/>
      <c r="WQV118" s="6"/>
      <c r="WQW118" s="6"/>
      <c r="WQX118" s="6"/>
      <c r="WQY118" s="6"/>
      <c r="WQZ118" s="6"/>
      <c r="WRA118" s="6"/>
      <c r="WRB118" s="6"/>
      <c r="WRC118" s="6"/>
      <c r="WRD118" s="6"/>
      <c r="WRE118" s="6"/>
      <c r="WRF118" s="6"/>
      <c r="WRG118" s="6"/>
      <c r="WRH118" s="6"/>
      <c r="WRI118" s="6"/>
      <c r="WRJ118" s="6"/>
      <c r="WRK118" s="6"/>
      <c r="WRL118" s="6"/>
      <c r="WRM118" s="6"/>
      <c r="WRN118" s="6"/>
      <c r="WRO118" s="6"/>
      <c r="WRP118" s="6"/>
      <c r="WRQ118" s="6"/>
      <c r="WRR118" s="6"/>
      <c r="WRS118" s="6"/>
      <c r="WRT118" s="6"/>
      <c r="WRU118" s="6"/>
      <c r="WRV118" s="6"/>
      <c r="WRW118" s="6"/>
      <c r="WRX118" s="6"/>
      <c r="WRY118" s="6"/>
      <c r="WRZ118" s="6"/>
      <c r="WSA118" s="6"/>
      <c r="WSB118" s="6"/>
      <c r="WSC118" s="6"/>
      <c r="WSD118" s="6"/>
      <c r="WSE118" s="6"/>
      <c r="WSF118" s="6"/>
      <c r="WSG118" s="6"/>
      <c r="WSH118" s="6"/>
      <c r="WSI118" s="6"/>
      <c r="WSJ118" s="6"/>
      <c r="WSK118" s="6"/>
      <c r="WSL118" s="6"/>
      <c r="WSM118" s="6"/>
      <c r="WSN118" s="6"/>
      <c r="WSO118" s="6"/>
      <c r="WSP118" s="6"/>
      <c r="WSQ118" s="6"/>
      <c r="WSR118" s="6"/>
      <c r="WSS118" s="6"/>
      <c r="WST118" s="6"/>
      <c r="WSU118" s="6"/>
      <c r="WSV118" s="6"/>
      <c r="WSW118" s="6"/>
      <c r="WSX118" s="6"/>
      <c r="WSY118" s="6"/>
      <c r="WSZ118" s="6"/>
      <c r="WTA118" s="6"/>
      <c r="WTB118" s="6"/>
      <c r="WTC118" s="6"/>
      <c r="WTD118" s="6"/>
      <c r="WTE118" s="6"/>
      <c r="WTF118" s="6"/>
      <c r="WTG118" s="6"/>
      <c r="WTH118" s="6"/>
      <c r="WTI118" s="6"/>
      <c r="WTJ118" s="6"/>
      <c r="WTK118" s="6"/>
      <c r="WTL118" s="6"/>
      <c r="WTM118" s="6"/>
      <c r="WTN118" s="6"/>
      <c r="WTO118" s="6"/>
      <c r="WTP118" s="6"/>
    </row>
    <row r="119" spans="1:16084" x14ac:dyDescent="0.3">
      <c r="A119" s="11" t="s">
        <v>567</v>
      </c>
      <c r="B119" s="3" t="s">
        <v>568</v>
      </c>
      <c r="C119" s="15" t="s">
        <v>569</v>
      </c>
      <c r="D119" s="8" t="s">
        <v>570</v>
      </c>
      <c r="E119" s="12">
        <v>47971</v>
      </c>
      <c r="F119" s="127"/>
    </row>
    <row r="120" spans="1:16084" x14ac:dyDescent="0.3">
      <c r="A120" s="2" t="s">
        <v>571</v>
      </c>
      <c r="B120" s="2" t="s">
        <v>572</v>
      </c>
      <c r="C120" s="15" t="s">
        <v>573</v>
      </c>
      <c r="D120" s="2" t="s">
        <v>574</v>
      </c>
      <c r="E120" s="1">
        <v>56282</v>
      </c>
      <c r="F120" s="122" t="s">
        <v>38</v>
      </c>
      <c r="G120" s="2" t="s">
        <v>575</v>
      </c>
      <c r="H120" s="187" t="s">
        <v>576</v>
      </c>
    </row>
    <row r="121" spans="1:16084" ht="15" x14ac:dyDescent="0.35">
      <c r="A121" s="2" t="s">
        <v>577</v>
      </c>
      <c r="B121" s="3" t="s">
        <v>578</v>
      </c>
      <c r="C121" s="152" t="s">
        <v>579</v>
      </c>
      <c r="D121" s="153" t="s">
        <v>580</v>
      </c>
      <c r="E121" s="1">
        <v>50362</v>
      </c>
      <c r="F121" s="122" t="s">
        <v>52</v>
      </c>
      <c r="G121" s="2" t="s">
        <v>581</v>
      </c>
      <c r="H121" s="187" t="s">
        <v>582</v>
      </c>
      <c r="I121" s="168" t="s">
        <v>583</v>
      </c>
      <c r="J121" s="168" t="s">
        <v>584</v>
      </c>
    </row>
    <row r="128" spans="1:16084" s="180" customFormat="1" ht="23.25" customHeight="1" x14ac:dyDescent="0.3">
      <c r="B128" s="180" t="s">
        <v>585</v>
      </c>
      <c r="C128" s="181"/>
      <c r="E128" s="182"/>
      <c r="F128" s="183"/>
      <c r="H128" s="191"/>
    </row>
    <row r="129" spans="1:9" s="180" customFormat="1" x14ac:dyDescent="0.3">
      <c r="A129" s="180" t="s">
        <v>421</v>
      </c>
      <c r="B129" s="180" t="s">
        <v>422</v>
      </c>
      <c r="C129" s="184" t="s">
        <v>423</v>
      </c>
      <c r="E129" s="180">
        <v>50782</v>
      </c>
      <c r="F129" s="185"/>
      <c r="G129" s="195" t="s">
        <v>425</v>
      </c>
      <c r="H129" s="186" t="s">
        <v>426</v>
      </c>
      <c r="I129" s="186" t="s">
        <v>586</v>
      </c>
    </row>
  </sheetData>
  <sortState xmlns:xlrd2="http://schemas.microsoft.com/office/spreadsheetml/2017/richdata2" ref="A1:E46">
    <sortCondition ref="B1:B46"/>
  </sortState>
  <conditionalFormatting sqref="A2:A121">
    <cfRule type="duplicateValues" dxfId="0" priority="15"/>
    <cfRule type="duplicateValues" dxfId="1" priority="1"/>
  </conditionalFormatting>
  <hyperlinks>
    <hyperlink ref="C60" r:id="rId1" tooltip="Call via Hangouts" display="https://www.google.com/search?ei=sm-yWs-GFIvSjwStz5SoDw&amp;q=landstar+jacksonville+fl+phone+number&amp;oq=landstar+ranger+phone+number&amp;gs_l=psy-ab.1.1.0i71k1l8.0.0.0.9200.0.0.0.0.0.0.0.0..0.0....0...1c..64.psy-ab..0.0.0....0.WA7KG4T2SWc" xr:uid="{00000000-0004-0000-0100-000000000000}"/>
    <hyperlink ref="C32" r:id="rId2" display="tel:1-866-312-1314" xr:uid="{00000000-0004-0000-0100-000001000000}"/>
    <hyperlink ref="C96" r:id="rId3" tooltip="Call via Hangouts" display="https://www.google.com/search?q=TCW+Nashville&amp;stick=H4sIAAAAAAAAAONgecSYyy3w8sc9YamUSWtOXmOM4-IKzsgvd80rySypFArgYoOyVLgEpXj10_UNDZPMCg2zjbMLNBik-LlQhaQUlLh4A_x6RUXlmLzPaAlx_rRfma-cltIhyD_h9oeP3q-VeQC8m_N9cgAAAA&amp;sa=X&amp;ved=2ahUKEwi3k9rQ2o3dAhUKPa0KHTRNDQQQ6RMwC3oECAYQBA&amp;biw=1920&amp;bih=931" xr:uid="{00000000-0004-0000-0100-000002000000}"/>
    <hyperlink ref="C64" r:id="rId4" tooltip="Call via Hangouts" display="https://www.google.com/search?ei=PTyVXMnmDsKusAWt-LjgBA&amp;q=new%20penn%20LTL%20LOCATION&amp;oq=new+penn+LTL+LOCATION&amp;gs_l=psy-ab.3..33i299.5970.9152..9506...0.0..0.111.1315.12j3......0....1..gws-wiz.......0i71j33i160j0j0i22i30.9z0J6fso7UI&amp;npsic=0&amp;rflfq=1&amp;rlha=0&amp;rllag=39851326,-78250946,173919&amp;tbm=lcl&amp;rldimm=2487421160854447867&amp;lqi=ChVuZXcgcGVubiBMVEwgTE9DQVRJT04iA4gBAQ&amp;ved=2ahUKEwj33ZPBwpbhAhVRiqwKHU6FAZsQvS4wBHoECAoQFw&amp;rldoc=1&amp;tbs=lrf:!2m1!1e3!3sIAE,lf:1,lf_ui:4" xr:uid="{00000000-0004-0000-0100-000003000000}"/>
    <hyperlink ref="C51" r:id="rId5" display="tel:+1-866-281-1281" xr:uid="{00000000-0004-0000-0100-000004000000}"/>
    <hyperlink ref="C101" r:id="rId6" tooltip="Call via Hangouts" display="https://www.google.com/search?ei=xSm3XLLmKpGWtQX39oPQAw&amp;q=xpo+logistics++llc+chicago&amp;oq=xpo+logistics++llc+chicago&amp;gs_l=psy-ab.3...1646.2561..3260...0.0..0.100.655.6j1......0....1..gws-wiz.......0i71j0i7i30.JgjAgjMYq5g" xr:uid="{00000000-0004-0000-0100-000005000000}"/>
    <hyperlink ref="H32" r:id="rId7" xr:uid="{DC333B9F-625C-4DD3-84B2-952DA7332738}"/>
    <hyperlink ref="H95" r:id="rId8" xr:uid="{0FE090D0-7A98-4400-8B42-EAABE923E00F}"/>
    <hyperlink ref="I95" r:id="rId9" xr:uid="{E035E05C-B92D-4869-9F25-FA99164DFFB4}"/>
    <hyperlink ref="G104" r:id="rId10" xr:uid="{CDB9EF1F-4A31-49B0-A55B-C873F84F9AAC}"/>
    <hyperlink ref="G92" r:id="rId11" xr:uid="{199D468F-10B5-4FBB-BA6B-1AE75EA0E6BC}"/>
    <hyperlink ref="H42" r:id="rId12" xr:uid="{81AC4D51-EF96-4D9F-BEA0-14DAF63C8A87}"/>
    <hyperlink ref="G94" r:id="rId13" xr:uid="{6A3068F5-CEB5-4DBA-8828-CF1F52DB7317}"/>
    <hyperlink ref="I50" r:id="rId14" display="mailto:TeamOrange@hubgroup.com" xr:uid="{B5AF06F0-8E6B-450B-8D8F-9828A1F5E076}"/>
    <hyperlink ref="H115" r:id="rId15" xr:uid="{4E77B75D-F2EB-4545-A9F5-670172A2FB7A}"/>
    <hyperlink ref="J94" r:id="rId16" display="mailto:Erin_Pugh@Swifttrans.com" xr:uid="{10462EE5-8068-4E44-8D0D-8172815D5FA3}"/>
    <hyperlink ref="K94" r:id="rId17" xr:uid="{558B4526-C488-4711-92EB-217F098CA3FF}"/>
    <hyperlink ref="I92" r:id="rId18" display="mailto:BostedtJ@schneider.com" xr:uid="{F959CC05-B00B-42F7-A836-191711FE2EFB}"/>
    <hyperlink ref="K50" r:id="rId19" xr:uid="{87F2FAE7-7AB5-4E91-99F0-45D90DD9091D}"/>
    <hyperlink ref="L50" r:id="rId20" display="mailto:EmilyFerrell@HubGroup.com" xr:uid="{310E8662-C2BF-4E2A-A78D-8534C2F1A87F}"/>
    <hyperlink ref="I121" r:id="rId21" xr:uid="{AA1CFA78-66DA-4801-8720-4E0864BC67D2}"/>
    <hyperlink ref="J121" r:id="rId22" xr:uid="{3F8BB620-3713-4F1B-98C8-752F94B8AC22}"/>
    <hyperlink ref="G50" r:id="rId23" xr:uid="{D3CD5A43-DAC4-41C1-9B07-E7142664DFC4}"/>
    <hyperlink ref="C98" r:id="rId24" xr:uid="{B6C6F3BE-8461-4819-BCB0-3FA55DABC136}"/>
    <hyperlink ref="G98" r:id="rId25" xr:uid="{61A0DAD6-7539-44A5-8798-01951550B7F5}"/>
    <hyperlink ref="H98" r:id="rId26" display="mailto:kreader@transportationone.com" xr:uid="{D5F49287-9153-4D95-9760-E4222915F986}"/>
    <hyperlink ref="G129" r:id="rId27" xr:uid="{E6B20A36-811A-43CF-ABF3-D16E71439325}"/>
    <hyperlink ref="H129" r:id="rId28" xr:uid="{70E27353-CB45-49F5-8A13-1B971F88D06C}"/>
    <hyperlink ref="H9" r:id="rId29" xr:uid="{2D12BB4F-926E-45EB-81FD-B067529EBB37}"/>
    <hyperlink ref="I9" r:id="rId30" xr:uid="{3AB28895-9B1D-476C-9850-48FCD70B5642}"/>
    <hyperlink ref="G53" r:id="rId31" display="mailto:grantm@kirschtrans.com" xr:uid="{4DD73C14-DB1B-4AB1-93AA-53014F2484AB}"/>
    <hyperlink ref="H53" r:id="rId32" display="mailto:homedepot@kirschtrans.com" xr:uid="{1784F4E8-5A30-4CA5-8FC2-D5161DECB68D}"/>
    <hyperlink ref="I53" r:id="rId33" display="mailto:donnab@kirschtrans.com" xr:uid="{0EBA6038-1D09-4CD6-90E1-41AB13509DF9}"/>
    <hyperlink ref="J24" r:id="rId34" xr:uid="{A817DCC4-67F3-4C67-BA96-8C9D67CB77F5}"/>
    <hyperlink ref="I129" r:id="rId35" xr:uid="{979E7590-5625-4461-AB05-BA9D1CC6C149}"/>
    <hyperlink ref="I35" r:id="rId36" display="mailto:kayleigh.parks@epeslogistics.com" xr:uid="{1E82963C-F1FB-4975-9C31-49AD239CEE5D}"/>
    <hyperlink ref="H77" r:id="rId37" display="mailto:Danielle.Zabel@roehl.net" xr:uid="{E7661227-9B6D-417D-91B8-DCABB00DB236}"/>
  </hyperlinks>
  <pageMargins left="0.7" right="0.7" top="0.75" bottom="0.75" header="0.3" footer="0.3"/>
  <pageSetup scale="97" orientation="landscape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zoomScale="110" zoomScaleNormal="110" workbookViewId="0">
      <selection activeCell="F23" sqref="F23"/>
    </sheetView>
  </sheetViews>
  <sheetFormatPr defaultRowHeight="14.4" x14ac:dyDescent="0.3"/>
  <cols>
    <col min="2" max="2" width="9.5546875" bestFit="1" customWidth="1"/>
    <col min="3" max="3" width="10.33203125" customWidth="1"/>
    <col min="4" max="4" width="10.5546875" customWidth="1"/>
    <col min="5" max="5" width="12.33203125" customWidth="1"/>
    <col min="6" max="6" width="10" bestFit="1" customWidth="1"/>
    <col min="7" max="7" width="4.5546875" customWidth="1"/>
    <col min="8" max="8" width="9.33203125" customWidth="1"/>
    <col min="9" max="9" width="16.5546875" customWidth="1"/>
    <col min="10" max="10" width="9.33203125" style="26" customWidth="1"/>
    <col min="12" max="12" width="9.33203125" customWidth="1"/>
    <col min="13" max="13" width="13.5546875" customWidth="1"/>
    <col min="14" max="16" width="9.33203125" customWidth="1"/>
    <col min="17" max="17" width="11.5546875" customWidth="1"/>
    <col min="18" max="18" width="9.33203125" customWidth="1"/>
  </cols>
  <sheetData>
    <row r="1" spans="1:18" x14ac:dyDescent="0.3">
      <c r="A1" t="s">
        <v>587</v>
      </c>
      <c r="B1" t="s">
        <v>588</v>
      </c>
      <c r="C1" t="s">
        <v>589</v>
      </c>
      <c r="D1" t="s">
        <v>590</v>
      </c>
    </row>
    <row r="2" spans="1:18" x14ac:dyDescent="0.3">
      <c r="B2" s="9">
        <v>32</v>
      </c>
      <c r="C2">
        <f t="shared" ref="C2:C22" si="0">A2/B2</f>
        <v>0</v>
      </c>
      <c r="D2" s="79">
        <f>C2*1824</f>
        <v>0</v>
      </c>
      <c r="E2" s="10">
        <v>1824</v>
      </c>
      <c r="F2">
        <v>32</v>
      </c>
      <c r="H2" s="154" t="s">
        <v>591</v>
      </c>
      <c r="I2" s="119" t="s">
        <v>592</v>
      </c>
      <c r="J2" s="161" t="s">
        <v>593</v>
      </c>
      <c r="L2" s="112" t="s">
        <v>591</v>
      </c>
      <c r="M2" s="23" t="s">
        <v>594</v>
      </c>
      <c r="N2" s="111" t="s">
        <v>593</v>
      </c>
      <c r="P2" s="111" t="s">
        <v>595</v>
      </c>
      <c r="Q2" s="112" t="s">
        <v>596</v>
      </c>
      <c r="R2" s="111" t="s">
        <v>593</v>
      </c>
    </row>
    <row r="3" spans="1:18" x14ac:dyDescent="0.3">
      <c r="B3" s="9">
        <v>32</v>
      </c>
      <c r="C3">
        <f t="shared" si="0"/>
        <v>0</v>
      </c>
      <c r="D3" s="79">
        <f t="shared" ref="D3:D8" si="1">C3*1824</f>
        <v>0</v>
      </c>
      <c r="E3" s="10">
        <v>2084</v>
      </c>
      <c r="F3">
        <v>36</v>
      </c>
      <c r="H3" s="120">
        <v>352</v>
      </c>
      <c r="I3" s="26" t="s">
        <v>597</v>
      </c>
      <c r="J3" s="162">
        <v>1471.14</v>
      </c>
      <c r="L3" s="120">
        <v>704</v>
      </c>
      <c r="M3" s="23" t="s">
        <v>597</v>
      </c>
      <c r="N3" s="121">
        <v>1877.7</v>
      </c>
      <c r="P3">
        <v>792</v>
      </c>
      <c r="Q3" s="112" t="s">
        <v>597</v>
      </c>
      <c r="R3">
        <v>2383.92</v>
      </c>
    </row>
    <row r="4" spans="1:18" x14ac:dyDescent="0.3">
      <c r="B4" s="9">
        <v>32</v>
      </c>
      <c r="C4">
        <f t="shared" si="0"/>
        <v>0</v>
      </c>
      <c r="D4" s="79">
        <f t="shared" si="1"/>
        <v>0</v>
      </c>
      <c r="E4" s="10">
        <v>2160</v>
      </c>
      <c r="F4">
        <v>60</v>
      </c>
      <c r="H4" s="120">
        <v>336</v>
      </c>
      <c r="I4" s="26" t="s">
        <v>598</v>
      </c>
      <c r="J4" s="162">
        <v>1404.27</v>
      </c>
      <c r="L4" s="120">
        <v>672</v>
      </c>
      <c r="M4" s="23" t="s">
        <v>598</v>
      </c>
      <c r="N4" s="118">
        <v>1792.35</v>
      </c>
      <c r="P4" s="79">
        <v>756</v>
      </c>
      <c r="Q4" s="112" t="s">
        <v>598</v>
      </c>
      <c r="R4">
        <v>2275.56</v>
      </c>
    </row>
    <row r="5" spans="1:18" x14ac:dyDescent="0.3">
      <c r="B5" s="9">
        <v>32</v>
      </c>
      <c r="C5">
        <f t="shared" si="0"/>
        <v>0</v>
      </c>
      <c r="D5" s="79">
        <f t="shared" si="1"/>
        <v>0</v>
      </c>
      <c r="E5" s="10">
        <v>2160</v>
      </c>
      <c r="F5">
        <v>30</v>
      </c>
      <c r="H5" s="120">
        <v>320</v>
      </c>
      <c r="I5" s="26" t="s">
        <v>599</v>
      </c>
      <c r="J5" s="162">
        <v>1337.4</v>
      </c>
      <c r="L5" s="120">
        <v>640</v>
      </c>
      <c r="M5" s="23" t="s">
        <v>599</v>
      </c>
      <c r="N5" s="118">
        <v>1707</v>
      </c>
      <c r="P5">
        <v>720</v>
      </c>
      <c r="Q5" s="112" t="s">
        <v>599</v>
      </c>
      <c r="R5">
        <v>2167.1999999999998</v>
      </c>
    </row>
    <row r="6" spans="1:18" ht="14.25" customHeight="1" x14ac:dyDescent="0.3">
      <c r="B6" s="9">
        <v>32</v>
      </c>
      <c r="C6">
        <f t="shared" si="0"/>
        <v>0</v>
      </c>
      <c r="D6" s="79">
        <f t="shared" si="1"/>
        <v>0</v>
      </c>
      <c r="E6" s="118">
        <v>960</v>
      </c>
      <c r="F6">
        <v>16</v>
      </c>
      <c r="H6" s="120">
        <v>304</v>
      </c>
      <c r="I6" s="26" t="s">
        <v>600</v>
      </c>
      <c r="J6" s="162">
        <v>1270.53</v>
      </c>
      <c r="L6" s="120">
        <v>608</v>
      </c>
      <c r="M6" s="23" t="s">
        <v>600</v>
      </c>
      <c r="N6">
        <v>1621.65</v>
      </c>
      <c r="P6">
        <v>684</v>
      </c>
      <c r="Q6" s="112" t="s">
        <v>600</v>
      </c>
      <c r="R6">
        <v>2058.84</v>
      </c>
    </row>
    <row r="7" spans="1:18" x14ac:dyDescent="0.3">
      <c r="B7" s="9">
        <v>32</v>
      </c>
      <c r="C7">
        <f t="shared" si="0"/>
        <v>0</v>
      </c>
      <c r="D7" s="79">
        <f t="shared" si="1"/>
        <v>0</v>
      </c>
      <c r="E7" s="10">
        <v>1994</v>
      </c>
      <c r="F7">
        <v>35</v>
      </c>
      <c r="H7" s="120">
        <v>288</v>
      </c>
      <c r="I7" s="26" t="s">
        <v>601</v>
      </c>
      <c r="J7" s="162">
        <v>1203.6600000000001</v>
      </c>
      <c r="L7" s="120">
        <v>576</v>
      </c>
      <c r="M7" s="23" t="s">
        <v>601</v>
      </c>
      <c r="N7">
        <v>1536.3</v>
      </c>
      <c r="P7">
        <v>648</v>
      </c>
      <c r="Q7" s="112" t="s">
        <v>601</v>
      </c>
      <c r="R7">
        <v>1950.48</v>
      </c>
    </row>
    <row r="8" spans="1:18" x14ac:dyDescent="0.3">
      <c r="B8" s="9">
        <v>32</v>
      </c>
      <c r="C8">
        <f t="shared" si="0"/>
        <v>0</v>
      </c>
      <c r="D8" s="79">
        <f t="shared" si="1"/>
        <v>0</v>
      </c>
      <c r="H8" s="120">
        <v>272</v>
      </c>
      <c r="I8" s="26" t="s">
        <v>602</v>
      </c>
      <c r="J8" s="162">
        <v>1136.79</v>
      </c>
      <c r="L8" s="120">
        <v>544</v>
      </c>
      <c r="M8" s="23" t="s">
        <v>602</v>
      </c>
      <c r="N8" s="118">
        <v>1450.95</v>
      </c>
    </row>
    <row r="9" spans="1:18" x14ac:dyDescent="0.3">
      <c r="A9" s="119"/>
      <c r="B9" s="119">
        <v>16</v>
      </c>
      <c r="C9" s="119">
        <f>A9/B9</f>
        <v>0</v>
      </c>
      <c r="D9" s="165">
        <f>C9*960</f>
        <v>0</v>
      </c>
      <c r="E9" t="s">
        <v>594</v>
      </c>
      <c r="H9" s="120">
        <v>256</v>
      </c>
      <c r="I9" s="26" t="s">
        <v>603</v>
      </c>
      <c r="J9" s="162">
        <v>1069.92</v>
      </c>
      <c r="L9" s="120">
        <v>512</v>
      </c>
      <c r="M9" s="23" t="s">
        <v>603</v>
      </c>
      <c r="N9" s="118">
        <v>1365.6</v>
      </c>
      <c r="Q9">
        <v>108.36</v>
      </c>
    </row>
    <row r="10" spans="1:18" x14ac:dyDescent="0.3">
      <c r="A10" s="119"/>
      <c r="B10" s="119">
        <v>16</v>
      </c>
      <c r="C10" s="119">
        <f t="shared" si="0"/>
        <v>0</v>
      </c>
      <c r="D10" s="165">
        <f>C10*960</f>
        <v>0</v>
      </c>
      <c r="E10" t="s">
        <v>604</v>
      </c>
      <c r="H10" s="120">
        <v>240</v>
      </c>
      <c r="I10" s="26" t="s">
        <v>605</v>
      </c>
      <c r="J10" s="26">
        <v>1003.05</v>
      </c>
      <c r="Q10" s="82"/>
    </row>
    <row r="11" spans="1:18" ht="15.75" customHeight="1" x14ac:dyDescent="0.3">
      <c r="A11" s="151"/>
      <c r="B11" s="151">
        <v>35</v>
      </c>
      <c r="C11" s="151">
        <f t="shared" si="0"/>
        <v>0</v>
      </c>
      <c r="D11" s="166">
        <f>C11*2089</f>
        <v>0</v>
      </c>
      <c r="E11" t="s">
        <v>606</v>
      </c>
      <c r="H11" s="120">
        <v>224</v>
      </c>
      <c r="I11" s="26" t="s">
        <v>607</v>
      </c>
      <c r="J11" s="26">
        <v>936.18</v>
      </c>
      <c r="L11" s="120"/>
      <c r="M11" t="s">
        <v>608</v>
      </c>
      <c r="Q11" s="82"/>
    </row>
    <row r="12" spans="1:18" ht="15" thickBot="1" x14ac:dyDescent="0.35">
      <c r="B12" s="9">
        <v>36</v>
      </c>
      <c r="C12">
        <f>A12/B12</f>
        <v>0</v>
      </c>
      <c r="D12" s="79">
        <f>C12*1942</f>
        <v>0</v>
      </c>
      <c r="E12" t="s">
        <v>596</v>
      </c>
      <c r="F12" t="s">
        <v>609</v>
      </c>
      <c r="H12" s="120">
        <v>208</v>
      </c>
      <c r="I12" s="26" t="s">
        <v>610</v>
      </c>
      <c r="J12" s="26">
        <v>869.31</v>
      </c>
      <c r="L12" s="82"/>
    </row>
    <row r="13" spans="1:18" ht="15" thickBot="1" x14ac:dyDescent="0.35">
      <c r="B13" s="9">
        <v>36</v>
      </c>
      <c r="C13">
        <f t="shared" si="0"/>
        <v>0</v>
      </c>
      <c r="D13" s="79">
        <f>C13*1942</f>
        <v>0</v>
      </c>
      <c r="E13" t="s">
        <v>596</v>
      </c>
      <c r="F13" s="42"/>
      <c r="H13">
        <v>192</v>
      </c>
      <c r="I13" s="26" t="s">
        <v>611</v>
      </c>
      <c r="J13" s="26">
        <v>802.44</v>
      </c>
      <c r="L13" s="151"/>
      <c r="M13" s="151" t="s">
        <v>612</v>
      </c>
      <c r="N13" s="164"/>
    </row>
    <row r="14" spans="1:18" ht="15" thickBot="1" x14ac:dyDescent="0.35">
      <c r="B14" s="9">
        <v>36</v>
      </c>
      <c r="C14">
        <f t="shared" si="0"/>
        <v>0</v>
      </c>
      <c r="D14" s="79">
        <f t="shared" ref="D14" si="2">C14*2084</f>
        <v>0</v>
      </c>
      <c r="F14" s="42"/>
      <c r="H14">
        <v>176</v>
      </c>
      <c r="I14" s="26" t="s">
        <v>613</v>
      </c>
      <c r="J14" s="26">
        <v>735.57</v>
      </c>
      <c r="L14" s="151" t="s">
        <v>614</v>
      </c>
      <c r="M14" s="151" t="s">
        <v>615</v>
      </c>
      <c r="N14" s="164">
        <v>97.75</v>
      </c>
    </row>
    <row r="15" spans="1:18" ht="15" thickBot="1" x14ac:dyDescent="0.35">
      <c r="A15" s="48"/>
      <c r="B15" s="48">
        <v>30</v>
      </c>
      <c r="C15" s="48">
        <f>A15/B15</f>
        <v>0</v>
      </c>
      <c r="D15" s="167">
        <f>C15*2160</f>
        <v>0</v>
      </c>
      <c r="E15" t="s">
        <v>616</v>
      </c>
      <c r="F15" s="42"/>
      <c r="H15">
        <v>160</v>
      </c>
      <c r="I15" s="26" t="s">
        <v>617</v>
      </c>
      <c r="J15" s="26">
        <v>668.7</v>
      </c>
    </row>
    <row r="16" spans="1:18" ht="15" thickBot="1" x14ac:dyDescent="0.35">
      <c r="A16" s="48"/>
      <c r="B16" s="48">
        <v>30</v>
      </c>
      <c r="C16" s="48">
        <f t="shared" si="0"/>
        <v>0</v>
      </c>
      <c r="D16" s="167">
        <f>C16*2160</f>
        <v>0</v>
      </c>
      <c r="E16" t="s">
        <v>616</v>
      </c>
      <c r="F16" s="42"/>
      <c r="H16" s="120">
        <v>144</v>
      </c>
      <c r="I16" s="120" t="s">
        <v>618</v>
      </c>
      <c r="J16" s="163">
        <v>601.83000000000004</v>
      </c>
    </row>
    <row r="17" spans="1:12" ht="15" thickBot="1" x14ac:dyDescent="0.35">
      <c r="B17" s="9">
        <v>60</v>
      </c>
      <c r="C17">
        <f t="shared" si="0"/>
        <v>0</v>
      </c>
      <c r="D17" s="79">
        <f>C17*2160</f>
        <v>0</v>
      </c>
      <c r="F17" s="41"/>
      <c r="H17" s="120">
        <v>128</v>
      </c>
      <c r="I17" s="120" t="s">
        <v>619</v>
      </c>
      <c r="J17" s="162">
        <v>534.96</v>
      </c>
    </row>
    <row r="18" spans="1:12" ht="15" thickBot="1" x14ac:dyDescent="0.35">
      <c r="B18" s="9">
        <v>60</v>
      </c>
      <c r="C18">
        <f t="shared" si="0"/>
        <v>0</v>
      </c>
      <c r="D18" s="79">
        <f>C18*2160</f>
        <v>0</v>
      </c>
      <c r="F18" s="41"/>
      <c r="H18">
        <v>112</v>
      </c>
      <c r="I18" s="120" t="s">
        <v>620</v>
      </c>
      <c r="J18" s="26">
        <v>468.09</v>
      </c>
      <c r="K18">
        <v>1554.08</v>
      </c>
    </row>
    <row r="19" spans="1:12" x14ac:dyDescent="0.3">
      <c r="B19" s="9">
        <v>60</v>
      </c>
      <c r="C19">
        <f t="shared" si="0"/>
        <v>0</v>
      </c>
      <c r="D19" s="79">
        <f t="shared" ref="D19:D22" si="3">C19*2160</f>
        <v>0</v>
      </c>
      <c r="F19" s="10">
        <f>SUM(F13:F18)</f>
        <v>0</v>
      </c>
      <c r="H19">
        <v>96</v>
      </c>
      <c r="I19" s="120" t="s">
        <v>621</v>
      </c>
      <c r="J19" s="26">
        <v>401.22</v>
      </c>
      <c r="K19">
        <v>72.069999999999993</v>
      </c>
    </row>
    <row r="20" spans="1:12" x14ac:dyDescent="0.3">
      <c r="B20" s="9">
        <v>60</v>
      </c>
      <c r="C20">
        <f t="shared" si="0"/>
        <v>0</v>
      </c>
      <c r="D20" s="79">
        <f t="shared" si="3"/>
        <v>0</v>
      </c>
      <c r="H20">
        <v>80</v>
      </c>
      <c r="I20" s="120" t="s">
        <v>622</v>
      </c>
      <c r="J20" s="26">
        <v>334.35</v>
      </c>
      <c r="L20">
        <v>64</v>
      </c>
    </row>
    <row r="21" spans="1:12" x14ac:dyDescent="0.3">
      <c r="B21" s="9">
        <v>60</v>
      </c>
      <c r="C21">
        <f t="shared" si="0"/>
        <v>0</v>
      </c>
      <c r="D21" s="79">
        <f t="shared" si="3"/>
        <v>0</v>
      </c>
      <c r="F21" s="10">
        <f>SUM(C9:C10)</f>
        <v>0</v>
      </c>
      <c r="H21">
        <v>64</v>
      </c>
      <c r="I21" s="120" t="s">
        <v>623</v>
      </c>
      <c r="J21" s="26">
        <v>267.48</v>
      </c>
      <c r="L21">
        <v>32</v>
      </c>
    </row>
    <row r="22" spans="1:12" x14ac:dyDescent="0.3">
      <c r="B22" s="9">
        <v>60</v>
      </c>
      <c r="C22">
        <f t="shared" si="0"/>
        <v>0</v>
      </c>
      <c r="D22" s="79">
        <f t="shared" si="3"/>
        <v>0</v>
      </c>
      <c r="E22" t="s">
        <v>94</v>
      </c>
      <c r="F22" s="10">
        <v>66.87</v>
      </c>
      <c r="H22">
        <v>48</v>
      </c>
      <c r="I22" s="120" t="s">
        <v>624</v>
      </c>
      <c r="J22" s="26">
        <v>200.61</v>
      </c>
    </row>
    <row r="23" spans="1:12" x14ac:dyDescent="0.3">
      <c r="A23" s="79">
        <f>SUM(A2:A22)</f>
        <v>0</v>
      </c>
      <c r="B23" s="79"/>
      <c r="C23" s="79">
        <f>SUM(C2:C22)</f>
        <v>0</v>
      </c>
      <c r="D23" s="79">
        <f>SUM(D2:D22)</f>
        <v>0</v>
      </c>
      <c r="E23" s="79"/>
      <c r="F23" s="10">
        <f>F21*F22</f>
        <v>0</v>
      </c>
      <c r="H23">
        <v>32</v>
      </c>
      <c r="I23" s="120" t="s">
        <v>625</v>
      </c>
      <c r="J23" s="26">
        <v>133.74</v>
      </c>
    </row>
    <row r="24" spans="1:12" x14ac:dyDescent="0.3">
      <c r="D24" s="10"/>
      <c r="I24" t="s">
        <v>626</v>
      </c>
    </row>
    <row r="25" spans="1:12" x14ac:dyDescent="0.3">
      <c r="D25" s="10"/>
    </row>
  </sheetData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8D16-DE46-48A3-A547-5029AD58A654}">
  <dimension ref="A1:K1105"/>
  <sheetViews>
    <sheetView zoomScale="110" zoomScaleNormal="110" workbookViewId="0">
      <pane ySplit="1" topLeftCell="A1050" activePane="bottomLeft" state="frozen"/>
      <selection pane="bottomLeft" activeCell="C1068" sqref="C1068"/>
    </sheetView>
  </sheetViews>
  <sheetFormatPr defaultRowHeight="14.4" x14ac:dyDescent="0.3"/>
  <cols>
    <col min="1" max="1" width="11.44140625" style="26" bestFit="1" customWidth="1"/>
    <col min="2" max="2" width="11.6640625" style="23" bestFit="1" customWidth="1"/>
    <col min="3" max="3" width="10.6640625" style="28" customWidth="1"/>
    <col min="4" max="4" width="9.44140625" style="146" bestFit="1" customWidth="1"/>
    <col min="5" max="5" width="13.5546875" style="23" customWidth="1"/>
    <col min="6" max="6" width="10.6640625" style="23" bestFit="1" customWidth="1"/>
    <col min="7" max="7" width="6.33203125" style="23" bestFit="1" customWidth="1"/>
    <col min="8" max="8" width="9.33203125" style="28" customWidth="1"/>
    <col min="9" max="9" width="18" style="23" customWidth="1"/>
    <col min="10" max="10" width="19.6640625" style="23" customWidth="1"/>
    <col min="11" max="11" width="15.5546875" bestFit="1" customWidth="1"/>
  </cols>
  <sheetData>
    <row r="1" spans="1:10" x14ac:dyDescent="0.3">
      <c r="A1" s="24" t="s">
        <v>627</v>
      </c>
      <c r="B1" s="20" t="s">
        <v>628</v>
      </c>
      <c r="C1" s="21" t="s">
        <v>629</v>
      </c>
      <c r="D1" s="135" t="s">
        <v>630</v>
      </c>
      <c r="E1" s="20" t="s">
        <v>631</v>
      </c>
      <c r="F1" s="20" t="s">
        <v>632</v>
      </c>
      <c r="G1" s="20" t="s">
        <v>633</v>
      </c>
      <c r="H1" s="21" t="s">
        <v>634</v>
      </c>
      <c r="I1" s="61" t="s">
        <v>635</v>
      </c>
      <c r="J1" s="61"/>
    </row>
    <row r="2" spans="1:10" x14ac:dyDescent="0.3">
      <c r="A2" s="29">
        <v>1212065509</v>
      </c>
      <c r="B2" s="30">
        <v>25908175</v>
      </c>
      <c r="C2" s="31">
        <v>44383</v>
      </c>
      <c r="D2" s="136">
        <v>1809.556</v>
      </c>
      <c r="E2" s="32"/>
      <c r="F2" s="30">
        <v>1</v>
      </c>
      <c r="G2" s="30" t="s">
        <v>110</v>
      </c>
      <c r="H2" s="31">
        <v>44378</v>
      </c>
    </row>
    <row r="3" spans="1:10" x14ac:dyDescent="0.3">
      <c r="A3" s="29">
        <v>1212066559</v>
      </c>
      <c r="B3" s="30">
        <v>46972546</v>
      </c>
      <c r="C3" s="31">
        <v>44385</v>
      </c>
      <c r="D3" s="136">
        <v>5428.6670000000004</v>
      </c>
      <c r="E3" s="30" t="s">
        <v>636</v>
      </c>
      <c r="F3" s="30">
        <v>3</v>
      </c>
      <c r="G3" s="30" t="s">
        <v>637</v>
      </c>
      <c r="H3" s="31">
        <v>44383</v>
      </c>
    </row>
    <row r="4" spans="1:10" x14ac:dyDescent="0.3">
      <c r="A4" s="29">
        <v>1212065684</v>
      </c>
      <c r="B4" s="30">
        <v>14934432</v>
      </c>
      <c r="C4" s="31">
        <v>44385</v>
      </c>
      <c r="D4" s="136">
        <v>12320.217000000001</v>
      </c>
      <c r="E4" s="30" t="s">
        <v>638</v>
      </c>
      <c r="F4" s="30">
        <v>7</v>
      </c>
      <c r="G4" s="30" t="s">
        <v>182</v>
      </c>
      <c r="H4" s="31">
        <v>44383</v>
      </c>
    </row>
    <row r="5" spans="1:10" x14ac:dyDescent="0.3">
      <c r="A5" s="29">
        <v>1212066531</v>
      </c>
      <c r="B5" s="30">
        <v>7923050</v>
      </c>
      <c r="C5" s="31">
        <v>44385</v>
      </c>
      <c r="D5" s="136">
        <v>3686.2550000000001</v>
      </c>
      <c r="E5" s="32" t="s">
        <v>636</v>
      </c>
      <c r="F5" s="30">
        <v>2</v>
      </c>
      <c r="G5" s="30" t="s">
        <v>110</v>
      </c>
      <c r="H5" s="31">
        <v>44383</v>
      </c>
    </row>
    <row r="6" spans="1:10" x14ac:dyDescent="0.3">
      <c r="A6" s="29">
        <v>1212066539</v>
      </c>
      <c r="B6" s="30">
        <v>32910333</v>
      </c>
      <c r="C6" s="31">
        <v>44385</v>
      </c>
      <c r="D6" s="136">
        <v>1760.0309999999999</v>
      </c>
      <c r="E6" s="30" t="s">
        <v>638</v>
      </c>
      <c r="F6" s="30">
        <v>1</v>
      </c>
      <c r="G6" s="30" t="s">
        <v>110</v>
      </c>
      <c r="H6" s="31">
        <v>44383</v>
      </c>
    </row>
    <row r="7" spans="1:10" x14ac:dyDescent="0.3">
      <c r="A7" s="29">
        <v>1212066540</v>
      </c>
      <c r="B7" s="30">
        <v>32910339</v>
      </c>
      <c r="C7" s="31">
        <v>44385</v>
      </c>
      <c r="D7" s="136">
        <v>4439.9840000000004</v>
      </c>
      <c r="E7" s="30" t="s">
        <v>638</v>
      </c>
      <c r="F7" s="30">
        <v>2</v>
      </c>
      <c r="G7" s="30" t="s">
        <v>110</v>
      </c>
      <c r="H7" s="31">
        <v>44383</v>
      </c>
    </row>
    <row r="8" spans="1:10" x14ac:dyDescent="0.3">
      <c r="A8" s="29">
        <v>1212065689</v>
      </c>
      <c r="B8" s="30">
        <v>32910017</v>
      </c>
      <c r="C8" s="31">
        <v>44385</v>
      </c>
      <c r="D8" s="136">
        <v>19979.921999999999</v>
      </c>
      <c r="E8" s="32" t="s">
        <v>638</v>
      </c>
      <c r="F8" s="30">
        <v>9</v>
      </c>
      <c r="G8" s="30" t="s">
        <v>639</v>
      </c>
      <c r="H8" s="31">
        <v>44383</v>
      </c>
    </row>
    <row r="9" spans="1:10" x14ac:dyDescent="0.3">
      <c r="A9" s="29">
        <v>1212065688</v>
      </c>
      <c r="B9" s="30">
        <v>31922047</v>
      </c>
      <c r="C9" s="31">
        <v>44385</v>
      </c>
      <c r="D9" s="136">
        <v>12468.790999999999</v>
      </c>
      <c r="E9" s="30" t="s">
        <v>636</v>
      </c>
      <c r="F9" s="30">
        <v>7</v>
      </c>
      <c r="G9" s="30" t="s">
        <v>637</v>
      </c>
      <c r="H9" s="31">
        <v>44383</v>
      </c>
    </row>
    <row r="10" spans="1:10" x14ac:dyDescent="0.3">
      <c r="A10" s="29">
        <v>1212069210</v>
      </c>
      <c r="B10" s="30">
        <v>14920963</v>
      </c>
      <c r="C10" s="31">
        <v>44392</v>
      </c>
      <c r="D10" s="136">
        <v>6659.9740000000002</v>
      </c>
      <c r="E10" s="30" t="s">
        <v>638</v>
      </c>
      <c r="F10" s="30">
        <v>3</v>
      </c>
      <c r="G10" s="30" t="s">
        <v>110</v>
      </c>
      <c r="H10" s="31">
        <v>44391</v>
      </c>
    </row>
    <row r="11" spans="1:10" x14ac:dyDescent="0.3">
      <c r="A11" s="29">
        <v>1212069229</v>
      </c>
      <c r="B11" s="30">
        <v>33901209</v>
      </c>
      <c r="C11" s="31">
        <v>44392</v>
      </c>
      <c r="D11" s="136">
        <v>2219.991</v>
      </c>
      <c r="E11" s="30" t="s">
        <v>638</v>
      </c>
      <c r="F11" s="30">
        <v>1</v>
      </c>
      <c r="G11" s="30" t="s">
        <v>182</v>
      </c>
      <c r="H11" s="31">
        <v>44391</v>
      </c>
    </row>
    <row r="12" spans="1:10" x14ac:dyDescent="0.3">
      <c r="A12" s="29">
        <v>1212069214</v>
      </c>
      <c r="B12" s="30">
        <v>32909659</v>
      </c>
      <c r="C12" s="31">
        <v>44392</v>
      </c>
      <c r="D12" s="136">
        <v>2219.991</v>
      </c>
      <c r="E12" s="30" t="s">
        <v>638</v>
      </c>
      <c r="F12" s="30">
        <v>1</v>
      </c>
      <c r="G12" s="30" t="s">
        <v>182</v>
      </c>
      <c r="H12" s="31">
        <v>44391</v>
      </c>
    </row>
    <row r="13" spans="1:10" x14ac:dyDescent="0.3">
      <c r="A13" s="29">
        <v>1212069216</v>
      </c>
      <c r="B13" s="30">
        <v>46922517</v>
      </c>
      <c r="C13" s="31">
        <v>44392</v>
      </c>
      <c r="D13" s="136">
        <v>13319.948</v>
      </c>
      <c r="E13" s="30" t="s">
        <v>638</v>
      </c>
      <c r="F13" s="30">
        <v>6</v>
      </c>
      <c r="G13" s="30" t="s">
        <v>182</v>
      </c>
      <c r="H13" s="31">
        <v>44391</v>
      </c>
    </row>
    <row r="14" spans="1:10" x14ac:dyDescent="0.3">
      <c r="A14" s="29">
        <v>1212069213</v>
      </c>
      <c r="B14" s="30">
        <v>32910017</v>
      </c>
      <c r="C14" s="31">
        <v>44392</v>
      </c>
      <c r="D14" s="136">
        <v>11099.958000000001</v>
      </c>
      <c r="E14" s="30" t="s">
        <v>638</v>
      </c>
      <c r="F14" s="30">
        <v>5</v>
      </c>
      <c r="G14" s="30" t="s">
        <v>639</v>
      </c>
      <c r="H14" s="31">
        <v>44391</v>
      </c>
    </row>
    <row r="15" spans="1:10" x14ac:dyDescent="0.3">
      <c r="A15" s="33">
        <v>1212070796</v>
      </c>
      <c r="B15" s="30">
        <v>46927084</v>
      </c>
      <c r="C15" s="31">
        <v>44396</v>
      </c>
      <c r="D15" s="136">
        <v>12419.267</v>
      </c>
      <c r="E15" s="30" t="s">
        <v>636</v>
      </c>
      <c r="F15" s="30">
        <v>7</v>
      </c>
      <c r="G15" s="30" t="s">
        <v>110</v>
      </c>
      <c r="H15" s="31">
        <v>44394</v>
      </c>
    </row>
    <row r="16" spans="1:10" x14ac:dyDescent="0.3">
      <c r="A16" s="33">
        <v>1212070799</v>
      </c>
      <c r="B16" s="30">
        <v>47937384</v>
      </c>
      <c r="C16" s="31">
        <v>44396</v>
      </c>
      <c r="D16" s="136">
        <v>3520.0619999999999</v>
      </c>
      <c r="E16" s="30" t="s">
        <v>638</v>
      </c>
      <c r="F16" s="30">
        <v>2</v>
      </c>
      <c r="G16" s="30" t="s">
        <v>637</v>
      </c>
      <c r="H16" s="31">
        <v>44394</v>
      </c>
    </row>
    <row r="17" spans="1:8" x14ac:dyDescent="0.3">
      <c r="A17" s="33">
        <v>1212070777</v>
      </c>
      <c r="B17" s="30">
        <v>32933815</v>
      </c>
      <c r="C17" s="31">
        <v>44396</v>
      </c>
      <c r="D17" s="136">
        <v>2219.991</v>
      </c>
      <c r="E17" s="30" t="s">
        <v>638</v>
      </c>
      <c r="F17" s="30">
        <v>1</v>
      </c>
      <c r="G17" s="30" t="s">
        <v>182</v>
      </c>
      <c r="H17" s="31">
        <v>44394</v>
      </c>
    </row>
    <row r="18" spans="1:8" x14ac:dyDescent="0.3">
      <c r="A18" s="34">
        <v>1212069220</v>
      </c>
      <c r="B18" s="30">
        <v>32935089</v>
      </c>
      <c r="C18" s="31">
        <v>44397</v>
      </c>
      <c r="D18" s="136">
        <v>15539.941000000001</v>
      </c>
      <c r="E18" s="30" t="s">
        <v>638</v>
      </c>
      <c r="F18" s="30">
        <v>7</v>
      </c>
      <c r="G18" s="30" t="s">
        <v>639</v>
      </c>
      <c r="H18" s="31">
        <v>44396</v>
      </c>
    </row>
    <row r="19" spans="1:8" x14ac:dyDescent="0.3">
      <c r="A19" s="33">
        <v>1212070773</v>
      </c>
      <c r="B19" s="30">
        <v>32916006</v>
      </c>
      <c r="C19" s="31">
        <v>44398</v>
      </c>
      <c r="D19" s="136">
        <v>4439.9840000000004</v>
      </c>
      <c r="E19" s="30" t="s">
        <v>638</v>
      </c>
      <c r="F19" s="30">
        <v>2</v>
      </c>
      <c r="G19" s="30" t="s">
        <v>110</v>
      </c>
      <c r="H19" s="31">
        <v>44397</v>
      </c>
    </row>
    <row r="20" spans="1:8" x14ac:dyDescent="0.3">
      <c r="A20" s="33">
        <v>1212070793</v>
      </c>
      <c r="B20" s="30">
        <v>45937929</v>
      </c>
      <c r="C20" s="31">
        <v>44398</v>
      </c>
      <c r="D20" s="136">
        <v>1760.0309999999999</v>
      </c>
      <c r="E20" s="30" t="s">
        <v>638</v>
      </c>
      <c r="F20" s="30">
        <v>1</v>
      </c>
      <c r="G20" s="30" t="s">
        <v>110</v>
      </c>
      <c r="H20" s="31">
        <v>44397</v>
      </c>
    </row>
    <row r="21" spans="1:8" x14ac:dyDescent="0.3">
      <c r="A21" s="33">
        <v>1212072587</v>
      </c>
      <c r="B21" s="30">
        <v>73988243</v>
      </c>
      <c r="C21" s="31">
        <v>44399</v>
      </c>
      <c r="D21" s="136">
        <v>12666.89</v>
      </c>
      <c r="E21" s="30" t="s">
        <v>636</v>
      </c>
      <c r="F21" s="30">
        <v>7</v>
      </c>
      <c r="G21" s="30" t="s">
        <v>182</v>
      </c>
      <c r="H21" s="31">
        <v>44398</v>
      </c>
    </row>
    <row r="22" spans="1:8" x14ac:dyDescent="0.3">
      <c r="A22" s="29">
        <v>1212064922</v>
      </c>
      <c r="B22" s="30">
        <v>18919182</v>
      </c>
      <c r="C22" s="31">
        <v>44399</v>
      </c>
      <c r="D22" s="136">
        <v>1760.0309999999999</v>
      </c>
      <c r="E22" s="30" t="s">
        <v>638</v>
      </c>
      <c r="F22" s="30">
        <v>1</v>
      </c>
      <c r="G22" s="30" t="s">
        <v>182</v>
      </c>
      <c r="H22" s="31">
        <v>44398</v>
      </c>
    </row>
    <row r="23" spans="1:8" x14ac:dyDescent="0.3">
      <c r="A23" s="29">
        <v>1212073511</v>
      </c>
      <c r="B23" s="30">
        <v>47939926</v>
      </c>
      <c r="C23" s="31">
        <v>44404</v>
      </c>
      <c r="D23" s="136">
        <v>6659.9740000000002</v>
      </c>
      <c r="E23" s="30" t="s">
        <v>638</v>
      </c>
      <c r="F23" s="30">
        <v>3</v>
      </c>
      <c r="G23" s="30" t="s">
        <v>110</v>
      </c>
      <c r="H23" s="31">
        <v>44404</v>
      </c>
    </row>
    <row r="24" spans="1:8" ht="15" customHeight="1" x14ac:dyDescent="0.3">
      <c r="A24" s="29">
        <v>1212074045</v>
      </c>
      <c r="B24" s="30">
        <v>45900669</v>
      </c>
      <c r="C24" s="31">
        <v>44404</v>
      </c>
      <c r="D24" s="136">
        <v>8849.68</v>
      </c>
      <c r="E24" s="30" t="s">
        <v>636</v>
      </c>
      <c r="F24" s="30">
        <v>5</v>
      </c>
      <c r="G24" s="30" t="s">
        <v>110</v>
      </c>
      <c r="H24" s="31">
        <v>44404</v>
      </c>
    </row>
    <row r="25" spans="1:8" x14ac:dyDescent="0.3">
      <c r="A25" s="29">
        <v>1212064922</v>
      </c>
      <c r="B25" s="30">
        <v>18919182</v>
      </c>
      <c r="C25" s="31">
        <v>44404</v>
      </c>
      <c r="D25" s="136">
        <v>1760.0309999999999</v>
      </c>
      <c r="E25" s="30" t="s">
        <v>638</v>
      </c>
      <c r="F25" s="30">
        <v>1</v>
      </c>
      <c r="G25" s="30" t="s">
        <v>182</v>
      </c>
      <c r="H25" s="31">
        <v>44404</v>
      </c>
    </row>
    <row r="26" spans="1:8" x14ac:dyDescent="0.3">
      <c r="A26" s="29">
        <v>1212073119</v>
      </c>
      <c r="B26" s="30">
        <v>26911963</v>
      </c>
      <c r="C26" s="31">
        <v>44404</v>
      </c>
      <c r="D26" s="136">
        <v>11099.958000000001</v>
      </c>
      <c r="E26" s="30" t="s">
        <v>638</v>
      </c>
      <c r="F26" s="30">
        <v>5</v>
      </c>
      <c r="G26" s="30" t="s">
        <v>182</v>
      </c>
      <c r="H26" s="31">
        <v>44404</v>
      </c>
    </row>
    <row r="27" spans="1:8" x14ac:dyDescent="0.3">
      <c r="A27" s="29">
        <v>1212073503</v>
      </c>
      <c r="B27" s="30">
        <v>14901818</v>
      </c>
      <c r="C27" s="31">
        <v>44404</v>
      </c>
      <c r="D27" s="136">
        <v>4439.9840000000004</v>
      </c>
      <c r="E27" s="30" t="s">
        <v>638</v>
      </c>
      <c r="F27" s="30">
        <v>2</v>
      </c>
      <c r="G27" s="30" t="s">
        <v>182</v>
      </c>
      <c r="H27" s="31">
        <v>44404</v>
      </c>
    </row>
    <row r="28" spans="1:8" x14ac:dyDescent="0.3">
      <c r="A28" s="29">
        <v>1212074810</v>
      </c>
      <c r="B28" s="30">
        <v>38916798</v>
      </c>
      <c r="C28" s="31">
        <v>44405</v>
      </c>
      <c r="D28" s="136">
        <v>4439.9840000000004</v>
      </c>
      <c r="E28" s="30" t="s">
        <v>638</v>
      </c>
      <c r="F28" s="30">
        <v>2</v>
      </c>
      <c r="G28" s="30" t="s">
        <v>182</v>
      </c>
      <c r="H28" s="31">
        <v>44405</v>
      </c>
    </row>
    <row r="29" spans="1:8" x14ac:dyDescent="0.3">
      <c r="A29" s="29">
        <v>1212074811</v>
      </c>
      <c r="B29" s="30">
        <v>45900945</v>
      </c>
      <c r="C29" s="31">
        <v>44405</v>
      </c>
      <c r="D29" s="136">
        <v>3520.0619999999999</v>
      </c>
      <c r="E29" s="30" t="s">
        <v>638</v>
      </c>
      <c r="F29" s="30">
        <v>2</v>
      </c>
      <c r="G29" s="30" t="s">
        <v>182</v>
      </c>
      <c r="H29" s="31">
        <v>44405</v>
      </c>
    </row>
    <row r="30" spans="1:8" x14ac:dyDescent="0.3">
      <c r="A30" s="29">
        <v>1212070779</v>
      </c>
      <c r="B30" s="30">
        <v>35922090</v>
      </c>
      <c r="C30" s="31">
        <v>44406</v>
      </c>
      <c r="D30" s="136">
        <v>5280.0929999999998</v>
      </c>
      <c r="E30" s="30" t="s">
        <v>638</v>
      </c>
      <c r="F30" s="30">
        <v>3</v>
      </c>
      <c r="G30" s="30" t="s">
        <v>182</v>
      </c>
      <c r="H30" s="31">
        <v>44406</v>
      </c>
    </row>
    <row r="31" spans="1:8" x14ac:dyDescent="0.3">
      <c r="A31" s="35">
        <v>1212078022</v>
      </c>
      <c r="B31" s="36">
        <v>36904715</v>
      </c>
      <c r="C31" s="37">
        <v>44413</v>
      </c>
      <c r="D31" s="137">
        <v>5280.0929999999998</v>
      </c>
      <c r="E31" s="36" t="s">
        <v>638</v>
      </c>
      <c r="F31" s="36">
        <v>3</v>
      </c>
      <c r="G31" s="36" t="s">
        <v>182</v>
      </c>
      <c r="H31" s="37">
        <v>44411</v>
      </c>
    </row>
    <row r="32" spans="1:8" x14ac:dyDescent="0.3">
      <c r="A32" s="35">
        <v>1212076680</v>
      </c>
      <c r="B32" s="36">
        <v>47933899</v>
      </c>
      <c r="C32" s="37">
        <v>44413</v>
      </c>
      <c r="D32" s="137">
        <v>4439.9840000000004</v>
      </c>
      <c r="E32" s="36" t="s">
        <v>638</v>
      </c>
      <c r="F32" s="36">
        <v>2</v>
      </c>
      <c r="G32" s="36" t="s">
        <v>182</v>
      </c>
      <c r="H32" s="37">
        <v>44411</v>
      </c>
    </row>
    <row r="33" spans="1:8" x14ac:dyDescent="0.3">
      <c r="A33" s="35">
        <v>1212076664</v>
      </c>
      <c r="B33" s="36">
        <v>36932227</v>
      </c>
      <c r="C33" s="37">
        <v>44413</v>
      </c>
      <c r="D33" s="137">
        <v>2219.991</v>
      </c>
      <c r="E33" s="36" t="s">
        <v>638</v>
      </c>
      <c r="F33" s="36">
        <v>1</v>
      </c>
      <c r="G33" s="36" t="s">
        <v>110</v>
      </c>
      <c r="H33" s="37">
        <v>44411</v>
      </c>
    </row>
    <row r="34" spans="1:8" x14ac:dyDescent="0.3">
      <c r="A34" s="35">
        <v>1212078491</v>
      </c>
      <c r="B34" s="36">
        <v>20986633</v>
      </c>
      <c r="C34" s="37">
        <v>44414</v>
      </c>
      <c r="D34" s="137">
        <v>3520.0619999999999</v>
      </c>
      <c r="E34" s="36" t="s">
        <v>638</v>
      </c>
      <c r="F34" s="36">
        <v>2</v>
      </c>
      <c r="G34" s="36" t="s">
        <v>110</v>
      </c>
      <c r="H34" s="37">
        <v>44413</v>
      </c>
    </row>
    <row r="35" spans="1:8" x14ac:dyDescent="0.3">
      <c r="A35" s="35">
        <v>1212078018</v>
      </c>
      <c r="B35" s="36">
        <v>33902722</v>
      </c>
      <c r="C35" s="37">
        <v>44414</v>
      </c>
      <c r="D35" s="137">
        <v>4439.9840000000004</v>
      </c>
      <c r="E35" s="36" t="s">
        <v>638</v>
      </c>
      <c r="F35" s="36">
        <v>2</v>
      </c>
      <c r="G35" s="36" t="s">
        <v>110</v>
      </c>
      <c r="H35" s="37">
        <v>44413</v>
      </c>
    </row>
    <row r="36" spans="1:8" x14ac:dyDescent="0.3">
      <c r="A36" s="35">
        <v>1212078067</v>
      </c>
      <c r="B36" s="36">
        <v>46927201</v>
      </c>
      <c r="C36" s="37">
        <v>44414</v>
      </c>
      <c r="D36" s="137">
        <v>15539.941000000001</v>
      </c>
      <c r="E36" s="36" t="s">
        <v>638</v>
      </c>
      <c r="F36" s="36">
        <v>7</v>
      </c>
      <c r="G36" s="36" t="s">
        <v>110</v>
      </c>
      <c r="H36" s="37">
        <v>44413</v>
      </c>
    </row>
    <row r="37" spans="1:8" x14ac:dyDescent="0.3">
      <c r="A37" s="35">
        <v>1212078017</v>
      </c>
      <c r="B37" s="36">
        <v>32916006</v>
      </c>
      <c r="C37" s="37">
        <v>44414</v>
      </c>
      <c r="D37" s="137">
        <v>8879.9670000000006</v>
      </c>
      <c r="E37" s="36" t="s">
        <v>638</v>
      </c>
      <c r="F37" s="36">
        <v>4</v>
      </c>
      <c r="G37" s="36" t="s">
        <v>110</v>
      </c>
      <c r="H37" s="37">
        <v>44413</v>
      </c>
    </row>
    <row r="38" spans="1:8" x14ac:dyDescent="0.3">
      <c r="A38" s="35">
        <v>1212078507</v>
      </c>
      <c r="B38" s="36">
        <v>47939926</v>
      </c>
      <c r="C38" s="37">
        <v>44414</v>
      </c>
      <c r="D38" s="137">
        <v>11099.958000000001</v>
      </c>
      <c r="E38" s="36" t="s">
        <v>638</v>
      </c>
      <c r="F38" s="36">
        <v>5</v>
      </c>
      <c r="G38" s="36" t="s">
        <v>110</v>
      </c>
      <c r="H38" s="37">
        <v>44413</v>
      </c>
    </row>
    <row r="39" spans="1:8" x14ac:dyDescent="0.3">
      <c r="A39" s="35">
        <v>1212078506</v>
      </c>
      <c r="B39" s="36">
        <v>47939653</v>
      </c>
      <c r="C39" s="37">
        <v>44414</v>
      </c>
      <c r="D39" s="137">
        <v>8879.9670000000006</v>
      </c>
      <c r="E39" s="36" t="s">
        <v>638</v>
      </c>
      <c r="F39" s="36">
        <v>4</v>
      </c>
      <c r="G39" s="36" t="s">
        <v>110</v>
      </c>
      <c r="H39" s="37">
        <v>44413</v>
      </c>
    </row>
    <row r="40" spans="1:8" x14ac:dyDescent="0.3">
      <c r="A40" s="35">
        <v>1212077562</v>
      </c>
      <c r="B40" s="36">
        <v>18923608</v>
      </c>
      <c r="C40" s="37">
        <v>44414</v>
      </c>
      <c r="D40" s="137">
        <v>13319.948</v>
      </c>
      <c r="E40" s="36" t="s">
        <v>638</v>
      </c>
      <c r="F40" s="36">
        <v>6</v>
      </c>
      <c r="G40" s="36" t="s">
        <v>182</v>
      </c>
      <c r="H40" s="37">
        <v>44413</v>
      </c>
    </row>
    <row r="41" spans="1:8" x14ac:dyDescent="0.3">
      <c r="A41" s="35">
        <v>1212077565</v>
      </c>
      <c r="B41" s="36">
        <v>31924193</v>
      </c>
      <c r="C41" s="37">
        <v>44414</v>
      </c>
      <c r="D41" s="137">
        <v>2219.991</v>
      </c>
      <c r="E41" s="36" t="s">
        <v>638</v>
      </c>
      <c r="F41" s="36">
        <v>1</v>
      </c>
      <c r="G41" s="36" t="s">
        <v>182</v>
      </c>
      <c r="H41" s="37">
        <v>44413</v>
      </c>
    </row>
    <row r="42" spans="1:8" x14ac:dyDescent="0.3">
      <c r="A42" s="35">
        <v>1212077566</v>
      </c>
      <c r="B42" s="36">
        <v>33901209</v>
      </c>
      <c r="C42" s="37">
        <v>44414</v>
      </c>
      <c r="D42" s="137">
        <v>2219.991</v>
      </c>
      <c r="E42" s="36" t="s">
        <v>638</v>
      </c>
      <c r="F42" s="36">
        <v>1</v>
      </c>
      <c r="G42" s="36" t="s">
        <v>182</v>
      </c>
      <c r="H42" s="37">
        <v>44413</v>
      </c>
    </row>
    <row r="43" spans="1:8" x14ac:dyDescent="0.3">
      <c r="A43" s="35">
        <v>1212077556</v>
      </c>
      <c r="B43" s="36">
        <v>5920037</v>
      </c>
      <c r="C43" s="37">
        <v>44414</v>
      </c>
      <c r="D43" s="137">
        <v>6659.9740000000002</v>
      </c>
      <c r="E43" s="36" t="s">
        <v>638</v>
      </c>
      <c r="F43" s="36">
        <v>3</v>
      </c>
      <c r="G43" s="36" t="s">
        <v>182</v>
      </c>
      <c r="H43" s="37">
        <v>44413</v>
      </c>
    </row>
    <row r="44" spans="1:8" x14ac:dyDescent="0.3">
      <c r="A44" s="35">
        <v>1212077554</v>
      </c>
      <c r="B44" s="36">
        <v>3910726</v>
      </c>
      <c r="C44" s="37">
        <v>44414</v>
      </c>
      <c r="D44" s="137">
        <v>2219.991</v>
      </c>
      <c r="E44" s="36" t="s">
        <v>638</v>
      </c>
      <c r="F44" s="36">
        <v>1</v>
      </c>
      <c r="G44" s="36" t="s">
        <v>182</v>
      </c>
      <c r="H44" s="37">
        <v>44413</v>
      </c>
    </row>
    <row r="45" spans="1:8" x14ac:dyDescent="0.3">
      <c r="A45" s="35">
        <v>1212078884</v>
      </c>
      <c r="B45" s="36">
        <v>32924913</v>
      </c>
      <c r="C45" s="37">
        <v>44417</v>
      </c>
      <c r="D45" s="137">
        <v>7040.1239999999998</v>
      </c>
      <c r="E45" s="36" t="s">
        <v>638</v>
      </c>
      <c r="F45" s="36">
        <v>4</v>
      </c>
      <c r="G45" s="36" t="s">
        <v>110</v>
      </c>
      <c r="H45" s="37">
        <v>44417</v>
      </c>
    </row>
    <row r="46" spans="1:8" x14ac:dyDescent="0.3">
      <c r="A46" s="35">
        <v>1212078875</v>
      </c>
      <c r="B46" s="36">
        <v>5929132</v>
      </c>
      <c r="C46" s="37">
        <v>44417</v>
      </c>
      <c r="D46" s="137">
        <v>7305.3670000000002</v>
      </c>
      <c r="E46" s="36" t="s">
        <v>638</v>
      </c>
      <c r="F46" s="36">
        <v>4</v>
      </c>
      <c r="G46" s="36" t="s">
        <v>182</v>
      </c>
      <c r="H46" s="37">
        <v>44418</v>
      </c>
    </row>
    <row r="47" spans="1:8" x14ac:dyDescent="0.3">
      <c r="A47" s="35">
        <v>1212078874</v>
      </c>
      <c r="B47" s="36">
        <v>3903567</v>
      </c>
      <c r="C47" s="37">
        <v>44417</v>
      </c>
      <c r="D47" s="137">
        <v>2219.991</v>
      </c>
      <c r="E47" s="36" t="s">
        <v>638</v>
      </c>
      <c r="F47" s="36">
        <v>1</v>
      </c>
      <c r="G47" s="36" t="s">
        <v>182</v>
      </c>
      <c r="H47" s="37">
        <v>44419</v>
      </c>
    </row>
    <row r="48" spans="1:8" x14ac:dyDescent="0.3">
      <c r="A48" s="35">
        <v>1212077555</v>
      </c>
      <c r="B48" s="36">
        <v>3948159</v>
      </c>
      <c r="C48" s="37">
        <v>44413</v>
      </c>
      <c r="D48" s="137">
        <v>3520.0619999999999</v>
      </c>
      <c r="E48" s="36" t="s">
        <v>638</v>
      </c>
      <c r="F48" s="36">
        <v>2</v>
      </c>
      <c r="G48" s="36" t="s">
        <v>182</v>
      </c>
      <c r="H48" s="37">
        <v>44411</v>
      </c>
    </row>
    <row r="49" spans="1:8" x14ac:dyDescent="0.3">
      <c r="A49" s="35">
        <v>1212077557</v>
      </c>
      <c r="B49" s="36">
        <v>11922583</v>
      </c>
      <c r="C49" s="37">
        <v>44413</v>
      </c>
      <c r="D49" s="138">
        <v>2219.991</v>
      </c>
      <c r="E49" s="36" t="s">
        <v>638</v>
      </c>
      <c r="F49" s="36">
        <v>1</v>
      </c>
      <c r="G49" s="36" t="s">
        <v>182</v>
      </c>
      <c r="H49" s="37">
        <v>44411</v>
      </c>
    </row>
    <row r="50" spans="1:8" x14ac:dyDescent="0.3">
      <c r="A50" s="35">
        <v>1212077563</v>
      </c>
      <c r="B50" s="36">
        <v>18934538</v>
      </c>
      <c r="C50" s="37">
        <v>44413</v>
      </c>
      <c r="D50" s="137">
        <v>10560.186</v>
      </c>
      <c r="E50" s="36" t="s">
        <v>638</v>
      </c>
      <c r="F50" s="36">
        <v>6</v>
      </c>
      <c r="G50" s="36" t="s">
        <v>182</v>
      </c>
      <c r="H50" s="37">
        <v>44411</v>
      </c>
    </row>
    <row r="51" spans="1:8" x14ac:dyDescent="0.3">
      <c r="A51" s="35">
        <v>1212078032</v>
      </c>
      <c r="B51" s="36">
        <v>47936999</v>
      </c>
      <c r="C51" s="37">
        <v>44414</v>
      </c>
      <c r="D51" s="137">
        <v>799.20500000000004</v>
      </c>
      <c r="E51" s="36" t="s">
        <v>638</v>
      </c>
      <c r="F51" s="36">
        <v>1</v>
      </c>
      <c r="G51" s="36" t="s">
        <v>182</v>
      </c>
      <c r="H51" s="37">
        <v>44413</v>
      </c>
    </row>
    <row r="52" spans="1:8" x14ac:dyDescent="0.3">
      <c r="A52" s="35">
        <v>1212078489</v>
      </c>
      <c r="B52" s="36">
        <v>14901818</v>
      </c>
      <c r="C52" s="37">
        <v>44414</v>
      </c>
      <c r="D52" s="137">
        <v>799.20500000000004</v>
      </c>
      <c r="E52" s="36" t="s">
        <v>638</v>
      </c>
      <c r="F52" s="36">
        <v>1</v>
      </c>
      <c r="G52" s="36" t="s">
        <v>182</v>
      </c>
      <c r="H52" s="37">
        <v>44413</v>
      </c>
    </row>
    <row r="53" spans="1:8" x14ac:dyDescent="0.3">
      <c r="A53" s="35">
        <v>1212077564</v>
      </c>
      <c r="B53" s="36">
        <v>25912083</v>
      </c>
      <c r="C53" s="37">
        <v>44414</v>
      </c>
      <c r="D53" s="137">
        <v>13319.948</v>
      </c>
      <c r="E53" s="36" t="s">
        <v>638</v>
      </c>
      <c r="F53" s="36">
        <v>6</v>
      </c>
      <c r="G53" s="36" t="s">
        <v>182</v>
      </c>
      <c r="H53" s="37">
        <v>44413</v>
      </c>
    </row>
    <row r="54" spans="1:8" x14ac:dyDescent="0.3">
      <c r="A54" s="35">
        <v>1212078030</v>
      </c>
      <c r="B54" s="36">
        <v>47936649</v>
      </c>
      <c r="C54" s="37">
        <v>44414</v>
      </c>
      <c r="D54" s="137">
        <v>6659.9740000000002</v>
      </c>
      <c r="E54" s="36" t="s">
        <v>638</v>
      </c>
      <c r="F54" s="36">
        <v>3</v>
      </c>
      <c r="G54" s="36" t="s">
        <v>182</v>
      </c>
      <c r="H54" s="37">
        <v>44413</v>
      </c>
    </row>
    <row r="55" spans="1:8" x14ac:dyDescent="0.3">
      <c r="A55" s="35">
        <v>1212078034</v>
      </c>
      <c r="B55" s="36">
        <v>47937855</v>
      </c>
      <c r="C55" s="37">
        <v>44414</v>
      </c>
      <c r="D55" s="137">
        <v>2219.991</v>
      </c>
      <c r="E55" s="36" t="s">
        <v>638</v>
      </c>
      <c r="F55" s="36">
        <v>1</v>
      </c>
      <c r="G55" s="36" t="s">
        <v>182</v>
      </c>
      <c r="H55" s="37">
        <v>44413</v>
      </c>
    </row>
    <row r="56" spans="1:8" x14ac:dyDescent="0.3">
      <c r="A56" s="35">
        <v>1212078498</v>
      </c>
      <c r="B56" s="36">
        <v>33904075</v>
      </c>
      <c r="C56" s="37">
        <v>44414</v>
      </c>
      <c r="D56" s="137">
        <v>2219.991</v>
      </c>
      <c r="E56" s="36" t="s">
        <v>638</v>
      </c>
      <c r="F56" s="36">
        <v>1</v>
      </c>
      <c r="G56" s="36" t="s">
        <v>182</v>
      </c>
      <c r="H56" s="37">
        <v>44413</v>
      </c>
    </row>
    <row r="57" spans="1:8" x14ac:dyDescent="0.3">
      <c r="A57" s="35">
        <v>1212078019</v>
      </c>
      <c r="B57" s="36">
        <v>33903338</v>
      </c>
      <c r="C57" s="37">
        <v>44414</v>
      </c>
      <c r="D57" s="137">
        <v>2219.991</v>
      </c>
      <c r="E57" s="36" t="s">
        <v>638</v>
      </c>
      <c r="F57" s="36">
        <v>1</v>
      </c>
      <c r="G57" s="36" t="s">
        <v>182</v>
      </c>
      <c r="H57" s="37">
        <v>44413</v>
      </c>
    </row>
    <row r="58" spans="1:8" x14ac:dyDescent="0.3">
      <c r="A58" s="35">
        <v>1212079240</v>
      </c>
      <c r="B58" s="36">
        <v>45904704</v>
      </c>
      <c r="C58" s="37">
        <v>44418</v>
      </c>
      <c r="D58" s="137">
        <v>1809.556</v>
      </c>
      <c r="E58" s="36" t="s">
        <v>638</v>
      </c>
      <c r="F58" s="36">
        <v>1</v>
      </c>
      <c r="G58" s="36" t="s">
        <v>182</v>
      </c>
      <c r="H58" s="37">
        <v>44417</v>
      </c>
    </row>
    <row r="59" spans="1:8" x14ac:dyDescent="0.3">
      <c r="A59" s="35">
        <v>1212079235</v>
      </c>
      <c r="B59" s="36">
        <v>33911762</v>
      </c>
      <c r="C59" s="37">
        <v>44418</v>
      </c>
      <c r="D59" s="137">
        <v>3569.587</v>
      </c>
      <c r="E59" s="36" t="s">
        <v>638</v>
      </c>
      <c r="F59" s="36">
        <v>2</v>
      </c>
      <c r="G59" s="36" t="s">
        <v>182</v>
      </c>
      <c r="H59" s="37">
        <v>44417</v>
      </c>
    </row>
    <row r="60" spans="1:8" x14ac:dyDescent="0.3">
      <c r="A60" s="35">
        <v>1212079239</v>
      </c>
      <c r="B60" s="36">
        <v>38922174</v>
      </c>
      <c r="C60" s="37">
        <v>44418</v>
      </c>
      <c r="D60" s="137">
        <v>4439.9840000000004</v>
      </c>
      <c r="E60" s="36" t="s">
        <v>638</v>
      </c>
      <c r="F60" s="36">
        <v>2</v>
      </c>
      <c r="G60" s="36" t="s">
        <v>182</v>
      </c>
      <c r="H60" s="37">
        <v>44417</v>
      </c>
    </row>
    <row r="61" spans="1:8" x14ac:dyDescent="0.3">
      <c r="A61" s="35">
        <v>1212079234</v>
      </c>
      <c r="B61" s="36">
        <v>25921367</v>
      </c>
      <c r="C61" s="37">
        <v>44418</v>
      </c>
      <c r="D61" s="137">
        <v>15889.804</v>
      </c>
      <c r="E61" s="36" t="s">
        <v>638</v>
      </c>
      <c r="F61" s="36">
        <v>9</v>
      </c>
      <c r="G61" s="36" t="s">
        <v>110</v>
      </c>
      <c r="H61" s="37">
        <v>44417</v>
      </c>
    </row>
    <row r="62" spans="1:8" x14ac:dyDescent="0.3">
      <c r="A62" s="35">
        <v>1212069210</v>
      </c>
      <c r="B62" s="36">
        <v>14920963</v>
      </c>
      <c r="C62" s="37">
        <v>44421</v>
      </c>
      <c r="D62" s="137">
        <v>6659.9740000000002</v>
      </c>
      <c r="E62" s="36" t="s">
        <v>638</v>
      </c>
      <c r="F62" s="36">
        <v>3</v>
      </c>
      <c r="G62" s="36" t="s">
        <v>110</v>
      </c>
      <c r="H62" s="37">
        <v>44421</v>
      </c>
    </row>
    <row r="63" spans="1:8" x14ac:dyDescent="0.3">
      <c r="A63" s="35">
        <v>1212081827</v>
      </c>
      <c r="B63" s="36">
        <v>38925795</v>
      </c>
      <c r="C63" s="37">
        <v>44425</v>
      </c>
      <c r="D63" s="137">
        <v>14129.772999999999</v>
      </c>
      <c r="E63" s="36" t="s">
        <v>638</v>
      </c>
      <c r="F63" s="36">
        <v>8</v>
      </c>
      <c r="G63" s="36" t="s">
        <v>110</v>
      </c>
      <c r="H63" s="37">
        <v>44421</v>
      </c>
    </row>
    <row r="64" spans="1:8" x14ac:dyDescent="0.3">
      <c r="A64" s="35">
        <v>1212087202</v>
      </c>
      <c r="B64" s="36">
        <v>33920336</v>
      </c>
      <c r="C64" s="37">
        <v>44439</v>
      </c>
      <c r="D64" s="137">
        <v>3520.0619999999999</v>
      </c>
      <c r="E64" s="36" t="s">
        <v>638</v>
      </c>
      <c r="F64" s="36">
        <v>2</v>
      </c>
      <c r="G64" s="36" t="s">
        <v>110</v>
      </c>
      <c r="H64" s="37">
        <v>44439</v>
      </c>
    </row>
    <row r="65" spans="1:8" x14ac:dyDescent="0.3">
      <c r="A65" s="35">
        <v>1212089374</v>
      </c>
      <c r="B65" s="36">
        <v>14918723</v>
      </c>
      <c r="C65" s="37">
        <v>44446</v>
      </c>
      <c r="D65" s="137">
        <v>1760.0309999999999</v>
      </c>
      <c r="E65" s="36" t="s">
        <v>638</v>
      </c>
      <c r="F65" s="36">
        <v>1</v>
      </c>
      <c r="G65" s="36" t="s">
        <v>110</v>
      </c>
      <c r="H65" s="37">
        <v>44446</v>
      </c>
    </row>
    <row r="66" spans="1:8" x14ac:dyDescent="0.3">
      <c r="A66" s="38">
        <v>1212091819</v>
      </c>
      <c r="B66" s="36">
        <v>32937612</v>
      </c>
      <c r="C66" s="37">
        <v>44453</v>
      </c>
      <c r="D66" s="137">
        <v>5280.0929999999998</v>
      </c>
      <c r="E66" s="36" t="s">
        <v>638</v>
      </c>
      <c r="F66" s="36">
        <v>3</v>
      </c>
      <c r="G66" s="36" t="s">
        <v>110</v>
      </c>
      <c r="H66" s="37">
        <v>44453</v>
      </c>
    </row>
    <row r="67" spans="1:8" x14ac:dyDescent="0.3">
      <c r="A67" s="39">
        <v>1212094613</v>
      </c>
      <c r="B67" s="36">
        <v>25939012</v>
      </c>
      <c r="C67" s="37">
        <v>44459</v>
      </c>
      <c r="D67" s="137">
        <v>1760.0309999999999</v>
      </c>
      <c r="E67" s="36" t="s">
        <v>638</v>
      </c>
      <c r="F67" s="36">
        <v>1</v>
      </c>
      <c r="G67" s="36" t="s">
        <v>110</v>
      </c>
      <c r="H67" s="37">
        <v>44459</v>
      </c>
    </row>
    <row r="68" spans="1:8" x14ac:dyDescent="0.3">
      <c r="A68" s="38">
        <v>1212097585</v>
      </c>
      <c r="B68" s="68">
        <v>26938843</v>
      </c>
      <c r="C68" s="37">
        <v>44466</v>
      </c>
      <c r="D68" s="137">
        <v>8800.1550000000007</v>
      </c>
      <c r="E68" s="36" t="s">
        <v>638</v>
      </c>
      <c r="F68" s="36">
        <v>5</v>
      </c>
      <c r="G68" s="36" t="s">
        <v>110</v>
      </c>
      <c r="H68" s="37">
        <v>44466</v>
      </c>
    </row>
    <row r="69" spans="1:8" x14ac:dyDescent="0.3">
      <c r="A69" s="35">
        <v>1212098869</v>
      </c>
      <c r="B69" s="36">
        <v>3945599</v>
      </c>
      <c r="C69" s="37">
        <v>44468</v>
      </c>
      <c r="D69" s="137">
        <v>1809.556</v>
      </c>
      <c r="E69" s="36" t="s">
        <v>638</v>
      </c>
      <c r="F69" s="36">
        <v>1</v>
      </c>
      <c r="G69" s="36" t="s">
        <v>110</v>
      </c>
      <c r="H69" s="37">
        <v>44467</v>
      </c>
    </row>
    <row r="70" spans="1:8" x14ac:dyDescent="0.3">
      <c r="A70" s="35">
        <v>1212099088</v>
      </c>
      <c r="B70" s="36">
        <v>9857090</v>
      </c>
      <c r="C70" s="37">
        <v>44468</v>
      </c>
      <c r="D70" s="137">
        <v>147.999</v>
      </c>
      <c r="E70" s="36" t="s">
        <v>638</v>
      </c>
      <c r="F70" s="36">
        <v>1</v>
      </c>
      <c r="G70" s="36" t="s">
        <v>110</v>
      </c>
      <c r="H70" s="37">
        <v>44467</v>
      </c>
    </row>
    <row r="71" spans="1:8" x14ac:dyDescent="0.3">
      <c r="A71" s="35">
        <v>1212099090</v>
      </c>
      <c r="B71" s="36">
        <v>9857415</v>
      </c>
      <c r="C71" s="37">
        <v>44468</v>
      </c>
      <c r="D71" s="137">
        <v>147.999</v>
      </c>
      <c r="E71" s="36" t="s">
        <v>638</v>
      </c>
      <c r="F71" s="36">
        <v>1</v>
      </c>
      <c r="G71" s="36" t="s">
        <v>110</v>
      </c>
      <c r="H71" s="37">
        <v>44467</v>
      </c>
    </row>
    <row r="72" spans="1:8" x14ac:dyDescent="0.3">
      <c r="A72" s="35">
        <v>1212099092</v>
      </c>
      <c r="B72" s="36">
        <v>9860184</v>
      </c>
      <c r="C72" s="37">
        <v>44468</v>
      </c>
      <c r="D72" s="137">
        <v>133.20099999999999</v>
      </c>
      <c r="E72" s="36" t="s">
        <v>638</v>
      </c>
      <c r="F72" s="36">
        <v>1</v>
      </c>
      <c r="G72" s="36" t="s">
        <v>110</v>
      </c>
      <c r="H72" s="37">
        <v>44467</v>
      </c>
    </row>
    <row r="73" spans="1:8" x14ac:dyDescent="0.3">
      <c r="A73" s="35">
        <v>1212098999</v>
      </c>
      <c r="B73" s="36">
        <v>5586110</v>
      </c>
      <c r="C73" s="37">
        <v>44468</v>
      </c>
      <c r="D73" s="137">
        <v>550.01</v>
      </c>
      <c r="E73" s="36" t="s">
        <v>638</v>
      </c>
      <c r="F73" s="36">
        <v>1</v>
      </c>
      <c r="G73" s="36" t="s">
        <v>110</v>
      </c>
      <c r="H73" s="37">
        <v>44467</v>
      </c>
    </row>
    <row r="74" spans="1:8" x14ac:dyDescent="0.3">
      <c r="A74" s="35">
        <v>1212099069</v>
      </c>
      <c r="B74" s="36">
        <v>17577031</v>
      </c>
      <c r="C74" s="37">
        <v>44468</v>
      </c>
      <c r="D74" s="137">
        <v>220.00399999999999</v>
      </c>
      <c r="E74" s="36" t="s">
        <v>638</v>
      </c>
      <c r="F74" s="36">
        <v>1</v>
      </c>
      <c r="G74" s="36" t="s">
        <v>110</v>
      </c>
      <c r="H74" s="37">
        <v>44467</v>
      </c>
    </row>
    <row r="75" spans="1:8" x14ac:dyDescent="0.3">
      <c r="A75" s="35">
        <v>1212099070</v>
      </c>
      <c r="B75" s="36">
        <v>18562421</v>
      </c>
      <c r="C75" s="37">
        <v>44468</v>
      </c>
      <c r="D75" s="137">
        <v>55.000999999999998</v>
      </c>
      <c r="E75" s="36" t="s">
        <v>638</v>
      </c>
      <c r="F75" s="36">
        <v>1</v>
      </c>
      <c r="G75" s="36" t="s">
        <v>110</v>
      </c>
      <c r="H75" s="37">
        <v>44467</v>
      </c>
    </row>
    <row r="76" spans="1:8" x14ac:dyDescent="0.3">
      <c r="A76" s="35">
        <v>1212099750</v>
      </c>
      <c r="B76" s="36">
        <v>28587763</v>
      </c>
      <c r="C76" s="37">
        <v>44469</v>
      </c>
      <c r="D76" s="137">
        <v>110.002</v>
      </c>
      <c r="E76" s="36" t="s">
        <v>638</v>
      </c>
      <c r="F76" s="36">
        <v>1</v>
      </c>
      <c r="G76" s="36" t="s">
        <v>110</v>
      </c>
      <c r="H76" s="37">
        <v>44469</v>
      </c>
    </row>
    <row r="77" spans="1:8" x14ac:dyDescent="0.3">
      <c r="A77" s="35">
        <v>1212099732</v>
      </c>
      <c r="B77" s="36">
        <v>9924281</v>
      </c>
      <c r="C77" s="37">
        <v>44469</v>
      </c>
      <c r="D77" s="137">
        <v>1210.021</v>
      </c>
      <c r="E77" s="36" t="s">
        <v>638</v>
      </c>
      <c r="F77" s="36">
        <v>1</v>
      </c>
      <c r="G77" s="36" t="s">
        <v>110</v>
      </c>
      <c r="H77" s="37">
        <v>44469</v>
      </c>
    </row>
    <row r="78" spans="1:8" x14ac:dyDescent="0.3">
      <c r="A78" s="35">
        <v>1212099743</v>
      </c>
      <c r="B78" s="36">
        <v>9981603</v>
      </c>
      <c r="C78" s="37">
        <v>44469</v>
      </c>
      <c r="D78" s="137">
        <v>72.602999999999994</v>
      </c>
      <c r="E78" s="36" t="s">
        <v>638</v>
      </c>
      <c r="F78" s="36">
        <v>1</v>
      </c>
      <c r="G78" s="36" t="s">
        <v>110</v>
      </c>
      <c r="H78" s="37">
        <v>44469</v>
      </c>
    </row>
    <row r="79" spans="1:8" x14ac:dyDescent="0.3">
      <c r="A79" s="35">
        <v>1212099739</v>
      </c>
      <c r="B79" s="36">
        <v>9959387</v>
      </c>
      <c r="C79" s="37">
        <v>44469</v>
      </c>
      <c r="D79" s="137">
        <v>1849.9929999999999</v>
      </c>
      <c r="E79" s="36" t="s">
        <v>638</v>
      </c>
      <c r="F79" s="36">
        <v>1</v>
      </c>
      <c r="G79" s="36" t="s">
        <v>110</v>
      </c>
      <c r="H79" s="37">
        <v>44469</v>
      </c>
    </row>
    <row r="80" spans="1:8" x14ac:dyDescent="0.3">
      <c r="A80" s="40">
        <v>1212100324</v>
      </c>
      <c r="B80" s="68">
        <v>18919355</v>
      </c>
      <c r="C80" s="37">
        <v>44473</v>
      </c>
      <c r="D80" s="137">
        <v>17600.310000000001</v>
      </c>
      <c r="E80" s="36" t="s">
        <v>638</v>
      </c>
      <c r="F80" s="36">
        <v>10</v>
      </c>
      <c r="G80" s="36" t="s">
        <v>110</v>
      </c>
      <c r="H80" s="37">
        <v>44470</v>
      </c>
    </row>
    <row r="81" spans="1:8" x14ac:dyDescent="0.3">
      <c r="A81" s="35">
        <v>1212100922</v>
      </c>
      <c r="B81" s="36">
        <v>47929164</v>
      </c>
      <c r="C81" s="37">
        <v>44475</v>
      </c>
      <c r="D81" s="137">
        <v>19361</v>
      </c>
      <c r="E81" s="36" t="s">
        <v>638</v>
      </c>
      <c r="F81" s="36">
        <v>11</v>
      </c>
      <c r="G81" s="36" t="s">
        <v>110</v>
      </c>
      <c r="H81" s="37">
        <v>44474</v>
      </c>
    </row>
    <row r="82" spans="1:8" x14ac:dyDescent="0.3">
      <c r="A82" s="35">
        <v>1212101782</v>
      </c>
      <c r="B82" s="36">
        <v>18919872</v>
      </c>
      <c r="C82" s="37">
        <v>44476</v>
      </c>
      <c r="D82" s="137">
        <v>19361</v>
      </c>
      <c r="E82" s="36" t="s">
        <v>638</v>
      </c>
      <c r="F82" s="36">
        <v>11</v>
      </c>
      <c r="G82" s="36" t="s">
        <v>110</v>
      </c>
      <c r="H82" s="37">
        <v>44476</v>
      </c>
    </row>
    <row r="83" spans="1:8" x14ac:dyDescent="0.3">
      <c r="A83" s="35">
        <v>1212102439</v>
      </c>
      <c r="B83" s="36">
        <v>23584198</v>
      </c>
      <c r="C83" s="37">
        <v>44476</v>
      </c>
      <c r="D83" s="138">
        <v>275.005</v>
      </c>
      <c r="E83" s="36" t="s">
        <v>638</v>
      </c>
      <c r="F83" s="36">
        <v>1</v>
      </c>
      <c r="G83" s="36" t="s">
        <v>110</v>
      </c>
      <c r="H83" s="37">
        <v>44476</v>
      </c>
    </row>
    <row r="84" spans="1:8" x14ac:dyDescent="0.3">
      <c r="A84" s="35">
        <v>1212102457</v>
      </c>
      <c r="B84" s="36">
        <v>60566080</v>
      </c>
      <c r="C84" s="37">
        <v>44476</v>
      </c>
      <c r="D84" s="137">
        <v>110.002</v>
      </c>
      <c r="E84" s="36" t="s">
        <v>638</v>
      </c>
      <c r="F84" s="36">
        <v>1</v>
      </c>
      <c r="G84" s="36" t="s">
        <v>110</v>
      </c>
      <c r="H84" s="37">
        <v>44476</v>
      </c>
    </row>
    <row r="85" spans="1:8" x14ac:dyDescent="0.3">
      <c r="A85" s="35">
        <v>1212102461</v>
      </c>
      <c r="B85" s="36">
        <v>77587725</v>
      </c>
      <c r="C85" s="37">
        <v>44476</v>
      </c>
      <c r="D85" s="137">
        <v>364.91399999999999</v>
      </c>
      <c r="E85" s="36" t="s">
        <v>638</v>
      </c>
      <c r="F85" s="36">
        <v>1</v>
      </c>
      <c r="G85" s="36" t="s">
        <v>110</v>
      </c>
      <c r="H85" s="37">
        <v>44476</v>
      </c>
    </row>
    <row r="86" spans="1:8" x14ac:dyDescent="0.3">
      <c r="A86" s="35">
        <v>1212102430</v>
      </c>
      <c r="B86" s="36">
        <v>13640039</v>
      </c>
      <c r="C86" s="37">
        <v>44476</v>
      </c>
      <c r="D86" s="137">
        <v>628.99699999999996</v>
      </c>
      <c r="E86" s="36" t="s">
        <v>638</v>
      </c>
      <c r="F86" s="36">
        <v>1</v>
      </c>
      <c r="G86" s="36" t="s">
        <v>110</v>
      </c>
      <c r="H86" s="37">
        <v>44476</v>
      </c>
    </row>
    <row r="87" spans="1:8" x14ac:dyDescent="0.3">
      <c r="A87" s="35">
        <v>1212102425</v>
      </c>
      <c r="B87" s="36">
        <v>13608232</v>
      </c>
      <c r="C87" s="37">
        <v>44476</v>
      </c>
      <c r="D87" s="137">
        <v>50.265000000000001</v>
      </c>
      <c r="E87" s="36" t="s">
        <v>638</v>
      </c>
      <c r="F87" s="36">
        <v>1</v>
      </c>
      <c r="G87" s="36" t="s">
        <v>110</v>
      </c>
      <c r="H87" s="37">
        <v>44476</v>
      </c>
    </row>
    <row r="88" spans="1:8" x14ac:dyDescent="0.3">
      <c r="A88" s="35">
        <v>1212103019</v>
      </c>
      <c r="B88" s="36">
        <v>35929926</v>
      </c>
      <c r="C88" s="37">
        <v>44480</v>
      </c>
      <c r="D88" s="137">
        <v>10610</v>
      </c>
      <c r="E88" s="36" t="s">
        <v>638</v>
      </c>
      <c r="F88" s="36">
        <v>6</v>
      </c>
      <c r="G88" s="36" t="s">
        <v>110</v>
      </c>
      <c r="H88" s="37">
        <v>44479</v>
      </c>
    </row>
    <row r="89" spans="1:8" x14ac:dyDescent="0.3">
      <c r="A89" s="35">
        <v>1212103023</v>
      </c>
      <c r="B89" s="36">
        <v>36931353</v>
      </c>
      <c r="C89" s="37">
        <v>44481</v>
      </c>
      <c r="D89" s="137">
        <v>3521</v>
      </c>
      <c r="E89" s="36" t="s">
        <v>638</v>
      </c>
      <c r="F89" s="36">
        <v>2</v>
      </c>
      <c r="G89" s="36" t="s">
        <v>110</v>
      </c>
      <c r="H89" s="37">
        <v>44481</v>
      </c>
    </row>
    <row r="90" spans="1:8" x14ac:dyDescent="0.3">
      <c r="A90" s="35">
        <v>1212103024</v>
      </c>
      <c r="B90" s="36">
        <v>36931354</v>
      </c>
      <c r="C90" s="37">
        <v>44481</v>
      </c>
      <c r="D90" s="137">
        <v>7041</v>
      </c>
      <c r="E90" s="36" t="s">
        <v>638</v>
      </c>
      <c r="F90" s="36">
        <v>4</v>
      </c>
      <c r="G90" s="36" t="s">
        <v>110</v>
      </c>
      <c r="H90" s="37">
        <v>44481</v>
      </c>
    </row>
    <row r="91" spans="1:8" x14ac:dyDescent="0.3">
      <c r="A91" s="35">
        <v>1212103032</v>
      </c>
      <c r="B91" s="36">
        <v>36931358</v>
      </c>
      <c r="C91" s="37">
        <v>44481</v>
      </c>
      <c r="D91" s="137">
        <v>5281</v>
      </c>
      <c r="E91" s="36" t="s">
        <v>638</v>
      </c>
      <c r="F91" s="36">
        <v>3</v>
      </c>
      <c r="G91" s="36" t="s">
        <v>110</v>
      </c>
      <c r="H91" s="37">
        <v>44481</v>
      </c>
    </row>
    <row r="92" spans="1:8" x14ac:dyDescent="0.3">
      <c r="A92" s="35">
        <v>1212103033</v>
      </c>
      <c r="B92" s="36">
        <v>36931359</v>
      </c>
      <c r="C92" s="37">
        <v>44481</v>
      </c>
      <c r="D92" s="137">
        <v>1760.0309999999999</v>
      </c>
      <c r="E92" s="36" t="s">
        <v>638</v>
      </c>
      <c r="F92" s="36">
        <v>2</v>
      </c>
      <c r="G92" s="36" t="s">
        <v>110</v>
      </c>
      <c r="H92" s="37">
        <v>44481</v>
      </c>
    </row>
    <row r="93" spans="1:8" x14ac:dyDescent="0.3">
      <c r="A93" s="35">
        <v>1212103315</v>
      </c>
      <c r="B93" s="36">
        <v>5913920</v>
      </c>
      <c r="C93" s="37">
        <v>44481</v>
      </c>
      <c r="D93" s="137">
        <v>10911.304</v>
      </c>
      <c r="E93" s="36" t="s">
        <v>638</v>
      </c>
      <c r="F93" s="36">
        <v>6</v>
      </c>
      <c r="G93" s="36" t="s">
        <v>110</v>
      </c>
      <c r="H93" s="37">
        <v>44481</v>
      </c>
    </row>
    <row r="94" spans="1:8" x14ac:dyDescent="0.3">
      <c r="A94" s="35">
        <v>1212105505</v>
      </c>
      <c r="B94" s="36">
        <v>18924092</v>
      </c>
      <c r="C94" s="37">
        <v>44487</v>
      </c>
      <c r="D94" s="137">
        <v>14080.248</v>
      </c>
      <c r="E94" s="36" t="s">
        <v>638</v>
      </c>
      <c r="F94" s="36">
        <v>8</v>
      </c>
      <c r="G94" s="36" t="s">
        <v>110</v>
      </c>
      <c r="H94" s="37">
        <v>44484</v>
      </c>
    </row>
    <row r="95" spans="1:8" x14ac:dyDescent="0.3">
      <c r="A95" s="35">
        <v>1212106818</v>
      </c>
      <c r="B95" s="36">
        <v>16800028</v>
      </c>
      <c r="C95" s="37">
        <v>44489</v>
      </c>
      <c r="D95" s="137">
        <v>369.99799999999999</v>
      </c>
      <c r="E95" s="36" t="s">
        <v>638</v>
      </c>
      <c r="F95" s="36">
        <v>1</v>
      </c>
      <c r="G95" s="36" t="s">
        <v>110</v>
      </c>
      <c r="H95" s="37">
        <v>44488</v>
      </c>
    </row>
    <row r="96" spans="1:8" x14ac:dyDescent="0.3">
      <c r="A96" s="35">
        <v>1212106895</v>
      </c>
      <c r="B96" s="36">
        <v>16980180</v>
      </c>
      <c r="C96" s="37">
        <v>44489</v>
      </c>
      <c r="D96" s="137">
        <v>369.99799999999999</v>
      </c>
      <c r="E96" s="36" t="s">
        <v>638</v>
      </c>
      <c r="F96" s="36">
        <v>1</v>
      </c>
      <c r="G96" s="36" t="s">
        <v>110</v>
      </c>
      <c r="H96" s="37">
        <v>44488</v>
      </c>
    </row>
    <row r="97" spans="1:8" x14ac:dyDescent="0.3">
      <c r="A97" s="35">
        <v>1212106758</v>
      </c>
      <c r="B97" s="36">
        <v>1580093</v>
      </c>
      <c r="C97" s="37">
        <v>44489</v>
      </c>
      <c r="D97" s="137">
        <v>74</v>
      </c>
      <c r="E97" s="36" t="s">
        <v>638</v>
      </c>
      <c r="F97" s="36">
        <v>1</v>
      </c>
      <c r="G97" s="36" t="s">
        <v>110</v>
      </c>
      <c r="H97" s="37">
        <v>44488</v>
      </c>
    </row>
    <row r="98" spans="1:8" x14ac:dyDescent="0.3">
      <c r="A98" s="35">
        <v>1212106860</v>
      </c>
      <c r="B98" s="36">
        <v>73566223</v>
      </c>
      <c r="C98" s="37">
        <v>44489</v>
      </c>
      <c r="D98" s="137">
        <v>440.00799999999998</v>
      </c>
      <c r="E98" s="36" t="s">
        <v>638</v>
      </c>
      <c r="F98" s="36">
        <v>1</v>
      </c>
      <c r="G98" s="36" t="s">
        <v>110</v>
      </c>
      <c r="H98" s="37">
        <v>44488</v>
      </c>
    </row>
    <row r="99" spans="1:8" x14ac:dyDescent="0.3">
      <c r="A99" s="35">
        <v>1212106862</v>
      </c>
      <c r="B99" s="36">
        <v>2570029</v>
      </c>
      <c r="C99" s="37">
        <v>44489</v>
      </c>
      <c r="D99" s="137">
        <v>3518.5810000000001</v>
      </c>
      <c r="E99" s="36" t="s">
        <v>638</v>
      </c>
      <c r="F99" s="36">
        <v>2</v>
      </c>
      <c r="G99" s="36" t="s">
        <v>110</v>
      </c>
      <c r="H99" s="37">
        <v>44488</v>
      </c>
    </row>
    <row r="100" spans="1:8" x14ac:dyDescent="0.3">
      <c r="A100" s="35">
        <v>1212107465</v>
      </c>
      <c r="B100" s="36">
        <v>17698287</v>
      </c>
      <c r="C100" s="37">
        <v>44490</v>
      </c>
      <c r="D100" s="137">
        <v>4724.951</v>
      </c>
      <c r="E100" s="36" t="s">
        <v>638</v>
      </c>
      <c r="F100" s="36">
        <v>3</v>
      </c>
      <c r="G100" s="36" t="s">
        <v>110</v>
      </c>
      <c r="H100" s="37">
        <v>44490</v>
      </c>
    </row>
    <row r="101" spans="1:8" x14ac:dyDescent="0.3">
      <c r="A101" s="35">
        <v>1212108406</v>
      </c>
      <c r="B101" s="36">
        <v>46926103</v>
      </c>
      <c r="C101" s="37">
        <v>44494</v>
      </c>
      <c r="D101" s="137">
        <v>12419.27</v>
      </c>
      <c r="E101" s="36" t="s">
        <v>638</v>
      </c>
      <c r="F101" s="36">
        <v>7</v>
      </c>
      <c r="G101" s="36" t="s">
        <v>110</v>
      </c>
      <c r="H101" s="37">
        <v>44491</v>
      </c>
    </row>
    <row r="102" spans="1:8" x14ac:dyDescent="0.3">
      <c r="A102" s="35">
        <v>1212107495</v>
      </c>
      <c r="B102" s="36">
        <v>36555454</v>
      </c>
      <c r="C102" s="37">
        <v>44490</v>
      </c>
      <c r="D102" s="137">
        <v>1210.021</v>
      </c>
      <c r="E102" s="36" t="s">
        <v>638</v>
      </c>
      <c r="F102" s="36">
        <v>1</v>
      </c>
      <c r="G102" s="36" t="s">
        <v>110</v>
      </c>
      <c r="H102" s="37">
        <v>44490</v>
      </c>
    </row>
    <row r="103" spans="1:8" x14ac:dyDescent="0.3">
      <c r="A103" s="35">
        <v>1212107466</v>
      </c>
      <c r="B103" s="36">
        <v>17699756</v>
      </c>
      <c r="C103" s="37">
        <v>44490</v>
      </c>
      <c r="D103" s="137">
        <v>385.00700000000001</v>
      </c>
      <c r="E103" s="36" t="s">
        <v>638</v>
      </c>
      <c r="F103" s="36">
        <v>1</v>
      </c>
      <c r="G103" s="36" t="s">
        <v>110</v>
      </c>
      <c r="H103" s="37">
        <v>44490</v>
      </c>
    </row>
    <row r="104" spans="1:8" x14ac:dyDescent="0.3">
      <c r="A104" s="35">
        <v>1212107489</v>
      </c>
      <c r="B104" s="36">
        <v>20575380</v>
      </c>
      <c r="C104" s="37">
        <v>44490</v>
      </c>
      <c r="D104" s="137">
        <v>825.01499999999999</v>
      </c>
      <c r="E104" s="36" t="s">
        <v>638</v>
      </c>
      <c r="F104" s="36">
        <v>1</v>
      </c>
      <c r="G104" s="36" t="s">
        <v>110</v>
      </c>
      <c r="H104" s="37">
        <v>44490</v>
      </c>
    </row>
    <row r="105" spans="1:8" x14ac:dyDescent="0.3">
      <c r="A105" s="35">
        <v>1212108054</v>
      </c>
      <c r="B105" s="36">
        <v>17804607</v>
      </c>
      <c r="C105" s="37">
        <v>44491</v>
      </c>
      <c r="D105" s="137">
        <v>4483.2269999999999</v>
      </c>
      <c r="E105" s="36" t="s">
        <v>638</v>
      </c>
      <c r="F105" s="36">
        <v>2</v>
      </c>
      <c r="G105" s="36" t="s">
        <v>110</v>
      </c>
      <c r="H105" s="37">
        <v>44491</v>
      </c>
    </row>
    <row r="106" spans="1:8" x14ac:dyDescent="0.3">
      <c r="A106" s="35">
        <v>1212108055</v>
      </c>
      <c r="B106" s="36">
        <v>17826447</v>
      </c>
      <c r="C106" s="37">
        <v>44491</v>
      </c>
      <c r="D106" s="137">
        <v>715.01300000000003</v>
      </c>
      <c r="E106" s="36" t="s">
        <v>638</v>
      </c>
      <c r="F106" s="36">
        <v>1</v>
      </c>
      <c r="G106" s="36" t="s">
        <v>110</v>
      </c>
      <c r="H106" s="37">
        <v>44491</v>
      </c>
    </row>
    <row r="107" spans="1:8" x14ac:dyDescent="0.3">
      <c r="A107" s="35">
        <v>1212108045</v>
      </c>
      <c r="B107" s="36">
        <v>4569761</v>
      </c>
      <c r="C107" s="37">
        <v>44491</v>
      </c>
      <c r="D107" s="137">
        <v>110.002</v>
      </c>
      <c r="E107" s="36" t="s">
        <v>638</v>
      </c>
      <c r="F107" s="36">
        <v>1</v>
      </c>
      <c r="G107" s="36" t="s">
        <v>110</v>
      </c>
      <c r="H107" s="37">
        <v>44491</v>
      </c>
    </row>
    <row r="108" spans="1:8" x14ac:dyDescent="0.3">
      <c r="A108" s="35">
        <v>1212108086</v>
      </c>
      <c r="B108" s="36">
        <v>83569262</v>
      </c>
      <c r="C108" s="37">
        <v>44491</v>
      </c>
      <c r="D108" s="137">
        <v>440.00799999999998</v>
      </c>
      <c r="E108" s="36" t="s">
        <v>638</v>
      </c>
      <c r="F108" s="36">
        <v>1</v>
      </c>
      <c r="G108" s="36" t="s">
        <v>110</v>
      </c>
      <c r="H108" s="37">
        <v>44491</v>
      </c>
    </row>
    <row r="109" spans="1:8" x14ac:dyDescent="0.3">
      <c r="A109" s="35">
        <v>1212109088</v>
      </c>
      <c r="B109" s="36">
        <v>18635352</v>
      </c>
      <c r="C109" s="37">
        <v>44495</v>
      </c>
      <c r="D109" s="137">
        <v>924.99599999999998</v>
      </c>
      <c r="E109" s="36" t="s">
        <v>638</v>
      </c>
      <c r="F109" s="36">
        <v>1</v>
      </c>
      <c r="G109" s="36" t="s">
        <v>110</v>
      </c>
      <c r="H109" s="37">
        <v>44494</v>
      </c>
    </row>
    <row r="110" spans="1:8" x14ac:dyDescent="0.3">
      <c r="A110" s="35">
        <v>1212109111</v>
      </c>
      <c r="B110" s="36">
        <v>38569258</v>
      </c>
      <c r="C110" s="37">
        <v>44495</v>
      </c>
      <c r="D110" s="137">
        <v>55.000999999999998</v>
      </c>
      <c r="E110" s="36" t="s">
        <v>638</v>
      </c>
      <c r="F110" s="36">
        <v>1</v>
      </c>
      <c r="G110" s="36" t="s">
        <v>110</v>
      </c>
      <c r="H110" s="37">
        <v>44494</v>
      </c>
    </row>
    <row r="111" spans="1:8" x14ac:dyDescent="0.3">
      <c r="A111" s="35">
        <v>1212108997</v>
      </c>
      <c r="B111" s="36">
        <v>3577991</v>
      </c>
      <c r="C111" s="37">
        <v>44495</v>
      </c>
      <c r="D111" s="137">
        <v>821.00199999999995</v>
      </c>
      <c r="E111" s="36" t="s">
        <v>638</v>
      </c>
      <c r="F111" s="36">
        <v>1</v>
      </c>
      <c r="G111" s="36" t="s">
        <v>110</v>
      </c>
      <c r="H111" s="37">
        <v>44494</v>
      </c>
    </row>
    <row r="112" spans="1:8" x14ac:dyDescent="0.3">
      <c r="A112" s="35">
        <v>1212109052</v>
      </c>
      <c r="B112" s="36" t="s">
        <v>640</v>
      </c>
      <c r="C112" s="37">
        <v>44495</v>
      </c>
      <c r="D112" s="137">
        <v>220.00399999999999</v>
      </c>
      <c r="E112" s="36" t="s">
        <v>638</v>
      </c>
      <c r="F112" s="36">
        <v>1</v>
      </c>
      <c r="G112" s="36" t="s">
        <v>110</v>
      </c>
      <c r="H112" s="37">
        <v>44494</v>
      </c>
    </row>
    <row r="113" spans="1:8" x14ac:dyDescent="0.3">
      <c r="A113" s="35">
        <v>1212109057</v>
      </c>
      <c r="B113" s="36" t="s">
        <v>641</v>
      </c>
      <c r="C113" s="37">
        <v>44495</v>
      </c>
      <c r="D113" s="137">
        <v>220.00399999999999</v>
      </c>
      <c r="E113" s="36" t="s">
        <v>638</v>
      </c>
      <c r="F113" s="36">
        <v>1</v>
      </c>
      <c r="G113" s="36" t="s">
        <v>110</v>
      </c>
      <c r="H113" s="37">
        <v>44494</v>
      </c>
    </row>
    <row r="114" spans="1:8" x14ac:dyDescent="0.3">
      <c r="A114" s="35">
        <v>1212109001</v>
      </c>
      <c r="B114" s="36">
        <v>17888330</v>
      </c>
      <c r="C114" s="37">
        <v>44495</v>
      </c>
      <c r="D114" s="137">
        <v>961.99699999999996</v>
      </c>
      <c r="E114" s="36" t="s">
        <v>638</v>
      </c>
      <c r="F114" s="36">
        <v>1</v>
      </c>
      <c r="G114" s="36" t="s">
        <v>110</v>
      </c>
      <c r="H114" s="37">
        <v>44494</v>
      </c>
    </row>
    <row r="115" spans="1:8" x14ac:dyDescent="0.3">
      <c r="A115" s="35">
        <v>1212109026</v>
      </c>
      <c r="B115" s="36">
        <v>17948175</v>
      </c>
      <c r="C115" s="37">
        <v>44495</v>
      </c>
      <c r="D115" s="137">
        <v>2367.991</v>
      </c>
      <c r="E115" s="36" t="s">
        <v>638</v>
      </c>
      <c r="F115" s="36">
        <v>1</v>
      </c>
      <c r="G115" s="36" t="s">
        <v>110</v>
      </c>
      <c r="H115" s="37">
        <v>44494</v>
      </c>
    </row>
    <row r="116" spans="1:8" x14ac:dyDescent="0.3">
      <c r="A116" s="35">
        <v>1212109090</v>
      </c>
      <c r="B116" s="36">
        <v>18665220</v>
      </c>
      <c r="C116" s="37">
        <v>44495</v>
      </c>
      <c r="D116" s="137">
        <v>275.005</v>
      </c>
      <c r="E116" s="36" t="s">
        <v>638</v>
      </c>
      <c r="F116" s="36">
        <v>1</v>
      </c>
      <c r="G116" s="36" t="s">
        <v>110</v>
      </c>
      <c r="H116" s="37">
        <v>44494</v>
      </c>
    </row>
    <row r="117" spans="1:8" x14ac:dyDescent="0.3">
      <c r="A117" s="35">
        <v>1212109737</v>
      </c>
      <c r="B117" s="43" t="s">
        <v>642</v>
      </c>
      <c r="C117" s="37">
        <v>44496</v>
      </c>
      <c r="D117" s="137">
        <v>11963.544</v>
      </c>
      <c r="E117" s="36" t="s">
        <v>638</v>
      </c>
      <c r="F117" s="36">
        <v>6</v>
      </c>
      <c r="G117" s="36" t="s">
        <v>110</v>
      </c>
      <c r="H117" s="37">
        <v>44495</v>
      </c>
    </row>
    <row r="118" spans="1:8" x14ac:dyDescent="0.3">
      <c r="A118" s="35">
        <v>1212109982</v>
      </c>
      <c r="B118" s="36">
        <v>63572674</v>
      </c>
      <c r="C118" s="37">
        <v>44496</v>
      </c>
      <c r="D118" s="137">
        <v>330.00599999999997</v>
      </c>
      <c r="E118" s="36" t="s">
        <v>638</v>
      </c>
      <c r="F118" s="36">
        <v>1</v>
      </c>
      <c r="G118" s="36" t="s">
        <v>110</v>
      </c>
      <c r="H118" s="37">
        <v>44495</v>
      </c>
    </row>
    <row r="119" spans="1:8" x14ac:dyDescent="0.3">
      <c r="A119" s="35">
        <v>1212109944</v>
      </c>
      <c r="B119" s="36">
        <v>18861612</v>
      </c>
      <c r="C119" s="37">
        <v>44496</v>
      </c>
      <c r="D119" s="137">
        <v>3699.9859999999999</v>
      </c>
      <c r="E119" s="36" t="s">
        <v>638</v>
      </c>
      <c r="F119" s="36">
        <v>2</v>
      </c>
      <c r="G119" s="36" t="s">
        <v>110</v>
      </c>
      <c r="H119" s="37">
        <v>44495</v>
      </c>
    </row>
    <row r="120" spans="1:8" x14ac:dyDescent="0.3">
      <c r="A120" s="35">
        <v>1212109949</v>
      </c>
      <c r="B120" s="36">
        <v>18866258</v>
      </c>
      <c r="C120" s="37">
        <v>44496</v>
      </c>
      <c r="D120" s="137">
        <v>55.000999999999998</v>
      </c>
      <c r="E120" s="36" t="s">
        <v>638</v>
      </c>
      <c r="F120" s="36">
        <v>1</v>
      </c>
      <c r="G120" s="36" t="s">
        <v>110</v>
      </c>
      <c r="H120" s="37">
        <v>44495</v>
      </c>
    </row>
    <row r="121" spans="1:8" x14ac:dyDescent="0.3">
      <c r="A121" s="35">
        <v>1212109935</v>
      </c>
      <c r="B121" s="36">
        <v>48550620</v>
      </c>
      <c r="C121" s="37">
        <v>44496</v>
      </c>
      <c r="D121" s="137">
        <v>605.01099999999997</v>
      </c>
      <c r="E121" s="36" t="s">
        <v>638</v>
      </c>
      <c r="F121" s="36">
        <v>1</v>
      </c>
      <c r="G121" s="36" t="s">
        <v>110</v>
      </c>
      <c r="H121" s="37">
        <v>44495</v>
      </c>
    </row>
    <row r="122" spans="1:8" x14ac:dyDescent="0.3">
      <c r="A122" s="35">
        <v>1212109757</v>
      </c>
      <c r="B122" s="36" t="s">
        <v>643</v>
      </c>
      <c r="C122" s="37">
        <v>44497</v>
      </c>
      <c r="D122" s="137" t="s">
        <v>644</v>
      </c>
      <c r="E122" s="36" t="s">
        <v>638</v>
      </c>
      <c r="F122" s="36">
        <v>1</v>
      </c>
      <c r="G122" s="36" t="s">
        <v>110</v>
      </c>
      <c r="H122" s="37">
        <v>44496</v>
      </c>
    </row>
    <row r="123" spans="1:8" x14ac:dyDescent="0.3">
      <c r="A123" s="35">
        <v>1212110266</v>
      </c>
      <c r="B123" s="36">
        <v>18987387</v>
      </c>
      <c r="C123" s="37">
        <v>44497</v>
      </c>
      <c r="D123" s="137">
        <v>739.99800000000005</v>
      </c>
      <c r="E123" s="36" t="s">
        <v>638</v>
      </c>
      <c r="F123" s="36">
        <v>1</v>
      </c>
      <c r="G123" s="36" t="s">
        <v>110</v>
      </c>
      <c r="H123" s="37">
        <v>44496</v>
      </c>
    </row>
    <row r="124" spans="1:8" x14ac:dyDescent="0.3">
      <c r="A124" s="35">
        <v>1212110267</v>
      </c>
      <c r="B124" s="36">
        <v>19550453</v>
      </c>
      <c r="C124" s="37">
        <v>44497</v>
      </c>
      <c r="D124" s="137">
        <v>739.99800000000005</v>
      </c>
      <c r="E124" s="36" t="s">
        <v>638</v>
      </c>
      <c r="F124" s="36">
        <v>1</v>
      </c>
      <c r="G124" s="36" t="s">
        <v>110</v>
      </c>
      <c r="H124" s="37">
        <v>44496</v>
      </c>
    </row>
    <row r="125" spans="1:8" x14ac:dyDescent="0.3">
      <c r="A125" s="35">
        <v>1212110292</v>
      </c>
      <c r="B125" s="36">
        <v>44570816</v>
      </c>
      <c r="C125" s="37">
        <v>44497</v>
      </c>
      <c r="D125" s="137">
        <v>573.43600000000004</v>
      </c>
      <c r="E125" s="36" t="s">
        <v>638</v>
      </c>
      <c r="F125" s="36">
        <v>1</v>
      </c>
      <c r="G125" s="36" t="s">
        <v>110</v>
      </c>
      <c r="H125" s="37">
        <v>44496</v>
      </c>
    </row>
    <row r="126" spans="1:8" x14ac:dyDescent="0.3">
      <c r="A126" s="35">
        <v>1212110305</v>
      </c>
      <c r="B126" s="36">
        <v>18575586</v>
      </c>
      <c r="C126" s="37">
        <v>44497</v>
      </c>
      <c r="D126" s="137">
        <v>406.99799999999999</v>
      </c>
      <c r="E126" s="36" t="s">
        <v>638</v>
      </c>
      <c r="F126" s="36">
        <v>1</v>
      </c>
      <c r="G126" s="36" t="s">
        <v>110</v>
      </c>
      <c r="H126" s="37">
        <v>44496</v>
      </c>
    </row>
    <row r="127" spans="1:8" x14ac:dyDescent="0.3">
      <c r="A127" s="35">
        <v>1212110288</v>
      </c>
      <c r="B127" s="36">
        <v>21576307</v>
      </c>
      <c r="C127" s="37">
        <v>44497</v>
      </c>
      <c r="D127" s="137">
        <v>110.002</v>
      </c>
      <c r="E127" s="36" t="s">
        <v>638</v>
      </c>
      <c r="F127" s="36">
        <v>1</v>
      </c>
      <c r="G127" s="36" t="s">
        <v>110</v>
      </c>
      <c r="H127" s="37">
        <v>44496</v>
      </c>
    </row>
    <row r="128" spans="1:8" x14ac:dyDescent="0.3">
      <c r="A128" s="35">
        <v>1212111156</v>
      </c>
      <c r="B128" s="44">
        <v>25913219</v>
      </c>
      <c r="C128" s="37">
        <v>44501</v>
      </c>
      <c r="D128" s="137">
        <v>14080.24</v>
      </c>
      <c r="E128" s="36" t="s">
        <v>638</v>
      </c>
      <c r="F128" s="36">
        <v>8</v>
      </c>
      <c r="G128" s="36" t="s">
        <v>110</v>
      </c>
      <c r="H128" s="37">
        <v>44498</v>
      </c>
    </row>
    <row r="129" spans="1:8" x14ac:dyDescent="0.3">
      <c r="A129" s="35">
        <v>1212107508</v>
      </c>
      <c r="B129" s="36" t="s">
        <v>645</v>
      </c>
      <c r="C129" s="37">
        <v>44490</v>
      </c>
      <c r="D129" s="137">
        <v>1320.0229999999999</v>
      </c>
      <c r="E129" s="36" t="s">
        <v>638</v>
      </c>
      <c r="F129" s="36">
        <v>1</v>
      </c>
      <c r="G129" s="36" t="s">
        <v>110</v>
      </c>
      <c r="H129" s="37">
        <v>44490</v>
      </c>
    </row>
    <row r="130" spans="1:8" x14ac:dyDescent="0.3">
      <c r="A130" s="35">
        <v>1212111354</v>
      </c>
      <c r="B130" s="36">
        <v>41577761</v>
      </c>
      <c r="C130" s="37">
        <v>44501</v>
      </c>
      <c r="D130" s="137">
        <v>330</v>
      </c>
      <c r="E130" s="36" t="s">
        <v>638</v>
      </c>
      <c r="F130" s="36">
        <v>1</v>
      </c>
      <c r="G130" s="36" t="s">
        <v>110</v>
      </c>
      <c r="H130" s="37">
        <v>44498</v>
      </c>
    </row>
    <row r="131" spans="1:8" x14ac:dyDescent="0.3">
      <c r="A131" s="35">
        <v>1212111355</v>
      </c>
      <c r="B131" s="36">
        <v>41577961</v>
      </c>
      <c r="C131" s="37">
        <v>44501</v>
      </c>
      <c r="D131" s="137">
        <v>385</v>
      </c>
      <c r="E131" s="36" t="s">
        <v>638</v>
      </c>
      <c r="F131" s="36">
        <v>1</v>
      </c>
      <c r="G131" s="36" t="s">
        <v>110</v>
      </c>
      <c r="H131" s="37">
        <v>44498</v>
      </c>
    </row>
    <row r="132" spans="1:8" x14ac:dyDescent="0.3">
      <c r="A132" s="35">
        <v>1212111359</v>
      </c>
      <c r="B132" s="36">
        <v>6575312</v>
      </c>
      <c r="C132" s="37">
        <v>44501</v>
      </c>
      <c r="D132" s="137">
        <v>220</v>
      </c>
      <c r="E132" s="36" t="s">
        <v>638</v>
      </c>
      <c r="F132" s="36">
        <v>1</v>
      </c>
      <c r="G132" s="36" t="s">
        <v>110</v>
      </c>
      <c r="H132" s="37">
        <v>44498</v>
      </c>
    </row>
    <row r="133" spans="1:8" x14ac:dyDescent="0.3">
      <c r="A133" s="35">
        <v>1212111340</v>
      </c>
      <c r="B133" s="36">
        <v>21647428</v>
      </c>
      <c r="C133" s="37">
        <v>44501</v>
      </c>
      <c r="D133" s="137">
        <v>330</v>
      </c>
      <c r="E133" s="36" t="s">
        <v>638</v>
      </c>
      <c r="F133" s="36">
        <v>1</v>
      </c>
      <c r="G133" s="36" t="s">
        <v>110</v>
      </c>
      <c r="H133" s="37">
        <v>44498</v>
      </c>
    </row>
    <row r="134" spans="1:8" x14ac:dyDescent="0.3">
      <c r="A134" s="35">
        <v>1212111356</v>
      </c>
      <c r="B134" s="36">
        <v>83575346</v>
      </c>
      <c r="C134" s="37">
        <v>44501</v>
      </c>
      <c r="D134" s="137">
        <v>302</v>
      </c>
      <c r="E134" s="36" t="s">
        <v>638</v>
      </c>
      <c r="F134" s="36">
        <v>1</v>
      </c>
      <c r="G134" s="36" t="s">
        <v>110</v>
      </c>
      <c r="H134" s="37">
        <v>44498</v>
      </c>
    </row>
    <row r="135" spans="1:8" x14ac:dyDescent="0.3">
      <c r="A135" s="35">
        <v>1212111646</v>
      </c>
      <c r="B135" s="36">
        <v>47939208</v>
      </c>
      <c r="C135" s="37">
        <v>44502</v>
      </c>
      <c r="D135" s="137">
        <v>10911.304</v>
      </c>
      <c r="E135" s="36" t="s">
        <v>638</v>
      </c>
      <c r="F135" s="36">
        <v>6</v>
      </c>
      <c r="G135" s="36" t="s">
        <v>110</v>
      </c>
      <c r="H135" s="37">
        <v>44501</v>
      </c>
    </row>
    <row r="136" spans="1:8" x14ac:dyDescent="0.3">
      <c r="A136" s="35">
        <v>1212111828</v>
      </c>
      <c r="B136" s="36">
        <v>69587665</v>
      </c>
      <c r="C136" s="37">
        <v>44502</v>
      </c>
      <c r="D136" s="138">
        <v>550.01</v>
      </c>
      <c r="E136" s="36" t="s">
        <v>638</v>
      </c>
      <c r="F136" s="36">
        <v>1</v>
      </c>
      <c r="G136" s="36" t="s">
        <v>110</v>
      </c>
      <c r="H136" s="37">
        <v>44501</v>
      </c>
    </row>
    <row r="137" spans="1:8" x14ac:dyDescent="0.3">
      <c r="A137" s="35">
        <v>1212111795</v>
      </c>
      <c r="B137" s="36">
        <v>14578118</v>
      </c>
      <c r="C137" s="37">
        <v>44502</v>
      </c>
      <c r="D137" s="137">
        <v>275.005</v>
      </c>
      <c r="E137" s="36" t="s">
        <v>638</v>
      </c>
      <c r="F137" s="36">
        <v>1</v>
      </c>
      <c r="G137" s="36" t="s">
        <v>110</v>
      </c>
      <c r="H137" s="37">
        <v>44501</v>
      </c>
    </row>
    <row r="138" spans="1:8" x14ac:dyDescent="0.3">
      <c r="A138" s="35">
        <v>1212111794</v>
      </c>
      <c r="B138" s="36">
        <v>4570085</v>
      </c>
      <c r="C138" s="37">
        <v>44502</v>
      </c>
      <c r="D138" s="137">
        <v>1057.1659999999999</v>
      </c>
      <c r="E138" s="36" t="s">
        <v>638</v>
      </c>
      <c r="F138" s="36">
        <v>1</v>
      </c>
      <c r="G138" s="36" t="s">
        <v>110</v>
      </c>
      <c r="H138" s="37">
        <v>44501</v>
      </c>
    </row>
    <row r="139" spans="1:8" x14ac:dyDescent="0.3">
      <c r="A139" s="35">
        <v>1212111792</v>
      </c>
      <c r="B139" s="36" t="s">
        <v>646</v>
      </c>
      <c r="C139" s="37">
        <v>44502</v>
      </c>
      <c r="D139" s="137">
        <v>1759.29</v>
      </c>
      <c r="E139" s="36" t="s">
        <v>638</v>
      </c>
      <c r="F139" s="36">
        <v>1</v>
      </c>
      <c r="G139" s="36" t="s">
        <v>110</v>
      </c>
      <c r="H139" s="37">
        <v>44501</v>
      </c>
    </row>
    <row r="140" spans="1:8" x14ac:dyDescent="0.3">
      <c r="A140" s="35">
        <v>1212111808</v>
      </c>
      <c r="B140" s="36">
        <v>21852120</v>
      </c>
      <c r="C140" s="37">
        <v>44502</v>
      </c>
      <c r="D140" s="137">
        <v>4994.9799999999996</v>
      </c>
      <c r="E140" s="36" t="s">
        <v>638</v>
      </c>
      <c r="F140" s="36">
        <v>3</v>
      </c>
      <c r="G140" s="36" t="s">
        <v>110</v>
      </c>
      <c r="H140" s="37">
        <v>44501</v>
      </c>
    </row>
    <row r="141" spans="1:8" x14ac:dyDescent="0.3">
      <c r="A141" s="35">
        <v>1212112554</v>
      </c>
      <c r="B141" s="36">
        <v>13577552</v>
      </c>
      <c r="C141" s="37">
        <v>44503</v>
      </c>
      <c r="D141" s="137">
        <v>385.00700000000001</v>
      </c>
      <c r="E141" s="36" t="s">
        <v>638</v>
      </c>
      <c r="F141" s="36">
        <v>1</v>
      </c>
      <c r="G141" s="36" t="s">
        <v>110</v>
      </c>
      <c r="H141" s="37">
        <v>44502</v>
      </c>
    </row>
    <row r="142" spans="1:8" x14ac:dyDescent="0.3">
      <c r="A142" s="35">
        <v>1212112562</v>
      </c>
      <c r="B142" s="36">
        <v>22617696</v>
      </c>
      <c r="C142" s="37">
        <v>44503</v>
      </c>
      <c r="D142" s="137">
        <v>1183.9960000000001</v>
      </c>
      <c r="E142" s="36" t="s">
        <v>638</v>
      </c>
      <c r="F142" s="36">
        <v>1</v>
      </c>
      <c r="G142" s="36" t="s">
        <v>110</v>
      </c>
      <c r="H142" s="37">
        <v>44502</v>
      </c>
    </row>
    <row r="143" spans="1:8" x14ac:dyDescent="0.3">
      <c r="A143" s="35">
        <v>1212112586</v>
      </c>
      <c r="B143" s="36">
        <v>69587707</v>
      </c>
      <c r="C143" s="37">
        <v>44503</v>
      </c>
      <c r="D143" s="137">
        <v>110.002</v>
      </c>
      <c r="E143" s="36" t="s">
        <v>638</v>
      </c>
      <c r="F143" s="36">
        <v>1</v>
      </c>
      <c r="G143" s="36" t="s">
        <v>110</v>
      </c>
      <c r="H143" s="37">
        <v>44502</v>
      </c>
    </row>
    <row r="144" spans="1:8" x14ac:dyDescent="0.3">
      <c r="A144" s="35">
        <v>1212112560</v>
      </c>
      <c r="B144" s="36">
        <v>22617510</v>
      </c>
      <c r="C144" s="37">
        <v>44503</v>
      </c>
      <c r="D144" s="137">
        <v>1479.9949999999999</v>
      </c>
      <c r="E144" s="36" t="s">
        <v>638</v>
      </c>
      <c r="F144" s="36">
        <v>1</v>
      </c>
      <c r="G144" s="36" t="s">
        <v>110</v>
      </c>
      <c r="H144" s="37">
        <v>44502</v>
      </c>
    </row>
    <row r="145" spans="1:8" x14ac:dyDescent="0.3">
      <c r="A145" s="35">
        <v>1212112612</v>
      </c>
      <c r="B145" s="36">
        <v>80576075</v>
      </c>
      <c r="C145" s="37">
        <v>44503</v>
      </c>
      <c r="D145" s="137">
        <v>440.00799999999998</v>
      </c>
      <c r="E145" s="36" t="s">
        <v>638</v>
      </c>
      <c r="F145" s="36">
        <v>1</v>
      </c>
      <c r="G145" s="36" t="s">
        <v>110</v>
      </c>
      <c r="H145" s="37">
        <v>44502</v>
      </c>
    </row>
    <row r="146" spans="1:8" x14ac:dyDescent="0.3">
      <c r="A146" s="35">
        <v>1212113207</v>
      </c>
      <c r="B146" s="36">
        <v>64575734</v>
      </c>
      <c r="C146" s="37">
        <v>44504</v>
      </c>
      <c r="D146" s="137">
        <v>452.38900000000001</v>
      </c>
      <c r="E146" s="36" t="s">
        <v>638</v>
      </c>
      <c r="F146" s="36">
        <v>1</v>
      </c>
      <c r="G146" s="36" t="s">
        <v>110</v>
      </c>
      <c r="H146" s="37">
        <v>44503</v>
      </c>
    </row>
    <row r="147" spans="1:8" x14ac:dyDescent="0.3">
      <c r="A147" s="35">
        <v>1212113183</v>
      </c>
      <c r="B147" s="36">
        <v>22854842</v>
      </c>
      <c r="C147" s="37">
        <v>44504</v>
      </c>
      <c r="D147" s="137">
        <v>221.999</v>
      </c>
      <c r="E147" s="36" t="s">
        <v>638</v>
      </c>
      <c r="F147" s="36">
        <v>1</v>
      </c>
      <c r="G147" s="36" t="s">
        <v>110</v>
      </c>
      <c r="H147" s="37">
        <v>44503</v>
      </c>
    </row>
    <row r="148" spans="1:8" x14ac:dyDescent="0.3">
      <c r="A148" s="35">
        <v>1212113198</v>
      </c>
      <c r="B148" s="36">
        <v>38577308</v>
      </c>
      <c r="C148" s="37">
        <v>44504</v>
      </c>
      <c r="D148" s="137">
        <v>110.002</v>
      </c>
      <c r="E148" s="36" t="s">
        <v>638</v>
      </c>
      <c r="F148" s="36">
        <v>1</v>
      </c>
      <c r="G148" s="36" t="s">
        <v>110</v>
      </c>
      <c r="H148" s="37">
        <v>44503</v>
      </c>
    </row>
    <row r="149" spans="1:8" x14ac:dyDescent="0.3">
      <c r="A149" s="35">
        <v>1212113160</v>
      </c>
      <c r="B149" s="36" t="s">
        <v>647</v>
      </c>
      <c r="C149" s="37">
        <v>44504</v>
      </c>
      <c r="D149" s="137">
        <v>2585.0459999999998</v>
      </c>
      <c r="E149" s="36" t="s">
        <v>638</v>
      </c>
      <c r="F149" s="36">
        <v>2</v>
      </c>
      <c r="G149" s="36" t="s">
        <v>110</v>
      </c>
      <c r="H149" s="37">
        <v>44503</v>
      </c>
    </row>
    <row r="150" spans="1:8" x14ac:dyDescent="0.3">
      <c r="A150" s="35">
        <v>1212113179</v>
      </c>
      <c r="B150" s="36">
        <v>9582938</v>
      </c>
      <c r="C150" s="37">
        <v>44504</v>
      </c>
      <c r="D150" s="137">
        <v>275.005</v>
      </c>
      <c r="E150" s="36" t="s">
        <v>638</v>
      </c>
      <c r="F150" s="36">
        <v>1</v>
      </c>
      <c r="G150" s="36" t="s">
        <v>110</v>
      </c>
      <c r="H150" s="37">
        <v>44503</v>
      </c>
    </row>
    <row r="151" spans="1:8" x14ac:dyDescent="0.3">
      <c r="A151" s="35">
        <v>1212113193</v>
      </c>
      <c r="B151" s="36">
        <v>22971038</v>
      </c>
      <c r="C151" s="37">
        <v>44504</v>
      </c>
      <c r="D151" s="137">
        <v>275.005</v>
      </c>
      <c r="E151" s="36" t="s">
        <v>638</v>
      </c>
      <c r="F151" s="36">
        <v>1</v>
      </c>
      <c r="G151" s="36" t="s">
        <v>110</v>
      </c>
      <c r="H151" s="37">
        <v>44503</v>
      </c>
    </row>
    <row r="152" spans="1:8" x14ac:dyDescent="0.3">
      <c r="A152" s="35">
        <v>1212113497</v>
      </c>
      <c r="B152" s="36" t="s">
        <v>648</v>
      </c>
      <c r="C152" s="37">
        <v>44505</v>
      </c>
      <c r="D152" s="137">
        <v>6635.0379999999996</v>
      </c>
      <c r="E152" s="36" t="s">
        <v>638</v>
      </c>
      <c r="F152" s="36">
        <v>4</v>
      </c>
      <c r="G152" s="36" t="s">
        <v>110</v>
      </c>
      <c r="H152" s="37">
        <v>44504</v>
      </c>
    </row>
    <row r="153" spans="1:8" x14ac:dyDescent="0.3">
      <c r="A153" s="35">
        <v>1212113505</v>
      </c>
      <c r="B153" s="36" t="s">
        <v>649</v>
      </c>
      <c r="C153" s="37">
        <v>44505</v>
      </c>
      <c r="D153" s="137">
        <v>2475.0439999999999</v>
      </c>
      <c r="E153" s="36" t="s">
        <v>638</v>
      </c>
      <c r="F153" s="36">
        <v>1</v>
      </c>
      <c r="G153" s="36" t="s">
        <v>110</v>
      </c>
      <c r="H153" s="37">
        <v>44505</v>
      </c>
    </row>
    <row r="154" spans="1:8" x14ac:dyDescent="0.3">
      <c r="A154" s="35">
        <v>1212113565</v>
      </c>
      <c r="B154" s="36">
        <v>23820461</v>
      </c>
      <c r="C154" s="37">
        <v>44505</v>
      </c>
      <c r="D154" s="137">
        <v>37</v>
      </c>
      <c r="E154" s="36" t="s">
        <v>638</v>
      </c>
      <c r="F154" s="36">
        <v>1</v>
      </c>
      <c r="G154" s="36" t="s">
        <v>110</v>
      </c>
      <c r="H154" s="37">
        <v>44506</v>
      </c>
    </row>
    <row r="155" spans="1:8" x14ac:dyDescent="0.3">
      <c r="A155" s="35">
        <v>1212113538</v>
      </c>
      <c r="B155" s="36">
        <v>23642454</v>
      </c>
      <c r="C155" s="37">
        <v>44505</v>
      </c>
      <c r="D155" s="137">
        <v>3699.9859999999999</v>
      </c>
      <c r="E155" s="36" t="s">
        <v>638</v>
      </c>
      <c r="F155" s="36">
        <v>2</v>
      </c>
      <c r="G155" s="36" t="s">
        <v>110</v>
      </c>
      <c r="H155" s="37">
        <v>44507</v>
      </c>
    </row>
    <row r="156" spans="1:8" x14ac:dyDescent="0.3">
      <c r="A156" s="35">
        <v>1212113560</v>
      </c>
      <c r="B156" s="36">
        <v>12581075</v>
      </c>
      <c r="C156" s="37">
        <v>44505</v>
      </c>
      <c r="D156" s="137">
        <v>52.131</v>
      </c>
      <c r="E156" s="36" t="s">
        <v>638</v>
      </c>
      <c r="F156" s="36">
        <v>1</v>
      </c>
      <c r="G156" s="36" t="s">
        <v>110</v>
      </c>
      <c r="H156" s="37">
        <v>44508</v>
      </c>
    </row>
    <row r="157" spans="1:8" x14ac:dyDescent="0.3">
      <c r="A157" s="35">
        <v>1212113713</v>
      </c>
      <c r="B157" s="36">
        <v>32919826</v>
      </c>
      <c r="C157" s="37">
        <v>44508</v>
      </c>
      <c r="D157" s="137">
        <v>3520.0619999999999</v>
      </c>
      <c r="E157" s="36" t="s">
        <v>638</v>
      </c>
      <c r="F157" s="36">
        <v>2</v>
      </c>
      <c r="G157" s="36" t="s">
        <v>110</v>
      </c>
      <c r="H157" s="37">
        <v>44505</v>
      </c>
    </row>
    <row r="158" spans="1:8" x14ac:dyDescent="0.3">
      <c r="A158" s="35">
        <v>1212113735</v>
      </c>
      <c r="B158" s="36">
        <v>23936303</v>
      </c>
      <c r="C158" s="37">
        <v>44508</v>
      </c>
      <c r="D158" s="137">
        <v>110.002</v>
      </c>
      <c r="E158" s="36" t="s">
        <v>638</v>
      </c>
      <c r="F158" s="36">
        <v>1</v>
      </c>
      <c r="G158" s="36" t="s">
        <v>110</v>
      </c>
      <c r="H158" s="37">
        <v>44505</v>
      </c>
    </row>
    <row r="159" spans="1:8" x14ac:dyDescent="0.3">
      <c r="A159" s="35">
        <v>1212113720</v>
      </c>
      <c r="B159" s="36">
        <v>9588324</v>
      </c>
      <c r="C159" s="37">
        <v>44508</v>
      </c>
      <c r="D159" s="137">
        <v>74</v>
      </c>
      <c r="E159" s="36" t="s">
        <v>638</v>
      </c>
      <c r="F159" s="36">
        <v>1</v>
      </c>
      <c r="G159" s="36" t="s">
        <v>110</v>
      </c>
      <c r="H159" s="37">
        <v>44505</v>
      </c>
    </row>
    <row r="160" spans="1:8" x14ac:dyDescent="0.3">
      <c r="A160" s="35">
        <v>1212113738</v>
      </c>
      <c r="B160" s="36">
        <v>40554083</v>
      </c>
      <c r="C160" s="37">
        <v>44508</v>
      </c>
      <c r="D160" s="137">
        <v>275</v>
      </c>
      <c r="E160" s="36" t="s">
        <v>638</v>
      </c>
      <c r="F160" s="36">
        <v>1</v>
      </c>
      <c r="G160" s="36" t="s">
        <v>110</v>
      </c>
      <c r="H160" s="37">
        <v>44505</v>
      </c>
    </row>
    <row r="161" spans="1:8" x14ac:dyDescent="0.3">
      <c r="A161" s="35">
        <v>1212113743</v>
      </c>
      <c r="B161" s="36" t="s">
        <v>650</v>
      </c>
      <c r="C161" s="37">
        <v>44508</v>
      </c>
      <c r="D161" s="137">
        <v>293.041</v>
      </c>
      <c r="E161" s="36" t="s">
        <v>638</v>
      </c>
      <c r="F161" s="36">
        <v>1</v>
      </c>
      <c r="G161" s="36" t="s">
        <v>110</v>
      </c>
      <c r="H161" s="37">
        <v>44505</v>
      </c>
    </row>
    <row r="162" spans="1:8" x14ac:dyDescent="0.3">
      <c r="A162" s="35">
        <v>1212113724</v>
      </c>
      <c r="B162" s="36">
        <v>14583974</v>
      </c>
      <c r="C162" s="37">
        <v>44508</v>
      </c>
      <c r="D162" s="137">
        <v>55.000999999999998</v>
      </c>
      <c r="E162" s="36" t="s">
        <v>638</v>
      </c>
      <c r="F162" s="36">
        <v>1</v>
      </c>
      <c r="G162" s="36" t="s">
        <v>110</v>
      </c>
      <c r="H162" s="37">
        <v>44505</v>
      </c>
    </row>
    <row r="163" spans="1:8" x14ac:dyDescent="0.3">
      <c r="A163" s="35">
        <v>1212114074</v>
      </c>
      <c r="B163" s="36">
        <v>46930947</v>
      </c>
      <c r="C163" s="37">
        <v>44509</v>
      </c>
      <c r="D163" s="137">
        <v>7040.12</v>
      </c>
      <c r="E163" s="36" t="s">
        <v>638</v>
      </c>
      <c r="F163" s="36">
        <v>4</v>
      </c>
      <c r="G163" s="36" t="s">
        <v>110</v>
      </c>
      <c r="H163" s="37">
        <v>44508</v>
      </c>
    </row>
    <row r="164" spans="1:8" x14ac:dyDescent="0.3">
      <c r="A164" s="35">
        <v>1212114276</v>
      </c>
      <c r="B164" s="36">
        <v>63572911</v>
      </c>
      <c r="C164" s="37">
        <v>44509</v>
      </c>
      <c r="D164" s="137">
        <v>1155.02</v>
      </c>
      <c r="E164" s="36" t="s">
        <v>638</v>
      </c>
      <c r="F164" s="36">
        <v>1</v>
      </c>
      <c r="G164" s="36" t="s">
        <v>110</v>
      </c>
      <c r="H164" s="37">
        <v>44508</v>
      </c>
    </row>
    <row r="165" spans="1:8" x14ac:dyDescent="0.3">
      <c r="A165" s="35">
        <v>1212114283</v>
      </c>
      <c r="B165" s="36">
        <v>67574693</v>
      </c>
      <c r="C165" s="37">
        <v>44509</v>
      </c>
      <c r="D165" s="137">
        <v>220.00399999999999</v>
      </c>
      <c r="E165" s="36" t="s">
        <v>638</v>
      </c>
      <c r="F165" s="36">
        <v>1</v>
      </c>
      <c r="G165" s="36" t="s">
        <v>110</v>
      </c>
      <c r="H165" s="37">
        <v>44508</v>
      </c>
    </row>
    <row r="166" spans="1:8" x14ac:dyDescent="0.3">
      <c r="A166" s="35">
        <v>1212114266</v>
      </c>
      <c r="B166" s="36">
        <v>24648561</v>
      </c>
      <c r="C166" s="37">
        <v>44509</v>
      </c>
      <c r="D166" s="137">
        <v>147.999</v>
      </c>
      <c r="E166" s="36" t="s">
        <v>638</v>
      </c>
      <c r="F166" s="36">
        <v>1</v>
      </c>
      <c r="G166" s="36" t="s">
        <v>110</v>
      </c>
      <c r="H166" s="37">
        <v>44508</v>
      </c>
    </row>
    <row r="167" spans="1:8" x14ac:dyDescent="0.3">
      <c r="A167" s="35">
        <v>1212114275</v>
      </c>
      <c r="B167" s="36">
        <v>58581666</v>
      </c>
      <c r="C167" s="37">
        <v>44509</v>
      </c>
      <c r="D167" s="137">
        <v>37.000999999999998</v>
      </c>
      <c r="E167" s="36" t="s">
        <v>638</v>
      </c>
      <c r="F167" s="36">
        <v>1</v>
      </c>
      <c r="G167" s="36" t="s">
        <v>110</v>
      </c>
      <c r="H167" s="37">
        <v>44508</v>
      </c>
    </row>
    <row r="168" spans="1:8" x14ac:dyDescent="0.3">
      <c r="A168" s="35">
        <v>1212115054</v>
      </c>
      <c r="B168" s="36">
        <v>24774958</v>
      </c>
      <c r="C168" s="37">
        <v>44511</v>
      </c>
      <c r="D168" s="137">
        <v>1507.963</v>
      </c>
      <c r="E168" s="36" t="s">
        <v>638</v>
      </c>
      <c r="F168" s="36">
        <v>1</v>
      </c>
      <c r="G168" s="36" t="s">
        <v>110</v>
      </c>
      <c r="H168" s="37">
        <v>44510</v>
      </c>
    </row>
    <row r="169" spans="1:8" x14ac:dyDescent="0.3">
      <c r="A169" s="35">
        <v>1212115044</v>
      </c>
      <c r="B169" s="36">
        <v>11581119</v>
      </c>
      <c r="C169" s="37">
        <v>44511</v>
      </c>
      <c r="D169" s="137">
        <v>74.001000000000005</v>
      </c>
      <c r="E169" s="36" t="s">
        <v>638</v>
      </c>
      <c r="F169" s="36">
        <v>1</v>
      </c>
      <c r="G169" s="36" t="s">
        <v>110</v>
      </c>
      <c r="H169" s="37">
        <v>44510</v>
      </c>
    </row>
    <row r="170" spans="1:8" x14ac:dyDescent="0.3">
      <c r="A170" s="35">
        <v>1212115059</v>
      </c>
      <c r="B170" s="36">
        <v>24795508</v>
      </c>
      <c r="C170" s="37">
        <v>44511</v>
      </c>
      <c r="D170" s="137">
        <v>110.86199999999999</v>
      </c>
      <c r="E170" s="36" t="s">
        <v>638</v>
      </c>
      <c r="F170" s="36">
        <v>1</v>
      </c>
      <c r="G170" s="36" t="s">
        <v>110</v>
      </c>
      <c r="H170" s="37">
        <v>44510</v>
      </c>
    </row>
    <row r="171" spans="1:8" x14ac:dyDescent="0.3">
      <c r="A171" s="35">
        <v>1212115121</v>
      </c>
      <c r="B171" s="36">
        <v>25632809</v>
      </c>
      <c r="C171" s="37">
        <v>44511</v>
      </c>
      <c r="D171" s="137">
        <v>7389.0190000000002</v>
      </c>
      <c r="E171" s="36" t="s">
        <v>638</v>
      </c>
      <c r="F171" s="36">
        <v>4</v>
      </c>
      <c r="G171" s="36" t="s">
        <v>110</v>
      </c>
      <c r="H171" s="37">
        <v>44510</v>
      </c>
    </row>
    <row r="172" spans="1:8" x14ac:dyDescent="0.3">
      <c r="A172" s="35">
        <v>1212115057</v>
      </c>
      <c r="B172" s="36">
        <v>24792393</v>
      </c>
      <c r="C172" s="37">
        <v>44511</v>
      </c>
      <c r="D172" s="137">
        <v>495.00900000000001</v>
      </c>
      <c r="E172" s="36" t="s">
        <v>638</v>
      </c>
      <c r="F172" s="36">
        <v>1</v>
      </c>
      <c r="G172" s="36" t="s">
        <v>110</v>
      </c>
      <c r="H172" s="37">
        <v>44510</v>
      </c>
    </row>
    <row r="173" spans="1:8" x14ac:dyDescent="0.3">
      <c r="A173" s="35">
        <v>1212115132</v>
      </c>
      <c r="B173" s="36">
        <v>25681214</v>
      </c>
      <c r="C173" s="37">
        <v>44511</v>
      </c>
      <c r="D173" s="137">
        <v>4825.482</v>
      </c>
      <c r="E173" s="36" t="s">
        <v>638</v>
      </c>
      <c r="F173" s="36">
        <v>3</v>
      </c>
      <c r="G173" s="36" t="s">
        <v>110</v>
      </c>
      <c r="H173" s="37">
        <v>44510</v>
      </c>
    </row>
    <row r="174" spans="1:8" x14ac:dyDescent="0.3">
      <c r="A174" s="35">
        <v>1212115104</v>
      </c>
      <c r="B174" s="36">
        <v>31581620</v>
      </c>
      <c r="C174" s="37">
        <v>44511</v>
      </c>
      <c r="D174" s="137">
        <v>369.99799999999999</v>
      </c>
      <c r="E174" s="36" t="s">
        <v>638</v>
      </c>
      <c r="F174" s="36">
        <v>1</v>
      </c>
      <c r="G174" s="36" t="s">
        <v>110</v>
      </c>
      <c r="H174" s="37">
        <v>44510</v>
      </c>
    </row>
    <row r="175" spans="1:8" x14ac:dyDescent="0.3">
      <c r="A175" s="35">
        <v>1212115045</v>
      </c>
      <c r="B175" s="36">
        <v>20572305</v>
      </c>
      <c r="C175" s="37">
        <v>44511</v>
      </c>
      <c r="D175" s="137">
        <v>961.99699999999996</v>
      </c>
      <c r="E175" s="36" t="s">
        <v>638</v>
      </c>
      <c r="F175" s="36">
        <v>1</v>
      </c>
      <c r="G175" s="36" t="s">
        <v>110</v>
      </c>
      <c r="H175" s="37">
        <v>44510</v>
      </c>
    </row>
    <row r="176" spans="1:8" x14ac:dyDescent="0.3">
      <c r="A176" s="35">
        <v>1212115098</v>
      </c>
      <c r="B176" s="36">
        <v>24950450</v>
      </c>
      <c r="C176" s="37">
        <v>44511</v>
      </c>
      <c r="D176" s="137">
        <v>739.99800000000005</v>
      </c>
      <c r="E176" s="36" t="s">
        <v>638</v>
      </c>
      <c r="F176" s="36">
        <v>1</v>
      </c>
      <c r="G176" s="36" t="s">
        <v>110</v>
      </c>
      <c r="H176" s="37">
        <v>44510</v>
      </c>
    </row>
    <row r="177" spans="1:8" x14ac:dyDescent="0.3">
      <c r="A177" s="35">
        <v>1212116207</v>
      </c>
      <c r="B177" s="36">
        <v>25858677</v>
      </c>
      <c r="C177" s="37">
        <v>44512</v>
      </c>
      <c r="D177" s="137">
        <v>1849.9929999999999</v>
      </c>
      <c r="E177" s="36" t="s">
        <v>638</v>
      </c>
      <c r="F177" s="36">
        <v>1</v>
      </c>
      <c r="G177" s="36" t="s">
        <v>110</v>
      </c>
      <c r="H177" s="37">
        <v>44512</v>
      </c>
    </row>
    <row r="178" spans="1:8" x14ac:dyDescent="0.3">
      <c r="A178" s="35">
        <v>1212116187</v>
      </c>
      <c r="B178" s="36">
        <v>5552702</v>
      </c>
      <c r="C178" s="37">
        <v>44512</v>
      </c>
      <c r="D178" s="137">
        <v>165.00299999999999</v>
      </c>
      <c r="E178" s="36" t="s">
        <v>638</v>
      </c>
      <c r="F178" s="36">
        <v>1</v>
      </c>
      <c r="G178" s="36" t="s">
        <v>110</v>
      </c>
      <c r="H178" s="37">
        <v>44512</v>
      </c>
    </row>
    <row r="179" spans="1:8" x14ac:dyDescent="0.3">
      <c r="A179" s="35">
        <v>1212116452</v>
      </c>
      <c r="B179" s="36">
        <v>26916453</v>
      </c>
      <c r="C179" s="37">
        <v>44515</v>
      </c>
      <c r="D179" s="137">
        <v>7040.1239999999998</v>
      </c>
      <c r="E179" s="36" t="s">
        <v>638</v>
      </c>
      <c r="F179" s="36">
        <v>4</v>
      </c>
      <c r="G179" s="36" t="s">
        <v>110</v>
      </c>
      <c r="H179" s="37">
        <v>44515</v>
      </c>
    </row>
    <row r="180" spans="1:8" x14ac:dyDescent="0.3">
      <c r="A180" s="35">
        <v>1212116647</v>
      </c>
      <c r="B180" s="36">
        <v>26709500</v>
      </c>
      <c r="C180" s="37">
        <v>44515</v>
      </c>
      <c r="D180" s="137">
        <v>104.93600000000001</v>
      </c>
      <c r="E180" s="36" t="s">
        <v>638</v>
      </c>
      <c r="F180" s="36">
        <v>1</v>
      </c>
      <c r="G180" s="36" t="s">
        <v>110</v>
      </c>
      <c r="H180" s="37">
        <v>44515</v>
      </c>
    </row>
    <row r="181" spans="1:8" x14ac:dyDescent="0.3">
      <c r="A181" s="35">
        <v>1212116601</v>
      </c>
      <c r="B181" s="36">
        <v>12580686</v>
      </c>
      <c r="C181" s="37">
        <v>44515</v>
      </c>
      <c r="D181" s="137">
        <v>55.000999999999998</v>
      </c>
      <c r="E181" s="36" t="s">
        <v>638</v>
      </c>
      <c r="F181" s="36">
        <v>1</v>
      </c>
      <c r="G181" s="36" t="s">
        <v>110</v>
      </c>
      <c r="H181" s="37">
        <v>44516</v>
      </c>
    </row>
    <row r="182" spans="1:8" x14ac:dyDescent="0.3">
      <c r="A182" s="35">
        <v>1212116662</v>
      </c>
      <c r="B182" s="36">
        <v>26780876</v>
      </c>
      <c r="C182" s="37">
        <v>44515</v>
      </c>
      <c r="D182" s="137">
        <v>1479.9949999999999</v>
      </c>
      <c r="E182" s="36" t="s">
        <v>638</v>
      </c>
      <c r="F182" s="36">
        <v>1</v>
      </c>
      <c r="G182" s="36" t="s">
        <v>110</v>
      </c>
      <c r="H182" s="37">
        <v>44517</v>
      </c>
    </row>
    <row r="183" spans="1:8" x14ac:dyDescent="0.3">
      <c r="A183" s="35">
        <v>1212116629</v>
      </c>
      <c r="B183" s="36">
        <v>76570034</v>
      </c>
      <c r="C183" s="37">
        <v>44515</v>
      </c>
      <c r="D183" s="137">
        <v>605.01099999999997</v>
      </c>
      <c r="E183" s="36" t="s">
        <v>638</v>
      </c>
      <c r="F183" s="36">
        <v>1</v>
      </c>
      <c r="G183" s="36" t="s">
        <v>110</v>
      </c>
      <c r="H183" s="37">
        <v>44518</v>
      </c>
    </row>
    <row r="184" spans="1:8" x14ac:dyDescent="0.3">
      <c r="A184" s="35">
        <v>1212116669</v>
      </c>
      <c r="B184" s="36">
        <v>79557572</v>
      </c>
      <c r="C184" s="37">
        <v>44515</v>
      </c>
      <c r="D184" s="137">
        <v>52.131</v>
      </c>
      <c r="E184" s="36" t="s">
        <v>638</v>
      </c>
      <c r="F184" s="36">
        <v>1</v>
      </c>
      <c r="G184" s="36" t="s">
        <v>110</v>
      </c>
      <c r="H184" s="37">
        <v>44519</v>
      </c>
    </row>
    <row r="185" spans="1:8" x14ac:dyDescent="0.3">
      <c r="A185" s="35">
        <v>1212116646</v>
      </c>
      <c r="B185" s="36">
        <v>26690471</v>
      </c>
      <c r="C185" s="37">
        <v>44515</v>
      </c>
      <c r="D185" s="137">
        <v>74.001000000000005</v>
      </c>
      <c r="E185" s="36" t="s">
        <v>638</v>
      </c>
      <c r="F185" s="36">
        <v>1</v>
      </c>
      <c r="G185" s="36" t="s">
        <v>110</v>
      </c>
      <c r="H185" s="37">
        <v>44520</v>
      </c>
    </row>
    <row r="186" spans="1:8" x14ac:dyDescent="0.3">
      <c r="A186" s="35">
        <v>1212116665</v>
      </c>
      <c r="B186" s="36">
        <v>26816841</v>
      </c>
      <c r="C186" s="37">
        <v>44515</v>
      </c>
      <c r="D186" s="137">
        <v>5586.9790000000003</v>
      </c>
      <c r="E186" s="36" t="s">
        <v>638</v>
      </c>
      <c r="F186" s="36">
        <v>3</v>
      </c>
      <c r="G186" s="36" t="s">
        <v>110</v>
      </c>
      <c r="H186" s="37">
        <v>44521</v>
      </c>
    </row>
    <row r="187" spans="1:8" x14ac:dyDescent="0.3">
      <c r="A187" s="35">
        <v>1212116663</v>
      </c>
      <c r="B187" s="36">
        <v>26800306</v>
      </c>
      <c r="C187" s="37">
        <v>44515</v>
      </c>
      <c r="D187" s="137">
        <v>7214.973</v>
      </c>
      <c r="E187" s="36" t="s">
        <v>638</v>
      </c>
      <c r="F187" s="36">
        <v>3</v>
      </c>
      <c r="G187" s="36" t="s">
        <v>110</v>
      </c>
      <c r="H187" s="37">
        <v>44522</v>
      </c>
    </row>
    <row r="188" spans="1:8" x14ac:dyDescent="0.3">
      <c r="A188" s="35">
        <v>1212116989</v>
      </c>
      <c r="B188" s="36">
        <v>48559196</v>
      </c>
      <c r="C188" s="37">
        <v>44516</v>
      </c>
      <c r="D188" s="137">
        <v>220.00399999999999</v>
      </c>
      <c r="E188" s="36" t="s">
        <v>638</v>
      </c>
      <c r="F188" s="36">
        <v>1</v>
      </c>
      <c r="G188" s="36" t="s">
        <v>110</v>
      </c>
      <c r="H188" s="37">
        <v>44515</v>
      </c>
    </row>
    <row r="189" spans="1:8" x14ac:dyDescent="0.3">
      <c r="A189" s="35">
        <v>1212116992</v>
      </c>
      <c r="B189" s="36">
        <v>79584853</v>
      </c>
      <c r="C189" s="37">
        <v>44516</v>
      </c>
      <c r="D189" s="137">
        <v>385.00700000000001</v>
      </c>
      <c r="E189" s="36" t="s">
        <v>638</v>
      </c>
      <c r="F189" s="36">
        <v>1</v>
      </c>
      <c r="G189" s="36" t="s">
        <v>110</v>
      </c>
      <c r="H189" s="37">
        <v>44515</v>
      </c>
    </row>
    <row r="190" spans="1:8" x14ac:dyDescent="0.3">
      <c r="A190" s="35">
        <v>1212116969</v>
      </c>
      <c r="B190" s="36">
        <v>26871771</v>
      </c>
      <c r="C190" s="37">
        <v>44516</v>
      </c>
      <c r="D190" s="137">
        <v>4439.9840000000004</v>
      </c>
      <c r="E190" s="36" t="s">
        <v>638</v>
      </c>
      <c r="F190" s="36">
        <v>2</v>
      </c>
      <c r="G190" s="36" t="s">
        <v>110</v>
      </c>
      <c r="H190" s="37">
        <v>44515</v>
      </c>
    </row>
    <row r="191" spans="1:8" x14ac:dyDescent="0.3">
      <c r="A191" s="35">
        <v>1212116965</v>
      </c>
      <c r="B191" s="36">
        <v>15562850</v>
      </c>
      <c r="C191" s="37">
        <v>44516</v>
      </c>
      <c r="D191" s="137">
        <v>385.00700000000001</v>
      </c>
      <c r="E191" s="36" t="s">
        <v>638</v>
      </c>
      <c r="F191" s="36">
        <v>1</v>
      </c>
      <c r="G191" s="36" t="s">
        <v>110</v>
      </c>
      <c r="H191" s="37">
        <v>44515</v>
      </c>
    </row>
    <row r="192" spans="1:8" x14ac:dyDescent="0.3">
      <c r="A192" s="35">
        <v>1212116968</v>
      </c>
      <c r="B192" s="36">
        <v>26865618</v>
      </c>
      <c r="C192" s="37">
        <v>44516</v>
      </c>
      <c r="D192" s="137">
        <v>220.00399999999999</v>
      </c>
      <c r="E192" s="36" t="s">
        <v>638</v>
      </c>
      <c r="F192" s="36">
        <v>1</v>
      </c>
      <c r="G192" s="36" t="s">
        <v>110</v>
      </c>
      <c r="H192" s="37">
        <v>44515</v>
      </c>
    </row>
    <row r="193" spans="1:8" x14ac:dyDescent="0.3">
      <c r="A193" s="35">
        <v>1212117800</v>
      </c>
      <c r="B193" s="36">
        <v>4578212</v>
      </c>
      <c r="C193" s="37">
        <v>44517</v>
      </c>
      <c r="D193" s="137">
        <v>715.01300000000003</v>
      </c>
      <c r="E193" s="36" t="s">
        <v>638</v>
      </c>
      <c r="F193" s="36">
        <v>1</v>
      </c>
      <c r="G193" s="36" t="s">
        <v>110</v>
      </c>
      <c r="H193" s="37">
        <v>44516</v>
      </c>
    </row>
    <row r="194" spans="1:8" x14ac:dyDescent="0.3">
      <c r="A194" s="35">
        <v>1212117808</v>
      </c>
      <c r="B194" s="36">
        <v>27746402</v>
      </c>
      <c r="C194" s="37">
        <v>44517</v>
      </c>
      <c r="D194" s="137">
        <v>147.999</v>
      </c>
      <c r="E194" s="36" t="s">
        <v>638</v>
      </c>
      <c r="F194" s="36">
        <v>1</v>
      </c>
      <c r="G194" s="36" t="s">
        <v>110</v>
      </c>
      <c r="H194" s="37">
        <v>44516</v>
      </c>
    </row>
    <row r="195" spans="1:8" x14ac:dyDescent="0.3">
      <c r="A195" s="35">
        <v>1212117815</v>
      </c>
      <c r="B195" s="36">
        <v>27828679</v>
      </c>
      <c r="C195" s="37">
        <v>44517</v>
      </c>
      <c r="D195" s="137">
        <v>495.00900000000001</v>
      </c>
      <c r="E195" s="36" t="s">
        <v>638</v>
      </c>
      <c r="F195" s="36">
        <v>1</v>
      </c>
      <c r="G195" s="36" t="s">
        <v>110</v>
      </c>
      <c r="H195" s="37">
        <v>44516</v>
      </c>
    </row>
    <row r="196" spans="1:8" x14ac:dyDescent="0.3">
      <c r="A196" s="35">
        <v>1212117783</v>
      </c>
      <c r="B196" s="36">
        <v>73566595</v>
      </c>
      <c r="C196" s="37">
        <v>44517</v>
      </c>
      <c r="D196" s="137">
        <v>1650.029</v>
      </c>
      <c r="E196" s="36" t="s">
        <v>638</v>
      </c>
      <c r="F196" s="36">
        <v>1</v>
      </c>
      <c r="G196" s="36" t="s">
        <v>110</v>
      </c>
      <c r="H196" s="37">
        <v>44516</v>
      </c>
    </row>
    <row r="197" spans="1:8" x14ac:dyDescent="0.3">
      <c r="A197" s="35">
        <v>1212117820</v>
      </c>
      <c r="B197" s="36">
        <v>27834966</v>
      </c>
      <c r="C197" s="37">
        <v>44517</v>
      </c>
      <c r="D197" s="137">
        <v>628.99699999999996</v>
      </c>
      <c r="E197" s="36" t="s">
        <v>638</v>
      </c>
      <c r="F197" s="36">
        <v>1</v>
      </c>
      <c r="G197" s="36" t="s">
        <v>110</v>
      </c>
      <c r="H197" s="37">
        <v>44516</v>
      </c>
    </row>
    <row r="198" spans="1:8" x14ac:dyDescent="0.3">
      <c r="A198" s="35">
        <v>1212118280</v>
      </c>
      <c r="B198" s="36">
        <v>80575583</v>
      </c>
      <c r="C198" s="37">
        <v>44518</v>
      </c>
      <c r="D198" s="137">
        <v>50.265000000000001</v>
      </c>
      <c r="E198" s="36" t="s">
        <v>638</v>
      </c>
      <c r="F198" s="36">
        <v>1</v>
      </c>
      <c r="G198" s="36" t="s">
        <v>110</v>
      </c>
      <c r="H198" s="37">
        <v>44517</v>
      </c>
    </row>
    <row r="199" spans="1:8" x14ac:dyDescent="0.3">
      <c r="A199" s="35">
        <v>1212118300</v>
      </c>
      <c r="B199" s="36">
        <v>53565972</v>
      </c>
      <c r="C199" s="37">
        <v>44518</v>
      </c>
      <c r="D199" s="137">
        <v>150.79599999999999</v>
      </c>
      <c r="E199" s="36" t="s">
        <v>638</v>
      </c>
      <c r="F199" s="36">
        <v>1</v>
      </c>
      <c r="G199" s="36" t="s">
        <v>110</v>
      </c>
      <c r="H199" s="37">
        <v>44517</v>
      </c>
    </row>
    <row r="200" spans="1:8" x14ac:dyDescent="0.3">
      <c r="A200" s="35">
        <v>1212118329</v>
      </c>
      <c r="B200" s="36">
        <v>64576012</v>
      </c>
      <c r="C200" s="37">
        <v>44518</v>
      </c>
      <c r="D200" s="137">
        <v>2764.5990000000002</v>
      </c>
      <c r="E200" s="36" t="s">
        <v>638</v>
      </c>
      <c r="F200" s="36">
        <v>2</v>
      </c>
      <c r="G200" s="36" t="s">
        <v>110</v>
      </c>
      <c r="H200" s="37">
        <v>44517</v>
      </c>
    </row>
    <row r="201" spans="1:8" x14ac:dyDescent="0.3">
      <c r="A201" s="35">
        <v>1212118285</v>
      </c>
      <c r="B201" s="36" t="s">
        <v>651</v>
      </c>
      <c r="C201" s="37">
        <v>44518</v>
      </c>
      <c r="D201" s="137">
        <v>715.01300000000003</v>
      </c>
      <c r="E201" s="36" t="s">
        <v>638</v>
      </c>
      <c r="F201" s="36">
        <v>1</v>
      </c>
      <c r="G201" s="36" t="s">
        <v>110</v>
      </c>
      <c r="H201" s="37">
        <v>44517</v>
      </c>
    </row>
    <row r="202" spans="1:8" x14ac:dyDescent="0.3">
      <c r="A202" s="35">
        <v>1212118268</v>
      </c>
      <c r="B202" s="36" t="s">
        <v>652</v>
      </c>
      <c r="C202" s="37">
        <v>44518</v>
      </c>
      <c r="D202" s="137">
        <v>4473.6239999999998</v>
      </c>
      <c r="E202" s="36" t="s">
        <v>638</v>
      </c>
      <c r="F202" s="36">
        <v>3</v>
      </c>
      <c r="G202" s="36" t="s">
        <v>110</v>
      </c>
      <c r="H202" s="37">
        <v>44517</v>
      </c>
    </row>
    <row r="203" spans="1:8" x14ac:dyDescent="0.3">
      <c r="A203" s="35">
        <v>1212118314</v>
      </c>
      <c r="B203" s="36">
        <v>28767747</v>
      </c>
      <c r="C203" s="37">
        <v>44518</v>
      </c>
      <c r="D203" s="137">
        <v>1109.9949999999999</v>
      </c>
      <c r="E203" s="36" t="s">
        <v>638</v>
      </c>
      <c r="F203" s="36">
        <v>1</v>
      </c>
      <c r="G203" s="36" t="s">
        <v>110</v>
      </c>
      <c r="H203" s="37">
        <v>44517</v>
      </c>
    </row>
    <row r="204" spans="1:8" x14ac:dyDescent="0.3">
      <c r="A204" s="35">
        <v>1212117814</v>
      </c>
      <c r="B204" s="36">
        <v>27824983</v>
      </c>
      <c r="C204" s="37">
        <v>44517</v>
      </c>
      <c r="D204" s="137">
        <v>258.99900000000002</v>
      </c>
      <c r="E204" s="36" t="s">
        <v>638</v>
      </c>
      <c r="F204" s="36">
        <v>1</v>
      </c>
      <c r="G204" s="36" t="s">
        <v>110</v>
      </c>
      <c r="H204" s="37">
        <v>44516</v>
      </c>
    </row>
    <row r="205" spans="1:8" x14ac:dyDescent="0.3">
      <c r="A205" s="35">
        <v>1212118281</v>
      </c>
      <c r="B205" s="36">
        <v>80575584</v>
      </c>
      <c r="C205" s="37">
        <v>44518</v>
      </c>
      <c r="D205" s="137">
        <v>58.731000000000002</v>
      </c>
      <c r="E205" s="36" t="s">
        <v>638</v>
      </c>
      <c r="F205" s="36">
        <v>1</v>
      </c>
      <c r="G205" s="36" t="s">
        <v>110</v>
      </c>
      <c r="H205" s="37">
        <v>44517</v>
      </c>
    </row>
    <row r="206" spans="1:8" x14ac:dyDescent="0.3">
      <c r="A206" s="35">
        <v>1212118316</v>
      </c>
      <c r="B206" s="36">
        <v>28769133</v>
      </c>
      <c r="C206" s="37">
        <v>44518</v>
      </c>
      <c r="D206" s="137">
        <v>739.99800000000005</v>
      </c>
      <c r="E206" s="36" t="s">
        <v>638</v>
      </c>
      <c r="F206" s="36">
        <v>1</v>
      </c>
      <c r="G206" s="36" t="s">
        <v>110</v>
      </c>
      <c r="H206" s="37">
        <v>44517</v>
      </c>
    </row>
    <row r="207" spans="1:8" x14ac:dyDescent="0.3">
      <c r="A207" s="35">
        <v>1212118913</v>
      </c>
      <c r="B207" s="36">
        <v>25585939</v>
      </c>
      <c r="C207" s="37">
        <v>44519</v>
      </c>
      <c r="D207" s="137">
        <v>110.002</v>
      </c>
      <c r="E207" s="36" t="s">
        <v>638</v>
      </c>
      <c r="F207" s="36">
        <v>1</v>
      </c>
      <c r="G207" s="36" t="s">
        <v>110</v>
      </c>
      <c r="H207" s="37">
        <v>44519</v>
      </c>
    </row>
    <row r="208" spans="1:8" x14ac:dyDescent="0.3">
      <c r="A208" s="35">
        <v>1212118923</v>
      </c>
      <c r="B208" s="36">
        <v>28987819</v>
      </c>
      <c r="C208" s="37">
        <v>44519</v>
      </c>
      <c r="D208" s="137">
        <v>2200.0390000000002</v>
      </c>
      <c r="E208" s="36" t="s">
        <v>638</v>
      </c>
      <c r="F208" s="36">
        <v>1</v>
      </c>
      <c r="G208" s="36" t="s">
        <v>110</v>
      </c>
      <c r="H208" s="37">
        <v>44519</v>
      </c>
    </row>
    <row r="209" spans="1:9" x14ac:dyDescent="0.3">
      <c r="A209" s="35">
        <v>1212118907</v>
      </c>
      <c r="B209" s="36">
        <v>55588806</v>
      </c>
      <c r="C209" s="37">
        <v>44519</v>
      </c>
      <c r="D209" s="137">
        <v>2534.7800000000002</v>
      </c>
      <c r="E209" s="36" t="s">
        <v>638</v>
      </c>
      <c r="F209" s="36">
        <v>1</v>
      </c>
      <c r="G209" s="36" t="s">
        <v>110</v>
      </c>
      <c r="H209" s="37">
        <v>44519</v>
      </c>
    </row>
    <row r="210" spans="1:9" x14ac:dyDescent="0.3">
      <c r="A210" s="35">
        <v>1212118905</v>
      </c>
      <c r="B210" s="36">
        <v>28831764</v>
      </c>
      <c r="C210" s="37">
        <v>44519</v>
      </c>
      <c r="D210" s="137">
        <v>5894.8370000000004</v>
      </c>
      <c r="E210" s="36" t="s">
        <v>638</v>
      </c>
      <c r="F210" s="36">
        <v>3</v>
      </c>
      <c r="G210" s="36" t="s">
        <v>110</v>
      </c>
      <c r="H210" s="37">
        <v>44519</v>
      </c>
    </row>
    <row r="211" spans="1:9" x14ac:dyDescent="0.3">
      <c r="A211" s="35">
        <v>1212118918</v>
      </c>
      <c r="B211" s="36">
        <v>28963703</v>
      </c>
      <c r="C211" s="37">
        <v>44519</v>
      </c>
      <c r="D211" s="137">
        <v>3641.3470000000002</v>
      </c>
      <c r="E211" s="36" t="s">
        <v>638</v>
      </c>
      <c r="F211" s="36">
        <v>2</v>
      </c>
      <c r="G211" s="36" t="s">
        <v>110</v>
      </c>
      <c r="H211" s="37">
        <v>44519</v>
      </c>
    </row>
    <row r="212" spans="1:9" x14ac:dyDescent="0.3">
      <c r="A212" s="35">
        <v>1212119160</v>
      </c>
      <c r="B212" s="44">
        <v>36908602</v>
      </c>
      <c r="C212" s="37">
        <v>44522</v>
      </c>
      <c r="D212" s="137">
        <v>19360.329999999998</v>
      </c>
      <c r="E212" s="36" t="s">
        <v>638</v>
      </c>
      <c r="F212" s="36">
        <v>11</v>
      </c>
      <c r="G212" s="36" t="s">
        <v>110</v>
      </c>
      <c r="H212" s="37">
        <v>44519</v>
      </c>
    </row>
    <row r="213" spans="1:9" x14ac:dyDescent="0.3">
      <c r="A213" s="35">
        <v>1212119899</v>
      </c>
      <c r="B213" s="36">
        <v>23577631</v>
      </c>
      <c r="C213" s="37">
        <v>44523</v>
      </c>
      <c r="D213" s="137">
        <v>1430.0250000000001</v>
      </c>
      <c r="E213" s="36" t="s">
        <v>638</v>
      </c>
      <c r="F213" s="36">
        <v>1</v>
      </c>
      <c r="G213" s="36" t="s">
        <v>110</v>
      </c>
      <c r="H213" s="37">
        <v>44522</v>
      </c>
    </row>
    <row r="214" spans="1:9" x14ac:dyDescent="0.3">
      <c r="A214" s="45">
        <v>1212119880</v>
      </c>
      <c r="B214" s="46">
        <v>39572478</v>
      </c>
      <c r="C214" s="47">
        <v>44523</v>
      </c>
      <c r="D214" s="139">
        <v>55.000999999999998</v>
      </c>
      <c r="E214" s="46" t="s">
        <v>638</v>
      </c>
      <c r="F214" s="46">
        <v>1</v>
      </c>
      <c r="G214" s="46" t="s">
        <v>110</v>
      </c>
      <c r="H214" s="47">
        <v>44522</v>
      </c>
      <c r="I214" s="23" t="s">
        <v>653</v>
      </c>
    </row>
    <row r="215" spans="1:9" x14ac:dyDescent="0.3">
      <c r="A215" s="35">
        <v>1212119794</v>
      </c>
      <c r="B215" s="36">
        <v>26919803</v>
      </c>
      <c r="C215" s="37">
        <v>44523</v>
      </c>
      <c r="D215" s="137">
        <v>14081</v>
      </c>
      <c r="E215" s="36" t="s">
        <v>638</v>
      </c>
      <c r="F215" s="36">
        <v>8</v>
      </c>
      <c r="G215" s="36" t="s">
        <v>110</v>
      </c>
      <c r="H215" s="37">
        <v>44522</v>
      </c>
    </row>
    <row r="216" spans="1:9" x14ac:dyDescent="0.3">
      <c r="A216" s="35">
        <v>1212119900</v>
      </c>
      <c r="B216" s="36">
        <v>28564429</v>
      </c>
      <c r="C216" s="37">
        <v>44523</v>
      </c>
      <c r="D216" s="137">
        <v>37.000999999999998</v>
      </c>
      <c r="E216" s="36" t="s">
        <v>638</v>
      </c>
      <c r="F216" s="36">
        <v>1</v>
      </c>
      <c r="G216" s="36" t="s">
        <v>110</v>
      </c>
      <c r="H216" s="37">
        <v>44522</v>
      </c>
    </row>
    <row r="217" spans="1:9" x14ac:dyDescent="0.3">
      <c r="A217" s="35">
        <v>1212119886</v>
      </c>
      <c r="B217" s="36">
        <v>62577257</v>
      </c>
      <c r="C217" s="37">
        <v>44523</v>
      </c>
      <c r="D217" s="137">
        <v>440.00799999999998</v>
      </c>
      <c r="E217" s="36" t="s">
        <v>638</v>
      </c>
      <c r="F217" s="36">
        <v>1</v>
      </c>
      <c r="G217" s="36" t="s">
        <v>110</v>
      </c>
      <c r="H217" s="37">
        <v>44522</v>
      </c>
    </row>
    <row r="218" spans="1:9" x14ac:dyDescent="0.3">
      <c r="A218" s="35">
        <v>1212119895</v>
      </c>
      <c r="B218" s="36">
        <v>6569834</v>
      </c>
      <c r="C218" s="37">
        <v>44523</v>
      </c>
      <c r="D218" s="137">
        <v>50.320999999999998</v>
      </c>
      <c r="E218" s="36" t="s">
        <v>638</v>
      </c>
      <c r="F218" s="36">
        <v>1</v>
      </c>
      <c r="G218" s="36" t="s">
        <v>110</v>
      </c>
      <c r="H218" s="37">
        <v>44522</v>
      </c>
    </row>
    <row r="219" spans="1:9" x14ac:dyDescent="0.3">
      <c r="A219" s="35">
        <v>1212119878</v>
      </c>
      <c r="B219" s="36">
        <v>32561956</v>
      </c>
      <c r="C219" s="37">
        <v>44523</v>
      </c>
      <c r="D219" s="137">
        <v>495.00900000000001</v>
      </c>
      <c r="E219" s="36" t="s">
        <v>638</v>
      </c>
      <c r="F219" s="36">
        <v>1</v>
      </c>
      <c r="G219" s="36" t="s">
        <v>110</v>
      </c>
      <c r="H219" s="37">
        <v>44522</v>
      </c>
    </row>
    <row r="220" spans="1:9" x14ac:dyDescent="0.3">
      <c r="A220" s="35">
        <v>1212120716</v>
      </c>
      <c r="B220" s="36">
        <v>4566120</v>
      </c>
      <c r="C220" s="37">
        <v>44524</v>
      </c>
      <c r="D220" s="137">
        <v>165.00299999999999</v>
      </c>
      <c r="E220" s="36" t="s">
        <v>638</v>
      </c>
      <c r="F220" s="36">
        <v>1</v>
      </c>
      <c r="G220" s="36" t="s">
        <v>110</v>
      </c>
      <c r="H220" s="37">
        <v>44523</v>
      </c>
    </row>
    <row r="221" spans="1:9" x14ac:dyDescent="0.3">
      <c r="A221" s="35">
        <v>1212120753</v>
      </c>
      <c r="B221" s="36">
        <v>20580504</v>
      </c>
      <c r="C221" s="37">
        <v>44524</v>
      </c>
      <c r="D221" s="137">
        <v>586.42999999999995</v>
      </c>
      <c r="E221" s="36" t="s">
        <v>638</v>
      </c>
      <c r="F221" s="36">
        <v>1</v>
      </c>
      <c r="G221" s="36" t="s">
        <v>110</v>
      </c>
      <c r="H221" s="37">
        <v>44523</v>
      </c>
    </row>
    <row r="222" spans="1:9" x14ac:dyDescent="0.3">
      <c r="A222" s="35">
        <v>1212120784</v>
      </c>
      <c r="B222" s="36">
        <v>61572981</v>
      </c>
      <c r="C222" s="37">
        <v>44524</v>
      </c>
      <c r="D222" s="137">
        <v>55.000999999999998</v>
      </c>
      <c r="E222" s="36" t="s">
        <v>638</v>
      </c>
      <c r="F222" s="36">
        <v>1</v>
      </c>
      <c r="G222" s="36" t="s">
        <v>110</v>
      </c>
      <c r="H222" s="37">
        <v>44523</v>
      </c>
    </row>
    <row r="223" spans="1:9" x14ac:dyDescent="0.3">
      <c r="A223" s="35">
        <v>1212120807</v>
      </c>
      <c r="B223" s="36">
        <v>34566788</v>
      </c>
      <c r="C223" s="37">
        <v>44524</v>
      </c>
      <c r="D223" s="137">
        <v>165.00299999999999</v>
      </c>
      <c r="E223" s="36" t="s">
        <v>638</v>
      </c>
      <c r="F223" s="36">
        <v>1</v>
      </c>
      <c r="G223" s="36" t="s">
        <v>110</v>
      </c>
      <c r="H223" s="37">
        <v>44523</v>
      </c>
    </row>
    <row r="224" spans="1:9" x14ac:dyDescent="0.3">
      <c r="A224" s="35">
        <v>1212120747</v>
      </c>
      <c r="B224" s="36">
        <v>1581173</v>
      </c>
      <c r="C224" s="37">
        <v>44524</v>
      </c>
      <c r="D224" s="137">
        <v>110.002</v>
      </c>
      <c r="E224" s="36" t="s">
        <v>638</v>
      </c>
      <c r="F224" s="36">
        <v>1</v>
      </c>
      <c r="G224" s="36" t="s">
        <v>110</v>
      </c>
      <c r="H224" s="37">
        <v>44523</v>
      </c>
    </row>
    <row r="225" spans="1:8" x14ac:dyDescent="0.3">
      <c r="A225" s="35">
        <v>1212120752</v>
      </c>
      <c r="B225" s="36">
        <v>15553401</v>
      </c>
      <c r="C225" s="37">
        <v>44524</v>
      </c>
      <c r="D225" s="137">
        <v>55.000999999999998</v>
      </c>
      <c r="E225" s="36" t="s">
        <v>638</v>
      </c>
      <c r="F225" s="36">
        <v>1</v>
      </c>
      <c r="G225" s="36" t="s">
        <v>110</v>
      </c>
      <c r="H225" s="37">
        <v>44523</v>
      </c>
    </row>
    <row r="226" spans="1:8" x14ac:dyDescent="0.3">
      <c r="A226" s="35">
        <v>1212120289</v>
      </c>
      <c r="B226" s="36">
        <v>35902334</v>
      </c>
      <c r="C226" s="37">
        <v>44529</v>
      </c>
      <c r="D226" s="137">
        <v>1760.0309999999999</v>
      </c>
      <c r="E226" s="36" t="s">
        <v>638</v>
      </c>
      <c r="F226" s="36">
        <v>1</v>
      </c>
      <c r="G226" s="36" t="s">
        <v>110</v>
      </c>
      <c r="H226" s="37">
        <v>44529</v>
      </c>
    </row>
    <row r="227" spans="1:8" x14ac:dyDescent="0.3">
      <c r="A227" s="35">
        <v>1212121331</v>
      </c>
      <c r="B227" s="36">
        <v>32695864</v>
      </c>
      <c r="C227" s="37">
        <v>44529</v>
      </c>
      <c r="D227" s="137">
        <v>165.00299999999999</v>
      </c>
      <c r="E227" s="36" t="s">
        <v>638</v>
      </c>
      <c r="F227" s="36">
        <v>1</v>
      </c>
      <c r="G227" s="36" t="s">
        <v>110</v>
      </c>
      <c r="H227" s="37">
        <v>44529</v>
      </c>
    </row>
    <row r="228" spans="1:8" x14ac:dyDescent="0.3">
      <c r="A228" s="35">
        <v>1212121325</v>
      </c>
      <c r="B228" s="36">
        <v>18583196</v>
      </c>
      <c r="C228" s="37">
        <v>44529</v>
      </c>
      <c r="D228" s="137">
        <v>52.131</v>
      </c>
      <c r="E228" s="36" t="s">
        <v>638</v>
      </c>
      <c r="F228" s="36">
        <v>1</v>
      </c>
      <c r="G228" s="36" t="s">
        <v>110</v>
      </c>
      <c r="H228" s="37">
        <v>44529</v>
      </c>
    </row>
    <row r="229" spans="1:8" x14ac:dyDescent="0.3">
      <c r="A229" s="35">
        <v>1212121309</v>
      </c>
      <c r="B229" s="36" t="s">
        <v>654</v>
      </c>
      <c r="C229" s="37">
        <v>44529</v>
      </c>
      <c r="D229" s="137">
        <v>10053.087</v>
      </c>
      <c r="E229" s="36" t="s">
        <v>638</v>
      </c>
      <c r="F229" s="36">
        <v>6</v>
      </c>
      <c r="G229" s="36" t="s">
        <v>110</v>
      </c>
      <c r="H229" s="37">
        <v>44529</v>
      </c>
    </row>
    <row r="230" spans="1:8" x14ac:dyDescent="0.3">
      <c r="A230" s="35">
        <v>1212121351</v>
      </c>
      <c r="B230" s="36">
        <v>51580357</v>
      </c>
      <c r="C230" s="37">
        <v>44529</v>
      </c>
      <c r="D230" s="137">
        <v>110.002</v>
      </c>
      <c r="E230" s="36" t="s">
        <v>638</v>
      </c>
      <c r="F230" s="36">
        <v>1</v>
      </c>
      <c r="G230" s="36" t="s">
        <v>110</v>
      </c>
      <c r="H230" s="37">
        <v>44529</v>
      </c>
    </row>
    <row r="231" spans="1:8" x14ac:dyDescent="0.3">
      <c r="A231" s="35">
        <v>1212121864</v>
      </c>
      <c r="B231" s="36">
        <v>38924848</v>
      </c>
      <c r="C231" s="37">
        <v>44531</v>
      </c>
      <c r="D231" s="137">
        <v>3520.0619999999999</v>
      </c>
      <c r="E231" s="36" t="s">
        <v>638</v>
      </c>
      <c r="F231" s="36">
        <v>2</v>
      </c>
      <c r="G231" s="36" t="s">
        <v>110</v>
      </c>
      <c r="H231" s="37">
        <v>44530</v>
      </c>
    </row>
    <row r="232" spans="1:8" x14ac:dyDescent="0.3">
      <c r="A232" s="35">
        <v>1212121857</v>
      </c>
      <c r="B232" s="36">
        <v>38924661</v>
      </c>
      <c r="C232" s="37">
        <v>44531</v>
      </c>
      <c r="D232" s="137">
        <v>5280.0929999999998</v>
      </c>
      <c r="E232" s="36" t="s">
        <v>638</v>
      </c>
      <c r="F232" s="36">
        <v>3</v>
      </c>
      <c r="G232" s="36" t="s">
        <v>110</v>
      </c>
      <c r="H232" s="37">
        <v>44530</v>
      </c>
    </row>
    <row r="233" spans="1:8" x14ac:dyDescent="0.3">
      <c r="A233" s="35">
        <v>1212122771</v>
      </c>
      <c r="B233" s="36">
        <v>68571236</v>
      </c>
      <c r="C233" s="37">
        <v>44531</v>
      </c>
      <c r="D233" s="137">
        <v>220.00399999999999</v>
      </c>
      <c r="E233" s="36" t="s">
        <v>638</v>
      </c>
      <c r="F233" s="36">
        <v>1</v>
      </c>
      <c r="G233" s="36" t="s">
        <v>110</v>
      </c>
      <c r="H233" s="37">
        <v>44530</v>
      </c>
    </row>
    <row r="234" spans="1:8" x14ac:dyDescent="0.3">
      <c r="A234" s="35">
        <v>1212122823</v>
      </c>
      <c r="B234" s="36">
        <v>34991756</v>
      </c>
      <c r="C234" s="37">
        <v>44531</v>
      </c>
      <c r="D234" s="137">
        <v>660.01199999999994</v>
      </c>
      <c r="E234" s="36" t="s">
        <v>638</v>
      </c>
      <c r="F234" s="36">
        <v>1</v>
      </c>
      <c r="G234" s="36" t="s">
        <v>110</v>
      </c>
      <c r="H234" s="37">
        <v>44530</v>
      </c>
    </row>
    <row r="235" spans="1:8" x14ac:dyDescent="0.3">
      <c r="A235" s="35">
        <v>1212122750</v>
      </c>
      <c r="B235" s="36">
        <v>41578595</v>
      </c>
      <c r="C235" s="37">
        <v>44531</v>
      </c>
      <c r="D235" s="137">
        <v>110.002</v>
      </c>
      <c r="E235" s="36" t="s">
        <v>638</v>
      </c>
      <c r="F235" s="36">
        <v>1</v>
      </c>
      <c r="G235" s="36" t="s">
        <v>110</v>
      </c>
      <c r="H235" s="37">
        <v>44530</v>
      </c>
    </row>
    <row r="236" spans="1:8" x14ac:dyDescent="0.3">
      <c r="A236" s="35">
        <v>1212122828</v>
      </c>
      <c r="B236" s="36">
        <v>35693305</v>
      </c>
      <c r="C236" s="37">
        <v>44531</v>
      </c>
      <c r="D236" s="137">
        <v>605.01099999999997</v>
      </c>
      <c r="E236" s="36" t="s">
        <v>638</v>
      </c>
      <c r="F236" s="36">
        <v>1</v>
      </c>
      <c r="G236" s="36" t="s">
        <v>110</v>
      </c>
      <c r="H236" s="37">
        <v>44530</v>
      </c>
    </row>
    <row r="237" spans="1:8" x14ac:dyDescent="0.3">
      <c r="A237" s="35">
        <v>1212122837</v>
      </c>
      <c r="B237" s="36">
        <v>84570914</v>
      </c>
      <c r="C237" s="37">
        <v>44531</v>
      </c>
      <c r="D237" s="137">
        <v>605.01099999999997</v>
      </c>
      <c r="E237" s="36" t="s">
        <v>638</v>
      </c>
      <c r="F237" s="36">
        <v>1</v>
      </c>
      <c r="G237" s="36" t="s">
        <v>110</v>
      </c>
      <c r="H237" s="37">
        <v>44530</v>
      </c>
    </row>
    <row r="238" spans="1:8" x14ac:dyDescent="0.3">
      <c r="A238" s="35">
        <v>1212121982</v>
      </c>
      <c r="B238" s="36">
        <v>32966385</v>
      </c>
      <c r="C238" s="37">
        <v>44530</v>
      </c>
      <c r="D238" s="137">
        <v>1109.9949999999999</v>
      </c>
      <c r="E238" s="36" t="s">
        <v>638</v>
      </c>
      <c r="F238" s="36">
        <v>1</v>
      </c>
      <c r="G238" s="36" t="s">
        <v>110</v>
      </c>
      <c r="H238" s="37">
        <v>44531</v>
      </c>
    </row>
    <row r="239" spans="1:8" x14ac:dyDescent="0.3">
      <c r="A239" s="35">
        <v>1212121987</v>
      </c>
      <c r="B239" s="36">
        <v>48559747</v>
      </c>
      <c r="C239" s="37">
        <v>44530</v>
      </c>
      <c r="D239" s="137">
        <v>55.000999999999998</v>
      </c>
      <c r="E239" s="36" t="s">
        <v>638</v>
      </c>
      <c r="F239" s="36">
        <v>1</v>
      </c>
      <c r="G239" s="36" t="s">
        <v>110</v>
      </c>
      <c r="H239" s="37">
        <v>44531</v>
      </c>
    </row>
    <row r="240" spans="1:8" x14ac:dyDescent="0.3">
      <c r="A240" s="35">
        <v>1212121988</v>
      </c>
      <c r="B240" s="36">
        <v>48559749</v>
      </c>
      <c r="C240" s="37">
        <v>44530</v>
      </c>
      <c r="D240" s="137">
        <v>55.000999999999998</v>
      </c>
      <c r="E240" s="36" t="s">
        <v>638</v>
      </c>
      <c r="F240" s="36">
        <v>1</v>
      </c>
      <c r="G240" s="36" t="s">
        <v>110</v>
      </c>
      <c r="H240" s="37">
        <v>44531</v>
      </c>
    </row>
    <row r="241" spans="1:8" x14ac:dyDescent="0.3">
      <c r="A241" s="35">
        <v>1212122005</v>
      </c>
      <c r="B241" s="36">
        <v>92582893</v>
      </c>
      <c r="C241" s="37">
        <v>44530</v>
      </c>
      <c r="D241" s="137">
        <v>330.00599999999997</v>
      </c>
      <c r="E241" s="36" t="s">
        <v>638</v>
      </c>
      <c r="F241" s="36">
        <v>1</v>
      </c>
      <c r="G241" s="36" t="s">
        <v>110</v>
      </c>
      <c r="H241" s="37">
        <v>44531</v>
      </c>
    </row>
    <row r="242" spans="1:8" x14ac:dyDescent="0.3">
      <c r="A242" s="35">
        <v>1212121986</v>
      </c>
      <c r="B242" s="36">
        <v>47571835</v>
      </c>
      <c r="C242" s="37">
        <v>44530</v>
      </c>
      <c r="D242" s="137">
        <v>1375.0239999999999</v>
      </c>
      <c r="E242" s="36" t="s">
        <v>638</v>
      </c>
      <c r="F242" s="36">
        <v>1</v>
      </c>
      <c r="G242" s="36" t="s">
        <v>110</v>
      </c>
      <c r="H242" s="37">
        <v>44531</v>
      </c>
    </row>
    <row r="243" spans="1:8" x14ac:dyDescent="0.3">
      <c r="A243" s="35">
        <v>1212122650</v>
      </c>
      <c r="B243" s="36">
        <v>33716890</v>
      </c>
      <c r="C243" s="37">
        <v>44531</v>
      </c>
      <c r="D243" s="137">
        <v>1876.7</v>
      </c>
      <c r="E243" s="36" t="s">
        <v>638</v>
      </c>
      <c r="F243" s="36">
        <v>1</v>
      </c>
      <c r="G243" s="36" t="s">
        <v>110</v>
      </c>
      <c r="H243" s="37">
        <v>44530</v>
      </c>
    </row>
    <row r="244" spans="1:8" x14ac:dyDescent="0.3">
      <c r="A244" s="35">
        <v>1212121964</v>
      </c>
      <c r="B244" s="36">
        <v>32890518</v>
      </c>
      <c r="C244" s="37">
        <v>44530</v>
      </c>
      <c r="D244" s="137">
        <v>5327.98</v>
      </c>
      <c r="E244" s="36" t="s">
        <v>638</v>
      </c>
      <c r="F244" s="36">
        <v>4</v>
      </c>
      <c r="G244" s="36" t="s">
        <v>110</v>
      </c>
      <c r="H244" s="37">
        <v>44531</v>
      </c>
    </row>
    <row r="245" spans="1:8" x14ac:dyDescent="0.3">
      <c r="A245" s="35">
        <v>1212123023</v>
      </c>
      <c r="B245" s="36">
        <v>38926893</v>
      </c>
      <c r="C245" s="37">
        <v>44533</v>
      </c>
      <c r="D245" s="137">
        <v>1809.56</v>
      </c>
      <c r="E245" s="36" t="s">
        <v>638</v>
      </c>
      <c r="F245" s="36">
        <v>1</v>
      </c>
      <c r="G245" s="36" t="s">
        <v>110</v>
      </c>
      <c r="H245" s="37">
        <v>44532</v>
      </c>
    </row>
    <row r="246" spans="1:8" x14ac:dyDescent="0.3">
      <c r="A246" s="35">
        <v>1212123424</v>
      </c>
      <c r="B246" s="36" t="s">
        <v>655</v>
      </c>
      <c r="C246" s="37">
        <v>44533</v>
      </c>
      <c r="D246" s="137">
        <v>7791.143</v>
      </c>
      <c r="E246" s="36" t="s">
        <v>638</v>
      </c>
      <c r="F246" s="36">
        <v>4</v>
      </c>
      <c r="G246" s="36" t="s">
        <v>110</v>
      </c>
      <c r="H246" s="37">
        <v>44532</v>
      </c>
    </row>
    <row r="247" spans="1:8" x14ac:dyDescent="0.3">
      <c r="A247" s="35">
        <v>1212123438</v>
      </c>
      <c r="B247" s="36">
        <v>35987729</v>
      </c>
      <c r="C247" s="37">
        <v>44533</v>
      </c>
      <c r="D247" s="137">
        <v>330.00599999999997</v>
      </c>
      <c r="E247" s="36" t="s">
        <v>638</v>
      </c>
      <c r="F247" s="36">
        <v>1</v>
      </c>
      <c r="G247" s="36" t="s">
        <v>110</v>
      </c>
      <c r="H247" s="37">
        <v>44532</v>
      </c>
    </row>
    <row r="248" spans="1:8" x14ac:dyDescent="0.3">
      <c r="A248" s="35">
        <v>1212123460</v>
      </c>
      <c r="B248" s="36">
        <v>49573674</v>
      </c>
      <c r="C248" s="37">
        <v>44533</v>
      </c>
      <c r="D248" s="137">
        <v>825.01499999999999</v>
      </c>
      <c r="E248" s="36" t="s">
        <v>638</v>
      </c>
      <c r="F248" s="36">
        <v>1</v>
      </c>
      <c r="G248" s="36" t="s">
        <v>110</v>
      </c>
      <c r="H248" s="37">
        <v>44532</v>
      </c>
    </row>
    <row r="249" spans="1:8" x14ac:dyDescent="0.3">
      <c r="A249" s="35">
        <v>1212123454</v>
      </c>
      <c r="B249" s="36">
        <v>36742096</v>
      </c>
      <c r="C249" s="37">
        <v>44533</v>
      </c>
      <c r="D249" s="137">
        <v>74.001000000000005</v>
      </c>
      <c r="E249" s="36" t="s">
        <v>638</v>
      </c>
      <c r="F249" s="36">
        <v>1</v>
      </c>
      <c r="G249" s="36" t="s">
        <v>110</v>
      </c>
      <c r="H249" s="37">
        <v>44532</v>
      </c>
    </row>
    <row r="250" spans="1:8" x14ac:dyDescent="0.3">
      <c r="A250" s="35">
        <v>1212123491</v>
      </c>
      <c r="B250" s="36">
        <v>36985545</v>
      </c>
      <c r="C250" s="37">
        <v>44533</v>
      </c>
      <c r="D250" s="137">
        <v>110.002</v>
      </c>
      <c r="E250" s="36" t="s">
        <v>638</v>
      </c>
      <c r="F250" s="36">
        <v>1</v>
      </c>
      <c r="G250" s="36" t="s">
        <v>110</v>
      </c>
      <c r="H250" s="37">
        <v>44532</v>
      </c>
    </row>
    <row r="251" spans="1:8" x14ac:dyDescent="0.3">
      <c r="A251" s="35">
        <v>1212123684</v>
      </c>
      <c r="B251" s="36">
        <v>17565723</v>
      </c>
      <c r="C251" s="37">
        <v>44536</v>
      </c>
      <c r="D251" s="137">
        <v>804.24699999999996</v>
      </c>
      <c r="E251" s="36" t="s">
        <v>638</v>
      </c>
      <c r="F251" s="36">
        <v>1</v>
      </c>
      <c r="G251" s="36" t="s">
        <v>110</v>
      </c>
      <c r="H251" s="37">
        <v>44533</v>
      </c>
    </row>
    <row r="252" spans="1:8" x14ac:dyDescent="0.3">
      <c r="A252" s="35">
        <v>1212123672</v>
      </c>
      <c r="B252" s="36" t="s">
        <v>656</v>
      </c>
      <c r="C252" s="37">
        <v>44536</v>
      </c>
      <c r="D252" s="137">
        <v>3970.97</v>
      </c>
      <c r="E252" s="36" t="s">
        <v>638</v>
      </c>
      <c r="F252" s="36">
        <v>2</v>
      </c>
      <c r="G252" s="36" t="s">
        <v>110</v>
      </c>
      <c r="H252" s="37">
        <v>44533</v>
      </c>
    </row>
    <row r="253" spans="1:8" x14ac:dyDescent="0.3">
      <c r="A253" s="35">
        <v>1212123695</v>
      </c>
      <c r="B253" s="36">
        <v>37681856</v>
      </c>
      <c r="C253" s="37">
        <v>44536</v>
      </c>
      <c r="D253" s="137">
        <v>165.00299999999999</v>
      </c>
      <c r="E253" s="36" t="s">
        <v>638</v>
      </c>
      <c r="F253" s="36">
        <v>1</v>
      </c>
      <c r="G253" s="36" t="s">
        <v>110</v>
      </c>
      <c r="H253" s="37">
        <v>44533</v>
      </c>
    </row>
    <row r="254" spans="1:8" x14ac:dyDescent="0.3">
      <c r="A254" s="35">
        <v>1212123633</v>
      </c>
      <c r="B254" s="36">
        <v>35910122</v>
      </c>
      <c r="C254" s="37">
        <v>44536</v>
      </c>
      <c r="D254" s="137">
        <v>5280.09</v>
      </c>
      <c r="E254" s="36" t="s">
        <v>638</v>
      </c>
      <c r="F254" s="36">
        <v>3</v>
      </c>
      <c r="G254" s="36" t="s">
        <v>110</v>
      </c>
      <c r="H254" s="37">
        <v>44533</v>
      </c>
    </row>
    <row r="255" spans="1:8" x14ac:dyDescent="0.3">
      <c r="A255" s="35">
        <v>1212123677</v>
      </c>
      <c r="B255" s="36">
        <v>1581607</v>
      </c>
      <c r="C255" s="37">
        <v>44536</v>
      </c>
      <c r="D255" s="137">
        <v>50.265000000000001</v>
      </c>
      <c r="E255" s="36" t="s">
        <v>638</v>
      </c>
      <c r="F255" s="36">
        <v>1</v>
      </c>
      <c r="G255" s="36" t="s">
        <v>110</v>
      </c>
      <c r="H255" s="37">
        <v>44533</v>
      </c>
    </row>
    <row r="256" spans="1:8" x14ac:dyDescent="0.3">
      <c r="A256" s="35">
        <v>1212123688</v>
      </c>
      <c r="B256" s="36">
        <v>37606821</v>
      </c>
      <c r="C256" s="37">
        <v>44536</v>
      </c>
      <c r="D256" s="137">
        <v>573.43600000000004</v>
      </c>
      <c r="E256" s="36" t="s">
        <v>638</v>
      </c>
      <c r="F256" s="36">
        <v>1</v>
      </c>
      <c r="G256" s="36" t="s">
        <v>110</v>
      </c>
      <c r="H256" s="37">
        <v>44533</v>
      </c>
    </row>
    <row r="257" spans="1:8" x14ac:dyDescent="0.3">
      <c r="A257" s="35">
        <v>1212123694</v>
      </c>
      <c r="B257" s="36">
        <v>37659662</v>
      </c>
      <c r="C257" s="37">
        <v>44536</v>
      </c>
      <c r="D257" s="137">
        <v>1479.9949999999999</v>
      </c>
      <c r="E257" s="36" t="s">
        <v>638</v>
      </c>
      <c r="F257" s="36">
        <v>1</v>
      </c>
      <c r="G257" s="36" t="s">
        <v>110</v>
      </c>
      <c r="H257" s="37">
        <v>44533</v>
      </c>
    </row>
    <row r="258" spans="1:8" x14ac:dyDescent="0.3">
      <c r="A258" s="35">
        <v>1212123942</v>
      </c>
      <c r="B258" s="36">
        <v>31903430</v>
      </c>
      <c r="C258" s="37">
        <v>44537</v>
      </c>
      <c r="D258" s="137">
        <v>8849.68</v>
      </c>
      <c r="E258" s="36" t="s">
        <v>638</v>
      </c>
      <c r="F258" s="36">
        <v>5</v>
      </c>
      <c r="G258" s="36" t="s">
        <v>110</v>
      </c>
      <c r="H258" s="37">
        <v>44537</v>
      </c>
    </row>
    <row r="259" spans="1:8" x14ac:dyDescent="0.3">
      <c r="A259" s="35">
        <v>1212124048</v>
      </c>
      <c r="B259" s="36">
        <v>37888325</v>
      </c>
      <c r="C259" s="37">
        <v>44537</v>
      </c>
      <c r="D259" s="137">
        <v>2219.991</v>
      </c>
      <c r="E259" s="36" t="s">
        <v>638</v>
      </c>
      <c r="F259" s="36">
        <v>2</v>
      </c>
      <c r="G259" s="36" t="s">
        <v>110</v>
      </c>
      <c r="H259" s="37">
        <v>44537</v>
      </c>
    </row>
    <row r="260" spans="1:8" x14ac:dyDescent="0.3">
      <c r="A260" s="35">
        <v>1212124051</v>
      </c>
      <c r="B260" s="36">
        <v>37896858</v>
      </c>
      <c r="C260" s="37">
        <v>44537</v>
      </c>
      <c r="D260" s="137">
        <v>102.396</v>
      </c>
      <c r="E260" s="36" t="s">
        <v>638</v>
      </c>
      <c r="F260" s="36">
        <v>1</v>
      </c>
      <c r="G260" s="36" t="s">
        <v>110</v>
      </c>
      <c r="H260" s="37">
        <v>44537</v>
      </c>
    </row>
    <row r="261" spans="1:8" x14ac:dyDescent="0.3">
      <c r="A261" s="35">
        <v>1212124028</v>
      </c>
      <c r="B261" s="36">
        <v>76577914</v>
      </c>
      <c r="C261" s="37">
        <v>44537</v>
      </c>
      <c r="D261" s="137">
        <v>2475.0439999999999</v>
      </c>
      <c r="E261" s="36" t="s">
        <v>638</v>
      </c>
      <c r="F261" s="36">
        <v>1</v>
      </c>
      <c r="G261" s="36" t="s">
        <v>110</v>
      </c>
      <c r="H261" s="37">
        <v>44537</v>
      </c>
    </row>
    <row r="262" spans="1:8" x14ac:dyDescent="0.3">
      <c r="A262" s="35">
        <v>1212124053</v>
      </c>
      <c r="B262" s="36">
        <v>37919480</v>
      </c>
      <c r="C262" s="37">
        <v>44537</v>
      </c>
      <c r="D262" s="137">
        <v>55.000999999999998</v>
      </c>
      <c r="E262" s="36" t="s">
        <v>638</v>
      </c>
      <c r="F262" s="36">
        <v>1</v>
      </c>
      <c r="G262" s="36" t="s">
        <v>110</v>
      </c>
      <c r="H262" s="37">
        <v>44537</v>
      </c>
    </row>
    <row r="263" spans="1:8" x14ac:dyDescent="0.3">
      <c r="A263" s="35">
        <v>1212124002</v>
      </c>
      <c r="B263" s="36">
        <v>7576672</v>
      </c>
      <c r="C263" s="37">
        <v>44537</v>
      </c>
      <c r="D263" s="137">
        <v>55.000999999999998</v>
      </c>
      <c r="E263" s="36" t="s">
        <v>638</v>
      </c>
      <c r="F263" s="36">
        <v>1</v>
      </c>
      <c r="G263" s="36" t="s">
        <v>110</v>
      </c>
      <c r="H263" s="37">
        <v>44537</v>
      </c>
    </row>
    <row r="264" spans="1:8" x14ac:dyDescent="0.3">
      <c r="A264" s="35">
        <v>1212124033</v>
      </c>
      <c r="B264" s="36">
        <v>25550990</v>
      </c>
      <c r="C264" s="37">
        <v>44537</v>
      </c>
      <c r="D264" s="137">
        <v>1651.6890000000001</v>
      </c>
      <c r="E264" s="36" t="s">
        <v>638</v>
      </c>
      <c r="F264" s="36">
        <v>2</v>
      </c>
      <c r="G264" s="36" t="s">
        <v>110</v>
      </c>
      <c r="H264" s="37">
        <v>44537</v>
      </c>
    </row>
    <row r="265" spans="1:8" x14ac:dyDescent="0.3">
      <c r="A265" s="35">
        <v>1212125132</v>
      </c>
      <c r="B265" s="36">
        <v>38747276</v>
      </c>
      <c r="C265" s="37">
        <v>44538</v>
      </c>
      <c r="D265" s="137">
        <v>110.002</v>
      </c>
      <c r="E265" s="36" t="s">
        <v>638</v>
      </c>
      <c r="F265" s="36">
        <v>1</v>
      </c>
      <c r="G265" s="36" t="s">
        <v>110</v>
      </c>
      <c r="H265" s="37">
        <v>44538</v>
      </c>
    </row>
    <row r="266" spans="1:8" x14ac:dyDescent="0.3">
      <c r="A266" s="35">
        <v>1212124953</v>
      </c>
      <c r="B266" s="36">
        <v>69562100</v>
      </c>
      <c r="C266" s="37">
        <v>44538</v>
      </c>
      <c r="D266" s="137">
        <v>550.01</v>
      </c>
      <c r="E266" s="36" t="s">
        <v>638</v>
      </c>
      <c r="F266" s="36">
        <v>1</v>
      </c>
      <c r="G266" s="36" t="s">
        <v>110</v>
      </c>
      <c r="H266" s="37">
        <v>44538</v>
      </c>
    </row>
    <row r="267" spans="1:8" x14ac:dyDescent="0.3">
      <c r="A267" s="35">
        <v>1212125130</v>
      </c>
      <c r="B267" s="36">
        <v>38699171</v>
      </c>
      <c r="C267" s="37">
        <v>44538</v>
      </c>
      <c r="D267" s="137">
        <v>2865.13</v>
      </c>
      <c r="E267" s="36" t="s">
        <v>638</v>
      </c>
      <c r="F267" s="36">
        <v>2</v>
      </c>
      <c r="G267" s="36" t="s">
        <v>110</v>
      </c>
      <c r="H267" s="37">
        <v>44538</v>
      </c>
    </row>
    <row r="268" spans="1:8" x14ac:dyDescent="0.3">
      <c r="A268" s="35">
        <v>1212125136</v>
      </c>
      <c r="B268" s="36">
        <v>38778195</v>
      </c>
      <c r="C268" s="37">
        <v>44538</v>
      </c>
      <c r="D268" s="137">
        <v>74.001999999999995</v>
      </c>
      <c r="E268" s="36" t="s">
        <v>638</v>
      </c>
      <c r="F268" s="36">
        <v>1</v>
      </c>
      <c r="G268" s="36" t="s">
        <v>110</v>
      </c>
      <c r="H268" s="37">
        <v>44538</v>
      </c>
    </row>
    <row r="269" spans="1:8" x14ac:dyDescent="0.3">
      <c r="A269" s="35">
        <v>1212125140</v>
      </c>
      <c r="B269" s="36">
        <v>38783612</v>
      </c>
      <c r="C269" s="37">
        <v>44538</v>
      </c>
      <c r="D269" s="137">
        <v>351.858</v>
      </c>
      <c r="E269" s="36" t="s">
        <v>638</v>
      </c>
      <c r="F269" s="36">
        <v>1</v>
      </c>
      <c r="G269" s="36" t="s">
        <v>110</v>
      </c>
      <c r="H269" s="37">
        <v>44538</v>
      </c>
    </row>
    <row r="270" spans="1:8" x14ac:dyDescent="0.3">
      <c r="A270" s="35">
        <v>1212125031</v>
      </c>
      <c r="B270" s="36">
        <v>37946956</v>
      </c>
      <c r="C270" s="37">
        <v>44538</v>
      </c>
      <c r="D270" s="137">
        <v>37.000999999999998</v>
      </c>
      <c r="E270" s="36" t="s">
        <v>638</v>
      </c>
      <c r="F270" s="36">
        <v>1</v>
      </c>
      <c r="G270" s="36" t="s">
        <v>110</v>
      </c>
      <c r="H270" s="37">
        <v>44538</v>
      </c>
    </row>
    <row r="271" spans="1:8" x14ac:dyDescent="0.3">
      <c r="A271" s="35">
        <v>1212125122</v>
      </c>
      <c r="B271" s="36">
        <v>10581151</v>
      </c>
      <c r="C271" s="37">
        <v>44538</v>
      </c>
      <c r="D271" s="137">
        <v>552.91999999999996</v>
      </c>
      <c r="E271" s="36" t="s">
        <v>638</v>
      </c>
      <c r="F271" s="36">
        <v>1</v>
      </c>
      <c r="G271" s="36" t="s">
        <v>110</v>
      </c>
      <c r="H271" s="37">
        <v>44538</v>
      </c>
    </row>
    <row r="272" spans="1:8" x14ac:dyDescent="0.3">
      <c r="A272" s="35">
        <v>1212124664</v>
      </c>
      <c r="B272" s="36">
        <v>38926888</v>
      </c>
      <c r="C272" s="37">
        <v>44539</v>
      </c>
      <c r="D272" s="137">
        <v>1760.0309999999999</v>
      </c>
      <c r="E272" s="36" t="s">
        <v>638</v>
      </c>
      <c r="F272" s="36">
        <v>1</v>
      </c>
      <c r="G272" s="36" t="s">
        <v>110</v>
      </c>
      <c r="H272" s="37">
        <v>44538</v>
      </c>
    </row>
    <row r="273" spans="1:8" x14ac:dyDescent="0.3">
      <c r="A273" s="35">
        <v>1212124665</v>
      </c>
      <c r="B273" s="36">
        <v>38926889</v>
      </c>
      <c r="C273" s="37">
        <v>44539</v>
      </c>
      <c r="D273" s="137">
        <v>1760.0309999999999</v>
      </c>
      <c r="E273" s="36" t="s">
        <v>638</v>
      </c>
      <c r="F273" s="36">
        <v>1</v>
      </c>
      <c r="G273" s="36" t="s">
        <v>110</v>
      </c>
      <c r="H273" s="37">
        <v>44538</v>
      </c>
    </row>
    <row r="274" spans="1:8" x14ac:dyDescent="0.3">
      <c r="A274" s="35">
        <v>1212125622</v>
      </c>
      <c r="B274" s="36" t="s">
        <v>657</v>
      </c>
      <c r="C274" s="37">
        <v>44539</v>
      </c>
      <c r="D274" s="137">
        <v>16478.686000000002</v>
      </c>
      <c r="E274" s="36" t="s">
        <v>638</v>
      </c>
      <c r="F274" s="36">
        <v>8</v>
      </c>
      <c r="G274" s="36" t="s">
        <v>110</v>
      </c>
      <c r="H274" s="37">
        <v>44538</v>
      </c>
    </row>
    <row r="275" spans="1:8" x14ac:dyDescent="0.3">
      <c r="A275" s="35">
        <v>1212125755</v>
      </c>
      <c r="B275" s="36">
        <v>39657966</v>
      </c>
      <c r="C275" s="37">
        <v>44539</v>
      </c>
      <c r="D275" s="137">
        <v>16478.686000000002</v>
      </c>
      <c r="E275" s="36" t="s">
        <v>638</v>
      </c>
      <c r="F275" s="36">
        <v>4</v>
      </c>
      <c r="G275" s="36" t="s">
        <v>110</v>
      </c>
      <c r="H275" s="37">
        <v>44538</v>
      </c>
    </row>
    <row r="276" spans="1:8" x14ac:dyDescent="0.3">
      <c r="A276" s="35">
        <v>1212125778</v>
      </c>
      <c r="B276" s="36">
        <v>39741213</v>
      </c>
      <c r="C276" s="37">
        <v>44539</v>
      </c>
      <c r="D276" s="137">
        <v>111.001</v>
      </c>
      <c r="E276" s="36" t="s">
        <v>638</v>
      </c>
      <c r="F276" s="36">
        <v>1</v>
      </c>
      <c r="G276" s="36" t="s">
        <v>110</v>
      </c>
      <c r="H276" s="37">
        <v>44538</v>
      </c>
    </row>
    <row r="277" spans="1:8" x14ac:dyDescent="0.3">
      <c r="A277" s="35">
        <v>1212125781</v>
      </c>
      <c r="B277" s="36">
        <v>58561382</v>
      </c>
      <c r="C277" s="37">
        <v>44539</v>
      </c>
      <c r="D277" s="137">
        <v>104.261</v>
      </c>
      <c r="E277" s="36" t="s">
        <v>638</v>
      </c>
      <c r="F277" s="36">
        <v>1</v>
      </c>
      <c r="G277" s="36" t="s">
        <v>110</v>
      </c>
      <c r="H277" s="37">
        <v>44538</v>
      </c>
    </row>
    <row r="278" spans="1:8" x14ac:dyDescent="0.3">
      <c r="A278" s="35">
        <v>1212125629</v>
      </c>
      <c r="B278" s="36">
        <v>18584778</v>
      </c>
      <c r="C278" s="37">
        <v>44539</v>
      </c>
      <c r="D278" s="137">
        <v>880.97</v>
      </c>
      <c r="E278" s="36" t="s">
        <v>638</v>
      </c>
      <c r="F278" s="36">
        <v>1</v>
      </c>
      <c r="G278" s="36" t="s">
        <v>110</v>
      </c>
      <c r="H278" s="37">
        <v>44538</v>
      </c>
    </row>
    <row r="279" spans="1:8" x14ac:dyDescent="0.3">
      <c r="A279" s="35">
        <v>1212124672</v>
      </c>
      <c r="B279" s="36">
        <v>26919207</v>
      </c>
      <c r="C279" s="37">
        <v>44543</v>
      </c>
      <c r="D279" s="137">
        <v>5280.0929999999998</v>
      </c>
      <c r="E279" s="36" t="s">
        <v>638</v>
      </c>
      <c r="F279" s="36">
        <v>3</v>
      </c>
      <c r="G279" s="36" t="s">
        <v>110</v>
      </c>
      <c r="H279" s="37">
        <v>44542</v>
      </c>
    </row>
    <row r="280" spans="1:8" x14ac:dyDescent="0.3">
      <c r="A280" s="35">
        <v>1212126654</v>
      </c>
      <c r="B280" s="36">
        <v>14916621</v>
      </c>
      <c r="C280" s="37">
        <v>44543</v>
      </c>
      <c r="D280" s="137">
        <v>10560.186</v>
      </c>
      <c r="E280" s="36" t="s">
        <v>638</v>
      </c>
      <c r="F280" s="36">
        <v>6</v>
      </c>
      <c r="G280" s="36" t="s">
        <v>110</v>
      </c>
      <c r="H280" s="37">
        <v>44542</v>
      </c>
    </row>
    <row r="281" spans="1:8" x14ac:dyDescent="0.3">
      <c r="A281" s="35">
        <v>1212127224</v>
      </c>
      <c r="B281" s="36">
        <v>33920871</v>
      </c>
      <c r="C281" s="37">
        <v>44544</v>
      </c>
      <c r="D281" s="137">
        <v>17600.3</v>
      </c>
      <c r="E281" s="36" t="s">
        <v>638</v>
      </c>
      <c r="F281" s="36">
        <v>10</v>
      </c>
      <c r="G281" s="36" t="s">
        <v>110</v>
      </c>
      <c r="H281" s="37">
        <v>44543</v>
      </c>
    </row>
    <row r="282" spans="1:8" x14ac:dyDescent="0.3">
      <c r="A282" s="35">
        <v>1212127050</v>
      </c>
      <c r="B282" s="36">
        <v>38926893</v>
      </c>
      <c r="C282" s="37">
        <v>44544</v>
      </c>
      <c r="D282" s="137">
        <v>1760.03</v>
      </c>
      <c r="E282" s="36" t="s">
        <v>638</v>
      </c>
      <c r="F282" s="36">
        <v>1</v>
      </c>
      <c r="G282" s="36" t="s">
        <v>110</v>
      </c>
      <c r="H282" s="37">
        <v>44543</v>
      </c>
    </row>
    <row r="283" spans="1:8" x14ac:dyDescent="0.3">
      <c r="A283" s="35">
        <v>1212127053</v>
      </c>
      <c r="B283" s="36">
        <v>32930366</v>
      </c>
      <c r="C283" s="37">
        <v>44544</v>
      </c>
      <c r="D283" s="137">
        <v>14080.24</v>
      </c>
      <c r="E283" s="36" t="s">
        <v>638</v>
      </c>
      <c r="F283" s="36">
        <v>8</v>
      </c>
      <c r="G283" s="36" t="s">
        <v>110</v>
      </c>
      <c r="H283" s="37">
        <v>44543</v>
      </c>
    </row>
    <row r="284" spans="1:8" x14ac:dyDescent="0.3">
      <c r="A284" s="35">
        <v>1212127054</v>
      </c>
      <c r="B284" s="36">
        <v>45914785</v>
      </c>
      <c r="C284" s="37">
        <v>44544</v>
      </c>
      <c r="D284" s="137">
        <v>5280.09</v>
      </c>
      <c r="E284" s="36" t="s">
        <v>638</v>
      </c>
      <c r="F284" s="36">
        <v>3</v>
      </c>
      <c r="G284" s="36" t="s">
        <v>110</v>
      </c>
      <c r="H284" s="37">
        <v>44543</v>
      </c>
    </row>
    <row r="285" spans="1:8" x14ac:dyDescent="0.3">
      <c r="A285" s="35">
        <v>1212127055</v>
      </c>
      <c r="B285" s="36">
        <v>35910122</v>
      </c>
      <c r="C285" s="37">
        <v>44544</v>
      </c>
      <c r="D285" s="137">
        <v>7040.12</v>
      </c>
      <c r="E285" s="36" t="s">
        <v>638</v>
      </c>
      <c r="F285" s="36">
        <v>4</v>
      </c>
      <c r="G285" s="36" t="s">
        <v>110</v>
      </c>
      <c r="H285" s="37">
        <v>44543</v>
      </c>
    </row>
    <row r="286" spans="1:8" x14ac:dyDescent="0.3">
      <c r="A286" s="35">
        <v>1212127942</v>
      </c>
      <c r="B286" s="36">
        <v>39572958</v>
      </c>
      <c r="C286" s="37">
        <v>44545</v>
      </c>
      <c r="D286" s="137">
        <v>165.00299999999999</v>
      </c>
      <c r="E286" s="36" t="s">
        <v>638</v>
      </c>
      <c r="F286" s="36">
        <v>1</v>
      </c>
      <c r="G286" s="36" t="s">
        <v>110</v>
      </c>
      <c r="H286" s="37">
        <v>44545</v>
      </c>
    </row>
    <row r="287" spans="1:8" x14ac:dyDescent="0.3">
      <c r="A287" s="35">
        <v>1212127939</v>
      </c>
      <c r="B287" s="36">
        <v>4564865</v>
      </c>
      <c r="C287" s="37">
        <v>44547</v>
      </c>
      <c r="D287" s="137">
        <v>220.00399999999999</v>
      </c>
      <c r="E287" s="36" t="s">
        <v>638</v>
      </c>
      <c r="F287" s="36">
        <v>1</v>
      </c>
      <c r="G287" s="36" t="s">
        <v>110</v>
      </c>
      <c r="H287" s="37">
        <v>44545</v>
      </c>
    </row>
    <row r="288" spans="1:8" x14ac:dyDescent="0.3">
      <c r="A288" s="35">
        <v>1212128255</v>
      </c>
      <c r="B288" s="36">
        <v>5552185</v>
      </c>
      <c r="C288" s="37">
        <v>44548</v>
      </c>
      <c r="D288" s="137">
        <v>1650.029</v>
      </c>
      <c r="E288" s="36" t="s">
        <v>638</v>
      </c>
      <c r="F288" s="36">
        <v>1</v>
      </c>
      <c r="G288" s="36" t="s">
        <v>110</v>
      </c>
      <c r="H288" s="37">
        <v>44545</v>
      </c>
    </row>
    <row r="289" spans="1:9" x14ac:dyDescent="0.3">
      <c r="A289" s="35">
        <v>1212128276</v>
      </c>
      <c r="B289" s="36">
        <v>31903430</v>
      </c>
      <c r="C289" s="37">
        <v>44545</v>
      </c>
      <c r="D289" s="137">
        <v>8800.1550000000007</v>
      </c>
      <c r="E289" s="36" t="s">
        <v>638</v>
      </c>
      <c r="F289" s="36">
        <v>5</v>
      </c>
      <c r="G289" s="36" t="s">
        <v>110</v>
      </c>
      <c r="H289" s="37">
        <v>44544</v>
      </c>
    </row>
    <row r="290" spans="1:9" x14ac:dyDescent="0.3">
      <c r="A290" s="35">
        <v>1212127932</v>
      </c>
      <c r="B290" s="36" t="s">
        <v>658</v>
      </c>
      <c r="C290" s="37">
        <v>44546</v>
      </c>
      <c r="D290" s="137">
        <v>715.01300000000003</v>
      </c>
      <c r="E290" s="36" t="s">
        <v>638</v>
      </c>
      <c r="F290" s="36">
        <v>1</v>
      </c>
      <c r="G290" s="36" t="s">
        <v>110</v>
      </c>
      <c r="H290" s="37">
        <v>44545</v>
      </c>
    </row>
    <row r="291" spans="1:9" x14ac:dyDescent="0.3">
      <c r="A291" s="35">
        <v>1212128281</v>
      </c>
      <c r="B291" s="36">
        <v>2571264</v>
      </c>
      <c r="C291" s="37">
        <v>44549</v>
      </c>
      <c r="D291" s="137">
        <v>165.00299999999999</v>
      </c>
      <c r="E291" s="36" t="s">
        <v>638</v>
      </c>
      <c r="F291" s="36">
        <v>1</v>
      </c>
      <c r="G291" s="36" t="s">
        <v>110</v>
      </c>
      <c r="H291" s="37">
        <v>44545</v>
      </c>
    </row>
    <row r="292" spans="1:9" x14ac:dyDescent="0.3">
      <c r="A292" s="35">
        <v>1212128266</v>
      </c>
      <c r="B292" s="36">
        <v>23562125</v>
      </c>
      <c r="C292" s="37">
        <v>44550</v>
      </c>
      <c r="D292" s="137">
        <v>165.00299999999999</v>
      </c>
      <c r="E292" s="36" t="s">
        <v>638</v>
      </c>
      <c r="F292" s="36">
        <v>1</v>
      </c>
      <c r="G292" s="36" t="s">
        <v>110</v>
      </c>
      <c r="H292" s="37">
        <v>44545</v>
      </c>
    </row>
    <row r="293" spans="1:9" x14ac:dyDescent="0.3">
      <c r="A293" s="50">
        <v>1212128310</v>
      </c>
      <c r="B293" s="51">
        <v>32978950</v>
      </c>
      <c r="C293" s="52">
        <v>44551</v>
      </c>
      <c r="D293" s="140">
        <v>110.002</v>
      </c>
      <c r="E293" s="51" t="s">
        <v>638</v>
      </c>
      <c r="F293" s="51">
        <v>1</v>
      </c>
      <c r="G293" s="51" t="s">
        <v>110</v>
      </c>
      <c r="H293" s="52">
        <v>44545</v>
      </c>
      <c r="I293" s="23" t="s">
        <v>659</v>
      </c>
    </row>
    <row r="294" spans="1:9" x14ac:dyDescent="0.3">
      <c r="A294" s="35">
        <v>1212129163</v>
      </c>
      <c r="B294" s="36">
        <v>3575068</v>
      </c>
      <c r="C294" s="37">
        <v>44552</v>
      </c>
      <c r="D294" s="137">
        <v>55.000999999999998</v>
      </c>
      <c r="E294" s="36" t="s">
        <v>638</v>
      </c>
      <c r="F294" s="36">
        <v>1</v>
      </c>
      <c r="G294" s="36" t="s">
        <v>110</v>
      </c>
      <c r="H294" s="37">
        <v>44545</v>
      </c>
    </row>
    <row r="295" spans="1:9" x14ac:dyDescent="0.3">
      <c r="A295" s="35">
        <v>1212128387</v>
      </c>
      <c r="B295" s="36" t="s">
        <v>660</v>
      </c>
      <c r="C295" s="37">
        <v>44547</v>
      </c>
      <c r="D295" s="137">
        <v>55.000999999999998</v>
      </c>
      <c r="E295" s="36" t="s">
        <v>638</v>
      </c>
      <c r="F295" s="36">
        <v>1</v>
      </c>
      <c r="G295" s="36" t="s">
        <v>110</v>
      </c>
      <c r="H295" s="37">
        <v>44546</v>
      </c>
    </row>
    <row r="296" spans="1:9" x14ac:dyDescent="0.3">
      <c r="A296" s="35">
        <v>1212125733</v>
      </c>
      <c r="B296" s="36">
        <v>47572121</v>
      </c>
      <c r="C296" s="37">
        <v>44547</v>
      </c>
      <c r="D296" s="137">
        <v>603.18499999999995</v>
      </c>
      <c r="E296" s="36" t="s">
        <v>638</v>
      </c>
      <c r="F296" s="36">
        <v>1</v>
      </c>
      <c r="G296" s="36" t="s">
        <v>110</v>
      </c>
      <c r="H296" s="37">
        <v>44546</v>
      </c>
    </row>
    <row r="297" spans="1:9" x14ac:dyDescent="0.3">
      <c r="A297" s="35">
        <v>1212128396</v>
      </c>
      <c r="B297" s="36">
        <v>21578721</v>
      </c>
      <c r="C297" s="37">
        <v>44547</v>
      </c>
      <c r="D297" s="137">
        <v>147.00200000000001</v>
      </c>
      <c r="E297" s="36" t="s">
        <v>638</v>
      </c>
      <c r="F297" s="36">
        <v>1</v>
      </c>
      <c r="G297" s="36" t="s">
        <v>110</v>
      </c>
      <c r="H297" s="37">
        <v>44546</v>
      </c>
    </row>
    <row r="298" spans="1:9" x14ac:dyDescent="0.3">
      <c r="A298" s="35">
        <v>1212129611</v>
      </c>
      <c r="B298" s="36">
        <v>27585897</v>
      </c>
      <c r="C298" s="37">
        <v>44547</v>
      </c>
      <c r="D298" s="137">
        <v>1042.6110000000001</v>
      </c>
      <c r="E298" s="36" t="s">
        <v>638</v>
      </c>
      <c r="F298" s="36">
        <v>1</v>
      </c>
      <c r="G298" s="36" t="s">
        <v>110</v>
      </c>
      <c r="H298" s="37">
        <v>44546</v>
      </c>
    </row>
    <row r="299" spans="1:9" x14ac:dyDescent="0.3">
      <c r="A299" s="35">
        <v>1212129717</v>
      </c>
      <c r="B299" s="36">
        <v>39572478</v>
      </c>
      <c r="C299" s="37">
        <v>44547</v>
      </c>
      <c r="D299" s="137">
        <v>385.00700000000001</v>
      </c>
      <c r="E299" s="36" t="s">
        <v>638</v>
      </c>
      <c r="F299" s="36">
        <v>1</v>
      </c>
      <c r="G299" s="36" t="s">
        <v>110</v>
      </c>
      <c r="H299" s="37">
        <v>44546</v>
      </c>
    </row>
    <row r="300" spans="1:9" x14ac:dyDescent="0.3">
      <c r="A300" s="35">
        <v>1212128404</v>
      </c>
      <c r="B300" s="36">
        <v>28583215</v>
      </c>
      <c r="C300" s="37">
        <v>44547</v>
      </c>
      <c r="D300" s="137">
        <v>275.005</v>
      </c>
      <c r="E300" s="36" t="s">
        <v>638</v>
      </c>
      <c r="F300" s="36">
        <v>1</v>
      </c>
      <c r="G300" s="36" t="s">
        <v>110</v>
      </c>
      <c r="H300" s="37">
        <v>44546</v>
      </c>
    </row>
    <row r="301" spans="1:9" x14ac:dyDescent="0.3">
      <c r="A301" s="35">
        <v>1212130446</v>
      </c>
      <c r="B301" s="36">
        <v>7587084</v>
      </c>
      <c r="C301" s="37">
        <v>44550</v>
      </c>
      <c r="D301" s="137">
        <v>550.01</v>
      </c>
      <c r="E301" s="36" t="s">
        <v>638</v>
      </c>
      <c r="F301" s="36">
        <v>1</v>
      </c>
      <c r="G301" s="36" t="s">
        <v>110</v>
      </c>
      <c r="H301" s="37">
        <v>44547</v>
      </c>
    </row>
    <row r="302" spans="1:9" x14ac:dyDescent="0.3">
      <c r="A302" s="35">
        <v>1212130511</v>
      </c>
      <c r="B302" s="36">
        <v>69589122</v>
      </c>
      <c r="C302" s="37">
        <v>44550</v>
      </c>
      <c r="D302" s="137">
        <v>550.01</v>
      </c>
      <c r="E302" s="36" t="s">
        <v>638</v>
      </c>
      <c r="F302" s="36">
        <v>1</v>
      </c>
      <c r="G302" s="36" t="s">
        <v>110</v>
      </c>
      <c r="H302" s="37">
        <v>44547</v>
      </c>
    </row>
    <row r="303" spans="1:9" x14ac:dyDescent="0.3">
      <c r="A303" s="35">
        <v>1212129826</v>
      </c>
      <c r="B303" s="36">
        <v>85559127</v>
      </c>
      <c r="C303" s="37">
        <v>44550</v>
      </c>
      <c r="D303" s="137">
        <v>3135.0549999999998</v>
      </c>
      <c r="E303" s="36" t="s">
        <v>638</v>
      </c>
      <c r="F303" s="36">
        <v>2</v>
      </c>
      <c r="G303" s="36" t="s">
        <v>110</v>
      </c>
      <c r="H303" s="37">
        <v>44547</v>
      </c>
    </row>
    <row r="304" spans="1:9" x14ac:dyDescent="0.3">
      <c r="A304" s="35">
        <v>1212130499</v>
      </c>
      <c r="B304" s="36">
        <v>68571627</v>
      </c>
      <c r="C304" s="37">
        <v>44550</v>
      </c>
      <c r="D304" s="137">
        <v>935.01599999999996</v>
      </c>
      <c r="E304" s="36" t="s">
        <v>638</v>
      </c>
      <c r="F304" s="36">
        <v>1</v>
      </c>
      <c r="G304" s="36" t="s">
        <v>110</v>
      </c>
      <c r="H304" s="37">
        <v>44547</v>
      </c>
    </row>
    <row r="305" spans="1:8" x14ac:dyDescent="0.3">
      <c r="A305" s="35">
        <v>1212130509</v>
      </c>
      <c r="B305" s="36">
        <v>68571629</v>
      </c>
      <c r="C305" s="37">
        <v>44550</v>
      </c>
      <c r="D305" s="137">
        <v>55.000999999999998</v>
      </c>
      <c r="E305" s="36" t="s">
        <v>638</v>
      </c>
      <c r="F305" s="36">
        <v>1</v>
      </c>
      <c r="G305" s="36" t="s">
        <v>110</v>
      </c>
      <c r="H305" s="37">
        <v>44547</v>
      </c>
    </row>
    <row r="306" spans="1:8" x14ac:dyDescent="0.3">
      <c r="A306" s="35">
        <v>1212129816</v>
      </c>
      <c r="B306" s="36">
        <v>43618809</v>
      </c>
      <c r="C306" s="37">
        <v>44550</v>
      </c>
      <c r="D306" s="137">
        <v>55.000999999999998</v>
      </c>
      <c r="E306" s="36" t="s">
        <v>638</v>
      </c>
      <c r="F306" s="36">
        <v>1</v>
      </c>
      <c r="G306" s="36" t="s">
        <v>110</v>
      </c>
      <c r="H306" s="37">
        <v>44547</v>
      </c>
    </row>
    <row r="307" spans="1:8" x14ac:dyDescent="0.3">
      <c r="A307" s="35">
        <v>1212130532</v>
      </c>
      <c r="B307" s="36">
        <v>62578542</v>
      </c>
      <c r="C307" s="37">
        <v>44550</v>
      </c>
      <c r="D307" s="137">
        <v>275.005</v>
      </c>
      <c r="E307" s="36" t="s">
        <v>638</v>
      </c>
      <c r="F307" s="36">
        <v>1</v>
      </c>
      <c r="G307" s="36" t="s">
        <v>110</v>
      </c>
      <c r="H307" s="37">
        <v>44547</v>
      </c>
    </row>
    <row r="308" spans="1:8" x14ac:dyDescent="0.3">
      <c r="A308" s="35">
        <v>1212130522</v>
      </c>
      <c r="B308" s="36">
        <v>42576721</v>
      </c>
      <c r="C308" s="37">
        <v>44550</v>
      </c>
      <c r="D308" s="137">
        <v>385.00700000000001</v>
      </c>
      <c r="E308" s="36" t="s">
        <v>638</v>
      </c>
      <c r="F308" s="36">
        <v>1</v>
      </c>
      <c r="G308" s="36" t="s">
        <v>110</v>
      </c>
      <c r="H308" s="37">
        <v>44547</v>
      </c>
    </row>
    <row r="309" spans="1:8" x14ac:dyDescent="0.3">
      <c r="A309" s="35">
        <v>1212125743</v>
      </c>
      <c r="B309" s="36">
        <v>5557192</v>
      </c>
      <c r="C309" s="37">
        <v>44550</v>
      </c>
      <c r="D309" s="137">
        <v>55.000999999999998</v>
      </c>
      <c r="E309" s="36" t="s">
        <v>638</v>
      </c>
      <c r="F309" s="36">
        <v>1</v>
      </c>
      <c r="G309" s="36" t="s">
        <v>110</v>
      </c>
      <c r="H309" s="37">
        <v>44547</v>
      </c>
    </row>
    <row r="310" spans="1:8" x14ac:dyDescent="0.3">
      <c r="A310" s="35">
        <v>1212130785</v>
      </c>
      <c r="B310" s="44">
        <v>33923961</v>
      </c>
      <c r="C310" s="37">
        <v>44551</v>
      </c>
      <c r="D310" s="137">
        <v>15840.279</v>
      </c>
      <c r="E310" s="36" t="s">
        <v>638</v>
      </c>
      <c r="F310" s="36">
        <v>9</v>
      </c>
      <c r="G310" s="36" t="s">
        <v>110</v>
      </c>
      <c r="H310" s="37">
        <v>44550</v>
      </c>
    </row>
    <row r="311" spans="1:8" x14ac:dyDescent="0.3">
      <c r="A311" s="35">
        <v>1212130933</v>
      </c>
      <c r="B311" s="36">
        <v>44613022</v>
      </c>
      <c r="C311" s="37">
        <v>44551</v>
      </c>
      <c r="D311" s="137">
        <v>550.01</v>
      </c>
      <c r="E311" s="36" t="s">
        <v>638</v>
      </c>
      <c r="F311" s="36">
        <v>1</v>
      </c>
      <c r="G311" s="36" t="s">
        <v>110</v>
      </c>
      <c r="H311" s="37">
        <v>44550</v>
      </c>
    </row>
    <row r="312" spans="1:8" x14ac:dyDescent="0.3">
      <c r="A312" s="35">
        <v>1212130884</v>
      </c>
      <c r="B312" s="36" t="s">
        <v>661</v>
      </c>
      <c r="C312" s="37">
        <v>44551</v>
      </c>
      <c r="D312" s="137">
        <v>770.01400000000001</v>
      </c>
      <c r="E312" s="36" t="s">
        <v>638</v>
      </c>
      <c r="F312" s="36">
        <v>1</v>
      </c>
      <c r="G312" s="36" t="s">
        <v>110</v>
      </c>
      <c r="H312" s="37">
        <v>44550</v>
      </c>
    </row>
    <row r="313" spans="1:8" x14ac:dyDescent="0.3">
      <c r="A313" s="35">
        <v>1212130929</v>
      </c>
      <c r="B313" s="36">
        <v>43938446</v>
      </c>
      <c r="C313" s="37">
        <v>44551</v>
      </c>
      <c r="D313" s="137">
        <v>573.43600000000004</v>
      </c>
      <c r="E313" s="36" t="s">
        <v>638</v>
      </c>
      <c r="F313" s="36">
        <v>1</v>
      </c>
      <c r="G313" s="36" t="s">
        <v>110</v>
      </c>
      <c r="H313" s="37">
        <v>44550</v>
      </c>
    </row>
    <row r="314" spans="1:8" x14ac:dyDescent="0.3">
      <c r="A314" s="35">
        <v>1212130916</v>
      </c>
      <c r="B314" s="36">
        <v>85559158</v>
      </c>
      <c r="C314" s="37">
        <v>44551</v>
      </c>
      <c r="D314" s="137">
        <v>50.265000000000001</v>
      </c>
      <c r="E314" s="36" t="s">
        <v>638</v>
      </c>
      <c r="F314" s="36">
        <v>1</v>
      </c>
      <c r="G314" s="36" t="s">
        <v>110</v>
      </c>
      <c r="H314" s="37">
        <v>44550</v>
      </c>
    </row>
    <row r="315" spans="1:8" x14ac:dyDescent="0.3">
      <c r="A315" s="35">
        <v>1212130894</v>
      </c>
      <c r="B315" s="36">
        <v>5582894</v>
      </c>
      <c r="C315" s="37">
        <v>44551</v>
      </c>
      <c r="D315" s="137">
        <v>251.327</v>
      </c>
      <c r="E315" s="36" t="s">
        <v>638</v>
      </c>
      <c r="F315" s="36">
        <v>1</v>
      </c>
      <c r="G315" s="36" t="s">
        <v>110</v>
      </c>
      <c r="H315" s="37">
        <v>44550</v>
      </c>
    </row>
    <row r="316" spans="1:8" x14ac:dyDescent="0.3">
      <c r="A316" s="35">
        <v>1212131972</v>
      </c>
      <c r="B316" s="36">
        <v>44737157</v>
      </c>
      <c r="C316" s="37">
        <v>44552</v>
      </c>
      <c r="D316" s="137">
        <v>184.999</v>
      </c>
      <c r="E316" s="36" t="s">
        <v>638</v>
      </c>
      <c r="F316" s="36">
        <v>1</v>
      </c>
      <c r="G316" s="36" t="s">
        <v>110</v>
      </c>
      <c r="H316" s="37">
        <v>44551</v>
      </c>
    </row>
    <row r="317" spans="1:8" x14ac:dyDescent="0.3">
      <c r="A317" s="35">
        <v>1212131980</v>
      </c>
      <c r="B317" s="36">
        <v>56555464</v>
      </c>
      <c r="C317" s="37">
        <v>44552</v>
      </c>
      <c r="D317" s="137">
        <v>2111.1480000000001</v>
      </c>
      <c r="E317" s="36" t="s">
        <v>638</v>
      </c>
      <c r="F317" s="36">
        <v>1</v>
      </c>
      <c r="G317" s="36" t="s">
        <v>110</v>
      </c>
      <c r="H317" s="37">
        <v>44551</v>
      </c>
    </row>
    <row r="318" spans="1:8" x14ac:dyDescent="0.3">
      <c r="A318" s="35">
        <v>1212131981</v>
      </c>
      <c r="B318" s="36">
        <v>58578929</v>
      </c>
      <c r="C318" s="37">
        <v>44552</v>
      </c>
      <c r="D318" s="137">
        <v>1563.9159999999999</v>
      </c>
      <c r="E318" s="36" t="s">
        <v>638</v>
      </c>
      <c r="F318" s="36">
        <v>1</v>
      </c>
      <c r="G318" s="36" t="s">
        <v>110</v>
      </c>
      <c r="H318" s="37">
        <v>44551</v>
      </c>
    </row>
    <row r="319" spans="1:8" x14ac:dyDescent="0.3">
      <c r="A319" s="35">
        <v>1212132002</v>
      </c>
      <c r="B319" s="36">
        <v>44890675</v>
      </c>
      <c r="C319" s="37">
        <v>44552</v>
      </c>
      <c r="D319" s="137">
        <v>208.52199999999999</v>
      </c>
      <c r="E319" s="36" t="s">
        <v>638</v>
      </c>
      <c r="F319" s="36">
        <v>1</v>
      </c>
      <c r="G319" s="36" t="s">
        <v>110</v>
      </c>
      <c r="H319" s="37">
        <v>44551</v>
      </c>
    </row>
    <row r="320" spans="1:8" x14ac:dyDescent="0.3">
      <c r="A320" s="35">
        <v>1212131989</v>
      </c>
      <c r="B320" s="36">
        <v>16584116</v>
      </c>
      <c r="C320" s="37">
        <v>44552</v>
      </c>
      <c r="D320" s="137">
        <v>100.53100000000001</v>
      </c>
      <c r="E320" s="36" t="s">
        <v>638</v>
      </c>
      <c r="F320" s="36">
        <v>1</v>
      </c>
      <c r="G320" s="36" t="s">
        <v>110</v>
      </c>
      <c r="H320" s="37">
        <v>44551</v>
      </c>
    </row>
    <row r="321" spans="1:9" x14ac:dyDescent="0.3">
      <c r="A321" s="35">
        <v>1212132244</v>
      </c>
      <c r="B321" s="36" t="s">
        <v>662</v>
      </c>
      <c r="C321" s="37">
        <v>44553</v>
      </c>
      <c r="D321" s="137">
        <v>220.00399999999999</v>
      </c>
      <c r="E321" s="36" t="s">
        <v>638</v>
      </c>
      <c r="F321" s="36">
        <v>1</v>
      </c>
      <c r="G321" s="36" t="s">
        <v>110</v>
      </c>
      <c r="H321" s="37">
        <v>44558</v>
      </c>
    </row>
    <row r="322" spans="1:9" x14ac:dyDescent="0.3">
      <c r="A322" s="35">
        <v>1212132285</v>
      </c>
      <c r="B322" s="36">
        <v>47572452</v>
      </c>
      <c r="C322" s="37">
        <v>44553</v>
      </c>
      <c r="D322" s="137">
        <v>110.002</v>
      </c>
      <c r="E322" s="36" t="s">
        <v>638</v>
      </c>
      <c r="F322" s="36">
        <v>1</v>
      </c>
      <c r="G322" s="36" t="s">
        <v>110</v>
      </c>
      <c r="H322" s="37">
        <v>44558</v>
      </c>
    </row>
    <row r="323" spans="1:9" x14ac:dyDescent="0.3">
      <c r="A323" s="35">
        <v>1212132281</v>
      </c>
      <c r="B323" s="36">
        <v>45691061</v>
      </c>
      <c r="C323" s="37">
        <v>44553</v>
      </c>
      <c r="D323" s="137">
        <v>104.261</v>
      </c>
      <c r="E323" s="36" t="s">
        <v>638</v>
      </c>
      <c r="F323" s="36">
        <v>1</v>
      </c>
      <c r="G323" s="36" t="s">
        <v>110</v>
      </c>
      <c r="H323" s="37">
        <v>44558</v>
      </c>
    </row>
    <row r="324" spans="1:9" x14ac:dyDescent="0.3">
      <c r="A324" s="35">
        <v>1212132283</v>
      </c>
      <c r="B324" s="36">
        <v>45718414</v>
      </c>
      <c r="C324" s="37">
        <v>44553</v>
      </c>
      <c r="D324" s="137">
        <v>2959.9879999999998</v>
      </c>
      <c r="E324" s="36" t="s">
        <v>638</v>
      </c>
      <c r="F324" s="36">
        <v>2</v>
      </c>
      <c r="G324" s="36" t="s">
        <v>110</v>
      </c>
      <c r="H324" s="37">
        <v>44558</v>
      </c>
    </row>
    <row r="325" spans="1:9" x14ac:dyDescent="0.3">
      <c r="A325" s="35">
        <v>1212132665</v>
      </c>
      <c r="B325" s="36">
        <v>31910486</v>
      </c>
      <c r="C325" s="37">
        <v>44565</v>
      </c>
      <c r="D325" s="137">
        <v>5280.0929999999998</v>
      </c>
      <c r="E325" s="36" t="s">
        <v>638</v>
      </c>
      <c r="F325" s="36">
        <v>3</v>
      </c>
      <c r="G325" s="36" t="s">
        <v>110</v>
      </c>
      <c r="H325" s="37">
        <v>44564</v>
      </c>
    </row>
    <row r="326" spans="1:9" x14ac:dyDescent="0.3">
      <c r="A326" s="35">
        <v>1212133170</v>
      </c>
      <c r="B326" s="36">
        <v>47925085</v>
      </c>
      <c r="C326" s="37">
        <v>44565</v>
      </c>
      <c r="D326" s="137">
        <v>2219.991</v>
      </c>
      <c r="E326" s="36" t="s">
        <v>638</v>
      </c>
      <c r="F326" s="36">
        <v>1</v>
      </c>
      <c r="G326" s="36" t="s">
        <v>110</v>
      </c>
      <c r="H326" s="37">
        <v>44564</v>
      </c>
    </row>
    <row r="327" spans="1:9" x14ac:dyDescent="0.3">
      <c r="A327" s="35">
        <v>1212133139</v>
      </c>
      <c r="B327" s="36">
        <v>25937908</v>
      </c>
      <c r="C327" s="37">
        <v>44565</v>
      </c>
      <c r="D327" s="137">
        <v>8800.1550000000007</v>
      </c>
      <c r="E327" s="36" t="s">
        <v>638</v>
      </c>
      <c r="F327" s="36">
        <v>5</v>
      </c>
      <c r="G327" s="36" t="s">
        <v>110</v>
      </c>
      <c r="H327" s="37">
        <v>44564</v>
      </c>
    </row>
    <row r="328" spans="1:9" x14ac:dyDescent="0.3">
      <c r="A328" s="35">
        <v>1212133406</v>
      </c>
      <c r="B328" s="36">
        <v>41573942</v>
      </c>
      <c r="C328" s="37">
        <v>44565</v>
      </c>
      <c r="D328" s="137">
        <v>715.01300000000003</v>
      </c>
      <c r="E328" s="36" t="s">
        <v>638</v>
      </c>
      <c r="F328" s="36">
        <v>1</v>
      </c>
      <c r="G328" s="36" t="s">
        <v>110</v>
      </c>
      <c r="H328" s="37">
        <v>44564</v>
      </c>
    </row>
    <row r="329" spans="1:9" x14ac:dyDescent="0.3">
      <c r="A329" s="35">
        <v>1212133196</v>
      </c>
      <c r="B329" s="36">
        <v>9552772</v>
      </c>
      <c r="C329" s="37">
        <v>44565</v>
      </c>
      <c r="D329" s="137">
        <v>1094.742</v>
      </c>
      <c r="E329" s="36" t="s">
        <v>638</v>
      </c>
      <c r="F329" s="36">
        <v>1</v>
      </c>
      <c r="G329" s="36" t="s">
        <v>110</v>
      </c>
      <c r="H329" s="37">
        <v>44564</v>
      </c>
    </row>
    <row r="330" spans="1:9" x14ac:dyDescent="0.3">
      <c r="A330" s="35">
        <v>1212133364</v>
      </c>
      <c r="B330" s="36">
        <v>2571551</v>
      </c>
      <c r="C330" s="37">
        <v>44565</v>
      </c>
      <c r="D330" s="137">
        <v>220.00399999999999</v>
      </c>
      <c r="E330" s="36" t="s">
        <v>638</v>
      </c>
      <c r="F330" s="36">
        <v>1</v>
      </c>
      <c r="G330" s="36" t="s">
        <v>110</v>
      </c>
      <c r="H330" s="37">
        <v>44564</v>
      </c>
    </row>
    <row r="331" spans="1:9" x14ac:dyDescent="0.3">
      <c r="A331" s="35">
        <v>1212133375</v>
      </c>
      <c r="B331" s="36">
        <v>46969980</v>
      </c>
      <c r="C331" s="37">
        <v>44565</v>
      </c>
      <c r="D331" s="137">
        <v>330.00599999999997</v>
      </c>
      <c r="E331" s="36" t="s">
        <v>638</v>
      </c>
      <c r="F331" s="36">
        <v>1</v>
      </c>
      <c r="G331" s="36" t="s">
        <v>110</v>
      </c>
      <c r="H331" s="37">
        <v>44564</v>
      </c>
    </row>
    <row r="332" spans="1:9" x14ac:dyDescent="0.3">
      <c r="A332" s="35">
        <v>1212133385</v>
      </c>
      <c r="B332" s="36">
        <v>1551236</v>
      </c>
      <c r="C332" s="37">
        <v>44565</v>
      </c>
      <c r="D332" s="137">
        <v>100.53100000000001</v>
      </c>
      <c r="E332" s="36" t="s">
        <v>638</v>
      </c>
      <c r="F332" s="36">
        <v>1</v>
      </c>
      <c r="G332" s="36" t="s">
        <v>110</v>
      </c>
      <c r="H332" s="37">
        <v>44564</v>
      </c>
    </row>
    <row r="333" spans="1:9" x14ac:dyDescent="0.3">
      <c r="A333" s="50">
        <v>1212133354</v>
      </c>
      <c r="B333" s="51">
        <v>46725422</v>
      </c>
      <c r="C333" s="52">
        <v>44565</v>
      </c>
      <c r="D333" s="140">
        <v>147.999</v>
      </c>
      <c r="E333" s="51" t="s">
        <v>638</v>
      </c>
      <c r="F333" s="51">
        <v>1</v>
      </c>
      <c r="G333" s="51" t="s">
        <v>110</v>
      </c>
      <c r="H333" s="52">
        <v>44564</v>
      </c>
      <c r="I333" s="23" t="s">
        <v>659</v>
      </c>
    </row>
    <row r="334" spans="1:9" x14ac:dyDescent="0.3">
      <c r="A334" s="50">
        <v>1222000263</v>
      </c>
      <c r="B334" s="51" t="s">
        <v>663</v>
      </c>
      <c r="C334" s="52">
        <v>44571</v>
      </c>
      <c r="D334" s="140">
        <v>23430.413</v>
      </c>
      <c r="E334" s="51" t="s">
        <v>638</v>
      </c>
      <c r="F334" s="51">
        <v>13</v>
      </c>
      <c r="G334" s="51" t="s">
        <v>110</v>
      </c>
      <c r="H334" s="52">
        <v>44571</v>
      </c>
      <c r="I334" s="23" t="s">
        <v>664</v>
      </c>
    </row>
    <row r="335" spans="1:9" x14ac:dyDescent="0.3">
      <c r="A335" s="54" t="s">
        <v>665</v>
      </c>
      <c r="B335" s="55">
        <v>48780706</v>
      </c>
      <c r="C335" s="56">
        <v>44568</v>
      </c>
      <c r="D335" s="140">
        <v>87.320999999999998</v>
      </c>
      <c r="E335" s="51" t="s">
        <v>638</v>
      </c>
      <c r="F335" s="51">
        <v>1</v>
      </c>
      <c r="G335" s="51" t="s">
        <v>110</v>
      </c>
      <c r="H335" s="52">
        <v>44571</v>
      </c>
      <c r="I335" s="23" t="s">
        <v>659</v>
      </c>
    </row>
    <row r="336" spans="1:9" x14ac:dyDescent="0.3">
      <c r="A336" s="35">
        <v>1212132882</v>
      </c>
      <c r="B336" s="36">
        <v>13560101</v>
      </c>
      <c r="C336" s="37">
        <v>44925</v>
      </c>
      <c r="D336" s="137">
        <v>55.000999999999998</v>
      </c>
      <c r="E336" s="36" t="s">
        <v>638</v>
      </c>
      <c r="F336" s="36">
        <v>1</v>
      </c>
      <c r="G336" s="36" t="s">
        <v>110</v>
      </c>
      <c r="H336" s="37">
        <v>44564</v>
      </c>
    </row>
    <row r="337" spans="1:8" x14ac:dyDescent="0.3">
      <c r="A337" s="35">
        <v>1212133400</v>
      </c>
      <c r="B337" s="36">
        <v>27586236</v>
      </c>
      <c r="C337" s="37">
        <v>44565</v>
      </c>
      <c r="D337" s="137">
        <v>49.000999999999998</v>
      </c>
      <c r="E337" s="36" t="s">
        <v>638</v>
      </c>
      <c r="F337" s="36">
        <v>1</v>
      </c>
      <c r="G337" s="36" t="s">
        <v>110</v>
      </c>
      <c r="H337" s="37">
        <v>44564</v>
      </c>
    </row>
    <row r="338" spans="1:8" x14ac:dyDescent="0.3">
      <c r="A338" s="35">
        <v>1212133190</v>
      </c>
      <c r="B338" s="36" t="s">
        <v>666</v>
      </c>
      <c r="C338" s="37">
        <v>44565</v>
      </c>
      <c r="D338" s="137">
        <v>220.00399999999999</v>
      </c>
      <c r="E338" s="36" t="s">
        <v>638</v>
      </c>
      <c r="F338" s="36">
        <v>1</v>
      </c>
      <c r="G338" s="36" t="s">
        <v>110</v>
      </c>
      <c r="H338" s="37">
        <v>44564</v>
      </c>
    </row>
    <row r="339" spans="1:8" x14ac:dyDescent="0.3">
      <c r="A339" s="35">
        <v>1212133513</v>
      </c>
      <c r="B339" s="36">
        <v>35922475</v>
      </c>
      <c r="C339" s="37">
        <v>44567</v>
      </c>
      <c r="D339" s="137">
        <v>12320.21</v>
      </c>
      <c r="E339" s="36" t="s">
        <v>638</v>
      </c>
      <c r="F339" s="36">
        <v>7</v>
      </c>
      <c r="G339" s="36" t="s">
        <v>110</v>
      </c>
      <c r="H339" s="37">
        <v>44567</v>
      </c>
    </row>
    <row r="340" spans="1:8" x14ac:dyDescent="0.3">
      <c r="A340" s="53">
        <v>1212132657</v>
      </c>
      <c r="B340" s="57">
        <v>46911949</v>
      </c>
      <c r="C340" s="37">
        <v>44567</v>
      </c>
      <c r="D340" s="137">
        <v>15840.27</v>
      </c>
      <c r="E340" s="36" t="s">
        <v>638</v>
      </c>
      <c r="F340" s="36">
        <v>9</v>
      </c>
      <c r="G340" s="36" t="s">
        <v>110</v>
      </c>
      <c r="H340" s="37">
        <v>44567</v>
      </c>
    </row>
    <row r="341" spans="1:8" x14ac:dyDescent="0.3">
      <c r="A341" s="35">
        <v>1212133614</v>
      </c>
      <c r="B341" s="36">
        <v>48630155</v>
      </c>
      <c r="C341" s="37">
        <v>44567</v>
      </c>
      <c r="D341" s="137">
        <v>452.38900000000001</v>
      </c>
      <c r="E341" s="36" t="s">
        <v>638</v>
      </c>
      <c r="F341" s="36">
        <v>1</v>
      </c>
      <c r="G341" s="36" t="s">
        <v>110</v>
      </c>
      <c r="H341" s="37">
        <v>44567</v>
      </c>
    </row>
    <row r="342" spans="1:8" x14ac:dyDescent="0.3">
      <c r="A342" s="35">
        <v>1212133578</v>
      </c>
      <c r="B342" s="36">
        <v>52569048</v>
      </c>
      <c r="C342" s="37">
        <v>44567</v>
      </c>
      <c r="D342" s="137">
        <v>251.327</v>
      </c>
      <c r="E342" s="36" t="s">
        <v>638</v>
      </c>
      <c r="F342" s="36">
        <v>1</v>
      </c>
      <c r="G342" s="36" t="s">
        <v>110</v>
      </c>
      <c r="H342" s="37">
        <v>44567</v>
      </c>
    </row>
    <row r="343" spans="1:8" x14ac:dyDescent="0.3">
      <c r="A343" s="35">
        <v>1212133619</v>
      </c>
      <c r="B343" s="36" t="s">
        <v>667</v>
      </c>
      <c r="C343" s="37">
        <v>44567</v>
      </c>
      <c r="D343" s="137">
        <v>8193.2659999999996</v>
      </c>
      <c r="E343" s="36" t="s">
        <v>638</v>
      </c>
      <c r="F343" s="36">
        <v>5</v>
      </c>
      <c r="G343" s="36" t="s">
        <v>110</v>
      </c>
      <c r="H343" s="37">
        <v>44567</v>
      </c>
    </row>
    <row r="344" spans="1:8" x14ac:dyDescent="0.3">
      <c r="A344" s="35">
        <v>1212133592</v>
      </c>
      <c r="B344" s="36" t="s">
        <v>668</v>
      </c>
      <c r="C344" s="37">
        <v>44567</v>
      </c>
      <c r="D344" s="137">
        <v>165.00299999999999</v>
      </c>
      <c r="E344" s="36" t="s">
        <v>638</v>
      </c>
      <c r="F344" s="36">
        <v>1</v>
      </c>
      <c r="G344" s="36" t="s">
        <v>110</v>
      </c>
      <c r="H344" s="37">
        <v>44567</v>
      </c>
    </row>
    <row r="345" spans="1:8" x14ac:dyDescent="0.3">
      <c r="A345" s="35">
        <v>1212133558</v>
      </c>
      <c r="B345" s="36">
        <v>17566003</v>
      </c>
      <c r="C345" s="37">
        <v>44567</v>
      </c>
      <c r="D345" s="137">
        <v>50.265000000000001</v>
      </c>
      <c r="E345" s="36" t="s">
        <v>638</v>
      </c>
      <c r="F345" s="36">
        <v>1</v>
      </c>
      <c r="G345" s="36" t="s">
        <v>110</v>
      </c>
      <c r="H345" s="37">
        <v>44567</v>
      </c>
    </row>
    <row r="346" spans="1:8" x14ac:dyDescent="0.3">
      <c r="A346" s="35">
        <v>1212133624</v>
      </c>
      <c r="B346" s="36" t="s">
        <v>669</v>
      </c>
      <c r="C346" s="37">
        <v>44567</v>
      </c>
      <c r="D346" s="137">
        <v>3850.0680000000002</v>
      </c>
      <c r="E346" s="36" t="s">
        <v>638</v>
      </c>
      <c r="F346" s="36">
        <v>2</v>
      </c>
      <c r="G346" s="36" t="s">
        <v>110</v>
      </c>
      <c r="H346" s="37">
        <v>44567</v>
      </c>
    </row>
    <row r="347" spans="1:8" x14ac:dyDescent="0.3">
      <c r="A347" s="53">
        <v>1222000107</v>
      </c>
      <c r="B347" s="57">
        <v>63574346</v>
      </c>
      <c r="C347" s="58">
        <v>44568</v>
      </c>
      <c r="D347" s="137">
        <v>990.01700000000005</v>
      </c>
      <c r="E347" s="36" t="s">
        <v>638</v>
      </c>
      <c r="F347" s="36">
        <v>1</v>
      </c>
      <c r="G347" s="36" t="s">
        <v>110</v>
      </c>
      <c r="H347" s="37">
        <v>44571</v>
      </c>
    </row>
    <row r="348" spans="1:8" x14ac:dyDescent="0.3">
      <c r="A348" s="53" t="s">
        <v>670</v>
      </c>
      <c r="B348" s="57">
        <v>48784731</v>
      </c>
      <c r="C348" s="58">
        <v>44568</v>
      </c>
      <c r="D348" s="137">
        <v>220.00399999999999</v>
      </c>
      <c r="E348" s="36" t="s">
        <v>638</v>
      </c>
      <c r="F348" s="36">
        <v>1</v>
      </c>
      <c r="G348" s="36" t="s">
        <v>110</v>
      </c>
      <c r="H348" s="37">
        <v>44571</v>
      </c>
    </row>
    <row r="349" spans="1:8" x14ac:dyDescent="0.3">
      <c r="A349" s="53">
        <v>1222000122</v>
      </c>
      <c r="B349" s="57">
        <v>48948307</v>
      </c>
      <c r="C349" s="58">
        <v>44568</v>
      </c>
      <c r="D349" s="137">
        <v>385.00700000000001</v>
      </c>
      <c r="E349" s="36" t="s">
        <v>638</v>
      </c>
      <c r="F349" s="36">
        <v>1</v>
      </c>
      <c r="G349" s="36" t="s">
        <v>110</v>
      </c>
      <c r="H349" s="37">
        <v>44571</v>
      </c>
    </row>
    <row r="350" spans="1:8" x14ac:dyDescent="0.3">
      <c r="A350" s="53" t="s">
        <v>671</v>
      </c>
      <c r="B350" s="57">
        <v>69589630</v>
      </c>
      <c r="C350" s="58">
        <v>44568</v>
      </c>
      <c r="D350" s="137">
        <v>55.000999999999998</v>
      </c>
      <c r="E350" s="36" t="s">
        <v>638</v>
      </c>
      <c r="F350" s="36">
        <v>1</v>
      </c>
      <c r="G350" s="36" t="s">
        <v>110</v>
      </c>
      <c r="H350" s="37">
        <v>44571</v>
      </c>
    </row>
    <row r="351" spans="1:8" x14ac:dyDescent="0.3">
      <c r="A351" s="53" t="s">
        <v>672</v>
      </c>
      <c r="B351" s="57">
        <v>48674459</v>
      </c>
      <c r="C351" s="58">
        <v>44568</v>
      </c>
      <c r="D351" s="137">
        <v>1294.9939999999999</v>
      </c>
      <c r="E351" s="36" t="s">
        <v>638</v>
      </c>
      <c r="F351" s="36">
        <v>1</v>
      </c>
      <c r="G351" s="36" t="s">
        <v>110</v>
      </c>
      <c r="H351" s="37">
        <v>44571</v>
      </c>
    </row>
    <row r="352" spans="1:8" x14ac:dyDescent="0.3">
      <c r="A352" s="53">
        <v>1222000112</v>
      </c>
      <c r="B352" s="57">
        <v>10555756</v>
      </c>
      <c r="C352" s="58">
        <v>44568</v>
      </c>
      <c r="D352" s="137">
        <v>275.005</v>
      </c>
      <c r="E352" s="36" t="s">
        <v>638</v>
      </c>
      <c r="F352" s="36">
        <v>1</v>
      </c>
      <c r="G352" s="36" t="s">
        <v>110</v>
      </c>
      <c r="H352" s="37">
        <v>44571</v>
      </c>
    </row>
    <row r="353" spans="1:9" x14ac:dyDescent="0.3">
      <c r="A353" s="59">
        <v>1222000403</v>
      </c>
      <c r="B353" s="60">
        <v>219394701</v>
      </c>
      <c r="C353" s="37">
        <v>44571</v>
      </c>
      <c r="D353" s="137">
        <v>8800.15</v>
      </c>
      <c r="E353" s="36" t="s">
        <v>638</v>
      </c>
      <c r="F353" s="36">
        <v>5</v>
      </c>
      <c r="G353" s="36" t="s">
        <v>110</v>
      </c>
      <c r="H353" s="37">
        <v>44571</v>
      </c>
    </row>
    <row r="354" spans="1:9" x14ac:dyDescent="0.3">
      <c r="A354" s="40">
        <v>1222000467</v>
      </c>
      <c r="B354" s="36">
        <v>35925134</v>
      </c>
      <c r="C354" s="37">
        <v>44572</v>
      </c>
      <c r="D354" s="137">
        <v>15840.27</v>
      </c>
      <c r="E354" s="36" t="s">
        <v>638</v>
      </c>
      <c r="F354" s="36">
        <v>9</v>
      </c>
      <c r="G354" s="36" t="s">
        <v>110</v>
      </c>
      <c r="H354" s="37">
        <v>44571</v>
      </c>
    </row>
    <row r="355" spans="1:9" x14ac:dyDescent="0.3">
      <c r="A355" s="35">
        <v>1222000308</v>
      </c>
      <c r="B355" s="36">
        <v>49773092</v>
      </c>
      <c r="C355" s="37">
        <v>44571</v>
      </c>
      <c r="D355" s="137">
        <v>495.00900000000001</v>
      </c>
      <c r="E355" s="36" t="s">
        <v>638</v>
      </c>
      <c r="F355" s="36">
        <v>1</v>
      </c>
      <c r="G355" s="36" t="s">
        <v>110</v>
      </c>
      <c r="H355" s="37">
        <v>44571</v>
      </c>
    </row>
    <row r="356" spans="1:9" x14ac:dyDescent="0.3">
      <c r="A356" s="35">
        <v>1222000341</v>
      </c>
      <c r="B356" s="36">
        <v>49869969</v>
      </c>
      <c r="C356" s="37">
        <v>44571</v>
      </c>
      <c r="D356" s="137">
        <v>275.005</v>
      </c>
      <c r="E356" s="36" t="s">
        <v>638</v>
      </c>
      <c r="F356" s="36">
        <v>1</v>
      </c>
      <c r="G356" s="36" t="s">
        <v>110</v>
      </c>
      <c r="H356" s="37">
        <v>44571</v>
      </c>
    </row>
    <row r="357" spans="1:9" x14ac:dyDescent="0.3">
      <c r="A357" s="35">
        <v>1222000362</v>
      </c>
      <c r="B357" s="36">
        <v>51603451</v>
      </c>
      <c r="C357" s="37">
        <v>44571</v>
      </c>
      <c r="D357" s="137">
        <v>330.00599999999997</v>
      </c>
      <c r="E357" s="36" t="s">
        <v>638</v>
      </c>
      <c r="F357" s="36">
        <v>1</v>
      </c>
      <c r="G357" s="36" t="s">
        <v>110</v>
      </c>
      <c r="H357" s="37">
        <v>44571</v>
      </c>
    </row>
    <row r="358" spans="1:9" x14ac:dyDescent="0.3">
      <c r="A358" s="35">
        <v>1222000309</v>
      </c>
      <c r="B358" s="36">
        <v>49775462</v>
      </c>
      <c r="C358" s="37">
        <v>44571</v>
      </c>
      <c r="D358" s="137">
        <v>251.327</v>
      </c>
      <c r="E358" s="36" t="s">
        <v>638</v>
      </c>
      <c r="F358" s="36">
        <v>1</v>
      </c>
      <c r="G358" s="36" t="s">
        <v>110</v>
      </c>
      <c r="H358" s="37">
        <v>44571</v>
      </c>
    </row>
    <row r="359" spans="1:9" x14ac:dyDescent="0.3">
      <c r="A359" s="35">
        <v>1222000355</v>
      </c>
      <c r="B359" s="36">
        <v>49969314</v>
      </c>
      <c r="C359" s="37">
        <v>44571</v>
      </c>
      <c r="D359" s="137">
        <v>1507.963</v>
      </c>
      <c r="E359" s="36" t="s">
        <v>638</v>
      </c>
      <c r="F359" s="36">
        <v>1</v>
      </c>
      <c r="G359" s="36" t="s">
        <v>110</v>
      </c>
      <c r="H359" s="37">
        <v>44571</v>
      </c>
    </row>
    <row r="360" spans="1:9" x14ac:dyDescent="0.3">
      <c r="A360" s="35">
        <v>1222000302</v>
      </c>
      <c r="B360" s="36">
        <v>20585776</v>
      </c>
      <c r="C360" s="37">
        <v>44571</v>
      </c>
      <c r="D360" s="137">
        <v>1045.018</v>
      </c>
      <c r="E360" s="36" t="s">
        <v>638</v>
      </c>
      <c r="F360" s="36">
        <v>1</v>
      </c>
      <c r="G360" s="36" t="s">
        <v>110</v>
      </c>
      <c r="H360" s="37">
        <v>44571</v>
      </c>
    </row>
    <row r="361" spans="1:9" x14ac:dyDescent="0.3">
      <c r="A361" s="35">
        <v>1222000558</v>
      </c>
      <c r="B361" s="36" t="s">
        <v>673</v>
      </c>
      <c r="C361" s="37">
        <v>44572</v>
      </c>
      <c r="D361" s="137">
        <v>3575.0630000000001</v>
      </c>
      <c r="E361" s="36" t="s">
        <v>638</v>
      </c>
      <c r="F361" s="36">
        <v>2</v>
      </c>
      <c r="G361" s="36" t="s">
        <v>110</v>
      </c>
      <c r="H361" s="37">
        <v>44574</v>
      </c>
    </row>
    <row r="362" spans="1:9" x14ac:dyDescent="0.3">
      <c r="A362" s="35">
        <v>1222000582</v>
      </c>
      <c r="B362" s="36">
        <v>72567048</v>
      </c>
      <c r="C362" s="37">
        <v>44572</v>
      </c>
      <c r="D362" s="137">
        <v>275.005</v>
      </c>
      <c r="E362" s="36" t="s">
        <v>638</v>
      </c>
      <c r="F362" s="36">
        <v>1</v>
      </c>
      <c r="G362" s="36" t="s">
        <v>110</v>
      </c>
      <c r="H362" s="37">
        <v>44574</v>
      </c>
    </row>
    <row r="363" spans="1:9" x14ac:dyDescent="0.3">
      <c r="A363" s="35">
        <v>1222000445</v>
      </c>
      <c r="B363" s="36">
        <v>26587797</v>
      </c>
      <c r="C363" s="37">
        <v>44572</v>
      </c>
      <c r="D363" s="137">
        <v>150.79599999999999</v>
      </c>
      <c r="E363" s="36" t="s">
        <v>638</v>
      </c>
      <c r="F363" s="36">
        <v>1</v>
      </c>
      <c r="G363" s="36" t="s">
        <v>110</v>
      </c>
      <c r="H363" s="37">
        <v>44574</v>
      </c>
    </row>
    <row r="364" spans="1:9" x14ac:dyDescent="0.3">
      <c r="A364" s="35">
        <v>1222000440</v>
      </c>
      <c r="B364" s="36">
        <v>8561373</v>
      </c>
      <c r="C364" s="37">
        <v>44572</v>
      </c>
      <c r="D364" s="137">
        <v>825.01499999999999</v>
      </c>
      <c r="E364" s="36" t="s">
        <v>638</v>
      </c>
      <c r="F364" s="36">
        <v>1</v>
      </c>
      <c r="G364" s="36" t="s">
        <v>110</v>
      </c>
      <c r="H364" s="37">
        <v>44574</v>
      </c>
    </row>
    <row r="365" spans="1:9" x14ac:dyDescent="0.3">
      <c r="A365" s="35">
        <v>1222000572</v>
      </c>
      <c r="B365" s="36">
        <v>51658157</v>
      </c>
      <c r="C365" s="37">
        <v>44572</v>
      </c>
      <c r="D365" s="137">
        <v>660.01199999999994</v>
      </c>
      <c r="E365" s="36" t="s">
        <v>638</v>
      </c>
      <c r="F365" s="36">
        <v>1</v>
      </c>
      <c r="G365" s="36" t="s">
        <v>110</v>
      </c>
      <c r="H365" s="37">
        <v>44574</v>
      </c>
    </row>
    <row r="366" spans="1:9" x14ac:dyDescent="0.3">
      <c r="A366" s="53" t="s">
        <v>674</v>
      </c>
      <c r="B366" s="57">
        <v>70560610</v>
      </c>
      <c r="C366" s="58">
        <v>44568</v>
      </c>
      <c r="D366" s="137">
        <v>55.000999999999998</v>
      </c>
      <c r="E366" s="36" t="s">
        <v>638</v>
      </c>
      <c r="F366" s="36">
        <v>1</v>
      </c>
      <c r="G366" s="36" t="s">
        <v>110</v>
      </c>
      <c r="H366" s="37">
        <v>44571</v>
      </c>
      <c r="I366" s="22" t="s">
        <v>675</v>
      </c>
    </row>
    <row r="367" spans="1:9" x14ac:dyDescent="0.3">
      <c r="A367" s="35">
        <v>1222000567</v>
      </c>
      <c r="B367" s="36">
        <v>51624071</v>
      </c>
      <c r="C367" s="37">
        <v>44572</v>
      </c>
      <c r="D367" s="137">
        <v>110.002</v>
      </c>
      <c r="E367" s="36" t="s">
        <v>638</v>
      </c>
      <c r="F367" s="36">
        <v>1</v>
      </c>
      <c r="G367" s="62" t="s">
        <v>110</v>
      </c>
      <c r="H367" s="37">
        <v>44574</v>
      </c>
      <c r="I367" s="22" t="s">
        <v>676</v>
      </c>
    </row>
    <row r="368" spans="1:9" x14ac:dyDescent="0.3">
      <c r="A368" s="35">
        <v>1222000571</v>
      </c>
      <c r="B368" s="36">
        <v>51658100</v>
      </c>
      <c r="C368" s="37">
        <v>44572</v>
      </c>
      <c r="D368" s="137">
        <v>2219.991</v>
      </c>
      <c r="E368" s="36" t="s">
        <v>638</v>
      </c>
      <c r="F368" s="36">
        <v>1</v>
      </c>
      <c r="G368" s="36" t="s">
        <v>110</v>
      </c>
      <c r="H368" s="37">
        <v>44574</v>
      </c>
      <c r="I368" s="22" t="s">
        <v>676</v>
      </c>
    </row>
    <row r="369" spans="1:9" x14ac:dyDescent="0.3">
      <c r="A369" s="35">
        <v>1222000752</v>
      </c>
      <c r="B369" s="36">
        <v>51936393</v>
      </c>
      <c r="C369" s="37">
        <v>44573</v>
      </c>
      <c r="D369" s="137">
        <v>110.002</v>
      </c>
      <c r="E369" s="36" t="s">
        <v>638</v>
      </c>
      <c r="F369" s="36">
        <v>1</v>
      </c>
      <c r="G369" s="36" t="s">
        <v>110</v>
      </c>
      <c r="H369" s="37">
        <v>44578</v>
      </c>
      <c r="I369" s="22" t="s">
        <v>677</v>
      </c>
    </row>
    <row r="370" spans="1:9" x14ac:dyDescent="0.3">
      <c r="A370" s="35">
        <v>1222000809</v>
      </c>
      <c r="B370" s="36">
        <v>20572745</v>
      </c>
      <c r="C370" s="37">
        <v>44573</v>
      </c>
      <c r="D370" s="137">
        <v>1155.02</v>
      </c>
      <c r="E370" s="36" t="s">
        <v>638</v>
      </c>
      <c r="F370" s="36">
        <v>1</v>
      </c>
      <c r="G370" s="36" t="s">
        <v>110</v>
      </c>
      <c r="H370" s="37">
        <v>44578</v>
      </c>
      <c r="I370" s="22" t="s">
        <v>677</v>
      </c>
    </row>
    <row r="371" spans="1:9" x14ac:dyDescent="0.3">
      <c r="A371" s="35">
        <v>1222000746</v>
      </c>
      <c r="B371" s="36">
        <v>51898606</v>
      </c>
      <c r="C371" s="37">
        <v>44573</v>
      </c>
      <c r="D371" s="137">
        <v>3144.9870000000001</v>
      </c>
      <c r="E371" s="36" t="s">
        <v>638</v>
      </c>
      <c r="F371" s="36">
        <v>2</v>
      </c>
      <c r="G371" s="36" t="s">
        <v>110</v>
      </c>
      <c r="H371" s="37">
        <v>44578</v>
      </c>
      <c r="I371" s="22" t="s">
        <v>677</v>
      </c>
    </row>
    <row r="372" spans="1:9" x14ac:dyDescent="0.3">
      <c r="A372" s="35">
        <v>1222000751</v>
      </c>
      <c r="B372" s="36">
        <v>51932361</v>
      </c>
      <c r="C372" s="37">
        <v>44573</v>
      </c>
      <c r="D372" s="137">
        <v>5026.5439999999999</v>
      </c>
      <c r="E372" s="36" t="s">
        <v>638</v>
      </c>
      <c r="F372" s="36">
        <v>3</v>
      </c>
      <c r="G372" s="36" t="s">
        <v>110</v>
      </c>
      <c r="H372" s="37">
        <v>44578</v>
      </c>
      <c r="I372" s="22" t="s">
        <v>677</v>
      </c>
    </row>
    <row r="373" spans="1:9" x14ac:dyDescent="0.3">
      <c r="A373" s="35">
        <v>1222000749</v>
      </c>
      <c r="B373" s="36">
        <v>51906600</v>
      </c>
      <c r="C373" s="37">
        <v>44573</v>
      </c>
      <c r="D373" s="137">
        <v>55.000999999999998</v>
      </c>
      <c r="E373" s="36" t="s">
        <v>638</v>
      </c>
      <c r="F373" s="36">
        <v>1</v>
      </c>
      <c r="G373" s="36" t="s">
        <v>110</v>
      </c>
      <c r="H373" s="37">
        <v>44578</v>
      </c>
      <c r="I373" s="22" t="s">
        <v>677</v>
      </c>
    </row>
    <row r="374" spans="1:9" x14ac:dyDescent="0.3">
      <c r="A374" s="35">
        <v>1222000826</v>
      </c>
      <c r="B374" s="36">
        <v>52844976</v>
      </c>
      <c r="C374" s="37">
        <v>44573</v>
      </c>
      <c r="D374" s="137">
        <v>385.00700000000001</v>
      </c>
      <c r="E374" s="36" t="s">
        <v>638</v>
      </c>
      <c r="F374" s="36">
        <v>1</v>
      </c>
      <c r="G374" s="36" t="s">
        <v>110</v>
      </c>
      <c r="H374" s="37">
        <v>44578</v>
      </c>
      <c r="I374" s="22" t="s">
        <v>677</v>
      </c>
    </row>
    <row r="375" spans="1:9" x14ac:dyDescent="0.3">
      <c r="A375" s="35">
        <v>1222000810</v>
      </c>
      <c r="B375" s="36">
        <v>21564644</v>
      </c>
      <c r="C375" s="37">
        <v>44573</v>
      </c>
      <c r="D375" s="137">
        <v>351.858</v>
      </c>
      <c r="E375" s="36" t="s">
        <v>638</v>
      </c>
      <c r="F375" s="36">
        <v>1</v>
      </c>
      <c r="G375" s="36" t="s">
        <v>110</v>
      </c>
      <c r="H375" s="37">
        <v>44578</v>
      </c>
      <c r="I375" s="22" t="s">
        <v>677</v>
      </c>
    </row>
    <row r="376" spans="1:9" x14ac:dyDescent="0.3">
      <c r="A376" s="35">
        <v>1222000811</v>
      </c>
      <c r="B376" s="36">
        <v>21579363</v>
      </c>
      <c r="C376" s="37">
        <v>44573</v>
      </c>
      <c r="D376" s="137">
        <v>385.00700000000001</v>
      </c>
      <c r="E376" s="36" t="s">
        <v>638</v>
      </c>
      <c r="F376" s="36">
        <v>1</v>
      </c>
      <c r="G376" s="36" t="s">
        <v>110</v>
      </c>
      <c r="H376" s="37">
        <v>44578</v>
      </c>
      <c r="I376" s="22" t="s">
        <v>677</v>
      </c>
    </row>
    <row r="377" spans="1:9" x14ac:dyDescent="0.3">
      <c r="A377" s="35">
        <v>1222000769</v>
      </c>
      <c r="B377" s="36">
        <v>2571892</v>
      </c>
      <c r="C377" s="37">
        <v>44573</v>
      </c>
      <c r="D377" s="137">
        <v>55.000999999999998</v>
      </c>
      <c r="E377" s="36" t="s">
        <v>638</v>
      </c>
      <c r="F377" s="36">
        <v>1</v>
      </c>
      <c r="G377" s="36" t="s">
        <v>110</v>
      </c>
      <c r="H377" s="37">
        <v>44578</v>
      </c>
      <c r="I377" s="22" t="s">
        <v>677</v>
      </c>
    </row>
    <row r="378" spans="1:9" x14ac:dyDescent="0.3">
      <c r="A378" s="35">
        <v>1222000739</v>
      </c>
      <c r="B378" s="36">
        <v>38570113</v>
      </c>
      <c r="C378" s="37">
        <v>44573</v>
      </c>
      <c r="D378" s="137">
        <v>2750.049</v>
      </c>
      <c r="E378" s="36" t="s">
        <v>638</v>
      </c>
      <c r="F378" s="36">
        <v>2</v>
      </c>
      <c r="G378" s="36" t="s">
        <v>110</v>
      </c>
      <c r="H378" s="37">
        <v>44578</v>
      </c>
      <c r="I378" s="22" t="s">
        <v>677</v>
      </c>
    </row>
    <row r="379" spans="1:9" x14ac:dyDescent="0.3">
      <c r="A379" s="35">
        <v>1222001074</v>
      </c>
      <c r="B379" s="36">
        <v>51581433</v>
      </c>
      <c r="C379" s="37">
        <v>44574</v>
      </c>
      <c r="D379" s="137">
        <v>110.002</v>
      </c>
      <c r="E379" s="36" t="s">
        <v>638</v>
      </c>
      <c r="F379" s="36">
        <v>1</v>
      </c>
      <c r="G379" s="36" t="s">
        <v>110</v>
      </c>
      <c r="H379" s="37">
        <v>44578</v>
      </c>
      <c r="I379" s="22" t="s">
        <v>677</v>
      </c>
    </row>
    <row r="380" spans="1:9" x14ac:dyDescent="0.3">
      <c r="A380" s="35">
        <v>1222001076</v>
      </c>
      <c r="B380" s="36">
        <v>52869504</v>
      </c>
      <c r="C380" s="37">
        <v>44574</v>
      </c>
      <c r="D380" s="137">
        <v>385.00700000000001</v>
      </c>
      <c r="E380" s="36" t="s">
        <v>638</v>
      </c>
      <c r="F380" s="36">
        <v>1</v>
      </c>
      <c r="G380" s="36" t="s">
        <v>110</v>
      </c>
      <c r="H380" s="37">
        <v>44578</v>
      </c>
      <c r="I380" s="22" t="s">
        <v>677</v>
      </c>
    </row>
    <row r="381" spans="1:9" x14ac:dyDescent="0.3">
      <c r="A381" s="35">
        <v>1222001099</v>
      </c>
      <c r="B381" s="36">
        <v>67576133</v>
      </c>
      <c r="C381" s="37">
        <v>44574</v>
      </c>
      <c r="D381" s="137">
        <v>528.58299999999997</v>
      </c>
      <c r="E381" s="36" t="s">
        <v>638</v>
      </c>
      <c r="F381" s="36">
        <v>1</v>
      </c>
      <c r="G381" s="36" t="s">
        <v>110</v>
      </c>
      <c r="H381" s="37">
        <v>44578</v>
      </c>
      <c r="I381" s="22" t="s">
        <v>677</v>
      </c>
    </row>
    <row r="382" spans="1:9" x14ac:dyDescent="0.3">
      <c r="A382" s="35">
        <v>1222001108</v>
      </c>
      <c r="B382" s="36">
        <v>86566906</v>
      </c>
      <c r="C382" s="37">
        <v>44574</v>
      </c>
      <c r="D382" s="137">
        <v>605.01099999999997</v>
      </c>
      <c r="E382" s="36" t="s">
        <v>638</v>
      </c>
      <c r="F382" s="36">
        <v>1</v>
      </c>
      <c r="G382" s="36" t="s">
        <v>110</v>
      </c>
      <c r="H382" s="37">
        <v>44578</v>
      </c>
      <c r="I382" s="22" t="s">
        <v>677</v>
      </c>
    </row>
    <row r="383" spans="1:9" x14ac:dyDescent="0.3">
      <c r="A383" s="35">
        <v>1222001060</v>
      </c>
      <c r="B383" s="36">
        <v>80581166</v>
      </c>
      <c r="C383" s="37">
        <v>44574</v>
      </c>
      <c r="D383" s="137">
        <v>1759.29</v>
      </c>
      <c r="E383" s="36" t="s">
        <v>638</v>
      </c>
      <c r="F383" s="36">
        <v>1</v>
      </c>
      <c r="G383" s="36" t="s">
        <v>110</v>
      </c>
      <c r="H383" s="37">
        <v>44578</v>
      </c>
      <c r="I383" s="22" t="s">
        <v>677</v>
      </c>
    </row>
    <row r="384" spans="1:9" x14ac:dyDescent="0.3">
      <c r="A384" s="35">
        <v>1222001914</v>
      </c>
      <c r="B384" s="36">
        <v>14931664</v>
      </c>
      <c r="C384" s="37">
        <v>44578</v>
      </c>
      <c r="D384" s="137">
        <v>12320.217000000001</v>
      </c>
      <c r="E384" s="36" t="s">
        <v>638</v>
      </c>
      <c r="F384" s="36">
        <v>7</v>
      </c>
      <c r="G384" s="36" t="s">
        <v>110</v>
      </c>
      <c r="H384" s="37">
        <v>44578</v>
      </c>
      <c r="I384" s="22" t="s">
        <v>678</v>
      </c>
    </row>
    <row r="385" spans="1:10" x14ac:dyDescent="0.3">
      <c r="A385" s="35">
        <v>1222002582</v>
      </c>
      <c r="B385" s="36">
        <v>53882645</v>
      </c>
      <c r="C385" s="37">
        <v>44580</v>
      </c>
      <c r="D385" s="137">
        <v>110.002</v>
      </c>
      <c r="E385" s="36" t="s">
        <v>638</v>
      </c>
      <c r="F385" s="36">
        <v>1</v>
      </c>
      <c r="G385" s="36" t="s">
        <v>110</v>
      </c>
      <c r="H385" s="37">
        <v>44579</v>
      </c>
      <c r="I385" s="22" t="s">
        <v>679</v>
      </c>
    </row>
    <row r="386" spans="1:10" x14ac:dyDescent="0.3">
      <c r="A386" s="50">
        <v>1222002525</v>
      </c>
      <c r="B386" s="51">
        <v>53699866</v>
      </c>
      <c r="C386" s="52">
        <v>44579</v>
      </c>
      <c r="D386" s="140">
        <v>605.01099999999997</v>
      </c>
      <c r="E386" s="51" t="s">
        <v>638</v>
      </c>
      <c r="F386" s="51">
        <v>1</v>
      </c>
      <c r="G386" s="51" t="s">
        <v>110</v>
      </c>
      <c r="H386" s="52">
        <v>44578</v>
      </c>
      <c r="I386" s="51" t="s">
        <v>680</v>
      </c>
    </row>
    <row r="387" spans="1:10" x14ac:dyDescent="0.3">
      <c r="A387" s="35">
        <v>1222002528</v>
      </c>
      <c r="B387" s="36">
        <v>63570429</v>
      </c>
      <c r="C387" s="37">
        <v>44579</v>
      </c>
      <c r="D387" s="137">
        <v>1156.105</v>
      </c>
      <c r="E387" s="36" t="s">
        <v>638</v>
      </c>
      <c r="F387" s="36">
        <v>1</v>
      </c>
      <c r="G387" s="36" t="s">
        <v>110</v>
      </c>
      <c r="H387" s="37">
        <v>44578</v>
      </c>
      <c r="I387" s="22" t="s">
        <v>680</v>
      </c>
    </row>
    <row r="388" spans="1:10" x14ac:dyDescent="0.3">
      <c r="A388" s="35">
        <v>1222002534</v>
      </c>
      <c r="B388" s="36">
        <v>83571141</v>
      </c>
      <c r="C388" s="37">
        <v>44579</v>
      </c>
      <c r="D388" s="137">
        <v>165.00299999999999</v>
      </c>
      <c r="E388" s="36" t="s">
        <v>638</v>
      </c>
      <c r="F388" s="36">
        <v>1</v>
      </c>
      <c r="G388" s="36" t="s">
        <v>110</v>
      </c>
      <c r="H388" s="37">
        <v>44578</v>
      </c>
      <c r="I388" s="22" t="s">
        <v>680</v>
      </c>
    </row>
    <row r="389" spans="1:10" x14ac:dyDescent="0.3">
      <c r="A389" s="35">
        <v>1222002542</v>
      </c>
      <c r="B389" s="36">
        <v>5553038</v>
      </c>
      <c r="C389" s="37">
        <v>44579</v>
      </c>
      <c r="D389" s="137">
        <v>55.000999999999998</v>
      </c>
      <c r="E389" s="36" t="s">
        <v>638</v>
      </c>
      <c r="F389" s="36">
        <v>1</v>
      </c>
      <c r="G389" s="36" t="s">
        <v>110</v>
      </c>
      <c r="H389" s="37">
        <v>44578</v>
      </c>
      <c r="I389" s="22" t="s">
        <v>680</v>
      </c>
    </row>
    <row r="390" spans="1:10" x14ac:dyDescent="0.3">
      <c r="A390" s="35">
        <v>1222002554</v>
      </c>
      <c r="B390" s="36">
        <v>53757030</v>
      </c>
      <c r="C390" s="37">
        <v>44579</v>
      </c>
      <c r="D390" s="137">
        <v>110.002</v>
      </c>
      <c r="E390" s="36" t="s">
        <v>638</v>
      </c>
      <c r="F390" s="36">
        <v>1</v>
      </c>
      <c r="G390" s="36" t="s">
        <v>110</v>
      </c>
      <c r="H390" s="37">
        <v>44578</v>
      </c>
      <c r="I390" s="22" t="s">
        <v>680</v>
      </c>
    </row>
    <row r="391" spans="1:10" x14ac:dyDescent="0.3">
      <c r="A391" s="35">
        <v>1222002556</v>
      </c>
      <c r="B391" s="36">
        <v>53821934</v>
      </c>
      <c r="C391" s="37">
        <v>44579</v>
      </c>
      <c r="D391" s="137">
        <v>330.00599999999997</v>
      </c>
      <c r="E391" s="36" t="s">
        <v>638</v>
      </c>
      <c r="F391" s="36">
        <v>1</v>
      </c>
      <c r="G391" s="36" t="s">
        <v>110</v>
      </c>
      <c r="H391" s="37">
        <v>44578</v>
      </c>
      <c r="I391" s="22" t="s">
        <v>680</v>
      </c>
    </row>
    <row r="392" spans="1:10" x14ac:dyDescent="0.3">
      <c r="A392" s="35">
        <v>1222002571</v>
      </c>
      <c r="B392" s="36" t="s">
        <v>681</v>
      </c>
      <c r="C392" s="37">
        <v>44579</v>
      </c>
      <c r="D392" s="137">
        <v>1042.6110000000001</v>
      </c>
      <c r="E392" s="36" t="s">
        <v>638</v>
      </c>
      <c r="F392" s="36">
        <v>1</v>
      </c>
      <c r="G392" s="36" t="s">
        <v>110</v>
      </c>
      <c r="H392" s="37">
        <v>44578</v>
      </c>
      <c r="I392" s="22" t="s">
        <v>680</v>
      </c>
    </row>
    <row r="393" spans="1:10" x14ac:dyDescent="0.3">
      <c r="A393" s="35">
        <v>1222002572</v>
      </c>
      <c r="B393" s="36" t="s">
        <v>682</v>
      </c>
      <c r="C393" s="37">
        <v>44579</v>
      </c>
      <c r="D393" s="137">
        <v>18095.557000000001</v>
      </c>
      <c r="E393" s="36" t="s">
        <v>638</v>
      </c>
      <c r="F393" s="36">
        <v>10</v>
      </c>
      <c r="G393" s="36" t="s">
        <v>110</v>
      </c>
      <c r="H393" s="37">
        <v>44578</v>
      </c>
      <c r="I393" s="22" t="s">
        <v>680</v>
      </c>
    </row>
    <row r="394" spans="1:10" x14ac:dyDescent="0.3">
      <c r="A394" s="35">
        <v>1222002524</v>
      </c>
      <c r="B394" s="36">
        <v>49580198</v>
      </c>
      <c r="C394" s="37">
        <v>44579</v>
      </c>
      <c r="D394" s="137">
        <v>3935.0030000000002</v>
      </c>
      <c r="E394" s="36" t="s">
        <v>638</v>
      </c>
      <c r="F394" s="36">
        <v>2</v>
      </c>
      <c r="G394" s="36" t="s">
        <v>110</v>
      </c>
      <c r="H394" s="37">
        <v>44578</v>
      </c>
      <c r="I394" s="22" t="s">
        <v>680</v>
      </c>
      <c r="J394" s="23" t="s">
        <v>683</v>
      </c>
    </row>
    <row r="395" spans="1:10" x14ac:dyDescent="0.3">
      <c r="A395" s="35">
        <v>1222003645</v>
      </c>
      <c r="B395" s="36">
        <v>15588545</v>
      </c>
      <c r="C395" s="37">
        <v>44585</v>
      </c>
      <c r="D395" s="137">
        <v>50.265000000000001</v>
      </c>
      <c r="E395" s="36" t="s">
        <v>638</v>
      </c>
      <c r="F395" s="36">
        <v>1</v>
      </c>
      <c r="G395" s="36" t="s">
        <v>110</v>
      </c>
      <c r="H395" s="37">
        <v>44580</v>
      </c>
      <c r="I395" s="22" t="s">
        <v>684</v>
      </c>
      <c r="J395" s="23" t="s">
        <v>683</v>
      </c>
    </row>
    <row r="396" spans="1:10" x14ac:dyDescent="0.3">
      <c r="A396" s="35">
        <v>1222003677</v>
      </c>
      <c r="B396" s="36">
        <v>3577068</v>
      </c>
      <c r="C396" s="37">
        <v>44584</v>
      </c>
      <c r="D396" s="137">
        <v>330.00599999999997</v>
      </c>
      <c r="E396" s="36" t="s">
        <v>638</v>
      </c>
      <c r="F396" s="36">
        <v>1</v>
      </c>
      <c r="G396" s="36" t="s">
        <v>110</v>
      </c>
      <c r="H396" s="37">
        <v>44580</v>
      </c>
      <c r="I396" s="22" t="s">
        <v>684</v>
      </c>
      <c r="J396" s="23" t="s">
        <v>683</v>
      </c>
    </row>
    <row r="397" spans="1:10" x14ac:dyDescent="0.3">
      <c r="A397" s="35">
        <v>1222003679</v>
      </c>
      <c r="B397" s="36">
        <v>20557246</v>
      </c>
      <c r="C397" s="37">
        <v>44581</v>
      </c>
      <c r="D397" s="137">
        <v>411.12099999999998</v>
      </c>
      <c r="E397" s="36" t="s">
        <v>638</v>
      </c>
      <c r="F397" s="36">
        <v>1</v>
      </c>
      <c r="G397" s="36" t="s">
        <v>110</v>
      </c>
      <c r="H397" s="37">
        <v>44580</v>
      </c>
      <c r="I397" s="22" t="s">
        <v>684</v>
      </c>
      <c r="J397" s="23" t="s">
        <v>683</v>
      </c>
    </row>
    <row r="398" spans="1:10" x14ac:dyDescent="0.3">
      <c r="A398" s="35">
        <v>1222003681</v>
      </c>
      <c r="B398" s="36">
        <v>23580465</v>
      </c>
      <c r="C398" s="37">
        <v>44582</v>
      </c>
      <c r="D398" s="137">
        <v>100.53100000000001</v>
      </c>
      <c r="E398" s="36" t="s">
        <v>638</v>
      </c>
      <c r="F398" s="36">
        <v>1</v>
      </c>
      <c r="G398" s="36" t="s">
        <v>110</v>
      </c>
      <c r="H398" s="37">
        <v>44580</v>
      </c>
      <c r="I398" s="22" t="s">
        <v>684</v>
      </c>
      <c r="J398" s="23" t="s">
        <v>683</v>
      </c>
    </row>
    <row r="399" spans="1:10" x14ac:dyDescent="0.3">
      <c r="A399" s="35">
        <v>1222003685</v>
      </c>
      <c r="B399" s="36">
        <v>54750204</v>
      </c>
      <c r="C399" s="37">
        <v>44583</v>
      </c>
      <c r="D399" s="137">
        <v>9286.9650000000001</v>
      </c>
      <c r="E399" s="36" t="s">
        <v>638</v>
      </c>
      <c r="F399" s="36">
        <v>4</v>
      </c>
      <c r="G399" s="36" t="s">
        <v>110</v>
      </c>
      <c r="H399" s="37">
        <v>44580</v>
      </c>
      <c r="I399" s="22" t="s">
        <v>684</v>
      </c>
      <c r="J399" s="23" t="s">
        <v>683</v>
      </c>
    </row>
    <row r="400" spans="1:10" x14ac:dyDescent="0.3">
      <c r="A400" s="35">
        <v>1222002588</v>
      </c>
      <c r="B400" s="36">
        <v>53991134</v>
      </c>
      <c r="C400" s="37">
        <v>44580</v>
      </c>
      <c r="D400" s="137">
        <v>111.001</v>
      </c>
      <c r="E400" s="36" t="s">
        <v>638</v>
      </c>
      <c r="F400" s="36">
        <v>1</v>
      </c>
      <c r="G400" s="36" t="s">
        <v>110</v>
      </c>
      <c r="H400" s="37">
        <v>44579</v>
      </c>
      <c r="I400" s="22" t="s">
        <v>679</v>
      </c>
      <c r="J400" s="23" t="s">
        <v>683</v>
      </c>
    </row>
    <row r="401" spans="1:10" x14ac:dyDescent="0.3">
      <c r="A401" s="40">
        <v>1222005451</v>
      </c>
      <c r="B401" s="36">
        <v>26910374</v>
      </c>
      <c r="C401" s="37">
        <v>44586</v>
      </c>
      <c r="D401" s="137">
        <v>14080.248</v>
      </c>
      <c r="E401" s="36" t="s">
        <v>638</v>
      </c>
      <c r="F401" s="36">
        <v>8</v>
      </c>
      <c r="G401" s="36" t="s">
        <v>110</v>
      </c>
      <c r="H401" s="37">
        <v>44585</v>
      </c>
      <c r="I401" s="22" t="s">
        <v>685</v>
      </c>
      <c r="J401" s="23" t="s">
        <v>683</v>
      </c>
    </row>
    <row r="402" spans="1:10" x14ac:dyDescent="0.3">
      <c r="A402" s="35">
        <v>1222005027</v>
      </c>
      <c r="B402" s="36">
        <v>56663949</v>
      </c>
      <c r="C402" s="37">
        <v>44586</v>
      </c>
      <c r="D402" s="137">
        <v>351.858</v>
      </c>
      <c r="E402" s="36" t="s">
        <v>638</v>
      </c>
      <c r="F402" s="36">
        <v>1</v>
      </c>
      <c r="G402" s="36" t="s">
        <v>110</v>
      </c>
      <c r="H402" s="37">
        <v>44585</v>
      </c>
      <c r="I402" s="22" t="s">
        <v>685</v>
      </c>
      <c r="J402" s="23" t="s">
        <v>686</v>
      </c>
    </row>
    <row r="403" spans="1:10" x14ac:dyDescent="0.3">
      <c r="A403" s="35">
        <v>1222004993</v>
      </c>
      <c r="B403" s="36" t="s">
        <v>687</v>
      </c>
      <c r="C403" s="37">
        <v>44586</v>
      </c>
      <c r="D403" s="137">
        <v>385.00700000000001</v>
      </c>
      <c r="E403" s="36" t="s">
        <v>638</v>
      </c>
      <c r="F403" s="36">
        <v>1</v>
      </c>
      <c r="G403" s="36" t="s">
        <v>110</v>
      </c>
      <c r="H403" s="37">
        <v>44585</v>
      </c>
      <c r="I403" s="22" t="s">
        <v>685</v>
      </c>
      <c r="J403" s="23" t="s">
        <v>688</v>
      </c>
    </row>
    <row r="404" spans="1:10" x14ac:dyDescent="0.3">
      <c r="A404" s="35">
        <v>1222004994</v>
      </c>
      <c r="B404" s="36" t="s">
        <v>689</v>
      </c>
      <c r="C404" s="37">
        <v>44586</v>
      </c>
      <c r="D404" s="137">
        <v>935.01599999999996</v>
      </c>
      <c r="E404" s="36" t="s">
        <v>638</v>
      </c>
      <c r="F404" s="36">
        <v>1</v>
      </c>
      <c r="G404" s="36" t="s">
        <v>110</v>
      </c>
      <c r="H404" s="37">
        <v>44585</v>
      </c>
      <c r="I404" s="22" t="s">
        <v>685</v>
      </c>
      <c r="J404" s="23" t="s">
        <v>690</v>
      </c>
    </row>
    <row r="405" spans="1:10" x14ac:dyDescent="0.3">
      <c r="A405" s="35">
        <v>1222004996</v>
      </c>
      <c r="B405" s="36">
        <v>1583149</v>
      </c>
      <c r="C405" s="37">
        <v>44586</v>
      </c>
      <c r="D405" s="137">
        <v>715.01300000000003</v>
      </c>
      <c r="E405" s="36" t="s">
        <v>638</v>
      </c>
      <c r="F405" s="36">
        <v>1</v>
      </c>
      <c r="G405" s="36" t="s">
        <v>110</v>
      </c>
      <c r="H405" s="37">
        <v>44585</v>
      </c>
      <c r="I405" s="22" t="s">
        <v>685</v>
      </c>
      <c r="J405" s="23" t="s">
        <v>691</v>
      </c>
    </row>
    <row r="406" spans="1:10" x14ac:dyDescent="0.3">
      <c r="A406" s="35">
        <v>1222005030</v>
      </c>
      <c r="B406" s="36">
        <v>63572332</v>
      </c>
      <c r="C406" s="37">
        <v>44586</v>
      </c>
      <c r="D406" s="137">
        <v>550.01</v>
      </c>
      <c r="E406" s="36" t="s">
        <v>638</v>
      </c>
      <c r="F406" s="36">
        <v>1</v>
      </c>
      <c r="G406" s="36" t="s">
        <v>110</v>
      </c>
      <c r="H406" s="37">
        <v>44585</v>
      </c>
      <c r="I406" s="22" t="s">
        <v>685</v>
      </c>
      <c r="J406" s="23" t="s">
        <v>692</v>
      </c>
    </row>
    <row r="407" spans="1:10" x14ac:dyDescent="0.3">
      <c r="A407" s="35">
        <v>1222003995</v>
      </c>
      <c r="B407" s="36">
        <v>63579952</v>
      </c>
      <c r="C407" s="37">
        <v>44587</v>
      </c>
      <c r="D407" s="137">
        <v>605.01099999999997</v>
      </c>
      <c r="E407" s="36" t="s">
        <v>638</v>
      </c>
      <c r="F407" s="36">
        <v>1</v>
      </c>
      <c r="G407" s="36" t="s">
        <v>110</v>
      </c>
      <c r="H407" s="37">
        <v>44588</v>
      </c>
      <c r="I407" s="22" t="s">
        <v>693</v>
      </c>
    </row>
    <row r="408" spans="1:10" x14ac:dyDescent="0.3">
      <c r="A408" s="35">
        <v>1222004003</v>
      </c>
      <c r="B408" s="36">
        <v>8554255</v>
      </c>
      <c r="C408" s="37">
        <v>44587</v>
      </c>
      <c r="D408" s="137">
        <v>110.002</v>
      </c>
      <c r="E408" s="36" t="s">
        <v>638</v>
      </c>
      <c r="F408" s="36">
        <v>1</v>
      </c>
      <c r="G408" s="36" t="s">
        <v>110</v>
      </c>
      <c r="H408" s="37">
        <v>44591</v>
      </c>
      <c r="I408" s="22" t="s">
        <v>693</v>
      </c>
    </row>
    <row r="409" spans="1:10" x14ac:dyDescent="0.3">
      <c r="A409" s="35">
        <v>1222004020</v>
      </c>
      <c r="B409" s="36">
        <v>55682888</v>
      </c>
      <c r="C409" s="37">
        <v>44587</v>
      </c>
      <c r="D409" s="137">
        <v>440.00799999999998</v>
      </c>
      <c r="E409" s="36" t="s">
        <v>638</v>
      </c>
      <c r="F409" s="36">
        <v>1</v>
      </c>
      <c r="G409" s="36" t="s">
        <v>110</v>
      </c>
      <c r="H409" s="37">
        <v>44586</v>
      </c>
      <c r="I409" s="22" t="s">
        <v>693</v>
      </c>
    </row>
    <row r="410" spans="1:10" x14ac:dyDescent="0.3">
      <c r="A410" s="35">
        <v>1222004024</v>
      </c>
      <c r="B410" s="36">
        <v>55712286</v>
      </c>
      <c r="C410" s="37">
        <v>44587</v>
      </c>
      <c r="D410" s="137">
        <v>55.000999999999998</v>
      </c>
      <c r="E410" s="36" t="s">
        <v>638</v>
      </c>
      <c r="F410" s="36">
        <v>1</v>
      </c>
      <c r="G410" s="36" t="s">
        <v>110</v>
      </c>
      <c r="H410" s="37">
        <v>44587</v>
      </c>
      <c r="I410" s="22" t="s">
        <v>693</v>
      </c>
    </row>
    <row r="411" spans="1:10" x14ac:dyDescent="0.3">
      <c r="A411" s="35">
        <v>1222004333</v>
      </c>
      <c r="B411" s="36">
        <v>21565034</v>
      </c>
      <c r="C411" s="37">
        <v>44587</v>
      </c>
      <c r="D411" s="137">
        <v>52.131</v>
      </c>
      <c r="E411" s="36" t="s">
        <v>638</v>
      </c>
      <c r="F411" s="36">
        <v>1</v>
      </c>
      <c r="G411" s="36" t="s">
        <v>110</v>
      </c>
      <c r="H411" s="37">
        <v>44590</v>
      </c>
      <c r="I411" s="22" t="s">
        <v>693</v>
      </c>
    </row>
    <row r="412" spans="1:10" x14ac:dyDescent="0.3">
      <c r="A412" s="35">
        <v>1222004013</v>
      </c>
      <c r="B412" s="36">
        <v>55582685</v>
      </c>
      <c r="C412" s="37">
        <v>44587</v>
      </c>
      <c r="D412" s="137">
        <v>55.000999999999998</v>
      </c>
      <c r="E412" s="36" t="s">
        <v>638</v>
      </c>
      <c r="F412" s="36">
        <v>1</v>
      </c>
      <c r="G412" s="36" t="s">
        <v>110</v>
      </c>
      <c r="H412" s="37">
        <v>44589</v>
      </c>
      <c r="I412" s="22" t="s">
        <v>693</v>
      </c>
      <c r="J412" s="63"/>
    </row>
    <row r="413" spans="1:10" x14ac:dyDescent="0.3">
      <c r="A413" s="35">
        <v>1222006623</v>
      </c>
      <c r="B413" s="36">
        <v>51581934</v>
      </c>
      <c r="C413" s="37">
        <v>44588</v>
      </c>
      <c r="D413" s="137">
        <v>55.000999999999998</v>
      </c>
      <c r="E413" s="36" t="s">
        <v>638</v>
      </c>
      <c r="F413" s="36">
        <v>1</v>
      </c>
      <c r="G413" s="36" t="s">
        <v>110</v>
      </c>
      <c r="H413" s="37">
        <v>44587</v>
      </c>
      <c r="I413" s="22" t="s">
        <v>694</v>
      </c>
    </row>
    <row r="414" spans="1:10" x14ac:dyDescent="0.3">
      <c r="A414" s="35">
        <v>1222006617</v>
      </c>
      <c r="B414" s="36">
        <v>5553317</v>
      </c>
      <c r="C414" s="37">
        <v>44588</v>
      </c>
      <c r="D414" s="137">
        <v>165.00299999999999</v>
      </c>
      <c r="E414" s="36" t="s">
        <v>638</v>
      </c>
      <c r="F414" s="36">
        <v>1</v>
      </c>
      <c r="G414" s="36" t="s">
        <v>110</v>
      </c>
      <c r="H414" s="37">
        <v>44589</v>
      </c>
      <c r="I414" s="22" t="s">
        <v>694</v>
      </c>
    </row>
    <row r="415" spans="1:10" x14ac:dyDescent="0.3">
      <c r="A415" s="35">
        <v>1222006644</v>
      </c>
      <c r="B415" s="36">
        <v>56812726</v>
      </c>
      <c r="C415" s="37">
        <v>44588</v>
      </c>
      <c r="D415" s="137">
        <v>50.265000000000001</v>
      </c>
      <c r="E415" s="36" t="s">
        <v>638</v>
      </c>
      <c r="F415" s="36">
        <v>1</v>
      </c>
      <c r="G415" s="36" t="s">
        <v>110</v>
      </c>
      <c r="H415" s="37">
        <v>44590</v>
      </c>
      <c r="I415" s="22" t="s">
        <v>694</v>
      </c>
    </row>
    <row r="416" spans="1:10" x14ac:dyDescent="0.3">
      <c r="A416" s="35">
        <v>1222006633</v>
      </c>
      <c r="B416" s="36">
        <v>56757139</v>
      </c>
      <c r="C416" s="37">
        <v>44588</v>
      </c>
      <c r="D416" s="137">
        <v>110.002</v>
      </c>
      <c r="E416" s="36" t="s">
        <v>638</v>
      </c>
      <c r="F416" s="36">
        <v>1</v>
      </c>
      <c r="G416" s="36" t="s">
        <v>110</v>
      </c>
      <c r="H416" s="37">
        <v>44591</v>
      </c>
      <c r="I416" s="22" t="s">
        <v>694</v>
      </c>
    </row>
    <row r="417" spans="1:11" x14ac:dyDescent="0.3">
      <c r="A417" s="35">
        <v>1222006614</v>
      </c>
      <c r="B417" s="36">
        <v>2570087</v>
      </c>
      <c r="C417" s="37">
        <v>44588</v>
      </c>
      <c r="D417" s="137">
        <v>110.002</v>
      </c>
      <c r="E417" s="36" t="s">
        <v>638</v>
      </c>
      <c r="F417" s="36">
        <v>1</v>
      </c>
      <c r="G417" s="36" t="s">
        <v>110</v>
      </c>
      <c r="H417" s="37">
        <v>44592</v>
      </c>
      <c r="I417" s="22" t="s">
        <v>694</v>
      </c>
    </row>
    <row r="418" spans="1:11" x14ac:dyDescent="0.3">
      <c r="A418" s="35">
        <v>1222006652</v>
      </c>
      <c r="B418" s="36">
        <v>26588274</v>
      </c>
      <c r="C418" s="37">
        <v>44588</v>
      </c>
      <c r="D418" s="137">
        <v>50.265000000000001</v>
      </c>
      <c r="E418" s="36" t="s">
        <v>638</v>
      </c>
      <c r="F418" s="36">
        <v>1</v>
      </c>
      <c r="G418" s="36" t="s">
        <v>110</v>
      </c>
      <c r="H418" s="37">
        <v>44588</v>
      </c>
      <c r="I418" s="22" t="s">
        <v>694</v>
      </c>
    </row>
    <row r="419" spans="1:11" x14ac:dyDescent="0.3">
      <c r="A419" s="35">
        <v>1222007360</v>
      </c>
      <c r="B419" s="36">
        <v>76552350</v>
      </c>
      <c r="C419" s="37">
        <v>44589</v>
      </c>
      <c r="D419" s="137">
        <v>55.000999999999998</v>
      </c>
      <c r="E419" s="36" t="s">
        <v>638</v>
      </c>
      <c r="F419" s="36">
        <v>1</v>
      </c>
      <c r="G419" s="36" t="s">
        <v>110</v>
      </c>
      <c r="H419" s="37">
        <v>44588</v>
      </c>
      <c r="I419" s="22" t="s">
        <v>695</v>
      </c>
      <c r="J419" s="64"/>
    </row>
    <row r="420" spans="1:11" x14ac:dyDescent="0.3">
      <c r="A420" s="35">
        <v>1222007396</v>
      </c>
      <c r="B420" s="36">
        <v>23587447</v>
      </c>
      <c r="C420" s="37">
        <v>44589</v>
      </c>
      <c r="D420" s="137">
        <v>385.00700000000001</v>
      </c>
      <c r="E420" s="36" t="s">
        <v>638</v>
      </c>
      <c r="F420" s="36">
        <v>1</v>
      </c>
      <c r="G420" s="36" t="s">
        <v>110</v>
      </c>
      <c r="H420" s="37">
        <v>44588</v>
      </c>
      <c r="I420" s="22" t="s">
        <v>695</v>
      </c>
      <c r="J420" s="64"/>
    </row>
    <row r="421" spans="1:11" x14ac:dyDescent="0.3">
      <c r="A421" s="35">
        <v>1222007415</v>
      </c>
      <c r="B421" s="36">
        <v>79558260</v>
      </c>
      <c r="C421" s="37">
        <v>44589</v>
      </c>
      <c r="D421" s="137">
        <v>825.01499999999999</v>
      </c>
      <c r="E421" s="36" t="s">
        <v>638</v>
      </c>
      <c r="F421" s="36">
        <v>1</v>
      </c>
      <c r="G421" s="36" t="s">
        <v>110</v>
      </c>
      <c r="H421" s="37">
        <v>44588</v>
      </c>
      <c r="I421" s="22" t="s">
        <v>695</v>
      </c>
      <c r="J421" s="64"/>
    </row>
    <row r="422" spans="1:11" x14ac:dyDescent="0.3">
      <c r="A422" s="35">
        <v>1222007342</v>
      </c>
      <c r="B422" s="36">
        <v>5553348</v>
      </c>
      <c r="C422" s="37">
        <v>44589</v>
      </c>
      <c r="D422" s="137">
        <v>110.002</v>
      </c>
      <c r="E422" s="36" t="s">
        <v>638</v>
      </c>
      <c r="F422" s="36">
        <v>1</v>
      </c>
      <c r="G422" s="36" t="s">
        <v>110</v>
      </c>
      <c r="H422" s="37">
        <v>44588</v>
      </c>
      <c r="I422" s="22" t="s">
        <v>695</v>
      </c>
      <c r="J422" s="64"/>
    </row>
    <row r="423" spans="1:11" x14ac:dyDescent="0.3">
      <c r="A423" s="35">
        <v>1222007412</v>
      </c>
      <c r="B423" s="36">
        <v>57959504</v>
      </c>
      <c r="C423" s="37">
        <v>44589</v>
      </c>
      <c r="D423" s="137">
        <v>55.000999999999998</v>
      </c>
      <c r="E423" s="36" t="s">
        <v>638</v>
      </c>
      <c r="F423" s="36">
        <v>1</v>
      </c>
      <c r="G423" s="36" t="s">
        <v>110</v>
      </c>
      <c r="H423" s="37">
        <v>44588</v>
      </c>
      <c r="I423" s="22" t="s">
        <v>695</v>
      </c>
      <c r="J423" s="64"/>
    </row>
    <row r="424" spans="1:11" x14ac:dyDescent="0.3">
      <c r="A424" s="35">
        <v>1222007362</v>
      </c>
      <c r="B424" s="36">
        <v>85578594</v>
      </c>
      <c r="C424" s="37">
        <v>44589</v>
      </c>
      <c r="D424" s="137">
        <v>50.265000000000001</v>
      </c>
      <c r="E424" s="36" t="s">
        <v>638</v>
      </c>
      <c r="F424" s="36">
        <v>1</v>
      </c>
      <c r="G424" s="36" t="s">
        <v>110</v>
      </c>
      <c r="H424" s="37">
        <v>44588</v>
      </c>
      <c r="I424" s="22" t="s">
        <v>695</v>
      </c>
      <c r="J424" s="64"/>
    </row>
    <row r="425" spans="1:11" x14ac:dyDescent="0.3">
      <c r="A425" s="35">
        <v>1222007359</v>
      </c>
      <c r="B425" s="36">
        <v>63580093</v>
      </c>
      <c r="C425" s="37">
        <v>44589</v>
      </c>
      <c r="D425" s="137">
        <v>110.002</v>
      </c>
      <c r="E425" s="36" t="s">
        <v>638</v>
      </c>
      <c r="F425" s="36">
        <v>1</v>
      </c>
      <c r="G425" s="36" t="s">
        <v>110</v>
      </c>
      <c r="H425" s="37">
        <v>44588</v>
      </c>
      <c r="I425" s="22" t="s">
        <v>695</v>
      </c>
      <c r="J425" s="64"/>
    </row>
    <row r="426" spans="1:11" x14ac:dyDescent="0.3">
      <c r="A426" s="35">
        <v>1222007410</v>
      </c>
      <c r="B426" s="36">
        <v>57934885</v>
      </c>
      <c r="C426" s="37">
        <v>44589</v>
      </c>
      <c r="D426" s="137">
        <v>37.000999999999998</v>
      </c>
      <c r="E426" s="36" t="s">
        <v>638</v>
      </c>
      <c r="F426" s="36">
        <v>1</v>
      </c>
      <c r="G426" s="36" t="s">
        <v>110</v>
      </c>
      <c r="H426" s="37">
        <v>44588</v>
      </c>
      <c r="I426" s="22" t="s">
        <v>695</v>
      </c>
      <c r="J426" s="64"/>
    </row>
    <row r="427" spans="1:11" x14ac:dyDescent="0.3">
      <c r="A427" s="35">
        <v>1222007369</v>
      </c>
      <c r="B427" s="36">
        <v>35585494</v>
      </c>
      <c r="C427" s="37">
        <v>44589</v>
      </c>
      <c r="D427" s="137">
        <v>50.265000000000001</v>
      </c>
      <c r="E427" s="36" t="s">
        <v>638</v>
      </c>
      <c r="F427" s="36">
        <v>1</v>
      </c>
      <c r="G427" s="36" t="s">
        <v>110</v>
      </c>
      <c r="H427" s="37">
        <v>44588</v>
      </c>
      <c r="I427" s="22" t="s">
        <v>695</v>
      </c>
      <c r="J427" s="64"/>
    </row>
    <row r="428" spans="1:11" x14ac:dyDescent="0.3">
      <c r="A428" s="35">
        <v>1222007388</v>
      </c>
      <c r="B428" s="36">
        <v>7576419</v>
      </c>
      <c r="C428" s="37">
        <v>44589</v>
      </c>
      <c r="D428" s="137">
        <v>495.00900000000001</v>
      </c>
      <c r="E428" s="36" t="s">
        <v>638</v>
      </c>
      <c r="F428" s="36">
        <v>1</v>
      </c>
      <c r="G428" s="36" t="s">
        <v>110</v>
      </c>
      <c r="H428" s="37">
        <v>44588</v>
      </c>
      <c r="I428" s="22" t="s">
        <v>695</v>
      </c>
      <c r="J428" s="64"/>
    </row>
    <row r="429" spans="1:11" x14ac:dyDescent="0.3">
      <c r="A429" s="35">
        <v>1222007358</v>
      </c>
      <c r="B429" s="36">
        <v>57654392</v>
      </c>
      <c r="C429" s="37">
        <v>44589</v>
      </c>
      <c r="D429" s="137">
        <v>100.53100000000001</v>
      </c>
      <c r="E429" s="36" t="s">
        <v>638</v>
      </c>
      <c r="F429" s="36">
        <v>1</v>
      </c>
      <c r="G429" s="36" t="s">
        <v>110</v>
      </c>
      <c r="H429" s="37">
        <v>44588</v>
      </c>
      <c r="I429" s="22" t="s">
        <v>695</v>
      </c>
      <c r="J429" s="64" t="s">
        <v>696</v>
      </c>
      <c r="K429" t="s">
        <v>697</v>
      </c>
    </row>
    <row r="430" spans="1:11" x14ac:dyDescent="0.3">
      <c r="A430" s="35">
        <v>1222008121</v>
      </c>
      <c r="B430" s="36">
        <v>1583350</v>
      </c>
      <c r="C430" s="37">
        <v>44592</v>
      </c>
      <c r="D430" s="137">
        <v>603.18499999999995</v>
      </c>
      <c r="E430" s="36" t="s">
        <v>638</v>
      </c>
      <c r="F430" s="36">
        <v>1</v>
      </c>
      <c r="G430" s="36" t="s">
        <v>110</v>
      </c>
      <c r="H430" s="37">
        <v>44593</v>
      </c>
      <c r="I430" s="22" t="s">
        <v>698</v>
      </c>
      <c r="J430" s="64" t="s">
        <v>699</v>
      </c>
    </row>
    <row r="431" spans="1:11" x14ac:dyDescent="0.3">
      <c r="A431" s="35">
        <v>1222008123</v>
      </c>
      <c r="B431" s="36">
        <v>10582055</v>
      </c>
      <c r="C431" s="37">
        <v>44592</v>
      </c>
      <c r="D431" s="137">
        <v>1705.03</v>
      </c>
      <c r="E431" s="36" t="s">
        <v>638</v>
      </c>
      <c r="F431" s="36">
        <v>1</v>
      </c>
      <c r="G431" s="36" t="s">
        <v>110</v>
      </c>
      <c r="H431" s="37">
        <v>44593</v>
      </c>
      <c r="I431" s="22" t="s">
        <v>698</v>
      </c>
      <c r="J431" s="64" t="s">
        <v>699</v>
      </c>
    </row>
    <row r="432" spans="1:11" x14ac:dyDescent="0.3">
      <c r="A432" s="35">
        <v>1222008135</v>
      </c>
      <c r="B432" s="36">
        <v>3577125</v>
      </c>
      <c r="C432" s="37">
        <v>44592</v>
      </c>
      <c r="D432" s="137">
        <v>52.131</v>
      </c>
      <c r="E432" s="36" t="s">
        <v>638</v>
      </c>
      <c r="F432" s="36">
        <v>1</v>
      </c>
      <c r="G432" s="36" t="s">
        <v>110</v>
      </c>
      <c r="H432" s="37">
        <v>44593</v>
      </c>
      <c r="I432" s="22" t="s">
        <v>698</v>
      </c>
      <c r="J432" s="64" t="s">
        <v>699</v>
      </c>
    </row>
    <row r="433" spans="1:10" x14ac:dyDescent="0.3">
      <c r="A433" s="35">
        <v>1222008111</v>
      </c>
      <c r="B433" s="36">
        <v>5553472</v>
      </c>
      <c r="C433" s="37">
        <v>44592</v>
      </c>
      <c r="D433" s="137">
        <v>385.00700000000001</v>
      </c>
      <c r="E433" s="36" t="s">
        <v>638</v>
      </c>
      <c r="F433" s="36">
        <v>1</v>
      </c>
      <c r="G433" s="36" t="s">
        <v>110</v>
      </c>
      <c r="H433" s="37">
        <v>44593</v>
      </c>
      <c r="I433" s="22" t="s">
        <v>698</v>
      </c>
      <c r="J433" s="64" t="s">
        <v>699</v>
      </c>
    </row>
    <row r="434" spans="1:10" x14ac:dyDescent="0.3">
      <c r="A434" s="35">
        <v>1222008130</v>
      </c>
      <c r="B434" s="36">
        <v>58697246</v>
      </c>
      <c r="C434" s="37">
        <v>44592</v>
      </c>
      <c r="D434" s="137">
        <v>440.00799999999998</v>
      </c>
      <c r="E434" s="36" t="s">
        <v>638</v>
      </c>
      <c r="F434" s="36">
        <v>1</v>
      </c>
      <c r="G434" s="36" t="s">
        <v>110</v>
      </c>
      <c r="H434" s="37">
        <v>44593</v>
      </c>
      <c r="I434" s="22" t="s">
        <v>698</v>
      </c>
      <c r="J434" s="64" t="s">
        <v>699</v>
      </c>
    </row>
    <row r="435" spans="1:10" x14ac:dyDescent="0.3">
      <c r="A435" s="50">
        <v>1222008136</v>
      </c>
      <c r="B435" s="51">
        <v>3577205</v>
      </c>
      <c r="C435" s="52">
        <v>44592</v>
      </c>
      <c r="D435" s="140">
        <v>165.00299999999999</v>
      </c>
      <c r="E435" s="51" t="s">
        <v>638</v>
      </c>
      <c r="F435" s="51">
        <v>1</v>
      </c>
      <c r="G435" s="51" t="s">
        <v>110</v>
      </c>
      <c r="H435" s="52">
        <v>44593</v>
      </c>
      <c r="I435" s="51" t="s">
        <v>698</v>
      </c>
      <c r="J435" s="65" t="s">
        <v>699</v>
      </c>
    </row>
    <row r="436" spans="1:10" x14ac:dyDescent="0.3">
      <c r="A436" s="35">
        <v>1222008624</v>
      </c>
      <c r="B436" s="36">
        <v>6574748</v>
      </c>
      <c r="C436" s="37">
        <v>44593</v>
      </c>
      <c r="D436" s="137">
        <v>402.12299999999999</v>
      </c>
      <c r="E436" s="36" t="s">
        <v>638</v>
      </c>
      <c r="F436" s="36">
        <v>1</v>
      </c>
      <c r="G436" s="36" t="s">
        <v>110</v>
      </c>
      <c r="H436" s="37">
        <v>44593</v>
      </c>
      <c r="I436" s="22" t="s">
        <v>698</v>
      </c>
      <c r="J436" s="64" t="s">
        <v>699</v>
      </c>
    </row>
    <row r="437" spans="1:10" x14ac:dyDescent="0.3">
      <c r="A437" s="35">
        <v>1222008642</v>
      </c>
      <c r="B437" s="36">
        <v>73567625</v>
      </c>
      <c r="C437" s="37">
        <v>44593</v>
      </c>
      <c r="D437" s="137">
        <v>715.01300000000003</v>
      </c>
      <c r="E437" s="36" t="s">
        <v>638</v>
      </c>
      <c r="F437" s="36">
        <v>1</v>
      </c>
      <c r="G437" s="36" t="s">
        <v>110</v>
      </c>
      <c r="H437" s="37">
        <v>44593</v>
      </c>
      <c r="I437" s="22" t="s">
        <v>698</v>
      </c>
      <c r="J437" s="64" t="s">
        <v>699</v>
      </c>
    </row>
    <row r="438" spans="1:10" x14ac:dyDescent="0.3">
      <c r="A438" s="35">
        <v>1222008628</v>
      </c>
      <c r="B438" s="36">
        <v>25584450</v>
      </c>
      <c r="C438" s="37">
        <v>44593</v>
      </c>
      <c r="D438" s="137">
        <v>150.79599999999999</v>
      </c>
      <c r="E438" s="36" t="s">
        <v>638</v>
      </c>
      <c r="F438" s="36">
        <v>1</v>
      </c>
      <c r="G438" s="36" t="s">
        <v>110</v>
      </c>
      <c r="H438" s="37">
        <v>44593</v>
      </c>
      <c r="I438" s="22" t="s">
        <v>698</v>
      </c>
      <c r="J438" s="64" t="s">
        <v>699</v>
      </c>
    </row>
    <row r="439" spans="1:10" x14ac:dyDescent="0.3">
      <c r="A439" s="35">
        <v>1222008627</v>
      </c>
      <c r="B439" s="36">
        <v>7588779</v>
      </c>
      <c r="C439" s="37">
        <v>44593</v>
      </c>
      <c r="D439" s="137">
        <v>165.00299999999999</v>
      </c>
      <c r="E439" s="36" t="s">
        <v>638</v>
      </c>
      <c r="F439" s="36">
        <v>1</v>
      </c>
      <c r="G439" s="36" t="s">
        <v>110</v>
      </c>
      <c r="H439" s="37">
        <v>44593</v>
      </c>
      <c r="I439" s="22" t="s">
        <v>698</v>
      </c>
      <c r="J439" s="64" t="s">
        <v>699</v>
      </c>
    </row>
    <row r="440" spans="1:10" x14ac:dyDescent="0.3">
      <c r="A440" s="35">
        <v>1222009649</v>
      </c>
      <c r="B440" s="36" t="s">
        <v>700</v>
      </c>
      <c r="C440" s="37">
        <v>44594</v>
      </c>
      <c r="D440" s="137">
        <v>1055.5740000000001</v>
      </c>
      <c r="E440" s="36" t="s">
        <v>638</v>
      </c>
      <c r="F440" s="36">
        <v>1</v>
      </c>
      <c r="G440" s="36" t="s">
        <v>110</v>
      </c>
      <c r="H440" s="37">
        <v>44594</v>
      </c>
      <c r="I440" s="22" t="s">
        <v>701</v>
      </c>
      <c r="J440" s="64" t="s">
        <v>699</v>
      </c>
    </row>
    <row r="441" spans="1:10" x14ac:dyDescent="0.3">
      <c r="A441" s="35">
        <v>1222009684</v>
      </c>
      <c r="B441" s="36">
        <v>44572735</v>
      </c>
      <c r="C441" s="37">
        <v>44594</v>
      </c>
      <c r="D441" s="137">
        <v>550.01</v>
      </c>
      <c r="E441" s="36" t="s">
        <v>638</v>
      </c>
      <c r="F441" s="36">
        <v>1</v>
      </c>
      <c r="G441" s="36" t="s">
        <v>110</v>
      </c>
      <c r="H441" s="37">
        <v>44594</v>
      </c>
      <c r="I441" s="22" t="s">
        <v>701</v>
      </c>
      <c r="J441" s="64" t="s">
        <v>699</v>
      </c>
    </row>
    <row r="442" spans="1:10" x14ac:dyDescent="0.3">
      <c r="A442" s="35">
        <v>1222009685</v>
      </c>
      <c r="B442" s="36">
        <v>46574769</v>
      </c>
      <c r="C442" s="37">
        <v>44594</v>
      </c>
      <c r="D442" s="137">
        <v>55.000999999999998</v>
      </c>
      <c r="E442" s="36" t="s">
        <v>638</v>
      </c>
      <c r="F442" s="36">
        <v>1</v>
      </c>
      <c r="G442" s="36" t="s">
        <v>110</v>
      </c>
      <c r="H442" s="37">
        <v>44594</v>
      </c>
      <c r="I442" s="22" t="s">
        <v>701</v>
      </c>
      <c r="J442" s="64" t="s">
        <v>699</v>
      </c>
    </row>
    <row r="443" spans="1:10" x14ac:dyDescent="0.3">
      <c r="A443" s="35">
        <v>1222009688</v>
      </c>
      <c r="B443" s="36">
        <v>59639900</v>
      </c>
      <c r="C443" s="37">
        <v>44594</v>
      </c>
      <c r="D443" s="137">
        <v>55.000999999999998</v>
      </c>
      <c r="E443" s="36" t="s">
        <v>638</v>
      </c>
      <c r="F443" s="36">
        <v>1</v>
      </c>
      <c r="G443" s="36" t="s">
        <v>110</v>
      </c>
      <c r="H443" s="37">
        <v>44594</v>
      </c>
      <c r="I443" s="22" t="s">
        <v>701</v>
      </c>
      <c r="J443" s="64" t="s">
        <v>699</v>
      </c>
    </row>
    <row r="444" spans="1:10" x14ac:dyDescent="0.3">
      <c r="A444" s="35">
        <v>1222009702</v>
      </c>
      <c r="B444" s="36">
        <v>77580849</v>
      </c>
      <c r="C444" s="37">
        <v>44594</v>
      </c>
      <c r="D444" s="137">
        <v>550.01</v>
      </c>
      <c r="E444" s="36" t="s">
        <v>638</v>
      </c>
      <c r="F444" s="36">
        <v>1</v>
      </c>
      <c r="G444" s="36" t="s">
        <v>110</v>
      </c>
      <c r="H444" s="37">
        <v>44594</v>
      </c>
      <c r="I444" s="22" t="s">
        <v>701</v>
      </c>
      <c r="J444" s="64" t="s">
        <v>699</v>
      </c>
    </row>
    <row r="445" spans="1:10" x14ac:dyDescent="0.3">
      <c r="A445" s="35">
        <v>1222009695</v>
      </c>
      <c r="B445" s="36">
        <v>59658232</v>
      </c>
      <c r="C445" s="37">
        <v>44594</v>
      </c>
      <c r="D445" s="137">
        <v>55.000999999999998</v>
      </c>
      <c r="E445" s="36" t="s">
        <v>638</v>
      </c>
      <c r="F445" s="36">
        <v>1</v>
      </c>
      <c r="G445" s="36" t="s">
        <v>110</v>
      </c>
      <c r="H445" s="37">
        <v>44594</v>
      </c>
      <c r="I445" s="22" t="s">
        <v>701</v>
      </c>
      <c r="J445" s="64" t="s">
        <v>699</v>
      </c>
    </row>
    <row r="446" spans="1:10" x14ac:dyDescent="0.3">
      <c r="A446" s="35">
        <v>1222009726</v>
      </c>
      <c r="B446" s="36">
        <v>76569488</v>
      </c>
      <c r="C446" s="37">
        <v>44594</v>
      </c>
      <c r="D446" s="137">
        <v>196.00399999999999</v>
      </c>
      <c r="E446" s="36" t="s">
        <v>638</v>
      </c>
      <c r="F446" s="36">
        <v>1</v>
      </c>
      <c r="G446" s="36" t="s">
        <v>110</v>
      </c>
      <c r="H446" s="37">
        <v>44594</v>
      </c>
      <c r="I446" s="22" t="s">
        <v>701</v>
      </c>
      <c r="J446" s="64" t="s">
        <v>699</v>
      </c>
    </row>
    <row r="447" spans="1:10" x14ac:dyDescent="0.3">
      <c r="A447" s="35">
        <v>1222009727</v>
      </c>
      <c r="B447" s="36">
        <v>76569489</v>
      </c>
      <c r="C447" s="37">
        <v>44594</v>
      </c>
      <c r="D447" s="137">
        <v>330.00599999999997</v>
      </c>
      <c r="E447" s="36" t="s">
        <v>638</v>
      </c>
      <c r="F447" s="36">
        <v>1</v>
      </c>
      <c r="G447" s="36" t="s">
        <v>110</v>
      </c>
      <c r="H447" s="37">
        <v>44594</v>
      </c>
      <c r="I447" s="22" t="s">
        <v>701</v>
      </c>
      <c r="J447" s="64" t="s">
        <v>699</v>
      </c>
    </row>
    <row r="448" spans="1:10" x14ac:dyDescent="0.3">
      <c r="A448" s="35">
        <v>1222011399</v>
      </c>
      <c r="B448" s="36">
        <v>26914760</v>
      </c>
      <c r="C448" s="37">
        <v>44599</v>
      </c>
      <c r="D448" s="137">
        <v>3520.0619999999999</v>
      </c>
      <c r="E448" s="36" t="s">
        <v>638</v>
      </c>
      <c r="F448" s="36">
        <v>2</v>
      </c>
      <c r="G448" s="36" t="s">
        <v>110</v>
      </c>
      <c r="H448" s="37">
        <v>44598</v>
      </c>
      <c r="I448" s="22" t="s">
        <v>702</v>
      </c>
    </row>
    <row r="449" spans="1:11" x14ac:dyDescent="0.3">
      <c r="A449" s="35">
        <v>1222009719</v>
      </c>
      <c r="B449" s="36">
        <v>60576474</v>
      </c>
      <c r="C449" s="37">
        <v>44594</v>
      </c>
      <c r="D449" s="137">
        <v>55.000999999999998</v>
      </c>
      <c r="E449" s="36" t="s">
        <v>638</v>
      </c>
      <c r="F449" s="36">
        <v>1</v>
      </c>
      <c r="G449" s="36" t="s">
        <v>110</v>
      </c>
      <c r="H449" s="37">
        <v>44594</v>
      </c>
      <c r="I449" s="22" t="s">
        <v>701</v>
      </c>
      <c r="J449" s="64" t="s">
        <v>699</v>
      </c>
    </row>
    <row r="450" spans="1:11" x14ac:dyDescent="0.3">
      <c r="A450" s="35">
        <v>1222008631</v>
      </c>
      <c r="B450" s="36">
        <v>58917104</v>
      </c>
      <c r="C450" s="37">
        <v>44593</v>
      </c>
      <c r="D450" s="137">
        <v>50.265000000000001</v>
      </c>
      <c r="E450" s="36" t="s">
        <v>638</v>
      </c>
      <c r="F450" s="36">
        <v>1</v>
      </c>
      <c r="G450" s="36" t="s">
        <v>110</v>
      </c>
      <c r="H450" s="37">
        <v>44593</v>
      </c>
      <c r="I450" s="22" t="s">
        <v>698</v>
      </c>
      <c r="J450" s="64" t="s">
        <v>703</v>
      </c>
    </row>
    <row r="451" spans="1:11" x14ac:dyDescent="0.3">
      <c r="A451" s="35">
        <v>1222010298</v>
      </c>
      <c r="B451" s="36">
        <v>61682517</v>
      </c>
      <c r="C451" s="37"/>
      <c r="D451" s="137">
        <v>55.000999999999998</v>
      </c>
      <c r="E451" s="36" t="s">
        <v>638</v>
      </c>
      <c r="F451" s="36">
        <v>1</v>
      </c>
      <c r="G451" s="36" t="s">
        <v>110</v>
      </c>
      <c r="H451" s="37">
        <v>44602</v>
      </c>
      <c r="I451" s="22" t="s">
        <v>704</v>
      </c>
      <c r="J451" s="64" t="s">
        <v>699</v>
      </c>
      <c r="K451" t="s">
        <v>705</v>
      </c>
    </row>
    <row r="452" spans="1:11" x14ac:dyDescent="0.3">
      <c r="A452" s="35">
        <v>1222010968</v>
      </c>
      <c r="B452" s="36">
        <v>1584372</v>
      </c>
      <c r="C452" s="37"/>
      <c r="D452" s="137">
        <v>55.000999999999998</v>
      </c>
      <c r="E452" s="36" t="s">
        <v>638</v>
      </c>
      <c r="F452" s="36">
        <v>1</v>
      </c>
      <c r="G452" s="36" t="s">
        <v>110</v>
      </c>
      <c r="H452" s="37">
        <v>44602</v>
      </c>
      <c r="I452" s="22" t="s">
        <v>704</v>
      </c>
      <c r="J452" s="64" t="s">
        <v>699</v>
      </c>
      <c r="K452" t="s">
        <v>705</v>
      </c>
    </row>
    <row r="453" spans="1:11" x14ac:dyDescent="0.3">
      <c r="A453" s="35">
        <v>1222010971</v>
      </c>
      <c r="B453" s="36">
        <v>9587159</v>
      </c>
      <c r="C453" s="37"/>
      <c r="D453" s="137">
        <v>55.000999999999998</v>
      </c>
      <c r="E453" s="36" t="s">
        <v>638</v>
      </c>
      <c r="F453" s="36">
        <v>1</v>
      </c>
      <c r="G453" s="36" t="s">
        <v>110</v>
      </c>
      <c r="H453" s="37">
        <v>44602</v>
      </c>
      <c r="I453" s="22" t="s">
        <v>704</v>
      </c>
      <c r="J453" s="64" t="s">
        <v>699</v>
      </c>
      <c r="K453" t="s">
        <v>705</v>
      </c>
    </row>
    <row r="454" spans="1:11" x14ac:dyDescent="0.3">
      <c r="A454" s="35">
        <v>1222010982</v>
      </c>
      <c r="B454" s="36">
        <v>18584452</v>
      </c>
      <c r="C454" s="37"/>
      <c r="D454" s="137">
        <v>550.01</v>
      </c>
      <c r="E454" s="36" t="s">
        <v>638</v>
      </c>
      <c r="F454" s="36">
        <v>1</v>
      </c>
      <c r="G454" s="36" t="s">
        <v>110</v>
      </c>
      <c r="H454" s="37">
        <v>44602</v>
      </c>
      <c r="I454" s="22" t="s">
        <v>704</v>
      </c>
      <c r="J454" s="64" t="s">
        <v>699</v>
      </c>
      <c r="K454" t="s">
        <v>705</v>
      </c>
    </row>
    <row r="455" spans="1:11" x14ac:dyDescent="0.3">
      <c r="A455" s="35">
        <v>1222010983</v>
      </c>
      <c r="B455" s="36">
        <v>24586440</v>
      </c>
      <c r="C455" s="37"/>
      <c r="D455" s="137">
        <v>1055.5740000000001</v>
      </c>
      <c r="E455" s="36" t="s">
        <v>638</v>
      </c>
      <c r="F455" s="36">
        <v>1</v>
      </c>
      <c r="G455" s="36" t="s">
        <v>110</v>
      </c>
      <c r="H455" s="37">
        <v>44602</v>
      </c>
      <c r="I455" s="22" t="s">
        <v>704</v>
      </c>
      <c r="J455" s="64" t="s">
        <v>699</v>
      </c>
      <c r="K455" t="s">
        <v>705</v>
      </c>
    </row>
    <row r="456" spans="1:11" x14ac:dyDescent="0.3">
      <c r="A456" s="35">
        <v>1222014398</v>
      </c>
      <c r="B456" s="36">
        <v>32919126</v>
      </c>
      <c r="C456" s="37">
        <v>44606</v>
      </c>
      <c r="D456" s="137">
        <v>12320.21</v>
      </c>
      <c r="E456" s="36" t="s">
        <v>638</v>
      </c>
      <c r="F456" s="36">
        <v>7</v>
      </c>
      <c r="G456" s="36" t="s">
        <v>110</v>
      </c>
      <c r="H456" s="37">
        <v>44603</v>
      </c>
      <c r="I456" s="22" t="s">
        <v>706</v>
      </c>
      <c r="J456" s="64" t="s">
        <v>707</v>
      </c>
    </row>
    <row r="457" spans="1:11" x14ac:dyDescent="0.3">
      <c r="A457" s="35">
        <v>1222012133</v>
      </c>
      <c r="B457" s="36" t="s">
        <v>708</v>
      </c>
      <c r="C457" s="37">
        <v>44608</v>
      </c>
      <c r="D457" s="137"/>
      <c r="E457" s="36" t="s">
        <v>638</v>
      </c>
      <c r="F457" s="36"/>
      <c r="G457" s="36" t="s">
        <v>110</v>
      </c>
      <c r="H457" s="37">
        <v>44608</v>
      </c>
      <c r="I457" s="22" t="s">
        <v>709</v>
      </c>
    </row>
    <row r="458" spans="1:11" x14ac:dyDescent="0.3">
      <c r="A458" s="35">
        <v>1222012131</v>
      </c>
      <c r="B458" s="36">
        <v>74564974</v>
      </c>
      <c r="C458" s="37">
        <v>44608</v>
      </c>
      <c r="D458" s="137"/>
      <c r="E458" s="36" t="s">
        <v>638</v>
      </c>
      <c r="F458" s="36"/>
      <c r="G458" s="36" t="s">
        <v>110</v>
      </c>
      <c r="H458" s="37">
        <v>44608</v>
      </c>
      <c r="I458" s="22" t="s">
        <v>709</v>
      </c>
    </row>
    <row r="459" spans="1:11" x14ac:dyDescent="0.3">
      <c r="A459" s="35">
        <v>1222012123</v>
      </c>
      <c r="B459" s="36">
        <v>61921309</v>
      </c>
      <c r="C459" s="37">
        <v>44608</v>
      </c>
      <c r="D459" s="137"/>
      <c r="E459" s="36" t="s">
        <v>638</v>
      </c>
      <c r="F459" s="36"/>
      <c r="G459" s="36" t="s">
        <v>110</v>
      </c>
      <c r="H459" s="37">
        <v>44608</v>
      </c>
      <c r="I459" s="22" t="s">
        <v>709</v>
      </c>
    </row>
    <row r="460" spans="1:11" x14ac:dyDescent="0.3">
      <c r="A460" s="35">
        <v>1222012106</v>
      </c>
      <c r="B460" s="36" t="s">
        <v>710</v>
      </c>
      <c r="C460" s="37">
        <v>44608</v>
      </c>
      <c r="D460" s="137"/>
      <c r="E460" s="36" t="s">
        <v>638</v>
      </c>
      <c r="F460" s="36"/>
      <c r="G460" s="36" t="s">
        <v>110</v>
      </c>
      <c r="H460" s="37">
        <v>44608</v>
      </c>
      <c r="I460" s="22" t="s">
        <v>709</v>
      </c>
    </row>
    <row r="461" spans="1:11" x14ac:dyDescent="0.3">
      <c r="A461" s="35">
        <v>1222012144</v>
      </c>
      <c r="B461" s="36">
        <v>12583192</v>
      </c>
      <c r="C461" s="37">
        <v>44608</v>
      </c>
      <c r="D461" s="137"/>
      <c r="E461" s="36" t="s">
        <v>638</v>
      </c>
      <c r="F461" s="36"/>
      <c r="G461" s="36" t="s">
        <v>110</v>
      </c>
      <c r="H461" s="37">
        <v>44608</v>
      </c>
      <c r="I461" s="22" t="s">
        <v>709</v>
      </c>
    </row>
    <row r="462" spans="1:11" x14ac:dyDescent="0.3">
      <c r="A462" s="35">
        <v>1222013141</v>
      </c>
      <c r="B462" s="36">
        <v>6578679</v>
      </c>
      <c r="C462" s="37">
        <v>44608</v>
      </c>
      <c r="D462" s="137"/>
      <c r="E462" s="36" t="s">
        <v>638</v>
      </c>
      <c r="F462" s="36"/>
      <c r="G462" s="36" t="s">
        <v>110</v>
      </c>
      <c r="H462" s="37">
        <v>44608</v>
      </c>
      <c r="I462" s="22" t="s">
        <v>709</v>
      </c>
    </row>
    <row r="463" spans="1:11" x14ac:dyDescent="0.3">
      <c r="A463" s="35">
        <v>1222013142</v>
      </c>
      <c r="B463" s="36">
        <v>7554827</v>
      </c>
      <c r="C463" s="37">
        <v>44608</v>
      </c>
      <c r="D463" s="137"/>
      <c r="E463" s="36" t="s">
        <v>638</v>
      </c>
      <c r="F463" s="36"/>
      <c r="G463" s="36" t="s">
        <v>110</v>
      </c>
      <c r="H463" s="37">
        <v>44608</v>
      </c>
      <c r="I463" s="22" t="s">
        <v>709</v>
      </c>
    </row>
    <row r="464" spans="1:11" x14ac:dyDescent="0.3">
      <c r="A464" s="35">
        <v>1222013088</v>
      </c>
      <c r="B464" s="36">
        <v>2578915</v>
      </c>
      <c r="C464" s="37">
        <v>44608</v>
      </c>
      <c r="D464" s="137"/>
      <c r="E464" s="36" t="s">
        <v>638</v>
      </c>
      <c r="F464" s="36"/>
      <c r="G464" s="36" t="s">
        <v>110</v>
      </c>
      <c r="H464" s="37">
        <v>44608</v>
      </c>
      <c r="I464" s="22" t="s">
        <v>709</v>
      </c>
    </row>
    <row r="465" spans="1:9" x14ac:dyDescent="0.3">
      <c r="A465" s="35">
        <v>1222013129</v>
      </c>
      <c r="B465" s="36">
        <v>62810210</v>
      </c>
      <c r="C465" s="37">
        <v>44608</v>
      </c>
      <c r="D465" s="137"/>
      <c r="E465" s="36" t="s">
        <v>638</v>
      </c>
      <c r="F465" s="36"/>
      <c r="G465" s="36" t="s">
        <v>110</v>
      </c>
      <c r="H465" s="37">
        <v>44608</v>
      </c>
      <c r="I465" s="22" t="s">
        <v>709</v>
      </c>
    </row>
    <row r="466" spans="1:9" x14ac:dyDescent="0.3">
      <c r="A466" s="35">
        <v>1222013208</v>
      </c>
      <c r="B466" s="68">
        <v>15587543</v>
      </c>
      <c r="C466" s="37">
        <v>44608</v>
      </c>
      <c r="D466" s="137"/>
      <c r="E466" s="36" t="s">
        <v>638</v>
      </c>
      <c r="F466" s="36"/>
      <c r="G466" s="36" t="s">
        <v>110</v>
      </c>
      <c r="H466" s="37">
        <v>44608</v>
      </c>
      <c r="I466" s="22" t="s">
        <v>709</v>
      </c>
    </row>
    <row r="467" spans="1:9" x14ac:dyDescent="0.3">
      <c r="A467" s="35">
        <v>1222013227</v>
      </c>
      <c r="B467" s="36">
        <v>63676457</v>
      </c>
      <c r="C467" s="37">
        <v>44608</v>
      </c>
      <c r="D467" s="137"/>
      <c r="E467" s="36" t="s">
        <v>638</v>
      </c>
      <c r="F467" s="36"/>
      <c r="G467" s="36" t="s">
        <v>110</v>
      </c>
      <c r="H467" s="37">
        <v>44608</v>
      </c>
      <c r="I467" s="22" t="s">
        <v>709</v>
      </c>
    </row>
    <row r="468" spans="1:9" x14ac:dyDescent="0.3">
      <c r="A468" s="35">
        <v>1222013093</v>
      </c>
      <c r="B468" s="36">
        <v>22578785</v>
      </c>
      <c r="C468" s="37">
        <v>44608</v>
      </c>
      <c r="D468" s="137"/>
      <c r="E468" s="36" t="s">
        <v>638</v>
      </c>
      <c r="F468" s="36"/>
      <c r="G468" s="36" t="s">
        <v>110</v>
      </c>
      <c r="H468" s="37">
        <v>44608</v>
      </c>
      <c r="I468" s="22" t="s">
        <v>709</v>
      </c>
    </row>
    <row r="469" spans="1:9" x14ac:dyDescent="0.3">
      <c r="A469" s="35">
        <v>1222016309</v>
      </c>
      <c r="B469" s="36">
        <v>33992834</v>
      </c>
      <c r="C469" s="37">
        <v>44609</v>
      </c>
      <c r="D469" s="137">
        <v>11231.99</v>
      </c>
      <c r="E469" s="36" t="s">
        <v>638</v>
      </c>
      <c r="F469" s="36">
        <v>5</v>
      </c>
      <c r="G469" s="36" t="s">
        <v>110</v>
      </c>
      <c r="H469" s="37">
        <v>44608</v>
      </c>
      <c r="I469" s="22" t="s">
        <v>711</v>
      </c>
    </row>
    <row r="470" spans="1:9" x14ac:dyDescent="0.3">
      <c r="A470" s="35">
        <v>1222016515</v>
      </c>
      <c r="B470" s="36">
        <v>25921066</v>
      </c>
      <c r="C470" s="37">
        <v>44613</v>
      </c>
      <c r="D470" s="137">
        <v>15840.27</v>
      </c>
      <c r="E470" s="36" t="s">
        <v>638</v>
      </c>
      <c r="F470" s="36">
        <v>9</v>
      </c>
      <c r="G470" s="36" t="s">
        <v>110</v>
      </c>
      <c r="H470" s="37">
        <v>44613</v>
      </c>
      <c r="I470" s="22" t="s">
        <v>712</v>
      </c>
    </row>
    <row r="471" spans="1:9" x14ac:dyDescent="0.3">
      <c r="A471" s="35">
        <v>1222012209</v>
      </c>
      <c r="B471" s="36">
        <v>62621175</v>
      </c>
      <c r="C471" s="37">
        <v>44620</v>
      </c>
      <c r="D471" s="141">
        <v>330.00599999999997</v>
      </c>
      <c r="E471" s="36" t="s">
        <v>638</v>
      </c>
      <c r="F471" s="36">
        <v>1</v>
      </c>
      <c r="G471" s="36" t="s">
        <v>110</v>
      </c>
      <c r="H471" s="37">
        <v>44620</v>
      </c>
      <c r="I471" s="22" t="s">
        <v>713</v>
      </c>
    </row>
    <row r="472" spans="1:9" x14ac:dyDescent="0.3">
      <c r="A472" s="35">
        <v>1222012218</v>
      </c>
      <c r="B472" s="36">
        <v>62701125</v>
      </c>
      <c r="C472" s="37">
        <v>44620</v>
      </c>
      <c r="D472" s="137">
        <v>351.858</v>
      </c>
      <c r="E472" s="36" t="s">
        <v>638</v>
      </c>
      <c r="F472" s="36">
        <v>1</v>
      </c>
      <c r="G472" s="36" t="s">
        <v>110</v>
      </c>
      <c r="H472" s="37">
        <v>44620</v>
      </c>
      <c r="I472" s="22" t="s">
        <v>713</v>
      </c>
    </row>
    <row r="473" spans="1:9" x14ac:dyDescent="0.3">
      <c r="A473" s="35">
        <v>1222015876</v>
      </c>
      <c r="B473" s="36">
        <v>53567551</v>
      </c>
      <c r="C473" s="37">
        <v>44620</v>
      </c>
      <c r="D473" s="137">
        <v>287.5</v>
      </c>
      <c r="E473" s="36" t="s">
        <v>638</v>
      </c>
      <c r="F473" s="36">
        <v>1</v>
      </c>
      <c r="G473" s="36" t="s">
        <v>110</v>
      </c>
      <c r="H473" s="37">
        <v>44620</v>
      </c>
      <c r="I473" s="22" t="s">
        <v>713</v>
      </c>
    </row>
    <row r="474" spans="1:9" x14ac:dyDescent="0.3">
      <c r="A474" s="35">
        <v>1222015898</v>
      </c>
      <c r="B474" s="36">
        <v>42576815</v>
      </c>
      <c r="C474" s="37">
        <v>44620</v>
      </c>
      <c r="D474" s="137">
        <v>67.5</v>
      </c>
      <c r="E474" s="36" t="s">
        <v>638</v>
      </c>
      <c r="F474" s="36">
        <v>1</v>
      </c>
      <c r="G474" s="36" t="s">
        <v>110</v>
      </c>
      <c r="H474" s="37">
        <v>44620</v>
      </c>
      <c r="I474" s="22" t="s">
        <v>713</v>
      </c>
    </row>
    <row r="475" spans="1:9" x14ac:dyDescent="0.3">
      <c r="A475" s="35">
        <v>1222015910</v>
      </c>
      <c r="B475" s="36">
        <v>64788347</v>
      </c>
      <c r="C475" s="37">
        <v>44620</v>
      </c>
      <c r="D475" s="137">
        <v>67.5</v>
      </c>
      <c r="E475" s="36" t="s">
        <v>638</v>
      </c>
      <c r="F475" s="36">
        <v>1</v>
      </c>
      <c r="G475" s="36" t="s">
        <v>110</v>
      </c>
      <c r="H475" s="37">
        <v>44620</v>
      </c>
      <c r="I475" s="22" t="s">
        <v>713</v>
      </c>
    </row>
    <row r="476" spans="1:9" x14ac:dyDescent="0.3">
      <c r="A476" s="35">
        <v>1222015931</v>
      </c>
      <c r="B476" s="36">
        <v>4567958</v>
      </c>
      <c r="C476" s="37">
        <v>44620</v>
      </c>
      <c r="D476" s="137">
        <v>167.5</v>
      </c>
      <c r="E476" s="36" t="s">
        <v>638</v>
      </c>
      <c r="F476" s="36">
        <v>1</v>
      </c>
      <c r="G476" s="36" t="s">
        <v>110</v>
      </c>
      <c r="H476" s="37">
        <v>44620</v>
      </c>
      <c r="I476" s="22" t="s">
        <v>713</v>
      </c>
    </row>
    <row r="477" spans="1:9" x14ac:dyDescent="0.3">
      <c r="A477" s="35">
        <v>1222015933</v>
      </c>
      <c r="B477" s="36">
        <v>4567959</v>
      </c>
      <c r="C477" s="37">
        <v>44620</v>
      </c>
      <c r="D477" s="137">
        <v>167.5</v>
      </c>
      <c r="E477" s="36" t="s">
        <v>638</v>
      </c>
      <c r="F477" s="36">
        <v>1</v>
      </c>
      <c r="G477" s="36" t="s">
        <v>110</v>
      </c>
      <c r="H477" s="37">
        <v>44620</v>
      </c>
      <c r="I477" s="22" t="s">
        <v>713</v>
      </c>
    </row>
    <row r="478" spans="1:9" x14ac:dyDescent="0.3">
      <c r="A478" s="35">
        <v>1222015937</v>
      </c>
      <c r="B478" s="36">
        <v>64882013</v>
      </c>
      <c r="C478" s="37">
        <v>44620</v>
      </c>
      <c r="D478" s="137" t="s">
        <v>714</v>
      </c>
      <c r="E478" s="36" t="s">
        <v>638</v>
      </c>
      <c r="F478" s="36">
        <v>4</v>
      </c>
      <c r="G478" s="36" t="s">
        <v>110</v>
      </c>
      <c r="H478" s="37">
        <v>44620</v>
      </c>
      <c r="I478" s="22" t="s">
        <v>713</v>
      </c>
    </row>
    <row r="479" spans="1:9" x14ac:dyDescent="0.3">
      <c r="A479" s="35">
        <v>1222016395</v>
      </c>
      <c r="B479" s="36">
        <v>20580382</v>
      </c>
      <c r="C479" s="37">
        <v>44620</v>
      </c>
      <c r="D479" s="137">
        <v>330.00599999999997</v>
      </c>
      <c r="E479" s="36" t="s">
        <v>638</v>
      </c>
      <c r="F479" s="36">
        <v>1</v>
      </c>
      <c r="G479" s="36" t="s">
        <v>110</v>
      </c>
      <c r="H479" s="37">
        <v>44620</v>
      </c>
      <c r="I479" s="22" t="s">
        <v>713</v>
      </c>
    </row>
    <row r="480" spans="1:9" x14ac:dyDescent="0.3">
      <c r="A480" s="35">
        <v>1222016580</v>
      </c>
      <c r="B480" s="36">
        <v>84563773</v>
      </c>
      <c r="C480" s="37">
        <v>44620</v>
      </c>
      <c r="D480" s="137">
        <v>502.654</v>
      </c>
      <c r="E480" s="36" t="s">
        <v>638</v>
      </c>
      <c r="F480" s="36">
        <v>1</v>
      </c>
      <c r="G480" s="36" t="s">
        <v>110</v>
      </c>
      <c r="H480" s="37">
        <v>44620</v>
      </c>
      <c r="I480" s="22" t="s">
        <v>713</v>
      </c>
    </row>
    <row r="481" spans="1:9" x14ac:dyDescent="0.3">
      <c r="A481" s="35">
        <v>1222017002</v>
      </c>
      <c r="B481" s="36">
        <v>60575130</v>
      </c>
      <c r="C481" s="37">
        <v>44620</v>
      </c>
      <c r="D481" s="137">
        <v>440.00799999999998</v>
      </c>
      <c r="E481" s="36" t="s">
        <v>638</v>
      </c>
      <c r="F481" s="36">
        <v>1</v>
      </c>
      <c r="G481" s="36" t="s">
        <v>110</v>
      </c>
      <c r="H481" s="37">
        <v>44620</v>
      </c>
      <c r="I481" s="22" t="s">
        <v>713</v>
      </c>
    </row>
    <row r="482" spans="1:9" x14ac:dyDescent="0.3">
      <c r="A482" s="35">
        <v>1222017012</v>
      </c>
      <c r="B482" s="36">
        <v>65869462</v>
      </c>
      <c r="C482" s="37">
        <v>44620</v>
      </c>
      <c r="D482" s="137">
        <v>715.01300000000003</v>
      </c>
      <c r="E482" s="36" t="s">
        <v>638</v>
      </c>
      <c r="F482" s="36">
        <v>1</v>
      </c>
      <c r="G482" s="36" t="s">
        <v>110</v>
      </c>
      <c r="H482" s="37">
        <v>44620</v>
      </c>
      <c r="I482" s="22" t="s">
        <v>713</v>
      </c>
    </row>
    <row r="483" spans="1:9" x14ac:dyDescent="0.3">
      <c r="A483" s="35">
        <v>1222017024</v>
      </c>
      <c r="B483" s="36">
        <v>76569701</v>
      </c>
      <c r="C483" s="37">
        <v>44620</v>
      </c>
      <c r="D483" s="137">
        <v>49.000999999999998</v>
      </c>
      <c r="E483" s="36" t="s">
        <v>638</v>
      </c>
      <c r="F483" s="36">
        <v>1</v>
      </c>
      <c r="G483" s="36" t="s">
        <v>110</v>
      </c>
      <c r="H483" s="37">
        <v>44620</v>
      </c>
      <c r="I483" s="22" t="s">
        <v>713</v>
      </c>
    </row>
    <row r="484" spans="1:9" x14ac:dyDescent="0.3">
      <c r="A484" s="35">
        <v>1222017025</v>
      </c>
      <c r="B484" s="36">
        <v>83584477</v>
      </c>
      <c r="C484" s="37">
        <v>44620</v>
      </c>
      <c r="D484" s="137">
        <v>550.01</v>
      </c>
      <c r="E484" s="36" t="s">
        <v>638</v>
      </c>
      <c r="F484" s="36">
        <v>1</v>
      </c>
      <c r="G484" s="36" t="s">
        <v>110</v>
      </c>
      <c r="H484" s="37">
        <v>44620</v>
      </c>
      <c r="I484" s="22" t="s">
        <v>713</v>
      </c>
    </row>
    <row r="485" spans="1:9" x14ac:dyDescent="0.3">
      <c r="A485" s="35">
        <v>1222017029</v>
      </c>
      <c r="B485" s="36">
        <v>2570545</v>
      </c>
      <c r="C485" s="37">
        <v>44620</v>
      </c>
      <c r="D485" s="137">
        <v>55.000999999999998</v>
      </c>
      <c r="E485" s="36" t="s">
        <v>638</v>
      </c>
      <c r="F485" s="36">
        <v>1</v>
      </c>
      <c r="G485" s="36" t="s">
        <v>110</v>
      </c>
      <c r="H485" s="37">
        <v>44620</v>
      </c>
      <c r="I485" s="22" t="s">
        <v>713</v>
      </c>
    </row>
    <row r="486" spans="1:9" x14ac:dyDescent="0.3">
      <c r="A486" s="35">
        <v>1222019696</v>
      </c>
      <c r="B486" s="36">
        <v>18936865</v>
      </c>
      <c r="C486" s="37">
        <v>44620</v>
      </c>
      <c r="D486" s="137">
        <v>7040.12</v>
      </c>
      <c r="E486" s="36" t="s">
        <v>638</v>
      </c>
      <c r="F486" s="36">
        <v>4</v>
      </c>
      <c r="G486" s="36" t="s">
        <v>110</v>
      </c>
      <c r="H486" s="37">
        <v>44621</v>
      </c>
      <c r="I486" s="22" t="s">
        <v>715</v>
      </c>
    </row>
    <row r="487" spans="1:9" x14ac:dyDescent="0.3">
      <c r="A487" s="35">
        <v>1222022945</v>
      </c>
      <c r="B487" s="36">
        <v>14911898</v>
      </c>
      <c r="C487" s="37">
        <v>44628</v>
      </c>
      <c r="D487" s="137">
        <v>15840.27</v>
      </c>
      <c r="E487" s="36" t="s">
        <v>638</v>
      </c>
      <c r="F487" s="36">
        <v>9</v>
      </c>
      <c r="G487" s="36" t="s">
        <v>110</v>
      </c>
      <c r="H487" s="37">
        <v>44628</v>
      </c>
      <c r="I487" s="22" t="s">
        <v>716</v>
      </c>
    </row>
    <row r="488" spans="1:9" x14ac:dyDescent="0.3">
      <c r="A488" s="35">
        <v>1222021287</v>
      </c>
      <c r="B488" s="36">
        <v>11582908</v>
      </c>
      <c r="C488" s="37"/>
      <c r="D488" s="137">
        <v>605.01099999999997</v>
      </c>
      <c r="E488" s="36" t="s">
        <v>638</v>
      </c>
      <c r="F488" s="36">
        <v>1</v>
      </c>
      <c r="G488" s="36" t="s">
        <v>110</v>
      </c>
      <c r="H488" s="37">
        <v>44628</v>
      </c>
      <c r="I488" s="22" t="s">
        <v>717</v>
      </c>
    </row>
    <row r="489" spans="1:9" x14ac:dyDescent="0.3">
      <c r="A489" s="35">
        <v>1222021290</v>
      </c>
      <c r="B489" s="36">
        <v>18552510</v>
      </c>
      <c r="C489" s="37"/>
      <c r="D489" s="137">
        <v>440.00799999999998</v>
      </c>
      <c r="E489" s="36" t="s">
        <v>638</v>
      </c>
      <c r="F489" s="36">
        <v>1</v>
      </c>
      <c r="G489" s="36" t="s">
        <v>110</v>
      </c>
      <c r="H489" s="37">
        <v>44628</v>
      </c>
      <c r="I489" s="22" t="s">
        <v>717</v>
      </c>
    </row>
    <row r="490" spans="1:9" x14ac:dyDescent="0.3">
      <c r="A490" s="35">
        <v>1222021340</v>
      </c>
      <c r="B490" s="36">
        <v>68976648</v>
      </c>
      <c r="C490" s="37"/>
      <c r="D490" s="137">
        <v>220.00399999999999</v>
      </c>
      <c r="E490" s="36" t="s">
        <v>638</v>
      </c>
      <c r="F490" s="36">
        <v>1</v>
      </c>
      <c r="G490" s="36" t="s">
        <v>110</v>
      </c>
      <c r="H490" s="37">
        <v>44628</v>
      </c>
      <c r="I490" s="22" t="s">
        <v>717</v>
      </c>
    </row>
    <row r="491" spans="1:9" x14ac:dyDescent="0.3">
      <c r="A491" s="35">
        <v>1222021321</v>
      </c>
      <c r="B491" s="36">
        <v>13586075</v>
      </c>
      <c r="C491" s="37"/>
      <c r="D491" s="137">
        <v>165.00299999999999</v>
      </c>
      <c r="E491" s="36" t="s">
        <v>638</v>
      </c>
      <c r="F491" s="36">
        <v>1</v>
      </c>
      <c r="G491" s="36" t="s">
        <v>110</v>
      </c>
      <c r="H491" s="37">
        <v>44628</v>
      </c>
      <c r="I491" s="22" t="s">
        <v>717</v>
      </c>
    </row>
    <row r="492" spans="1:9" x14ac:dyDescent="0.3">
      <c r="A492" s="35">
        <v>1222022638</v>
      </c>
      <c r="B492" s="36">
        <v>28585202</v>
      </c>
      <c r="C492" s="37"/>
      <c r="D492" s="137">
        <v>880.01599999999996</v>
      </c>
      <c r="E492" s="36" t="s">
        <v>638</v>
      </c>
      <c r="F492" s="36">
        <v>1</v>
      </c>
      <c r="G492" s="36" t="s">
        <v>110</v>
      </c>
      <c r="H492" s="37">
        <v>44628</v>
      </c>
      <c r="I492" s="22" t="s">
        <v>717</v>
      </c>
    </row>
    <row r="493" spans="1:9" x14ac:dyDescent="0.3">
      <c r="A493" s="35">
        <v>1222022627</v>
      </c>
      <c r="B493" s="36">
        <v>69740732</v>
      </c>
      <c r="C493" s="37"/>
      <c r="D493" s="137">
        <v>1960.3520000000001</v>
      </c>
      <c r="E493" s="36" t="s">
        <v>638</v>
      </c>
      <c r="F493" s="36">
        <v>1</v>
      </c>
      <c r="G493" s="36" t="s">
        <v>110</v>
      </c>
      <c r="H493" s="37">
        <v>44628</v>
      </c>
      <c r="I493" s="22" t="s">
        <v>717</v>
      </c>
    </row>
    <row r="494" spans="1:9" x14ac:dyDescent="0.3">
      <c r="A494" s="35">
        <v>1222022631</v>
      </c>
      <c r="B494" s="36">
        <v>77585039</v>
      </c>
      <c r="C494" s="37"/>
      <c r="D494" s="137">
        <v>220.00399999999999</v>
      </c>
      <c r="E494" s="36" t="s">
        <v>638</v>
      </c>
      <c r="F494" s="36">
        <v>1</v>
      </c>
      <c r="G494" s="36" t="s">
        <v>110</v>
      </c>
      <c r="H494" s="37">
        <v>44628</v>
      </c>
      <c r="I494" s="22" t="s">
        <v>717</v>
      </c>
    </row>
    <row r="495" spans="1:9" x14ac:dyDescent="0.3">
      <c r="A495" s="35">
        <v>1222022594</v>
      </c>
      <c r="B495" s="36">
        <v>21573262</v>
      </c>
      <c r="C495" s="37"/>
      <c r="D495" s="137">
        <v>55.000999999999998</v>
      </c>
      <c r="E495" s="36" t="s">
        <v>638</v>
      </c>
      <c r="F495" s="36">
        <v>1</v>
      </c>
      <c r="G495" s="36" t="s">
        <v>110</v>
      </c>
      <c r="H495" s="37">
        <v>44628</v>
      </c>
      <c r="I495" s="22" t="s">
        <v>717</v>
      </c>
    </row>
    <row r="496" spans="1:9" x14ac:dyDescent="0.3">
      <c r="A496" s="35">
        <v>1222022634</v>
      </c>
      <c r="B496" s="36">
        <v>2572898</v>
      </c>
      <c r="C496" s="37"/>
      <c r="D496" s="137">
        <v>603.18499999999995</v>
      </c>
      <c r="E496" s="36" t="s">
        <v>638</v>
      </c>
      <c r="F496" s="36">
        <v>1</v>
      </c>
      <c r="G496" s="36" t="s">
        <v>110</v>
      </c>
      <c r="H496" s="37">
        <v>44628</v>
      </c>
      <c r="I496" s="22" t="s">
        <v>717</v>
      </c>
    </row>
    <row r="497" spans="1:11" x14ac:dyDescent="0.3">
      <c r="A497" s="35">
        <v>1222024846</v>
      </c>
      <c r="B497" s="36">
        <v>47915691</v>
      </c>
      <c r="C497" s="37"/>
      <c r="D497" s="137">
        <v>8879.9599999999991</v>
      </c>
      <c r="E497" s="36" t="s">
        <v>638</v>
      </c>
      <c r="F497" s="36">
        <v>4</v>
      </c>
      <c r="G497" s="36" t="s">
        <v>110</v>
      </c>
      <c r="H497" s="37">
        <v>44631</v>
      </c>
      <c r="I497" s="22" t="s">
        <v>718</v>
      </c>
      <c r="J497" s="64"/>
    </row>
    <row r="498" spans="1:11" x14ac:dyDescent="0.3">
      <c r="A498" s="35">
        <v>1222024365</v>
      </c>
      <c r="B498" s="36">
        <v>31902322</v>
      </c>
      <c r="C498" s="37"/>
      <c r="D498" s="137">
        <v>7238.24</v>
      </c>
      <c r="E498" s="36" t="s">
        <v>638</v>
      </c>
      <c r="F498" s="36">
        <v>4</v>
      </c>
      <c r="G498" s="36" t="s">
        <v>110</v>
      </c>
      <c r="H498" s="37">
        <v>44631</v>
      </c>
      <c r="I498" s="22" t="s">
        <v>718</v>
      </c>
      <c r="J498" s="64"/>
    </row>
    <row r="499" spans="1:11" x14ac:dyDescent="0.3">
      <c r="A499" s="35">
        <v>1222023749</v>
      </c>
      <c r="B499" s="36">
        <v>45558714</v>
      </c>
      <c r="C499" s="37"/>
      <c r="D499" s="137">
        <v>380.00400000000002</v>
      </c>
      <c r="E499" s="36" t="s">
        <v>638</v>
      </c>
      <c r="F499" s="36">
        <v>1</v>
      </c>
      <c r="G499" s="36" t="s">
        <v>110</v>
      </c>
      <c r="H499" s="37">
        <v>44635</v>
      </c>
      <c r="I499" s="22" t="s">
        <v>719</v>
      </c>
      <c r="J499" s="64"/>
    </row>
    <row r="500" spans="1:11" x14ac:dyDescent="0.3">
      <c r="A500" s="35">
        <v>1222019713</v>
      </c>
      <c r="B500" s="36">
        <v>3921357</v>
      </c>
      <c r="C500" s="37"/>
      <c r="D500" s="137">
        <v>3520.0619999999999</v>
      </c>
      <c r="E500" s="36" t="s">
        <v>638</v>
      </c>
      <c r="F500" s="36">
        <v>2</v>
      </c>
      <c r="G500" s="36" t="s">
        <v>110</v>
      </c>
      <c r="H500" s="37">
        <v>44631</v>
      </c>
      <c r="I500" s="22" t="s">
        <v>718</v>
      </c>
      <c r="J500" s="66" t="s">
        <v>699</v>
      </c>
      <c r="K500" t="s">
        <v>720</v>
      </c>
    </row>
    <row r="501" spans="1:11" x14ac:dyDescent="0.3">
      <c r="A501" s="35">
        <v>1222021329</v>
      </c>
      <c r="B501" s="36">
        <v>45904578</v>
      </c>
      <c r="C501" s="37"/>
      <c r="D501" s="137">
        <v>4439.9840000000004</v>
      </c>
      <c r="E501" s="36" t="s">
        <v>638</v>
      </c>
      <c r="F501" s="36">
        <v>2</v>
      </c>
      <c r="G501" s="36" t="s">
        <v>110</v>
      </c>
      <c r="H501" s="37">
        <v>44631</v>
      </c>
      <c r="I501" s="22" t="s">
        <v>718</v>
      </c>
      <c r="J501" s="66" t="s">
        <v>699</v>
      </c>
      <c r="K501" t="s">
        <v>720</v>
      </c>
    </row>
    <row r="502" spans="1:11" x14ac:dyDescent="0.3">
      <c r="A502" s="35">
        <v>1222023700</v>
      </c>
      <c r="B502" s="36">
        <v>12583276</v>
      </c>
      <c r="C502" s="37"/>
      <c r="D502" s="137">
        <v>55.000999999999998</v>
      </c>
      <c r="E502" s="36" t="s">
        <v>638</v>
      </c>
      <c r="F502" s="36">
        <v>1</v>
      </c>
      <c r="G502" s="36" t="s">
        <v>110</v>
      </c>
      <c r="H502" s="37">
        <v>44635</v>
      </c>
      <c r="I502" s="22" t="s">
        <v>719</v>
      </c>
      <c r="J502" s="67" t="s">
        <v>699</v>
      </c>
    </row>
    <row r="503" spans="1:11" x14ac:dyDescent="0.3">
      <c r="A503" s="35">
        <v>1222023713</v>
      </c>
      <c r="B503" s="36">
        <v>71883098</v>
      </c>
      <c r="C503" s="37"/>
      <c r="D503" s="137">
        <v>1294.9939999999999</v>
      </c>
      <c r="E503" s="36" t="s">
        <v>638</v>
      </c>
      <c r="F503" s="36">
        <v>1</v>
      </c>
      <c r="G503" s="36" t="s">
        <v>110</v>
      </c>
      <c r="H503" s="37">
        <v>44635</v>
      </c>
      <c r="I503" s="22" t="s">
        <v>719</v>
      </c>
      <c r="J503" s="67" t="s">
        <v>699</v>
      </c>
    </row>
    <row r="504" spans="1:11" x14ac:dyDescent="0.3">
      <c r="A504" s="35">
        <v>1222023739</v>
      </c>
      <c r="B504" s="36">
        <v>85562855</v>
      </c>
      <c r="C504" s="37"/>
      <c r="D504" s="137">
        <v>990.01700000000005</v>
      </c>
      <c r="E504" s="36" t="s">
        <v>638</v>
      </c>
      <c r="F504" s="36">
        <v>1</v>
      </c>
      <c r="G504" s="36" t="s">
        <v>110</v>
      </c>
      <c r="H504" s="37">
        <v>44635</v>
      </c>
      <c r="I504" s="22" t="s">
        <v>719</v>
      </c>
      <c r="J504" s="67" t="s">
        <v>699</v>
      </c>
    </row>
    <row r="505" spans="1:11" x14ac:dyDescent="0.3">
      <c r="A505" s="35">
        <v>1222023757</v>
      </c>
      <c r="B505" s="36">
        <v>87566934</v>
      </c>
      <c r="C505" s="37"/>
      <c r="D505" s="137">
        <v>184.999</v>
      </c>
      <c r="E505" s="36" t="s">
        <v>638</v>
      </c>
      <c r="F505" s="36">
        <v>1</v>
      </c>
      <c r="G505" s="36" t="s">
        <v>110</v>
      </c>
      <c r="H505" s="37">
        <v>44635</v>
      </c>
      <c r="I505" s="22" t="s">
        <v>719</v>
      </c>
      <c r="J505" s="67" t="s">
        <v>699</v>
      </c>
    </row>
    <row r="506" spans="1:11" x14ac:dyDescent="0.3">
      <c r="A506" s="35">
        <v>1222025693</v>
      </c>
      <c r="B506" s="36">
        <v>12583057</v>
      </c>
      <c r="C506" s="37"/>
      <c r="D506" s="137">
        <v>385.00700000000001</v>
      </c>
      <c r="E506" s="36" t="s">
        <v>638</v>
      </c>
      <c r="F506" s="36">
        <v>1</v>
      </c>
      <c r="G506" s="36" t="s">
        <v>110</v>
      </c>
      <c r="H506" s="37">
        <v>44635</v>
      </c>
      <c r="I506" s="22" t="s">
        <v>719</v>
      </c>
      <c r="J506" s="67" t="s">
        <v>699</v>
      </c>
    </row>
    <row r="507" spans="1:11" x14ac:dyDescent="0.3">
      <c r="A507" s="35">
        <v>1222025697</v>
      </c>
      <c r="B507" s="36">
        <v>21566885</v>
      </c>
      <c r="C507" s="37"/>
      <c r="D507" s="137">
        <v>385.00700000000001</v>
      </c>
      <c r="E507" s="36" t="s">
        <v>638</v>
      </c>
      <c r="F507" s="36">
        <v>1</v>
      </c>
      <c r="G507" s="36" t="s">
        <v>110</v>
      </c>
      <c r="H507" s="37">
        <v>44635</v>
      </c>
      <c r="I507" s="22" t="s">
        <v>719</v>
      </c>
      <c r="J507" s="67" t="s">
        <v>699</v>
      </c>
    </row>
    <row r="508" spans="1:11" x14ac:dyDescent="0.3">
      <c r="A508" s="35">
        <v>1222025715</v>
      </c>
      <c r="B508" s="36">
        <v>73863715</v>
      </c>
      <c r="C508" s="37"/>
      <c r="D508" s="141">
        <v>220.00399999999999</v>
      </c>
      <c r="E508" s="36" t="s">
        <v>638</v>
      </c>
      <c r="F508" s="36">
        <v>1</v>
      </c>
      <c r="G508" s="36" t="s">
        <v>110</v>
      </c>
      <c r="H508" s="37">
        <v>44635</v>
      </c>
      <c r="I508" s="22" t="s">
        <v>719</v>
      </c>
      <c r="J508" s="67" t="s">
        <v>699</v>
      </c>
    </row>
    <row r="509" spans="1:11" x14ac:dyDescent="0.3">
      <c r="A509" s="35">
        <v>1222025716</v>
      </c>
      <c r="B509" s="36">
        <v>73872475</v>
      </c>
      <c r="C509" s="37"/>
      <c r="D509" s="137">
        <v>220.00399999999999</v>
      </c>
      <c r="E509" s="36" t="s">
        <v>638</v>
      </c>
      <c r="F509" s="36">
        <v>1</v>
      </c>
      <c r="G509" s="36" t="s">
        <v>110</v>
      </c>
      <c r="H509" s="37">
        <v>44635</v>
      </c>
      <c r="I509" s="22" t="s">
        <v>719</v>
      </c>
      <c r="J509" s="67" t="s">
        <v>699</v>
      </c>
    </row>
    <row r="510" spans="1:11" x14ac:dyDescent="0.3">
      <c r="A510" s="35">
        <v>1222025765</v>
      </c>
      <c r="B510" s="36">
        <v>51571266</v>
      </c>
      <c r="C510" s="37"/>
      <c r="D510" s="137">
        <v>1100.019</v>
      </c>
      <c r="E510" s="36" t="s">
        <v>638</v>
      </c>
      <c r="F510" s="36">
        <v>1</v>
      </c>
      <c r="G510" s="36" t="s">
        <v>110</v>
      </c>
      <c r="H510" s="37">
        <v>44635</v>
      </c>
      <c r="I510" s="22" t="s">
        <v>719</v>
      </c>
      <c r="J510" s="67" t="s">
        <v>699</v>
      </c>
    </row>
    <row r="511" spans="1:11" x14ac:dyDescent="0.3">
      <c r="A511" s="35">
        <v>1222023708</v>
      </c>
      <c r="B511" s="36">
        <v>57578493</v>
      </c>
      <c r="C511" s="37"/>
      <c r="D511" s="137">
        <v>165.00299999999999</v>
      </c>
      <c r="E511" s="36" t="s">
        <v>638</v>
      </c>
      <c r="F511" s="36">
        <v>1</v>
      </c>
      <c r="G511" s="36" t="s">
        <v>110</v>
      </c>
      <c r="H511" s="37">
        <v>44636</v>
      </c>
      <c r="I511" s="22" t="s">
        <v>721</v>
      </c>
    </row>
    <row r="512" spans="1:11" x14ac:dyDescent="0.3">
      <c r="A512" s="35">
        <v>1222025354</v>
      </c>
      <c r="B512" s="36">
        <v>3578246</v>
      </c>
      <c r="C512" s="37"/>
      <c r="D512" s="137">
        <v>220.00399999999999</v>
      </c>
      <c r="E512" s="36" t="s">
        <v>638</v>
      </c>
      <c r="F512" s="36">
        <v>1</v>
      </c>
      <c r="G512" s="36" t="s">
        <v>110</v>
      </c>
      <c r="H512" s="37">
        <v>44636</v>
      </c>
      <c r="I512" s="22" t="s">
        <v>721</v>
      </c>
    </row>
    <row r="513" spans="1:10" x14ac:dyDescent="0.3">
      <c r="A513" s="35">
        <v>1222025364</v>
      </c>
      <c r="B513" s="36">
        <v>56558226</v>
      </c>
      <c r="C513" s="37"/>
      <c r="D513" s="137">
        <v>147.999</v>
      </c>
      <c r="E513" s="36" t="s">
        <v>638</v>
      </c>
      <c r="F513" s="36">
        <v>1</v>
      </c>
      <c r="G513" s="36" t="s">
        <v>110</v>
      </c>
      <c r="H513" s="37">
        <v>44636</v>
      </c>
      <c r="I513" s="22" t="s">
        <v>721</v>
      </c>
    </row>
    <row r="514" spans="1:10" x14ac:dyDescent="0.3">
      <c r="A514" s="35">
        <v>1222025371</v>
      </c>
      <c r="B514" s="36">
        <v>59568831</v>
      </c>
      <c r="C514" s="37"/>
      <c r="D514" s="137">
        <v>220.00399999999999</v>
      </c>
      <c r="E514" s="36" t="s">
        <v>638</v>
      </c>
      <c r="F514" s="36">
        <v>1</v>
      </c>
      <c r="G514" s="36" t="s">
        <v>110</v>
      </c>
      <c r="H514" s="37">
        <v>44636</v>
      </c>
      <c r="I514" s="22" t="s">
        <v>721</v>
      </c>
    </row>
    <row r="515" spans="1:10" x14ac:dyDescent="0.3">
      <c r="A515" s="35">
        <v>1222025420</v>
      </c>
      <c r="B515" s="36">
        <v>2573072</v>
      </c>
      <c r="C515" s="37"/>
      <c r="D515" s="137">
        <v>330.00599999999997</v>
      </c>
      <c r="E515" s="36" t="s">
        <v>638</v>
      </c>
      <c r="F515" s="36">
        <v>1</v>
      </c>
      <c r="G515" s="36" t="s">
        <v>110</v>
      </c>
      <c r="H515" s="37">
        <v>44636</v>
      </c>
      <c r="I515" s="22" t="s">
        <v>721</v>
      </c>
    </row>
    <row r="516" spans="1:10" x14ac:dyDescent="0.3">
      <c r="A516" s="35">
        <v>1222025427</v>
      </c>
      <c r="B516" s="36">
        <v>17574647</v>
      </c>
      <c r="C516" s="37"/>
      <c r="D516" s="137">
        <v>50.265000000000001</v>
      </c>
      <c r="E516" s="36" t="s">
        <v>638</v>
      </c>
      <c r="F516" s="36">
        <v>1</v>
      </c>
      <c r="G516" s="36" t="s">
        <v>110</v>
      </c>
      <c r="H516" s="37">
        <v>44636</v>
      </c>
      <c r="I516" s="22" t="s">
        <v>721</v>
      </c>
    </row>
    <row r="517" spans="1:10" x14ac:dyDescent="0.3">
      <c r="A517" s="35">
        <v>1222025434</v>
      </c>
      <c r="B517" s="36">
        <v>27588009</v>
      </c>
      <c r="C517" s="37"/>
      <c r="D517" s="137">
        <v>165.00299999999999</v>
      </c>
      <c r="E517" s="36" t="s">
        <v>638</v>
      </c>
      <c r="F517" s="36">
        <v>1</v>
      </c>
      <c r="G517" s="36" t="s">
        <v>110</v>
      </c>
      <c r="H517" s="37">
        <v>44636</v>
      </c>
      <c r="I517" s="22" t="s">
        <v>721</v>
      </c>
    </row>
    <row r="518" spans="1:10" x14ac:dyDescent="0.3">
      <c r="A518" s="35">
        <v>1222025439</v>
      </c>
      <c r="B518" s="36">
        <v>40579914</v>
      </c>
      <c r="C518" s="37"/>
      <c r="D518" s="137">
        <v>517.99900000000002</v>
      </c>
      <c r="E518" s="36" t="s">
        <v>638</v>
      </c>
      <c r="F518" s="36">
        <v>1</v>
      </c>
      <c r="G518" s="36" t="s">
        <v>110</v>
      </c>
      <c r="H518" s="37">
        <v>44636</v>
      </c>
      <c r="I518" s="22" t="s">
        <v>721</v>
      </c>
    </row>
    <row r="519" spans="1:10" x14ac:dyDescent="0.3">
      <c r="A519" s="35">
        <v>1222025441</v>
      </c>
      <c r="B519" s="36">
        <v>52570099</v>
      </c>
      <c r="C519" s="37"/>
      <c r="D519" s="137">
        <v>383.49</v>
      </c>
      <c r="E519" s="36" t="s">
        <v>638</v>
      </c>
      <c r="F519" s="36">
        <v>1</v>
      </c>
      <c r="G519" s="36" t="s">
        <v>110</v>
      </c>
      <c r="H519" s="37">
        <v>44636</v>
      </c>
      <c r="I519" s="22" t="s">
        <v>721</v>
      </c>
    </row>
    <row r="520" spans="1:10" x14ac:dyDescent="0.3">
      <c r="A520" s="35">
        <v>1222025442</v>
      </c>
      <c r="B520" s="36">
        <v>53567852</v>
      </c>
      <c r="C520" s="37"/>
      <c r="D520" s="137">
        <v>54.784999999999997</v>
      </c>
      <c r="E520" s="36" t="s">
        <v>638</v>
      </c>
      <c r="F520" s="36">
        <v>1</v>
      </c>
      <c r="G520" s="36" t="s">
        <v>110</v>
      </c>
      <c r="H520" s="37">
        <v>44636</v>
      </c>
      <c r="I520" s="22" t="s">
        <v>721</v>
      </c>
    </row>
    <row r="521" spans="1:10" x14ac:dyDescent="0.3">
      <c r="A521" s="35">
        <v>1222025453</v>
      </c>
      <c r="B521" s="36" t="s">
        <v>722</v>
      </c>
      <c r="C521" s="37"/>
      <c r="D521" s="137">
        <v>220.00399999999999</v>
      </c>
      <c r="E521" s="36" t="s">
        <v>638</v>
      </c>
      <c r="F521" s="36">
        <v>1</v>
      </c>
      <c r="G521" s="36" t="s">
        <v>110</v>
      </c>
      <c r="H521" s="37">
        <v>44636</v>
      </c>
      <c r="I521" s="22" t="s">
        <v>721</v>
      </c>
    </row>
    <row r="522" spans="1:10" x14ac:dyDescent="0.3">
      <c r="A522" s="35">
        <v>1222025678</v>
      </c>
      <c r="B522" s="36">
        <v>73793644</v>
      </c>
      <c r="C522" s="37"/>
      <c r="D522" s="137">
        <v>2750.049</v>
      </c>
      <c r="E522" s="36" t="s">
        <v>638</v>
      </c>
      <c r="F522" s="36">
        <v>2</v>
      </c>
      <c r="G522" s="36" t="s">
        <v>110</v>
      </c>
      <c r="H522" s="37">
        <v>44636</v>
      </c>
      <c r="I522" s="22" t="s">
        <v>721</v>
      </c>
    </row>
    <row r="523" spans="1:10" x14ac:dyDescent="0.3">
      <c r="A523" s="35">
        <v>1222025708</v>
      </c>
      <c r="B523" s="36">
        <v>66578623</v>
      </c>
      <c r="C523" s="37"/>
      <c r="D523" s="137">
        <v>603.18499999999995</v>
      </c>
      <c r="E523" s="36" t="s">
        <v>638</v>
      </c>
      <c r="F523" s="36">
        <v>1</v>
      </c>
      <c r="G523" s="36" t="s">
        <v>110</v>
      </c>
      <c r="H523" s="37">
        <v>44636</v>
      </c>
      <c r="I523" s="22" t="s">
        <v>721</v>
      </c>
    </row>
    <row r="524" spans="1:10" x14ac:dyDescent="0.3">
      <c r="A524" s="35">
        <v>1222025736</v>
      </c>
      <c r="B524" s="36">
        <v>73910881</v>
      </c>
      <c r="C524" s="37"/>
      <c r="D524" s="137">
        <v>385.00700000000001</v>
      </c>
      <c r="E524" s="36" t="s">
        <v>638</v>
      </c>
      <c r="F524" s="36">
        <v>1</v>
      </c>
      <c r="G524" s="36" t="s">
        <v>110</v>
      </c>
      <c r="H524" s="37">
        <v>44636</v>
      </c>
      <c r="I524" s="22" t="s">
        <v>721</v>
      </c>
    </row>
    <row r="525" spans="1:10" x14ac:dyDescent="0.3">
      <c r="A525" s="35">
        <v>1222025463</v>
      </c>
      <c r="B525" s="36">
        <v>22553072</v>
      </c>
      <c r="C525" s="37"/>
      <c r="D525" s="137">
        <v>273.92200000000003</v>
      </c>
      <c r="E525" s="36" t="s">
        <v>638</v>
      </c>
      <c r="F525" s="36">
        <v>1</v>
      </c>
      <c r="G525" s="36" t="s">
        <v>110</v>
      </c>
      <c r="H525" s="37">
        <v>44636</v>
      </c>
      <c r="I525" s="22" t="s">
        <v>721</v>
      </c>
    </row>
    <row r="526" spans="1:10" x14ac:dyDescent="0.3">
      <c r="A526" s="70">
        <v>1222026800</v>
      </c>
      <c r="B526" s="71">
        <v>3578358</v>
      </c>
      <c r="C526" s="72"/>
      <c r="D526" s="142">
        <v>55.000999999999998</v>
      </c>
      <c r="E526" s="71" t="s">
        <v>638</v>
      </c>
      <c r="F526" s="71">
        <v>1</v>
      </c>
      <c r="G526" s="71" t="s">
        <v>110</v>
      </c>
      <c r="H526" s="149">
        <v>44638</v>
      </c>
      <c r="I526" s="22" t="s">
        <v>723</v>
      </c>
      <c r="J526" s="69" t="s">
        <v>699</v>
      </c>
    </row>
    <row r="527" spans="1:10" x14ac:dyDescent="0.3">
      <c r="A527" s="70">
        <v>1222026818</v>
      </c>
      <c r="B527" s="71">
        <v>74903759</v>
      </c>
      <c r="C527" s="72"/>
      <c r="D527" s="142">
        <v>11469.955</v>
      </c>
      <c r="E527" s="71" t="s">
        <v>638</v>
      </c>
      <c r="F527" s="71">
        <v>5</v>
      </c>
      <c r="G527" s="71" t="s">
        <v>110</v>
      </c>
      <c r="H527" s="72">
        <v>44638</v>
      </c>
      <c r="I527" s="22" t="s">
        <v>723</v>
      </c>
      <c r="J527" s="69" t="s">
        <v>699</v>
      </c>
    </row>
    <row r="528" spans="1:10" x14ac:dyDescent="0.3">
      <c r="A528" s="70">
        <v>1222026801</v>
      </c>
      <c r="B528" s="71">
        <v>3579484</v>
      </c>
      <c r="C528" s="72"/>
      <c r="D528" s="142">
        <v>208.52199999999999</v>
      </c>
      <c r="E528" s="71" t="s">
        <v>638</v>
      </c>
      <c r="F528" s="71">
        <v>1</v>
      </c>
      <c r="G528" s="71" t="s">
        <v>110</v>
      </c>
      <c r="H528" s="72">
        <v>44638</v>
      </c>
      <c r="I528" s="22" t="s">
        <v>723</v>
      </c>
      <c r="J528" s="69" t="s">
        <v>699</v>
      </c>
    </row>
    <row r="529" spans="1:10" x14ac:dyDescent="0.3">
      <c r="A529" s="70">
        <v>1222026806</v>
      </c>
      <c r="B529" s="71">
        <v>6581631</v>
      </c>
      <c r="C529" s="72"/>
      <c r="D529" s="142">
        <v>55.000999999999998</v>
      </c>
      <c r="E529" s="71" t="s">
        <v>638</v>
      </c>
      <c r="F529" s="71">
        <v>1</v>
      </c>
      <c r="G529" s="71" t="s">
        <v>110</v>
      </c>
      <c r="H529" s="72">
        <v>44638</v>
      </c>
      <c r="I529" s="22" t="s">
        <v>723</v>
      </c>
      <c r="J529" s="69" t="s">
        <v>699</v>
      </c>
    </row>
    <row r="530" spans="1:10" x14ac:dyDescent="0.3">
      <c r="A530" s="70">
        <v>1222026819</v>
      </c>
      <c r="B530" s="71">
        <v>74945035</v>
      </c>
      <c r="C530" s="72"/>
      <c r="D530" s="142">
        <v>1664.9939999999999</v>
      </c>
      <c r="E530" s="71" t="s">
        <v>638</v>
      </c>
      <c r="F530" s="71">
        <v>1</v>
      </c>
      <c r="G530" s="71" t="s">
        <v>110</v>
      </c>
      <c r="H530" s="72">
        <v>44638</v>
      </c>
      <c r="I530" s="22" t="s">
        <v>723</v>
      </c>
      <c r="J530" s="69" t="s">
        <v>699</v>
      </c>
    </row>
    <row r="531" spans="1:10" x14ac:dyDescent="0.3">
      <c r="A531" s="70">
        <v>1222026772</v>
      </c>
      <c r="B531" s="71">
        <v>57569174</v>
      </c>
      <c r="C531" s="72"/>
      <c r="D531" s="142">
        <v>402.12299999999999</v>
      </c>
      <c r="E531" s="71" t="s">
        <v>638</v>
      </c>
      <c r="F531" s="71">
        <v>1</v>
      </c>
      <c r="G531" s="71" t="s">
        <v>110</v>
      </c>
      <c r="H531" s="72">
        <v>44638</v>
      </c>
      <c r="I531" s="22" t="s">
        <v>723</v>
      </c>
      <c r="J531" s="69" t="s">
        <v>699</v>
      </c>
    </row>
    <row r="532" spans="1:10" x14ac:dyDescent="0.3">
      <c r="A532" s="70">
        <v>1222026786</v>
      </c>
      <c r="B532" s="71">
        <v>74834805</v>
      </c>
      <c r="C532" s="72"/>
      <c r="D532" s="142">
        <v>55.000999999999998</v>
      </c>
      <c r="E532" s="71" t="s">
        <v>638</v>
      </c>
      <c r="F532" s="71">
        <v>1</v>
      </c>
      <c r="G532" s="71" t="s">
        <v>110</v>
      </c>
      <c r="H532" s="72">
        <v>44638</v>
      </c>
      <c r="I532" s="22" t="s">
        <v>723</v>
      </c>
      <c r="J532" s="69" t="s">
        <v>699</v>
      </c>
    </row>
    <row r="533" spans="1:10" x14ac:dyDescent="0.3">
      <c r="A533" s="70">
        <v>1222026812</v>
      </c>
      <c r="B533" s="71">
        <v>51577274</v>
      </c>
      <c r="C533" s="72"/>
      <c r="D533" s="142">
        <v>1709.0250000000001</v>
      </c>
      <c r="E533" s="71" t="s">
        <v>638</v>
      </c>
      <c r="F533" s="71">
        <v>1</v>
      </c>
      <c r="G533" s="71" t="s">
        <v>110</v>
      </c>
      <c r="H533" s="72">
        <v>44638</v>
      </c>
      <c r="I533" s="22" t="s">
        <v>723</v>
      </c>
      <c r="J533" s="69" t="s">
        <v>699</v>
      </c>
    </row>
    <row r="534" spans="1:10" x14ac:dyDescent="0.3">
      <c r="A534" s="70">
        <v>1222026761</v>
      </c>
      <c r="B534" s="71">
        <v>96564362</v>
      </c>
      <c r="C534" s="72"/>
      <c r="D534" s="142">
        <v>703.71600000000001</v>
      </c>
      <c r="E534" s="71" t="s">
        <v>638</v>
      </c>
      <c r="F534" s="71">
        <v>1</v>
      </c>
      <c r="G534" s="71" t="s">
        <v>110</v>
      </c>
      <c r="H534" s="72">
        <v>44638</v>
      </c>
      <c r="I534" s="22" t="s">
        <v>723</v>
      </c>
      <c r="J534" s="69" t="s">
        <v>699</v>
      </c>
    </row>
    <row r="535" spans="1:10" x14ac:dyDescent="0.3">
      <c r="A535" s="70">
        <v>1222026810</v>
      </c>
      <c r="B535" s="71">
        <v>31584505</v>
      </c>
      <c r="C535" s="72"/>
      <c r="D535" s="142">
        <v>220.00399999999999</v>
      </c>
      <c r="E535" s="71" t="s">
        <v>638</v>
      </c>
      <c r="F535" s="71">
        <v>1</v>
      </c>
      <c r="G535" s="71" t="s">
        <v>110</v>
      </c>
      <c r="H535" s="72">
        <v>44638</v>
      </c>
      <c r="I535" s="22" t="s">
        <v>723</v>
      </c>
      <c r="J535" s="69" t="s">
        <v>699</v>
      </c>
    </row>
    <row r="536" spans="1:10" x14ac:dyDescent="0.3">
      <c r="A536" s="70">
        <v>1222027735</v>
      </c>
      <c r="B536" s="71">
        <v>45917569</v>
      </c>
      <c r="C536" s="72"/>
      <c r="D536" s="142">
        <v>8800.15</v>
      </c>
      <c r="E536" s="71" t="s">
        <v>638</v>
      </c>
      <c r="F536" s="71">
        <v>5</v>
      </c>
      <c r="G536" s="71" t="s">
        <v>110</v>
      </c>
      <c r="H536" s="72">
        <v>44641</v>
      </c>
      <c r="I536" s="22" t="s">
        <v>724</v>
      </c>
    </row>
    <row r="537" spans="1:10" x14ac:dyDescent="0.3">
      <c r="A537" s="70">
        <v>1222021329</v>
      </c>
      <c r="B537" s="71">
        <v>45904578</v>
      </c>
      <c r="C537" s="72"/>
      <c r="D537" s="142">
        <v>4439.9840000000004</v>
      </c>
      <c r="E537" s="71" t="s">
        <v>638</v>
      </c>
      <c r="F537" s="71">
        <v>2</v>
      </c>
      <c r="G537" s="71" t="s">
        <v>110</v>
      </c>
      <c r="H537" s="72">
        <v>44642</v>
      </c>
      <c r="I537" s="22" t="s">
        <v>725</v>
      </c>
    </row>
    <row r="538" spans="1:10" x14ac:dyDescent="0.3">
      <c r="A538" s="70">
        <v>1222030952</v>
      </c>
      <c r="B538" s="71">
        <v>45920501</v>
      </c>
      <c r="C538" s="72"/>
      <c r="D538" s="142">
        <v>17600.3</v>
      </c>
      <c r="E538" s="71" t="s">
        <v>638</v>
      </c>
      <c r="F538" s="71">
        <v>10</v>
      </c>
      <c r="G538" s="71" t="s">
        <v>110</v>
      </c>
      <c r="H538" s="72">
        <v>44648</v>
      </c>
      <c r="I538" s="22" t="s">
        <v>726</v>
      </c>
    </row>
    <row r="539" spans="1:10" x14ac:dyDescent="0.3">
      <c r="A539" s="35">
        <v>1222034560</v>
      </c>
      <c r="B539" s="36">
        <v>26939214</v>
      </c>
      <c r="C539" s="37">
        <v>44655</v>
      </c>
      <c r="D539" s="137">
        <v>14080.24</v>
      </c>
      <c r="E539" s="36" t="s">
        <v>638</v>
      </c>
      <c r="F539" s="36">
        <v>8</v>
      </c>
      <c r="G539" s="36" t="s">
        <v>110</v>
      </c>
      <c r="H539" s="37">
        <v>44655</v>
      </c>
      <c r="I539" s="22" t="s">
        <v>727</v>
      </c>
    </row>
    <row r="540" spans="1:10" x14ac:dyDescent="0.3">
      <c r="A540" s="35">
        <v>1222060628</v>
      </c>
      <c r="B540" s="36">
        <v>26932238</v>
      </c>
      <c r="C540" s="37">
        <v>44718</v>
      </c>
      <c r="D540" s="137">
        <v>12320.21</v>
      </c>
      <c r="E540" s="36" t="s">
        <v>638</v>
      </c>
      <c r="F540" s="36">
        <v>7</v>
      </c>
      <c r="G540" s="36" t="s">
        <v>110</v>
      </c>
      <c r="H540" s="37">
        <v>44718</v>
      </c>
      <c r="I540" s="22"/>
    </row>
    <row r="541" spans="1:10" x14ac:dyDescent="0.3">
      <c r="A541" s="35">
        <v>1222064096</v>
      </c>
      <c r="B541" s="36">
        <v>38930592</v>
      </c>
      <c r="C541" s="37">
        <v>44726</v>
      </c>
      <c r="D541" s="137">
        <v>1760.03</v>
      </c>
      <c r="E541" s="36" t="s">
        <v>638</v>
      </c>
      <c r="F541" s="36">
        <v>1</v>
      </c>
      <c r="G541" s="36" t="s">
        <v>110</v>
      </c>
      <c r="H541" s="37">
        <v>44726</v>
      </c>
      <c r="I541" s="36" t="s">
        <v>728</v>
      </c>
      <c r="J541" s="23" t="s">
        <v>729</v>
      </c>
    </row>
    <row r="542" spans="1:10" x14ac:dyDescent="0.3">
      <c r="A542" s="35">
        <v>1222064097</v>
      </c>
      <c r="B542" s="36">
        <v>38930593</v>
      </c>
      <c r="C542" s="37">
        <v>44726</v>
      </c>
      <c r="D542" s="137">
        <v>3520.06</v>
      </c>
      <c r="E542" s="36" t="s">
        <v>638</v>
      </c>
      <c r="F542" s="36">
        <v>2</v>
      </c>
      <c r="G542" s="36" t="s">
        <v>110</v>
      </c>
      <c r="H542" s="37">
        <v>44726</v>
      </c>
      <c r="I542" s="36" t="s">
        <v>728</v>
      </c>
      <c r="J542" s="23" t="s">
        <v>729</v>
      </c>
    </row>
    <row r="543" spans="1:10" x14ac:dyDescent="0.3">
      <c r="A543" s="35">
        <v>1222063794</v>
      </c>
      <c r="B543" s="36">
        <v>31938910</v>
      </c>
      <c r="C543" s="37">
        <v>44726</v>
      </c>
      <c r="D543" s="137">
        <v>15539.93</v>
      </c>
      <c r="E543" s="36" t="s">
        <v>638</v>
      </c>
      <c r="F543" s="36">
        <v>7</v>
      </c>
      <c r="G543" s="36" t="s">
        <v>110</v>
      </c>
      <c r="H543" s="37">
        <v>44726</v>
      </c>
      <c r="I543" s="36" t="s">
        <v>728</v>
      </c>
      <c r="J543" s="23" t="s">
        <v>729</v>
      </c>
    </row>
    <row r="544" spans="1:10" x14ac:dyDescent="0.3">
      <c r="A544" s="35">
        <v>1222053051</v>
      </c>
      <c r="B544" s="36">
        <v>33928268</v>
      </c>
      <c r="C544" s="37">
        <v>44726</v>
      </c>
      <c r="D544" s="137">
        <v>11099.958000000001</v>
      </c>
      <c r="E544" s="36" t="s">
        <v>638</v>
      </c>
      <c r="F544" s="36">
        <v>5</v>
      </c>
      <c r="G544" s="36" t="s">
        <v>110</v>
      </c>
      <c r="H544" s="37">
        <v>44726</v>
      </c>
      <c r="I544" s="36" t="s">
        <v>728</v>
      </c>
      <c r="J544" s="23" t="s">
        <v>729</v>
      </c>
    </row>
    <row r="545" spans="1:10" x14ac:dyDescent="0.3">
      <c r="A545" s="35">
        <v>1222062845</v>
      </c>
      <c r="B545" s="36">
        <v>7560037</v>
      </c>
      <c r="C545" s="37">
        <v>44732</v>
      </c>
      <c r="D545" s="137">
        <v>50.265000000000001</v>
      </c>
      <c r="E545" s="36" t="s">
        <v>638</v>
      </c>
      <c r="F545" s="36">
        <v>1</v>
      </c>
      <c r="G545" s="36" t="s">
        <v>110</v>
      </c>
      <c r="H545" s="37">
        <v>44732</v>
      </c>
      <c r="I545" s="36" t="s">
        <v>730</v>
      </c>
    </row>
    <row r="546" spans="1:10" x14ac:dyDescent="0.3">
      <c r="A546" s="35">
        <v>1222062847</v>
      </c>
      <c r="B546" s="36">
        <v>29577158</v>
      </c>
      <c r="C546" s="37">
        <v>44732</v>
      </c>
      <c r="D546" s="137">
        <v>304</v>
      </c>
      <c r="E546" s="36" t="s">
        <v>638</v>
      </c>
      <c r="F546" s="36">
        <v>1</v>
      </c>
      <c r="G546" s="36" t="s">
        <v>110</v>
      </c>
      <c r="H546" s="37">
        <v>44732</v>
      </c>
      <c r="I546" s="36" t="s">
        <v>730</v>
      </c>
    </row>
    <row r="547" spans="1:10" x14ac:dyDescent="0.3">
      <c r="A547" s="35">
        <v>1222062849</v>
      </c>
      <c r="B547" s="36">
        <v>2575410</v>
      </c>
      <c r="C547" s="37">
        <v>44732</v>
      </c>
      <c r="D547" s="137">
        <v>304</v>
      </c>
      <c r="E547" s="36" t="s">
        <v>638</v>
      </c>
      <c r="F547" s="36">
        <v>1</v>
      </c>
      <c r="G547" s="36" t="s">
        <v>110</v>
      </c>
      <c r="H547" s="37">
        <v>44732</v>
      </c>
      <c r="I547" s="36" t="s">
        <v>730</v>
      </c>
    </row>
    <row r="548" spans="1:10" x14ac:dyDescent="0.3">
      <c r="A548" s="35">
        <v>1222062850</v>
      </c>
      <c r="B548" s="36">
        <v>44576756</v>
      </c>
      <c r="C548" s="37">
        <v>44732</v>
      </c>
      <c r="D548" s="137">
        <v>704</v>
      </c>
      <c r="E548" s="36" t="s">
        <v>638</v>
      </c>
      <c r="F548" s="36">
        <v>1</v>
      </c>
      <c r="G548" s="36" t="s">
        <v>110</v>
      </c>
      <c r="H548" s="37">
        <v>44732</v>
      </c>
      <c r="I548" s="36" t="s">
        <v>730</v>
      </c>
    </row>
    <row r="549" spans="1:10" x14ac:dyDescent="0.3">
      <c r="A549" s="35">
        <v>1222062854</v>
      </c>
      <c r="B549" s="36">
        <v>12734076</v>
      </c>
      <c r="C549" s="37">
        <v>44732</v>
      </c>
      <c r="D549" s="137">
        <v>200</v>
      </c>
      <c r="E549" s="36" t="s">
        <v>638</v>
      </c>
      <c r="F549" s="36">
        <v>1</v>
      </c>
      <c r="G549" s="36" t="s">
        <v>110</v>
      </c>
      <c r="H549" s="37">
        <v>44732</v>
      </c>
      <c r="I549" s="36" t="s">
        <v>730</v>
      </c>
    </row>
    <row r="550" spans="1:10" x14ac:dyDescent="0.3">
      <c r="A550" s="35">
        <v>1222062857</v>
      </c>
      <c r="B550" s="36">
        <v>47576350</v>
      </c>
      <c r="C550" s="37">
        <v>44732</v>
      </c>
      <c r="D550" s="137">
        <v>350</v>
      </c>
      <c r="E550" s="36" t="s">
        <v>638</v>
      </c>
      <c r="F550" s="36">
        <v>1</v>
      </c>
      <c r="G550" s="36" t="s">
        <v>110</v>
      </c>
      <c r="H550" s="37">
        <v>44732</v>
      </c>
      <c r="I550" s="36" t="s">
        <v>730</v>
      </c>
    </row>
    <row r="551" spans="1:10" x14ac:dyDescent="0.3">
      <c r="A551" s="35">
        <v>1222062932</v>
      </c>
      <c r="B551" s="36">
        <v>64580837</v>
      </c>
      <c r="C551" s="37">
        <v>44732</v>
      </c>
      <c r="D551" s="137">
        <v>1751</v>
      </c>
      <c r="E551" s="36" t="s">
        <v>638</v>
      </c>
      <c r="F551" s="36">
        <v>1</v>
      </c>
      <c r="G551" s="36" t="s">
        <v>110</v>
      </c>
      <c r="H551" s="37">
        <v>44732</v>
      </c>
      <c r="I551" s="36" t="s">
        <v>730</v>
      </c>
    </row>
    <row r="552" spans="1:10" x14ac:dyDescent="0.3">
      <c r="A552" s="35">
        <v>1222062936</v>
      </c>
      <c r="B552" s="36">
        <v>12913510</v>
      </c>
      <c r="C552" s="37">
        <v>44732</v>
      </c>
      <c r="D552" s="137">
        <v>3630</v>
      </c>
      <c r="E552" s="36" t="s">
        <v>638</v>
      </c>
      <c r="F552" s="36">
        <v>4</v>
      </c>
      <c r="G552" s="36" t="s">
        <v>110</v>
      </c>
      <c r="H552" s="37">
        <v>44732</v>
      </c>
      <c r="I552" s="36" t="s">
        <v>730</v>
      </c>
    </row>
    <row r="553" spans="1:10" x14ac:dyDescent="0.3">
      <c r="A553" s="35">
        <v>1222062966</v>
      </c>
      <c r="B553" s="36">
        <v>3583956</v>
      </c>
      <c r="C553" s="37">
        <v>44732</v>
      </c>
      <c r="D553" s="137">
        <v>250</v>
      </c>
      <c r="E553" s="36" t="s">
        <v>638</v>
      </c>
      <c r="F553" s="36">
        <v>1</v>
      </c>
      <c r="G553" s="36" t="s">
        <v>110</v>
      </c>
      <c r="H553" s="37">
        <v>44732</v>
      </c>
      <c r="I553" s="36" t="s">
        <v>730</v>
      </c>
    </row>
    <row r="554" spans="1:10" x14ac:dyDescent="0.3">
      <c r="A554" s="35">
        <v>1222062844</v>
      </c>
      <c r="B554" s="36">
        <v>1222062844</v>
      </c>
      <c r="C554" s="37">
        <v>44732</v>
      </c>
      <c r="D554" s="137">
        <v>50</v>
      </c>
      <c r="E554" s="36" t="s">
        <v>638</v>
      </c>
      <c r="F554" s="36">
        <v>1</v>
      </c>
      <c r="G554" s="36" t="s">
        <v>110</v>
      </c>
      <c r="H554" s="37">
        <v>44732</v>
      </c>
      <c r="I554" s="36" t="s">
        <v>730</v>
      </c>
    </row>
    <row r="555" spans="1:10" x14ac:dyDescent="0.3">
      <c r="A555" s="50">
        <v>1222062846</v>
      </c>
      <c r="B555" s="51">
        <v>12654596</v>
      </c>
      <c r="C555" s="52">
        <v>44732</v>
      </c>
      <c r="D555" s="140">
        <v>750.01</v>
      </c>
      <c r="E555" s="51" t="s">
        <v>638</v>
      </c>
      <c r="F555" s="51">
        <v>1</v>
      </c>
      <c r="G555" s="51" t="s">
        <v>110</v>
      </c>
      <c r="H555" s="52">
        <v>44732</v>
      </c>
      <c r="I555" s="51" t="s">
        <v>659</v>
      </c>
      <c r="J555" s="95"/>
    </row>
    <row r="556" spans="1:10" x14ac:dyDescent="0.3">
      <c r="A556" s="50">
        <v>1222063371</v>
      </c>
      <c r="B556" s="51">
        <v>14550872</v>
      </c>
      <c r="C556" s="52">
        <v>44735</v>
      </c>
      <c r="D556" s="140">
        <v>25</v>
      </c>
      <c r="E556" s="51" t="s">
        <v>638</v>
      </c>
      <c r="F556" s="51">
        <v>1</v>
      </c>
      <c r="G556" s="51" t="s">
        <v>110</v>
      </c>
      <c r="H556" s="52">
        <v>44734</v>
      </c>
      <c r="I556" s="51" t="s">
        <v>659</v>
      </c>
      <c r="J556" s="95"/>
    </row>
    <row r="557" spans="1:10" x14ac:dyDescent="0.3">
      <c r="A557" s="50">
        <v>1222063373</v>
      </c>
      <c r="B557" s="51">
        <v>20560439</v>
      </c>
      <c r="C557" s="52">
        <v>44735</v>
      </c>
      <c r="D557" s="140">
        <v>75</v>
      </c>
      <c r="E557" s="51" t="s">
        <v>638</v>
      </c>
      <c r="F557" s="51">
        <v>1</v>
      </c>
      <c r="G557" s="51" t="s">
        <v>110</v>
      </c>
      <c r="H557" s="52">
        <v>44734</v>
      </c>
      <c r="I557" s="51" t="s">
        <v>659</v>
      </c>
      <c r="J557" s="95"/>
    </row>
    <row r="558" spans="1:10" x14ac:dyDescent="0.3">
      <c r="A558" s="50">
        <v>1222065030</v>
      </c>
      <c r="B558" s="51">
        <v>14848523</v>
      </c>
      <c r="C558" s="52">
        <v>44735</v>
      </c>
      <c r="D558" s="140">
        <v>50</v>
      </c>
      <c r="E558" s="51" t="s">
        <v>638</v>
      </c>
      <c r="F558" s="51">
        <v>1</v>
      </c>
      <c r="G558" s="51" t="s">
        <v>110</v>
      </c>
      <c r="H558" s="52">
        <v>44734</v>
      </c>
      <c r="I558" s="51" t="s">
        <v>659</v>
      </c>
      <c r="J558" s="95"/>
    </row>
    <row r="559" spans="1:10" x14ac:dyDescent="0.3">
      <c r="A559" s="50">
        <v>1222065211</v>
      </c>
      <c r="B559" s="51">
        <v>14672064</v>
      </c>
      <c r="C559" s="52">
        <v>44735</v>
      </c>
      <c r="D559" s="140">
        <v>200</v>
      </c>
      <c r="E559" s="51" t="s">
        <v>638</v>
      </c>
      <c r="F559" s="51">
        <v>1</v>
      </c>
      <c r="G559" s="51" t="s">
        <v>110</v>
      </c>
      <c r="H559" s="52">
        <v>44734</v>
      </c>
      <c r="I559" s="51" t="s">
        <v>659</v>
      </c>
      <c r="J559" s="95"/>
    </row>
    <row r="560" spans="1:10" x14ac:dyDescent="0.3">
      <c r="A560" s="50">
        <v>1222063092</v>
      </c>
      <c r="B560" s="51">
        <v>1586778</v>
      </c>
      <c r="C560" s="52">
        <v>44735</v>
      </c>
      <c r="D560" s="140">
        <v>50</v>
      </c>
      <c r="E560" s="51" t="s">
        <v>638</v>
      </c>
      <c r="F560" s="51">
        <v>1</v>
      </c>
      <c r="G560" s="51" t="s">
        <v>110</v>
      </c>
      <c r="H560" s="52">
        <v>44734</v>
      </c>
      <c r="I560" s="51" t="s">
        <v>731</v>
      </c>
      <c r="J560" s="73" t="s">
        <v>699</v>
      </c>
    </row>
    <row r="561" spans="1:10" x14ac:dyDescent="0.3">
      <c r="A561" s="50">
        <v>1221088423</v>
      </c>
      <c r="B561" s="51">
        <v>15560183</v>
      </c>
      <c r="C561" s="52">
        <v>44740</v>
      </c>
      <c r="D561" s="140">
        <v>580</v>
      </c>
      <c r="E561" s="51" t="s">
        <v>638</v>
      </c>
      <c r="F561" s="51">
        <v>1</v>
      </c>
      <c r="G561" s="51" t="s">
        <v>110</v>
      </c>
      <c r="H561" s="52">
        <v>44740</v>
      </c>
      <c r="I561" s="51" t="s">
        <v>732</v>
      </c>
      <c r="J561" s="73" t="s">
        <v>733</v>
      </c>
    </row>
    <row r="562" spans="1:10" x14ac:dyDescent="0.3">
      <c r="A562" s="35">
        <v>1222062951</v>
      </c>
      <c r="B562" s="36">
        <v>89569763</v>
      </c>
      <c r="C562" s="37">
        <v>44732</v>
      </c>
      <c r="D562" s="137">
        <v>250</v>
      </c>
      <c r="E562" s="36" t="s">
        <v>638</v>
      </c>
      <c r="F562" s="36">
        <v>1</v>
      </c>
      <c r="G562" s="36" t="s">
        <v>110</v>
      </c>
      <c r="H562" s="37">
        <v>44732</v>
      </c>
      <c r="I562" s="36" t="s">
        <v>730</v>
      </c>
      <c r="J562" s="74" t="s">
        <v>699</v>
      </c>
    </row>
    <row r="563" spans="1:10" x14ac:dyDescent="0.3">
      <c r="A563" s="35">
        <v>1222062973</v>
      </c>
      <c r="B563" s="36">
        <v>1586315</v>
      </c>
      <c r="C563" s="37">
        <v>44732</v>
      </c>
      <c r="D563" s="137">
        <v>350</v>
      </c>
      <c r="E563" s="36" t="s">
        <v>638</v>
      </c>
      <c r="F563" s="36">
        <v>1</v>
      </c>
      <c r="G563" s="36" t="s">
        <v>110</v>
      </c>
      <c r="H563" s="37">
        <v>44732</v>
      </c>
      <c r="I563" s="36" t="s">
        <v>730</v>
      </c>
      <c r="J563" s="74" t="s">
        <v>699</v>
      </c>
    </row>
    <row r="564" spans="1:10" x14ac:dyDescent="0.3">
      <c r="A564" s="35">
        <v>1222063333</v>
      </c>
      <c r="B564" s="36">
        <v>21581025</v>
      </c>
      <c r="C564" s="37">
        <v>44735</v>
      </c>
      <c r="D564" s="137">
        <v>25</v>
      </c>
      <c r="E564" s="36" t="s">
        <v>638</v>
      </c>
      <c r="F564" s="36">
        <v>1</v>
      </c>
      <c r="G564" s="36" t="s">
        <v>110</v>
      </c>
      <c r="H564" s="37">
        <v>44734</v>
      </c>
      <c r="I564" s="36" t="s">
        <v>731</v>
      </c>
      <c r="J564" s="74" t="s">
        <v>699</v>
      </c>
    </row>
    <row r="565" spans="1:10" x14ac:dyDescent="0.3">
      <c r="A565" s="35">
        <v>1222063396</v>
      </c>
      <c r="B565" s="36">
        <v>12732073</v>
      </c>
      <c r="C565" s="37">
        <v>44735</v>
      </c>
      <c r="D565" s="137">
        <v>25</v>
      </c>
      <c r="E565" s="36" t="s">
        <v>638</v>
      </c>
      <c r="F565" s="36">
        <v>1</v>
      </c>
      <c r="G565" s="36" t="s">
        <v>110</v>
      </c>
      <c r="H565" s="37">
        <v>44734</v>
      </c>
      <c r="I565" s="36" t="s">
        <v>731</v>
      </c>
      <c r="J565" s="74" t="s">
        <v>699</v>
      </c>
    </row>
    <row r="566" spans="1:10" x14ac:dyDescent="0.3">
      <c r="A566" s="35">
        <v>1222063403</v>
      </c>
      <c r="B566" s="36">
        <v>12807021</v>
      </c>
      <c r="C566" s="37">
        <v>44735</v>
      </c>
      <c r="D566" s="137">
        <v>25</v>
      </c>
      <c r="E566" s="36" t="s">
        <v>638</v>
      </c>
      <c r="F566" s="36">
        <v>1</v>
      </c>
      <c r="G566" s="36" t="s">
        <v>110</v>
      </c>
      <c r="H566" s="37">
        <v>44734</v>
      </c>
      <c r="I566" s="36" t="s">
        <v>731</v>
      </c>
      <c r="J566" s="74" t="s">
        <v>699</v>
      </c>
    </row>
    <row r="567" spans="1:10" x14ac:dyDescent="0.3">
      <c r="A567" s="35">
        <v>1222063408</v>
      </c>
      <c r="B567" s="36">
        <v>50585892</v>
      </c>
      <c r="C567" s="37">
        <v>44735</v>
      </c>
      <c r="D567" s="137">
        <v>75</v>
      </c>
      <c r="E567" s="36" t="s">
        <v>638</v>
      </c>
      <c r="F567" s="36">
        <v>1</v>
      </c>
      <c r="G567" s="36" t="s">
        <v>110</v>
      </c>
      <c r="H567" s="37">
        <v>44734</v>
      </c>
      <c r="I567" s="36" t="s">
        <v>731</v>
      </c>
      <c r="J567" s="74" t="s">
        <v>699</v>
      </c>
    </row>
    <row r="568" spans="1:10" x14ac:dyDescent="0.3">
      <c r="A568" s="35">
        <v>1222063410</v>
      </c>
      <c r="B568" s="36">
        <v>77587787</v>
      </c>
      <c r="C568" s="37">
        <v>44735</v>
      </c>
      <c r="D568" s="137">
        <v>50</v>
      </c>
      <c r="E568" s="36" t="s">
        <v>638</v>
      </c>
      <c r="F568" s="36">
        <v>1</v>
      </c>
      <c r="G568" s="36" t="s">
        <v>110</v>
      </c>
      <c r="H568" s="37">
        <v>44734</v>
      </c>
      <c r="I568" s="36" t="s">
        <v>731</v>
      </c>
      <c r="J568" s="74" t="s">
        <v>699</v>
      </c>
    </row>
    <row r="569" spans="1:10" x14ac:dyDescent="0.3">
      <c r="A569" s="35">
        <v>1222063414</v>
      </c>
      <c r="B569" s="36">
        <v>3580813</v>
      </c>
      <c r="C569" s="37">
        <v>44735</v>
      </c>
      <c r="D569" s="137">
        <v>25</v>
      </c>
      <c r="E569" s="36" t="s">
        <v>638</v>
      </c>
      <c r="F569" s="36">
        <v>1</v>
      </c>
      <c r="G569" s="36" t="s">
        <v>110</v>
      </c>
      <c r="H569" s="37">
        <v>44734</v>
      </c>
      <c r="I569" s="36" t="s">
        <v>731</v>
      </c>
      <c r="J569" s="74" t="s">
        <v>699</v>
      </c>
    </row>
    <row r="570" spans="1:10" x14ac:dyDescent="0.3">
      <c r="A570" s="35">
        <v>1222063415</v>
      </c>
      <c r="B570" s="36">
        <v>8586135</v>
      </c>
      <c r="C570" s="37">
        <v>44735</v>
      </c>
      <c r="D570" s="137">
        <v>75</v>
      </c>
      <c r="E570" s="36" t="s">
        <v>638</v>
      </c>
      <c r="F570" s="36">
        <v>1</v>
      </c>
      <c r="G570" s="36" t="s">
        <v>110</v>
      </c>
      <c r="H570" s="37">
        <v>44734</v>
      </c>
      <c r="I570" s="36" t="s">
        <v>731</v>
      </c>
      <c r="J570" s="74" t="s">
        <v>699</v>
      </c>
    </row>
    <row r="571" spans="1:10" x14ac:dyDescent="0.3">
      <c r="A571" s="35">
        <v>1222065002</v>
      </c>
      <c r="B571" s="36">
        <v>10589373</v>
      </c>
      <c r="C571" s="37">
        <v>44735</v>
      </c>
      <c r="D571" s="137">
        <v>50</v>
      </c>
      <c r="E571" s="36" t="s">
        <v>638</v>
      </c>
      <c r="F571" s="36">
        <v>1</v>
      </c>
      <c r="G571" s="36" t="s">
        <v>110</v>
      </c>
      <c r="H571" s="37">
        <v>44734</v>
      </c>
      <c r="I571" s="36" t="s">
        <v>731</v>
      </c>
      <c r="J571" s="74" t="s">
        <v>699</v>
      </c>
    </row>
    <row r="572" spans="1:10" x14ac:dyDescent="0.3">
      <c r="A572" s="35">
        <v>1222065189</v>
      </c>
      <c r="B572" s="36">
        <v>74577218</v>
      </c>
      <c r="C572" s="37">
        <v>44735</v>
      </c>
      <c r="D572" s="137">
        <v>50</v>
      </c>
      <c r="E572" s="36" t="s">
        <v>638</v>
      </c>
      <c r="F572" s="36">
        <v>1</v>
      </c>
      <c r="G572" s="36" t="s">
        <v>110</v>
      </c>
      <c r="H572" s="37">
        <v>44734</v>
      </c>
      <c r="I572" s="36" t="s">
        <v>731</v>
      </c>
      <c r="J572" s="74" t="s">
        <v>699</v>
      </c>
    </row>
    <row r="573" spans="1:10" x14ac:dyDescent="0.3">
      <c r="A573" s="35">
        <v>1222065200</v>
      </c>
      <c r="B573" s="36">
        <v>14619812</v>
      </c>
      <c r="C573" s="37">
        <v>44735</v>
      </c>
      <c r="D573" s="137">
        <v>75</v>
      </c>
      <c r="E573" s="36" t="s">
        <v>638</v>
      </c>
      <c r="F573" s="36">
        <v>1</v>
      </c>
      <c r="G573" s="36" t="s">
        <v>110</v>
      </c>
      <c r="H573" s="37">
        <v>44734</v>
      </c>
      <c r="I573" s="36" t="s">
        <v>731</v>
      </c>
      <c r="J573" s="74" t="s">
        <v>699</v>
      </c>
    </row>
    <row r="574" spans="1:10" x14ac:dyDescent="0.3">
      <c r="A574" s="35">
        <v>1222065201</v>
      </c>
      <c r="B574" s="36">
        <v>14629930</v>
      </c>
      <c r="C574" s="37">
        <v>44735</v>
      </c>
      <c r="D574" s="137">
        <v>2450</v>
      </c>
      <c r="E574" s="36" t="s">
        <v>638</v>
      </c>
      <c r="F574" s="36">
        <v>1</v>
      </c>
      <c r="G574" s="36" t="s">
        <v>110</v>
      </c>
      <c r="H574" s="37">
        <v>44734</v>
      </c>
      <c r="I574" s="36" t="s">
        <v>731</v>
      </c>
      <c r="J574" s="74" t="s">
        <v>699</v>
      </c>
    </row>
    <row r="575" spans="1:10" x14ac:dyDescent="0.3">
      <c r="A575" s="35">
        <v>1222060727</v>
      </c>
      <c r="B575" s="36" t="s">
        <v>734</v>
      </c>
      <c r="C575" s="37">
        <v>44735</v>
      </c>
      <c r="D575" s="137">
        <v>690.5</v>
      </c>
      <c r="E575" s="36" t="s">
        <v>638</v>
      </c>
      <c r="F575" s="36">
        <v>1</v>
      </c>
      <c r="G575" s="36" t="s">
        <v>110</v>
      </c>
      <c r="H575" s="37">
        <v>44734</v>
      </c>
      <c r="I575" s="36" t="s">
        <v>731</v>
      </c>
      <c r="J575" s="74" t="s">
        <v>699</v>
      </c>
    </row>
    <row r="576" spans="1:10" x14ac:dyDescent="0.3">
      <c r="A576" s="35">
        <v>1222066495</v>
      </c>
      <c r="B576" s="36" t="s">
        <v>735</v>
      </c>
      <c r="C576" s="37">
        <v>44735</v>
      </c>
      <c r="D576" s="137">
        <v>72.5</v>
      </c>
      <c r="E576" s="36" t="s">
        <v>638</v>
      </c>
      <c r="F576" s="36">
        <v>1</v>
      </c>
      <c r="G576" s="36" t="s">
        <v>110</v>
      </c>
      <c r="H576" s="37">
        <v>44734</v>
      </c>
      <c r="I576" s="36" t="s">
        <v>731</v>
      </c>
      <c r="J576" s="74" t="s">
        <v>699</v>
      </c>
    </row>
    <row r="577" spans="1:10" x14ac:dyDescent="0.3">
      <c r="A577" s="35">
        <v>1222066497</v>
      </c>
      <c r="B577" s="36" t="s">
        <v>736</v>
      </c>
      <c r="C577" s="37">
        <v>44735</v>
      </c>
      <c r="D577" s="137">
        <v>3532.5</v>
      </c>
      <c r="E577" s="36" t="s">
        <v>638</v>
      </c>
      <c r="F577" s="36">
        <v>4</v>
      </c>
      <c r="G577" s="36" t="s">
        <v>110</v>
      </c>
      <c r="H577" s="37">
        <v>44734</v>
      </c>
      <c r="I577" s="36" t="s">
        <v>731</v>
      </c>
      <c r="J577" s="74" t="s">
        <v>699</v>
      </c>
    </row>
    <row r="578" spans="1:10" x14ac:dyDescent="0.3">
      <c r="A578" s="35">
        <v>1222066499</v>
      </c>
      <c r="B578" s="36" t="s">
        <v>737</v>
      </c>
      <c r="C578" s="37">
        <v>44735</v>
      </c>
      <c r="D578" s="137">
        <v>3132.5</v>
      </c>
      <c r="E578" s="36" t="s">
        <v>638</v>
      </c>
      <c r="F578" s="36">
        <v>2</v>
      </c>
      <c r="G578" s="36" t="s">
        <v>110</v>
      </c>
      <c r="H578" s="37">
        <v>44734</v>
      </c>
      <c r="I578" s="36" t="s">
        <v>731</v>
      </c>
      <c r="J578" s="74" t="s">
        <v>699</v>
      </c>
    </row>
    <row r="579" spans="1:10" x14ac:dyDescent="0.3">
      <c r="A579" s="35">
        <v>1222066502</v>
      </c>
      <c r="B579" s="36" t="s">
        <v>738</v>
      </c>
      <c r="C579" s="37">
        <v>44735</v>
      </c>
      <c r="D579" s="137">
        <v>690.5</v>
      </c>
      <c r="E579" s="36" t="s">
        <v>638</v>
      </c>
      <c r="F579" s="36">
        <v>1</v>
      </c>
      <c r="G579" s="36" t="s">
        <v>110</v>
      </c>
      <c r="H579" s="37">
        <v>44734</v>
      </c>
      <c r="I579" s="36" t="s">
        <v>731</v>
      </c>
      <c r="J579" s="74" t="s">
        <v>699</v>
      </c>
    </row>
    <row r="580" spans="1:10" x14ac:dyDescent="0.3">
      <c r="A580" s="35">
        <v>1222069124</v>
      </c>
      <c r="B580" s="36"/>
      <c r="C580" s="37"/>
      <c r="D580" s="137"/>
      <c r="E580" s="36"/>
      <c r="F580" s="36"/>
      <c r="G580" s="36"/>
      <c r="H580" s="37"/>
      <c r="I580" s="36"/>
      <c r="J580" s="44"/>
    </row>
    <row r="581" spans="1:10" x14ac:dyDescent="0.3">
      <c r="A581" s="35">
        <v>1222067255</v>
      </c>
      <c r="B581" s="36">
        <v>1586344</v>
      </c>
      <c r="C581" s="37">
        <v>44740</v>
      </c>
      <c r="D581" s="137">
        <v>406</v>
      </c>
      <c r="E581" s="36" t="s">
        <v>638</v>
      </c>
      <c r="F581" s="36">
        <v>1</v>
      </c>
      <c r="G581" s="36" t="s">
        <v>110</v>
      </c>
      <c r="H581" s="37">
        <v>44740</v>
      </c>
      <c r="I581" s="36" t="s">
        <v>732</v>
      </c>
      <c r="J581" s="74" t="s">
        <v>733</v>
      </c>
    </row>
    <row r="582" spans="1:10" x14ac:dyDescent="0.3">
      <c r="A582" s="35">
        <v>1222067278</v>
      </c>
      <c r="B582" s="36">
        <v>79550878</v>
      </c>
      <c r="C582" s="37">
        <v>44740</v>
      </c>
      <c r="D582" s="137">
        <v>348</v>
      </c>
      <c r="E582" s="36" t="s">
        <v>638</v>
      </c>
      <c r="F582" s="36">
        <v>1</v>
      </c>
      <c r="G582" s="36" t="s">
        <v>110</v>
      </c>
      <c r="H582" s="37">
        <v>44740</v>
      </c>
      <c r="I582" s="36" t="s">
        <v>732</v>
      </c>
      <c r="J582" s="74" t="s">
        <v>733</v>
      </c>
    </row>
    <row r="583" spans="1:10" x14ac:dyDescent="0.3">
      <c r="A583" s="35">
        <v>1222067298</v>
      </c>
      <c r="B583" s="36">
        <v>15699159</v>
      </c>
      <c r="C583" s="37">
        <v>44740</v>
      </c>
      <c r="D583" s="137">
        <v>8398.9689999999991</v>
      </c>
      <c r="E583" s="36" t="s">
        <v>638</v>
      </c>
      <c r="F583" s="36">
        <v>4</v>
      </c>
      <c r="G583" s="36" t="s">
        <v>110</v>
      </c>
      <c r="H583" s="37">
        <v>44740</v>
      </c>
      <c r="I583" s="36" t="s">
        <v>732</v>
      </c>
      <c r="J583" s="74" t="s">
        <v>733</v>
      </c>
    </row>
    <row r="584" spans="1:10" x14ac:dyDescent="0.3">
      <c r="A584" s="35">
        <v>1222067312</v>
      </c>
      <c r="B584" s="36">
        <v>50551878</v>
      </c>
      <c r="C584" s="37">
        <v>44740</v>
      </c>
      <c r="D584" s="137">
        <v>78</v>
      </c>
      <c r="E584" s="36" t="s">
        <v>638</v>
      </c>
      <c r="F584" s="36">
        <v>1</v>
      </c>
      <c r="G584" s="36" t="s">
        <v>110</v>
      </c>
      <c r="H584" s="37">
        <v>44740</v>
      </c>
      <c r="I584" s="36" t="s">
        <v>732</v>
      </c>
      <c r="J584" s="74" t="s">
        <v>733</v>
      </c>
    </row>
    <row r="585" spans="1:10" x14ac:dyDescent="0.3">
      <c r="A585" s="35">
        <v>1222068276</v>
      </c>
      <c r="B585" s="36">
        <v>40580719</v>
      </c>
      <c r="C585" s="37">
        <v>44740</v>
      </c>
      <c r="D585" s="137">
        <v>6206</v>
      </c>
      <c r="E585" s="36" t="s">
        <v>638</v>
      </c>
      <c r="F585" s="36">
        <v>2</v>
      </c>
      <c r="G585" s="36" t="s">
        <v>110</v>
      </c>
      <c r="H585" s="37">
        <v>44740</v>
      </c>
      <c r="I585" s="36" t="s">
        <v>732</v>
      </c>
      <c r="J585" s="74" t="s">
        <v>733</v>
      </c>
    </row>
    <row r="586" spans="1:10" x14ac:dyDescent="0.3">
      <c r="A586" s="35">
        <v>1222068278</v>
      </c>
      <c r="B586" s="36">
        <v>27567704</v>
      </c>
      <c r="C586" s="37">
        <v>44740</v>
      </c>
      <c r="D586" s="137">
        <v>58</v>
      </c>
      <c r="E586" s="36" t="s">
        <v>638</v>
      </c>
      <c r="F586" s="36">
        <v>1</v>
      </c>
      <c r="G586" s="36" t="s">
        <v>110</v>
      </c>
      <c r="H586" s="37">
        <v>44740</v>
      </c>
      <c r="I586" s="36" t="s">
        <v>732</v>
      </c>
      <c r="J586" s="74" t="s">
        <v>733</v>
      </c>
    </row>
    <row r="587" spans="1:10" x14ac:dyDescent="0.3">
      <c r="A587" s="35">
        <v>1222068281</v>
      </c>
      <c r="B587" s="36">
        <v>15639148</v>
      </c>
      <c r="C587" s="37">
        <v>44740</v>
      </c>
      <c r="D587" s="137">
        <v>936</v>
      </c>
      <c r="E587" s="36" t="s">
        <v>638</v>
      </c>
      <c r="F587" s="36">
        <v>1</v>
      </c>
      <c r="G587" s="36" t="s">
        <v>110</v>
      </c>
      <c r="H587" s="37">
        <v>44740</v>
      </c>
      <c r="I587" s="36" t="s">
        <v>732</v>
      </c>
      <c r="J587" s="74" t="s">
        <v>733</v>
      </c>
    </row>
    <row r="588" spans="1:10" x14ac:dyDescent="0.3">
      <c r="A588" s="35">
        <v>1222068285</v>
      </c>
      <c r="B588" s="36">
        <v>15665439</v>
      </c>
      <c r="C588" s="37">
        <v>44740</v>
      </c>
      <c r="D588" s="137">
        <v>58</v>
      </c>
      <c r="E588" s="36" t="s">
        <v>638</v>
      </c>
      <c r="F588" s="36">
        <v>1</v>
      </c>
      <c r="G588" s="36" t="s">
        <v>110</v>
      </c>
      <c r="H588" s="37">
        <v>44740</v>
      </c>
      <c r="I588" s="36" t="s">
        <v>732</v>
      </c>
      <c r="J588" s="74" t="s">
        <v>733</v>
      </c>
    </row>
    <row r="589" spans="1:10" x14ac:dyDescent="0.3">
      <c r="A589" s="35">
        <v>1222068300</v>
      </c>
      <c r="B589" s="36">
        <v>8553235</v>
      </c>
      <c r="C589" s="37">
        <v>44740</v>
      </c>
      <c r="D589" s="137">
        <v>58</v>
      </c>
      <c r="E589" s="36" t="s">
        <v>638</v>
      </c>
      <c r="F589" s="36">
        <v>1</v>
      </c>
      <c r="G589" s="36" t="s">
        <v>110</v>
      </c>
      <c r="H589" s="37">
        <v>44740</v>
      </c>
      <c r="I589" s="36" t="s">
        <v>732</v>
      </c>
      <c r="J589" s="74" t="s">
        <v>733</v>
      </c>
    </row>
    <row r="590" spans="1:10" x14ac:dyDescent="0.3">
      <c r="A590" s="35">
        <v>1222068321</v>
      </c>
      <c r="B590" s="36">
        <v>15858686</v>
      </c>
      <c r="C590" s="37">
        <v>44740</v>
      </c>
      <c r="D590" s="137">
        <v>156</v>
      </c>
      <c r="E590" s="36" t="s">
        <v>638</v>
      </c>
      <c r="F590" s="36">
        <v>1</v>
      </c>
      <c r="G590" s="36" t="s">
        <v>110</v>
      </c>
      <c r="H590" s="37">
        <v>44740</v>
      </c>
      <c r="I590" s="36" t="s">
        <v>732</v>
      </c>
      <c r="J590" s="74" t="s">
        <v>733</v>
      </c>
    </row>
    <row r="591" spans="1:10" x14ac:dyDescent="0.3">
      <c r="A591" s="35">
        <v>1222068342</v>
      </c>
      <c r="B591" s="36">
        <v>23583281</v>
      </c>
      <c r="C591" s="37">
        <v>44740</v>
      </c>
      <c r="D591" s="137">
        <v>406</v>
      </c>
      <c r="E591" s="36" t="s">
        <v>638</v>
      </c>
      <c r="F591" s="36">
        <v>1</v>
      </c>
      <c r="G591" s="36" t="s">
        <v>110</v>
      </c>
      <c r="H591" s="37">
        <v>44740</v>
      </c>
      <c r="I591" s="36" t="s">
        <v>732</v>
      </c>
      <c r="J591" s="74" t="s">
        <v>733</v>
      </c>
    </row>
    <row r="592" spans="1:10" x14ac:dyDescent="0.3">
      <c r="A592" s="35">
        <v>1222068346</v>
      </c>
      <c r="B592" s="36">
        <v>11575605</v>
      </c>
      <c r="C592" s="37">
        <v>44740</v>
      </c>
      <c r="D592" s="137">
        <v>116</v>
      </c>
      <c r="E592" s="36" t="s">
        <v>638</v>
      </c>
      <c r="F592" s="36">
        <v>1</v>
      </c>
      <c r="G592" s="36" t="s">
        <v>110</v>
      </c>
      <c r="H592" s="37">
        <v>44740</v>
      </c>
      <c r="I592" s="36" t="s">
        <v>732</v>
      </c>
      <c r="J592" s="74" t="s">
        <v>733</v>
      </c>
    </row>
    <row r="593" spans="1:11" x14ac:dyDescent="0.3">
      <c r="A593" s="35">
        <v>1222068349</v>
      </c>
      <c r="B593" s="36">
        <v>15795671</v>
      </c>
      <c r="C593" s="37">
        <v>44740</v>
      </c>
      <c r="D593" s="137">
        <v>348</v>
      </c>
      <c r="E593" s="36" t="s">
        <v>638</v>
      </c>
      <c r="F593" s="36">
        <v>1</v>
      </c>
      <c r="G593" s="36" t="s">
        <v>110</v>
      </c>
      <c r="H593" s="37">
        <v>44740</v>
      </c>
      <c r="I593" s="36" t="s">
        <v>732</v>
      </c>
      <c r="J593" s="74" t="s">
        <v>733</v>
      </c>
    </row>
    <row r="594" spans="1:11" x14ac:dyDescent="0.3">
      <c r="A594" s="35">
        <v>1222068352</v>
      </c>
      <c r="B594" s="36">
        <v>78574566</v>
      </c>
      <c r="C594" s="37">
        <v>44740</v>
      </c>
      <c r="D594" s="137">
        <v>58</v>
      </c>
      <c r="E594" s="36" t="s">
        <v>638</v>
      </c>
      <c r="F594" s="36">
        <v>1</v>
      </c>
      <c r="G594" s="36" t="s">
        <v>110</v>
      </c>
      <c r="H594" s="37">
        <v>44740</v>
      </c>
      <c r="I594" s="36" t="s">
        <v>732</v>
      </c>
      <c r="J594" s="74" t="s">
        <v>733</v>
      </c>
    </row>
    <row r="595" spans="1:11" x14ac:dyDescent="0.3">
      <c r="A595" s="75">
        <v>1222063103</v>
      </c>
      <c r="B595" s="76">
        <v>7582922</v>
      </c>
      <c r="C595" s="77">
        <v>44735</v>
      </c>
      <c r="D595" s="143">
        <v>100</v>
      </c>
      <c r="E595" s="76" t="s">
        <v>638</v>
      </c>
      <c r="F595" s="76">
        <v>1</v>
      </c>
      <c r="G595" s="76" t="s">
        <v>110</v>
      </c>
      <c r="H595" s="77">
        <v>44734</v>
      </c>
      <c r="I595" s="76" t="s">
        <v>731</v>
      </c>
      <c r="J595" s="78" t="s">
        <v>699</v>
      </c>
      <c r="K595" s="78" t="s">
        <v>739</v>
      </c>
    </row>
    <row r="596" spans="1:11" x14ac:dyDescent="0.3">
      <c r="A596" s="75">
        <v>1222063340</v>
      </c>
      <c r="B596" s="76">
        <v>61581615</v>
      </c>
      <c r="C596" s="77">
        <v>44735</v>
      </c>
      <c r="D596" s="143">
        <v>75</v>
      </c>
      <c r="E596" s="76" t="s">
        <v>638</v>
      </c>
      <c r="F596" s="76">
        <v>1</v>
      </c>
      <c r="G596" s="76" t="s">
        <v>110</v>
      </c>
      <c r="H596" s="77">
        <v>44734</v>
      </c>
      <c r="I596" s="76" t="s">
        <v>731</v>
      </c>
      <c r="J596" s="78" t="s">
        <v>699</v>
      </c>
      <c r="K596" s="78" t="s">
        <v>739</v>
      </c>
    </row>
    <row r="597" spans="1:11" x14ac:dyDescent="0.3">
      <c r="A597" s="75">
        <v>1222063364</v>
      </c>
      <c r="B597" s="76">
        <v>12607618</v>
      </c>
      <c r="C597" s="77">
        <v>44735</v>
      </c>
      <c r="D597" s="143">
        <v>25</v>
      </c>
      <c r="E597" s="76" t="s">
        <v>638</v>
      </c>
      <c r="F597" s="76">
        <v>1</v>
      </c>
      <c r="G597" s="76" t="s">
        <v>110</v>
      </c>
      <c r="H597" s="77">
        <v>44734</v>
      </c>
      <c r="I597" s="76" t="s">
        <v>731</v>
      </c>
      <c r="J597" s="78" t="s">
        <v>699</v>
      </c>
      <c r="K597" s="78" t="s">
        <v>739</v>
      </c>
    </row>
    <row r="598" spans="1:11" x14ac:dyDescent="0.3">
      <c r="A598" s="75">
        <v>1222065006</v>
      </c>
      <c r="B598" s="76">
        <v>14687510</v>
      </c>
      <c r="C598" s="77">
        <v>44735</v>
      </c>
      <c r="D598" s="143">
        <v>250</v>
      </c>
      <c r="E598" s="76" t="s">
        <v>638</v>
      </c>
      <c r="F598" s="76">
        <v>1</v>
      </c>
      <c r="G598" s="76" t="s">
        <v>110</v>
      </c>
      <c r="H598" s="77">
        <v>44734</v>
      </c>
      <c r="I598" s="76" t="s">
        <v>731</v>
      </c>
      <c r="J598" s="78" t="s">
        <v>699</v>
      </c>
      <c r="K598" s="78" t="s">
        <v>739</v>
      </c>
    </row>
    <row r="599" spans="1:11" x14ac:dyDescent="0.3">
      <c r="A599" s="75">
        <v>1222068613</v>
      </c>
      <c r="B599" s="76">
        <v>15560183</v>
      </c>
      <c r="C599" s="77">
        <v>44739</v>
      </c>
      <c r="D599" s="143">
        <v>594</v>
      </c>
      <c r="E599" s="76" t="s">
        <v>638</v>
      </c>
      <c r="F599" s="76">
        <v>1</v>
      </c>
      <c r="G599" s="76" t="s">
        <v>110</v>
      </c>
      <c r="H599" s="77">
        <v>44741</v>
      </c>
      <c r="I599" s="76" t="s">
        <v>740</v>
      </c>
      <c r="J599" s="78" t="s">
        <v>741</v>
      </c>
    </row>
    <row r="600" spans="1:11" x14ac:dyDescent="0.3">
      <c r="A600" s="75">
        <v>1222068615</v>
      </c>
      <c r="B600" s="76">
        <v>16769597</v>
      </c>
      <c r="C600" s="77">
        <v>44739</v>
      </c>
      <c r="D600" s="143">
        <v>1794</v>
      </c>
      <c r="E600" s="76" t="s">
        <v>638</v>
      </c>
      <c r="F600" s="76">
        <v>1</v>
      </c>
      <c r="G600" s="76" t="s">
        <v>110</v>
      </c>
      <c r="H600" s="77">
        <v>44741</v>
      </c>
      <c r="I600" s="76" t="s">
        <v>740</v>
      </c>
      <c r="J600" s="78" t="s">
        <v>741</v>
      </c>
    </row>
    <row r="601" spans="1:11" x14ac:dyDescent="0.3">
      <c r="A601" s="75">
        <v>1222068629</v>
      </c>
      <c r="B601" s="76">
        <v>17637716</v>
      </c>
      <c r="C601" s="77">
        <v>44739</v>
      </c>
      <c r="D601" s="143">
        <v>94</v>
      </c>
      <c r="E601" s="76" t="s">
        <v>638</v>
      </c>
      <c r="F601" s="76">
        <v>1</v>
      </c>
      <c r="G601" s="76" t="s">
        <v>110</v>
      </c>
      <c r="H601" s="77">
        <v>44741</v>
      </c>
      <c r="I601" s="76" t="s">
        <v>740</v>
      </c>
      <c r="J601" s="78" t="s">
        <v>741</v>
      </c>
    </row>
    <row r="602" spans="1:11" x14ac:dyDescent="0.3">
      <c r="A602" s="75">
        <v>1222068630</v>
      </c>
      <c r="B602" s="76">
        <v>17687027</v>
      </c>
      <c r="C602" s="77">
        <v>44739</v>
      </c>
      <c r="D602" s="143">
        <v>1794</v>
      </c>
      <c r="E602" s="76" t="s">
        <v>638</v>
      </c>
      <c r="F602" s="76">
        <v>1</v>
      </c>
      <c r="G602" s="76" t="s">
        <v>110</v>
      </c>
      <c r="H602" s="77">
        <v>44741</v>
      </c>
      <c r="I602" s="76" t="s">
        <v>740</v>
      </c>
      <c r="J602" s="78" t="s">
        <v>741</v>
      </c>
    </row>
    <row r="603" spans="1:11" x14ac:dyDescent="0.3">
      <c r="A603" s="75">
        <v>1222069186</v>
      </c>
      <c r="B603" s="76">
        <v>6587641</v>
      </c>
      <c r="C603" s="77">
        <v>44739</v>
      </c>
      <c r="D603" s="143">
        <v>844</v>
      </c>
      <c r="E603" s="76" t="s">
        <v>638</v>
      </c>
      <c r="F603" s="76">
        <v>1</v>
      </c>
      <c r="G603" s="76" t="s">
        <v>110</v>
      </c>
      <c r="H603" s="77">
        <v>44741</v>
      </c>
      <c r="I603" s="76" t="s">
        <v>740</v>
      </c>
      <c r="J603" s="78" t="s">
        <v>741</v>
      </c>
    </row>
    <row r="604" spans="1:11" x14ac:dyDescent="0.3">
      <c r="A604" s="75">
        <v>1222069199</v>
      </c>
      <c r="B604" s="76">
        <v>17893614</v>
      </c>
      <c r="C604" s="77">
        <v>44739</v>
      </c>
      <c r="D604" s="143">
        <v>3744</v>
      </c>
      <c r="E604" s="76" t="s">
        <v>638</v>
      </c>
      <c r="F604" s="76">
        <v>1</v>
      </c>
      <c r="G604" s="76" t="s">
        <v>110</v>
      </c>
      <c r="H604" s="77">
        <v>44741</v>
      </c>
      <c r="I604" s="76" t="s">
        <v>740</v>
      </c>
      <c r="J604" s="78" t="s">
        <v>741</v>
      </c>
    </row>
    <row r="605" spans="1:11" x14ac:dyDescent="0.3">
      <c r="A605" s="75">
        <v>1222069200</v>
      </c>
      <c r="B605" s="76">
        <v>17937412</v>
      </c>
      <c r="C605" s="77">
        <v>44739</v>
      </c>
      <c r="D605" s="143">
        <v>78</v>
      </c>
      <c r="E605" s="76" t="s">
        <v>638</v>
      </c>
      <c r="F605" s="76">
        <v>1</v>
      </c>
      <c r="G605" s="76" t="s">
        <v>110</v>
      </c>
      <c r="H605" s="77">
        <v>44741</v>
      </c>
      <c r="I605" s="76" t="s">
        <v>740</v>
      </c>
      <c r="J605" s="78" t="s">
        <v>741</v>
      </c>
    </row>
    <row r="606" spans="1:11" x14ac:dyDescent="0.3">
      <c r="A606" s="75">
        <v>1222069225</v>
      </c>
      <c r="B606" s="76">
        <v>18719088</v>
      </c>
      <c r="C606" s="77">
        <v>44739</v>
      </c>
      <c r="D606" s="143">
        <v>160</v>
      </c>
      <c r="E606" s="76" t="s">
        <v>638</v>
      </c>
      <c r="F606" s="76">
        <v>1</v>
      </c>
      <c r="G606" s="76" t="s">
        <v>110</v>
      </c>
      <c r="H606" s="77">
        <v>44741</v>
      </c>
      <c r="I606" s="76" t="s">
        <v>740</v>
      </c>
      <c r="J606" s="78" t="s">
        <v>741</v>
      </c>
    </row>
    <row r="607" spans="1:11" x14ac:dyDescent="0.3">
      <c r="A607" s="75">
        <v>1222069230</v>
      </c>
      <c r="B607" s="76">
        <v>21571155</v>
      </c>
      <c r="C607" s="77">
        <v>44740</v>
      </c>
      <c r="D607" s="143">
        <v>276</v>
      </c>
      <c r="E607" s="76" t="s">
        <v>638</v>
      </c>
      <c r="F607" s="76">
        <v>1</v>
      </c>
      <c r="G607" s="76" t="s">
        <v>110</v>
      </c>
      <c r="H607" s="77">
        <v>44741</v>
      </c>
      <c r="I607" s="76" t="s">
        <v>740</v>
      </c>
      <c r="J607" s="78" t="s">
        <v>741</v>
      </c>
    </row>
    <row r="608" spans="1:11" x14ac:dyDescent="0.3">
      <c r="A608" s="75">
        <v>1222069235</v>
      </c>
      <c r="B608" s="76">
        <v>77583801</v>
      </c>
      <c r="C608" s="77">
        <v>44740</v>
      </c>
      <c r="D608" s="143">
        <v>276</v>
      </c>
      <c r="E608" s="76" t="s">
        <v>638</v>
      </c>
      <c r="F608" s="76">
        <v>1</v>
      </c>
      <c r="G608" s="76" t="s">
        <v>110</v>
      </c>
      <c r="H608" s="77">
        <v>44741</v>
      </c>
      <c r="I608" s="76" t="s">
        <v>740</v>
      </c>
      <c r="J608" s="78" t="s">
        <v>741</v>
      </c>
    </row>
    <row r="609" spans="1:10" x14ac:dyDescent="0.3">
      <c r="A609" s="75">
        <v>1222069249</v>
      </c>
      <c r="B609" s="76">
        <v>18893680</v>
      </c>
      <c r="C609" s="77">
        <v>44740</v>
      </c>
      <c r="D609" s="143">
        <v>76</v>
      </c>
      <c r="E609" s="76" t="s">
        <v>638</v>
      </c>
      <c r="F609" s="76">
        <v>1</v>
      </c>
      <c r="G609" s="76" t="s">
        <v>110</v>
      </c>
      <c r="H609" s="77">
        <v>44741</v>
      </c>
      <c r="I609" s="76" t="s">
        <v>740</v>
      </c>
      <c r="J609" s="78" t="s">
        <v>741</v>
      </c>
    </row>
    <row r="610" spans="1:10" x14ac:dyDescent="0.3">
      <c r="A610" s="75">
        <v>1222069253</v>
      </c>
      <c r="B610" s="76">
        <v>39578834</v>
      </c>
      <c r="C610" s="77">
        <v>44740</v>
      </c>
      <c r="D610" s="143">
        <v>1276</v>
      </c>
      <c r="E610" s="76" t="s">
        <v>638</v>
      </c>
      <c r="F610" s="76">
        <v>1</v>
      </c>
      <c r="G610" s="76" t="s">
        <v>110</v>
      </c>
      <c r="H610" s="77">
        <v>44741</v>
      </c>
      <c r="I610" s="76" t="s">
        <v>740</v>
      </c>
      <c r="J610" s="78" t="s">
        <v>741</v>
      </c>
    </row>
    <row r="611" spans="1:10" x14ac:dyDescent="0.3">
      <c r="A611" s="75">
        <v>1222069259</v>
      </c>
      <c r="B611" s="76">
        <v>8586944</v>
      </c>
      <c r="C611" s="77">
        <v>44740</v>
      </c>
      <c r="D611" s="143">
        <v>3380</v>
      </c>
      <c r="E611" s="76" t="s">
        <v>638</v>
      </c>
      <c r="F611" s="76">
        <v>1</v>
      </c>
      <c r="G611" s="76" t="s">
        <v>110</v>
      </c>
      <c r="H611" s="77">
        <v>44741</v>
      </c>
      <c r="I611" s="76" t="s">
        <v>740</v>
      </c>
      <c r="J611" s="78" t="s">
        <v>741</v>
      </c>
    </row>
    <row r="612" spans="1:10" x14ac:dyDescent="0.3">
      <c r="A612" s="75">
        <v>1222069269</v>
      </c>
      <c r="B612" s="76">
        <v>22581725</v>
      </c>
      <c r="C612" s="77">
        <v>44740</v>
      </c>
      <c r="D612" s="143">
        <v>580</v>
      </c>
      <c r="E612" s="76" t="s">
        <v>638</v>
      </c>
      <c r="F612" s="76">
        <v>1</v>
      </c>
      <c r="G612" s="76" t="s">
        <v>110</v>
      </c>
      <c r="H612" s="77">
        <v>44741</v>
      </c>
      <c r="I612" s="76" t="s">
        <v>740</v>
      </c>
      <c r="J612" s="78" t="s">
        <v>741</v>
      </c>
    </row>
    <row r="613" spans="1:10" x14ac:dyDescent="0.3">
      <c r="A613" s="75">
        <v>1222069273</v>
      </c>
      <c r="B613" s="76">
        <v>71570827</v>
      </c>
      <c r="C613" s="77">
        <v>44740</v>
      </c>
      <c r="D613" s="143">
        <v>58</v>
      </c>
      <c r="E613" s="76" t="s">
        <v>638</v>
      </c>
      <c r="F613" s="76">
        <v>1</v>
      </c>
      <c r="G613" s="76" t="s">
        <v>110</v>
      </c>
      <c r="H613" s="77">
        <v>44741</v>
      </c>
      <c r="I613" s="76" t="s">
        <v>740</v>
      </c>
      <c r="J613" s="78" t="s">
        <v>741</v>
      </c>
    </row>
    <row r="614" spans="1:10" x14ac:dyDescent="0.3">
      <c r="A614" s="75">
        <v>1222069290</v>
      </c>
      <c r="B614" s="76">
        <v>19828808</v>
      </c>
      <c r="C614" s="77">
        <v>44740</v>
      </c>
      <c r="D614" s="143">
        <v>58</v>
      </c>
      <c r="E614" s="76" t="s">
        <v>638</v>
      </c>
      <c r="F614" s="76">
        <v>1</v>
      </c>
      <c r="G614" s="76" t="s">
        <v>110</v>
      </c>
      <c r="H614" s="77">
        <v>44741</v>
      </c>
      <c r="I614" s="76" t="s">
        <v>740</v>
      </c>
      <c r="J614" s="78" t="s">
        <v>741</v>
      </c>
    </row>
    <row r="615" spans="1:10" x14ac:dyDescent="0.3">
      <c r="A615" s="75">
        <v>1222068385</v>
      </c>
      <c r="B615" s="76">
        <v>3581167</v>
      </c>
      <c r="C615" s="77">
        <v>44741</v>
      </c>
      <c r="D615" s="143">
        <v>58</v>
      </c>
      <c r="E615" s="76" t="s">
        <v>638</v>
      </c>
      <c r="F615" s="76">
        <v>1</v>
      </c>
      <c r="G615" s="76" t="s">
        <v>110</v>
      </c>
      <c r="H615" s="77">
        <v>44741</v>
      </c>
      <c r="I615" s="76" t="s">
        <v>740</v>
      </c>
      <c r="J615" s="78" t="s">
        <v>741</v>
      </c>
    </row>
    <row r="616" spans="1:10" x14ac:dyDescent="0.3">
      <c r="A616" s="75">
        <v>1222068405</v>
      </c>
      <c r="B616" s="76">
        <v>64551438</v>
      </c>
      <c r="C616" s="77">
        <v>44741</v>
      </c>
      <c r="D616" s="143">
        <v>406</v>
      </c>
      <c r="E616" s="76" t="s">
        <v>638</v>
      </c>
      <c r="F616" s="76">
        <v>1</v>
      </c>
      <c r="G616" s="76" t="s">
        <v>110</v>
      </c>
      <c r="H616" s="77">
        <v>44741</v>
      </c>
      <c r="I616" s="76" t="s">
        <v>740</v>
      </c>
      <c r="J616" s="78" t="s">
        <v>741</v>
      </c>
    </row>
    <row r="617" spans="1:10" x14ac:dyDescent="0.3">
      <c r="A617" s="75">
        <v>1222068408</v>
      </c>
      <c r="B617" s="76">
        <v>31558421</v>
      </c>
      <c r="C617" s="77">
        <v>44741</v>
      </c>
      <c r="D617" s="143">
        <v>696</v>
      </c>
      <c r="E617" s="76" t="s">
        <v>638</v>
      </c>
      <c r="F617" s="76">
        <v>1</v>
      </c>
      <c r="G617" s="76" t="s">
        <v>110</v>
      </c>
      <c r="H617" s="77">
        <v>44741</v>
      </c>
      <c r="I617" s="76" t="s">
        <v>740</v>
      </c>
      <c r="J617" s="78" t="s">
        <v>741</v>
      </c>
    </row>
    <row r="618" spans="1:10" x14ac:dyDescent="0.3">
      <c r="A618" s="75">
        <v>1222068410</v>
      </c>
      <c r="B618" s="76">
        <v>16610874</v>
      </c>
      <c r="C618" s="77">
        <v>44741</v>
      </c>
      <c r="D618" s="143">
        <v>348</v>
      </c>
      <c r="E618" s="76" t="s">
        <v>638</v>
      </c>
      <c r="F618" s="76">
        <v>1</v>
      </c>
      <c r="G618" s="76" t="s">
        <v>110</v>
      </c>
      <c r="H618" s="77">
        <v>44741</v>
      </c>
      <c r="I618" s="76" t="s">
        <v>740</v>
      </c>
      <c r="J618" s="78" t="s">
        <v>741</v>
      </c>
    </row>
    <row r="619" spans="1:10" x14ac:dyDescent="0.3">
      <c r="A619" s="75">
        <v>1222068416</v>
      </c>
      <c r="B619" s="76">
        <v>71567658</v>
      </c>
      <c r="C619" s="77">
        <v>44741</v>
      </c>
      <c r="D619" s="143">
        <v>78</v>
      </c>
      <c r="E619" s="76" t="s">
        <v>638</v>
      </c>
      <c r="F619" s="76">
        <v>1</v>
      </c>
      <c r="G619" s="76" t="s">
        <v>110</v>
      </c>
      <c r="H619" s="77">
        <v>44741</v>
      </c>
      <c r="I619" s="76" t="s">
        <v>740</v>
      </c>
      <c r="J619" s="78" t="s">
        <v>741</v>
      </c>
    </row>
    <row r="620" spans="1:10" x14ac:dyDescent="0.3">
      <c r="A620" s="75">
        <v>1222068437</v>
      </c>
      <c r="B620" s="76">
        <v>37575495</v>
      </c>
      <c r="C620" s="77">
        <v>44741</v>
      </c>
      <c r="D620" s="143">
        <v>58</v>
      </c>
      <c r="E620" s="76" t="s">
        <v>638</v>
      </c>
      <c r="F620" s="76">
        <v>1</v>
      </c>
      <c r="G620" s="76" t="s">
        <v>110</v>
      </c>
      <c r="H620" s="77">
        <v>44741</v>
      </c>
      <c r="I620" s="76" t="s">
        <v>740</v>
      </c>
      <c r="J620" s="78" t="s">
        <v>741</v>
      </c>
    </row>
    <row r="621" spans="1:10" x14ac:dyDescent="0.3">
      <c r="A621" s="75">
        <v>1222068439</v>
      </c>
      <c r="B621" s="76">
        <v>9557289</v>
      </c>
      <c r="C621" s="77">
        <v>44741</v>
      </c>
      <c r="D621" s="143">
        <v>174</v>
      </c>
      <c r="E621" s="76" t="s">
        <v>638</v>
      </c>
      <c r="F621" s="76">
        <v>1</v>
      </c>
      <c r="G621" s="76" t="s">
        <v>110</v>
      </c>
      <c r="H621" s="77">
        <v>44741</v>
      </c>
      <c r="I621" s="76" t="s">
        <v>740</v>
      </c>
      <c r="J621" s="78" t="s">
        <v>741</v>
      </c>
    </row>
    <row r="622" spans="1:10" x14ac:dyDescent="0.3">
      <c r="A622" s="75">
        <v>1222068443</v>
      </c>
      <c r="B622" s="76">
        <v>31584410</v>
      </c>
      <c r="C622" s="77">
        <v>44741</v>
      </c>
      <c r="D622" s="143">
        <v>112</v>
      </c>
      <c r="E622" s="76" t="s">
        <v>638</v>
      </c>
      <c r="F622" s="76">
        <v>1</v>
      </c>
      <c r="G622" s="76" t="s">
        <v>110</v>
      </c>
      <c r="H622" s="77">
        <v>44741</v>
      </c>
      <c r="I622" s="76" t="s">
        <v>740</v>
      </c>
      <c r="J622" s="78" t="s">
        <v>741</v>
      </c>
    </row>
    <row r="623" spans="1:10" x14ac:dyDescent="0.3">
      <c r="A623" s="75">
        <v>1222068455</v>
      </c>
      <c r="B623" s="76">
        <v>16966499</v>
      </c>
      <c r="C623" s="77">
        <v>44741</v>
      </c>
      <c r="D623" s="143">
        <v>702</v>
      </c>
      <c r="E623" s="76" t="s">
        <v>638</v>
      </c>
      <c r="F623" s="76">
        <v>1</v>
      </c>
      <c r="G623" s="76" t="s">
        <v>110</v>
      </c>
      <c r="H623" s="77">
        <v>44741</v>
      </c>
      <c r="I623" s="76" t="s">
        <v>740</v>
      </c>
      <c r="J623" s="78" t="s">
        <v>741</v>
      </c>
    </row>
    <row r="624" spans="1:10" x14ac:dyDescent="0.3">
      <c r="A624" s="75">
        <v>1222068457</v>
      </c>
      <c r="B624" s="76">
        <v>1587817</v>
      </c>
      <c r="C624" s="77">
        <v>44741</v>
      </c>
      <c r="D624" s="143">
        <v>546</v>
      </c>
      <c r="E624" s="76" t="s">
        <v>638</v>
      </c>
      <c r="F624" s="76">
        <v>1</v>
      </c>
      <c r="G624" s="76" t="s">
        <v>110</v>
      </c>
      <c r="H624" s="77">
        <v>44741</v>
      </c>
      <c r="I624" s="76" t="s">
        <v>740</v>
      </c>
      <c r="J624" s="78" t="s">
        <v>741</v>
      </c>
    </row>
    <row r="625" spans="1:10" x14ac:dyDescent="0.3">
      <c r="A625" s="75">
        <v>1222068461</v>
      </c>
      <c r="B625" s="76">
        <v>16884286</v>
      </c>
      <c r="C625" s="77">
        <v>44741</v>
      </c>
      <c r="D625" s="143">
        <v>234</v>
      </c>
      <c r="E625" s="76" t="s">
        <v>638</v>
      </c>
      <c r="F625" s="76">
        <v>1</v>
      </c>
      <c r="G625" s="76" t="s">
        <v>110</v>
      </c>
      <c r="H625" s="77">
        <v>44741</v>
      </c>
      <c r="I625" s="76" t="s">
        <v>740</v>
      </c>
      <c r="J625" s="78" t="s">
        <v>741</v>
      </c>
    </row>
    <row r="626" spans="1:10" x14ac:dyDescent="0.3">
      <c r="A626" s="75">
        <v>1222068479</v>
      </c>
      <c r="B626" s="76">
        <v>73587563</v>
      </c>
      <c r="C626" s="77">
        <v>44741</v>
      </c>
      <c r="D626" s="143">
        <v>638</v>
      </c>
      <c r="E626" s="76" t="s">
        <v>638</v>
      </c>
      <c r="F626" s="76">
        <v>1</v>
      </c>
      <c r="G626" s="76" t="s">
        <v>110</v>
      </c>
      <c r="H626" s="77">
        <v>44741</v>
      </c>
      <c r="I626" s="76" t="s">
        <v>740</v>
      </c>
      <c r="J626" s="78" t="s">
        <v>741</v>
      </c>
    </row>
    <row r="627" spans="1:10" x14ac:dyDescent="0.3">
      <c r="A627" s="75">
        <v>1222068573</v>
      </c>
      <c r="B627" s="76">
        <v>17700007</v>
      </c>
      <c r="C627" s="77">
        <v>44741</v>
      </c>
      <c r="D627" s="143">
        <v>3978</v>
      </c>
      <c r="E627" s="76" t="s">
        <v>638</v>
      </c>
      <c r="F627" s="76">
        <v>1</v>
      </c>
      <c r="G627" s="76" t="s">
        <v>110</v>
      </c>
      <c r="H627" s="77">
        <v>44741</v>
      </c>
      <c r="I627" s="76" t="s">
        <v>740</v>
      </c>
      <c r="J627" s="78" t="s">
        <v>741</v>
      </c>
    </row>
    <row r="628" spans="1:10" x14ac:dyDescent="0.3">
      <c r="A628" s="75">
        <v>1222068574</v>
      </c>
      <c r="B628" s="76">
        <v>17675594</v>
      </c>
      <c r="C628" s="77">
        <v>44741</v>
      </c>
      <c r="D628" s="143">
        <v>78</v>
      </c>
      <c r="E628" s="76" t="s">
        <v>638</v>
      </c>
      <c r="F628" s="76">
        <v>1</v>
      </c>
      <c r="G628" s="76" t="s">
        <v>110</v>
      </c>
      <c r="H628" s="77">
        <v>44741</v>
      </c>
      <c r="I628" s="76" t="s">
        <v>740</v>
      </c>
      <c r="J628" s="78" t="s">
        <v>741</v>
      </c>
    </row>
    <row r="629" spans="1:10" x14ac:dyDescent="0.3">
      <c r="A629" s="75">
        <v>1221083093</v>
      </c>
      <c r="B629" s="76" t="s">
        <v>742</v>
      </c>
      <c r="C629" s="77">
        <v>44741</v>
      </c>
      <c r="D629" s="143">
        <v>108</v>
      </c>
      <c r="E629" s="76" t="s">
        <v>638</v>
      </c>
      <c r="F629" s="76">
        <v>1</v>
      </c>
      <c r="G629" s="76" t="s">
        <v>110</v>
      </c>
      <c r="H629" s="77">
        <v>44741</v>
      </c>
      <c r="I629" s="76" t="s">
        <v>740</v>
      </c>
      <c r="J629" s="78" t="s">
        <v>741</v>
      </c>
    </row>
    <row r="630" spans="1:10" x14ac:dyDescent="0.3">
      <c r="A630" s="75">
        <v>1222069671</v>
      </c>
      <c r="B630" s="76" t="s">
        <v>743</v>
      </c>
      <c r="C630" s="77">
        <v>44741</v>
      </c>
      <c r="D630" s="143">
        <v>464</v>
      </c>
      <c r="E630" s="76" t="s">
        <v>638</v>
      </c>
      <c r="F630" s="76">
        <v>1</v>
      </c>
      <c r="G630" s="76" t="s">
        <v>110</v>
      </c>
      <c r="H630" s="77">
        <v>44741</v>
      </c>
      <c r="I630" s="76" t="s">
        <v>740</v>
      </c>
      <c r="J630" s="78" t="s">
        <v>741</v>
      </c>
    </row>
    <row r="631" spans="1:10" x14ac:dyDescent="0.3">
      <c r="A631" s="75">
        <v>1222069120</v>
      </c>
      <c r="B631" s="76" t="s">
        <v>744</v>
      </c>
      <c r="C631" s="77">
        <v>44739</v>
      </c>
      <c r="D631" s="143">
        <v>4812</v>
      </c>
      <c r="E631" s="76" t="s">
        <v>638</v>
      </c>
      <c r="F631" s="76">
        <v>2</v>
      </c>
      <c r="G631" s="76" t="s">
        <v>110</v>
      </c>
      <c r="H631" s="77">
        <v>44742</v>
      </c>
      <c r="I631" s="76" t="s">
        <v>745</v>
      </c>
      <c r="J631" s="78"/>
    </row>
    <row r="632" spans="1:10" x14ac:dyDescent="0.3">
      <c r="A632" s="75">
        <v>1222069125</v>
      </c>
      <c r="B632" s="76" t="s">
        <v>746</v>
      </c>
      <c r="C632" s="77">
        <v>44739</v>
      </c>
      <c r="D632" s="143">
        <v>16946</v>
      </c>
      <c r="E632" s="76" t="s">
        <v>638</v>
      </c>
      <c r="F632" s="76">
        <v>8</v>
      </c>
      <c r="G632" s="76" t="s">
        <v>110</v>
      </c>
      <c r="H632" s="77">
        <v>44742</v>
      </c>
      <c r="I632" s="76" t="s">
        <v>745</v>
      </c>
      <c r="J632" s="78"/>
    </row>
    <row r="633" spans="1:10" x14ac:dyDescent="0.3">
      <c r="A633" s="75">
        <v>1222069130</v>
      </c>
      <c r="B633" s="76" t="s">
        <v>747</v>
      </c>
      <c r="C633" s="77">
        <v>44739</v>
      </c>
      <c r="D633" s="143">
        <v>7946</v>
      </c>
      <c r="E633" s="76" t="s">
        <v>638</v>
      </c>
      <c r="F633" s="76">
        <v>4</v>
      </c>
      <c r="G633" s="76" t="s">
        <v>110</v>
      </c>
      <c r="H633" s="77">
        <v>44742</v>
      </c>
      <c r="I633" s="76" t="s">
        <v>745</v>
      </c>
      <c r="J633" s="78"/>
    </row>
    <row r="634" spans="1:10" x14ac:dyDescent="0.3">
      <c r="A634" s="75">
        <v>1222070099</v>
      </c>
      <c r="B634" s="76">
        <v>22579815</v>
      </c>
      <c r="C634" s="77">
        <v>44743</v>
      </c>
      <c r="D634" s="143">
        <v>58</v>
      </c>
      <c r="E634" s="76" t="s">
        <v>638</v>
      </c>
      <c r="F634" s="76">
        <v>1</v>
      </c>
      <c r="G634" s="76" t="s">
        <v>110</v>
      </c>
      <c r="H634" s="77">
        <v>44742</v>
      </c>
      <c r="I634" s="76" t="s">
        <v>745</v>
      </c>
      <c r="J634" s="78"/>
    </row>
    <row r="635" spans="1:10" x14ac:dyDescent="0.3">
      <c r="A635" s="75">
        <v>1222070103</v>
      </c>
      <c r="B635" s="76">
        <v>22637969</v>
      </c>
      <c r="C635" s="77">
        <v>44743</v>
      </c>
      <c r="D635" s="143">
        <v>312</v>
      </c>
      <c r="E635" s="76" t="s">
        <v>638</v>
      </c>
      <c r="F635" s="76">
        <v>1</v>
      </c>
      <c r="G635" s="76" t="s">
        <v>110</v>
      </c>
      <c r="H635" s="77">
        <v>44742</v>
      </c>
      <c r="I635" s="76" t="s">
        <v>745</v>
      </c>
      <c r="J635" s="78"/>
    </row>
    <row r="636" spans="1:10" x14ac:dyDescent="0.3">
      <c r="A636" s="80">
        <v>1222070105</v>
      </c>
      <c r="B636" s="76">
        <v>34589139</v>
      </c>
      <c r="C636" s="77">
        <v>44743</v>
      </c>
      <c r="D636" s="143">
        <v>174</v>
      </c>
      <c r="E636" s="76" t="s">
        <v>638</v>
      </c>
      <c r="F636" s="76">
        <v>1</v>
      </c>
      <c r="G636" s="76" t="s">
        <v>110</v>
      </c>
      <c r="H636" s="77">
        <v>44742</v>
      </c>
      <c r="I636" s="76" t="s">
        <v>745</v>
      </c>
      <c r="J636" s="78"/>
    </row>
    <row r="637" spans="1:10" x14ac:dyDescent="0.3">
      <c r="A637" s="75">
        <v>1222070106</v>
      </c>
      <c r="B637" s="76">
        <v>38565396</v>
      </c>
      <c r="C637" s="77">
        <v>44743</v>
      </c>
      <c r="D637" s="143">
        <v>406</v>
      </c>
      <c r="E637" s="76" t="s">
        <v>638</v>
      </c>
      <c r="F637" s="76">
        <v>1</v>
      </c>
      <c r="G637" s="76" t="s">
        <v>110</v>
      </c>
      <c r="H637" s="77">
        <v>44742</v>
      </c>
      <c r="I637" s="76" t="s">
        <v>745</v>
      </c>
      <c r="J637" s="78"/>
    </row>
    <row r="638" spans="1:10" x14ac:dyDescent="0.3">
      <c r="A638" s="75">
        <v>1222070109</v>
      </c>
      <c r="B638" s="76">
        <v>67553982</v>
      </c>
      <c r="C638" s="77">
        <v>44743</v>
      </c>
      <c r="D638" s="143">
        <v>702</v>
      </c>
      <c r="E638" s="76" t="s">
        <v>638</v>
      </c>
      <c r="F638" s="76">
        <v>1</v>
      </c>
      <c r="G638" s="76" t="s">
        <v>110</v>
      </c>
      <c r="H638" s="77">
        <v>44742</v>
      </c>
      <c r="I638" s="76" t="s">
        <v>745</v>
      </c>
      <c r="J638" s="78"/>
    </row>
    <row r="639" spans="1:10" x14ac:dyDescent="0.3">
      <c r="A639" s="75">
        <v>1222070110</v>
      </c>
      <c r="B639" s="76">
        <v>77587455</v>
      </c>
      <c r="C639" s="77">
        <v>44743</v>
      </c>
      <c r="D639" s="143">
        <v>638</v>
      </c>
      <c r="E639" s="76" t="s">
        <v>638</v>
      </c>
      <c r="F639" s="76">
        <v>1</v>
      </c>
      <c r="G639" s="76" t="s">
        <v>110</v>
      </c>
      <c r="H639" s="77">
        <v>44742</v>
      </c>
      <c r="I639" s="76" t="s">
        <v>745</v>
      </c>
      <c r="J639" s="78"/>
    </row>
    <row r="640" spans="1:10" x14ac:dyDescent="0.3">
      <c r="A640" s="75">
        <v>1222070115</v>
      </c>
      <c r="B640" s="76" t="s">
        <v>748</v>
      </c>
      <c r="C640" s="77">
        <v>44735</v>
      </c>
      <c r="D640" s="143">
        <v>15600</v>
      </c>
      <c r="E640" s="76" t="s">
        <v>638</v>
      </c>
      <c r="F640" s="76">
        <v>3</v>
      </c>
      <c r="G640" s="76" t="s">
        <v>110</v>
      </c>
      <c r="H640" s="77">
        <v>44742</v>
      </c>
      <c r="I640" s="76" t="s">
        <v>745</v>
      </c>
      <c r="J640" s="78"/>
    </row>
    <row r="641" spans="1:10" x14ac:dyDescent="0.3">
      <c r="A641" s="75">
        <v>1222070123</v>
      </c>
      <c r="B641" s="76" t="s">
        <v>749</v>
      </c>
      <c r="C641" s="77">
        <v>44735</v>
      </c>
      <c r="D641" s="143">
        <v>1276</v>
      </c>
      <c r="E641" s="76" t="s">
        <v>638</v>
      </c>
      <c r="F641" s="76">
        <v>1</v>
      </c>
      <c r="G641" s="76" t="s">
        <v>110</v>
      </c>
      <c r="H641" s="77">
        <v>44742</v>
      </c>
      <c r="I641" s="76" t="s">
        <v>745</v>
      </c>
      <c r="J641" s="78"/>
    </row>
    <row r="642" spans="1:10" x14ac:dyDescent="0.3">
      <c r="A642" s="75">
        <v>1222070124</v>
      </c>
      <c r="B642" s="76" t="s">
        <v>750</v>
      </c>
      <c r="C642" s="77">
        <v>44735</v>
      </c>
      <c r="D642" s="143">
        <v>3190</v>
      </c>
      <c r="E642" s="76" t="s">
        <v>638</v>
      </c>
      <c r="F642" s="76">
        <v>2</v>
      </c>
      <c r="G642" s="76" t="s">
        <v>110</v>
      </c>
      <c r="H642" s="77">
        <v>44742</v>
      </c>
      <c r="I642" s="76" t="s">
        <v>745</v>
      </c>
      <c r="J642" s="78"/>
    </row>
    <row r="643" spans="1:10" x14ac:dyDescent="0.3">
      <c r="A643" s="75">
        <v>1222070129</v>
      </c>
      <c r="B643" s="76" t="s">
        <v>751</v>
      </c>
      <c r="C643" s="77">
        <v>44735</v>
      </c>
      <c r="D643" s="143">
        <v>7800</v>
      </c>
      <c r="E643" s="76" t="s">
        <v>638</v>
      </c>
      <c r="F643" s="76">
        <v>2</v>
      </c>
      <c r="G643" s="76" t="s">
        <v>110</v>
      </c>
      <c r="H643" s="77">
        <v>44742</v>
      </c>
      <c r="I643" s="76" t="s">
        <v>745</v>
      </c>
      <c r="J643" s="78"/>
    </row>
    <row r="644" spans="1:10" x14ac:dyDescent="0.3">
      <c r="A644" s="83">
        <v>1222110669</v>
      </c>
      <c r="B644" s="84">
        <v>41574860</v>
      </c>
      <c r="C644" s="85"/>
      <c r="D644" s="134">
        <v>306</v>
      </c>
      <c r="E644" s="84" t="s">
        <v>638</v>
      </c>
      <c r="F644" s="84">
        <v>1</v>
      </c>
      <c r="G644" s="84" t="s">
        <v>110</v>
      </c>
      <c r="H644" s="85">
        <v>44858</v>
      </c>
      <c r="I644" s="84" t="s">
        <v>752</v>
      </c>
    </row>
    <row r="645" spans="1:10" x14ac:dyDescent="0.3">
      <c r="A645" s="83">
        <v>1222110797</v>
      </c>
      <c r="B645" s="84">
        <v>2588748</v>
      </c>
      <c r="C645" s="85"/>
      <c r="D645" s="134">
        <v>34</v>
      </c>
      <c r="E645" s="84" t="s">
        <v>638</v>
      </c>
      <c r="F645" s="84">
        <v>1</v>
      </c>
      <c r="G645" s="84" t="s">
        <v>110</v>
      </c>
      <c r="H645" s="85">
        <v>44858</v>
      </c>
      <c r="I645" s="84" t="s">
        <v>752</v>
      </c>
    </row>
    <row r="646" spans="1:10" x14ac:dyDescent="0.3">
      <c r="A646" s="83">
        <v>1222110800</v>
      </c>
      <c r="B646" s="84">
        <v>14551676</v>
      </c>
      <c r="C646" s="85"/>
      <c r="D646" s="134">
        <v>170</v>
      </c>
      <c r="E646" s="84" t="s">
        <v>638</v>
      </c>
      <c r="F646" s="84">
        <v>1</v>
      </c>
      <c r="G646" s="84" t="s">
        <v>110</v>
      </c>
      <c r="H646" s="85">
        <v>44858</v>
      </c>
      <c r="I646" s="84" t="s">
        <v>752</v>
      </c>
    </row>
    <row r="647" spans="1:10" x14ac:dyDescent="0.3">
      <c r="A647" s="83">
        <v>1222110806</v>
      </c>
      <c r="B647" s="84">
        <v>22580586</v>
      </c>
      <c r="C647" s="85"/>
      <c r="D647" s="134">
        <v>204</v>
      </c>
      <c r="E647" s="84" t="s">
        <v>638</v>
      </c>
      <c r="F647" s="84">
        <v>1</v>
      </c>
      <c r="G647" s="84" t="s">
        <v>110</v>
      </c>
      <c r="H647" s="85">
        <v>44860</v>
      </c>
      <c r="I647" s="84" t="s">
        <v>753</v>
      </c>
    </row>
    <row r="648" spans="1:10" x14ac:dyDescent="0.3">
      <c r="A648" s="83">
        <v>1222111364</v>
      </c>
      <c r="B648" s="84">
        <v>58884489</v>
      </c>
      <c r="C648" s="85"/>
      <c r="D648" s="134">
        <v>34</v>
      </c>
      <c r="E648" s="84" t="s">
        <v>638</v>
      </c>
      <c r="F648" s="84">
        <v>1</v>
      </c>
      <c r="G648" s="84" t="s">
        <v>110</v>
      </c>
      <c r="H648" s="85">
        <v>44860</v>
      </c>
      <c r="I648" s="84" t="s">
        <v>753</v>
      </c>
    </row>
    <row r="649" spans="1:10" x14ac:dyDescent="0.3">
      <c r="A649" s="83">
        <v>1222111365</v>
      </c>
      <c r="B649" s="84">
        <v>58907490</v>
      </c>
      <c r="C649" s="85"/>
      <c r="D649" s="134">
        <v>34</v>
      </c>
      <c r="E649" s="84" t="s">
        <v>638</v>
      </c>
      <c r="F649" s="84">
        <v>1</v>
      </c>
      <c r="G649" s="84" t="s">
        <v>110</v>
      </c>
      <c r="H649" s="85">
        <v>44860</v>
      </c>
      <c r="I649" s="84" t="s">
        <v>753</v>
      </c>
    </row>
    <row r="650" spans="1:10" x14ac:dyDescent="0.3">
      <c r="A650" s="75">
        <v>1222116079</v>
      </c>
      <c r="B650" s="76">
        <v>64817627</v>
      </c>
      <c r="C650" s="77"/>
      <c r="D650" s="143">
        <v>56</v>
      </c>
      <c r="E650" s="76" t="s">
        <v>638</v>
      </c>
      <c r="F650" s="76">
        <v>1</v>
      </c>
      <c r="G650" s="76" t="s">
        <v>110</v>
      </c>
      <c r="H650" s="77">
        <v>44851</v>
      </c>
      <c r="I650" s="76" t="s">
        <v>754</v>
      </c>
    </row>
    <row r="651" spans="1:10" x14ac:dyDescent="0.3">
      <c r="A651" s="75">
        <v>1222116093</v>
      </c>
      <c r="B651" s="76">
        <v>68577420</v>
      </c>
      <c r="C651" s="77"/>
      <c r="D651" s="143">
        <v>222</v>
      </c>
      <c r="E651" s="76" t="s">
        <v>638</v>
      </c>
      <c r="F651" s="76">
        <v>1</v>
      </c>
      <c r="G651" s="76" t="s">
        <v>110</v>
      </c>
      <c r="H651" s="77">
        <v>44851</v>
      </c>
      <c r="I651" s="76" t="s">
        <v>754</v>
      </c>
    </row>
    <row r="652" spans="1:10" x14ac:dyDescent="0.3">
      <c r="A652" s="83">
        <v>1222116094</v>
      </c>
      <c r="B652" s="84">
        <v>80581181</v>
      </c>
      <c r="C652" s="85"/>
      <c r="D652" s="134">
        <v>168</v>
      </c>
      <c r="E652" s="84" t="s">
        <v>638</v>
      </c>
      <c r="F652" s="84">
        <v>1</v>
      </c>
      <c r="G652" s="84" t="s">
        <v>110</v>
      </c>
      <c r="H652" s="85">
        <v>44851</v>
      </c>
      <c r="I652" s="84" t="s">
        <v>754</v>
      </c>
    </row>
    <row r="653" spans="1:10" x14ac:dyDescent="0.3">
      <c r="A653" s="83">
        <v>1222116099</v>
      </c>
      <c r="B653" s="84">
        <v>5553179</v>
      </c>
      <c r="C653" s="85"/>
      <c r="D653" s="134">
        <v>37</v>
      </c>
      <c r="E653" s="84" t="s">
        <v>638</v>
      </c>
      <c r="F653" s="84">
        <v>1</v>
      </c>
      <c r="G653" s="84" t="s">
        <v>110</v>
      </c>
      <c r="H653" s="85">
        <v>44851</v>
      </c>
      <c r="I653" s="84" t="s">
        <v>754</v>
      </c>
    </row>
    <row r="654" spans="1:10" x14ac:dyDescent="0.3">
      <c r="A654" s="83">
        <v>1222116125</v>
      </c>
      <c r="B654" s="84">
        <v>22584220</v>
      </c>
      <c r="C654" s="85"/>
      <c r="D654" s="134">
        <v>74</v>
      </c>
      <c r="E654" s="84" t="s">
        <v>638</v>
      </c>
      <c r="F654" s="84">
        <v>1</v>
      </c>
      <c r="G654" s="84" t="s">
        <v>110</v>
      </c>
      <c r="H654" s="85">
        <v>44851</v>
      </c>
      <c r="I654" s="84" t="s">
        <v>754</v>
      </c>
    </row>
    <row r="655" spans="1:10" x14ac:dyDescent="0.3">
      <c r="A655" s="83">
        <v>1222116148</v>
      </c>
      <c r="B655" s="84">
        <v>64899381</v>
      </c>
      <c r="C655" s="85"/>
      <c r="D655" s="134">
        <v>78</v>
      </c>
      <c r="E655" s="84" t="s">
        <v>638</v>
      </c>
      <c r="F655" s="84">
        <v>1</v>
      </c>
      <c r="G655" s="84" t="s">
        <v>110</v>
      </c>
      <c r="H655" s="85">
        <v>44851</v>
      </c>
      <c r="I655" s="84" t="s">
        <v>752</v>
      </c>
      <c r="J655" s="96" t="s">
        <v>755</v>
      </c>
    </row>
    <row r="656" spans="1:10" x14ac:dyDescent="0.3">
      <c r="A656" s="83">
        <v>1222116150</v>
      </c>
      <c r="B656" s="84">
        <v>64939980</v>
      </c>
      <c r="C656" s="85"/>
      <c r="D656" s="134">
        <v>185</v>
      </c>
      <c r="E656" s="84" t="s">
        <v>638</v>
      </c>
      <c r="F656" s="84">
        <v>1</v>
      </c>
      <c r="G656" s="84" t="s">
        <v>110</v>
      </c>
      <c r="H656" s="85">
        <v>44851</v>
      </c>
      <c r="I656" s="84" t="s">
        <v>754</v>
      </c>
      <c r="J656" s="96" t="s">
        <v>755</v>
      </c>
    </row>
    <row r="657" spans="1:11" x14ac:dyDescent="0.3">
      <c r="A657" s="83">
        <v>1222116964</v>
      </c>
      <c r="B657" s="84">
        <v>69558276</v>
      </c>
      <c r="C657" s="85"/>
      <c r="D657" s="134">
        <v>858</v>
      </c>
      <c r="E657" s="84" t="s">
        <v>638</v>
      </c>
      <c r="F657" s="84">
        <v>1</v>
      </c>
      <c r="G657" s="84" t="s">
        <v>110</v>
      </c>
      <c r="H657" s="85">
        <v>44858</v>
      </c>
      <c r="I657" s="84" t="s">
        <v>756</v>
      </c>
    </row>
    <row r="658" spans="1:11" x14ac:dyDescent="0.3">
      <c r="A658" s="83">
        <v>1222117594</v>
      </c>
      <c r="B658" s="84">
        <v>45588171</v>
      </c>
      <c r="C658" s="85">
        <v>44853</v>
      </c>
      <c r="D658" s="134">
        <v>148</v>
      </c>
      <c r="E658" s="84" t="s">
        <v>638</v>
      </c>
      <c r="F658" s="84">
        <v>1</v>
      </c>
      <c r="G658" s="84" t="s">
        <v>110</v>
      </c>
      <c r="H658" s="85">
        <v>44853</v>
      </c>
      <c r="I658" s="84" t="s">
        <v>757</v>
      </c>
    </row>
    <row r="659" spans="1:11" x14ac:dyDescent="0.3">
      <c r="A659" s="83">
        <v>1222118120</v>
      </c>
      <c r="B659" s="84">
        <v>33930523</v>
      </c>
      <c r="C659" s="85">
        <v>44853</v>
      </c>
      <c r="D659" s="134">
        <v>15840.27</v>
      </c>
      <c r="E659" s="84" t="s">
        <v>638</v>
      </c>
      <c r="F659" s="84">
        <v>9</v>
      </c>
      <c r="G659" s="84" t="s">
        <v>110</v>
      </c>
      <c r="H659" s="85">
        <v>44853</v>
      </c>
      <c r="I659" s="84" t="s">
        <v>758</v>
      </c>
    </row>
    <row r="660" spans="1:11" x14ac:dyDescent="0.3">
      <c r="A660" s="83">
        <v>1222118122</v>
      </c>
      <c r="B660" s="84">
        <v>35921956</v>
      </c>
      <c r="C660" s="85">
        <v>44853</v>
      </c>
      <c r="D660" s="134">
        <v>15840.27</v>
      </c>
      <c r="E660" s="84" t="s">
        <v>638</v>
      </c>
      <c r="F660" s="84">
        <v>9</v>
      </c>
      <c r="G660" s="84" t="s">
        <v>110</v>
      </c>
      <c r="H660" s="85">
        <v>44853</v>
      </c>
      <c r="I660" s="84" t="s">
        <v>758</v>
      </c>
    </row>
    <row r="661" spans="1:11" x14ac:dyDescent="0.3">
      <c r="A661" s="83">
        <v>1222118182</v>
      </c>
      <c r="B661" s="84">
        <v>66936360</v>
      </c>
      <c r="C661" s="85">
        <v>44853</v>
      </c>
      <c r="D661" s="134">
        <v>74</v>
      </c>
      <c r="E661" s="84" t="s">
        <v>638</v>
      </c>
      <c r="F661" s="84">
        <v>1</v>
      </c>
      <c r="G661" s="84" t="s">
        <v>110</v>
      </c>
      <c r="H661" s="85">
        <v>44853</v>
      </c>
      <c r="I661" s="84" t="s">
        <v>752</v>
      </c>
    </row>
    <row r="662" spans="1:11" x14ac:dyDescent="0.3">
      <c r="A662" s="83">
        <v>1222118701</v>
      </c>
      <c r="B662" s="84">
        <v>10585253</v>
      </c>
      <c r="C662" s="85">
        <v>44854</v>
      </c>
      <c r="D662" s="134">
        <v>407</v>
      </c>
      <c r="E662" s="84" t="s">
        <v>638</v>
      </c>
      <c r="F662" s="84">
        <v>1</v>
      </c>
      <c r="G662" s="84" t="s">
        <v>110</v>
      </c>
      <c r="H662" s="85">
        <v>44854</v>
      </c>
      <c r="I662" s="84" t="s">
        <v>759</v>
      </c>
    </row>
    <row r="663" spans="1:11" x14ac:dyDescent="0.3">
      <c r="A663" s="83">
        <v>1222118704</v>
      </c>
      <c r="B663" s="84">
        <v>20586847</v>
      </c>
      <c r="C663" s="85">
        <v>44854</v>
      </c>
      <c r="D663" s="134">
        <v>407</v>
      </c>
      <c r="E663" s="84" t="s">
        <v>638</v>
      </c>
      <c r="F663" s="84">
        <v>1</v>
      </c>
      <c r="G663" s="84" t="s">
        <v>110</v>
      </c>
      <c r="H663" s="85">
        <v>44854</v>
      </c>
      <c r="I663" s="84" t="s">
        <v>752</v>
      </c>
      <c r="J663" s="76" t="s">
        <v>755</v>
      </c>
      <c r="K663" s="76" t="s">
        <v>757</v>
      </c>
    </row>
    <row r="664" spans="1:11" x14ac:dyDescent="0.3">
      <c r="A664" s="83">
        <v>1222118714</v>
      </c>
      <c r="B664" s="84">
        <v>67724768</v>
      </c>
      <c r="C664" s="85">
        <v>44854</v>
      </c>
      <c r="D664" s="134">
        <v>78</v>
      </c>
      <c r="E664" s="84" t="s">
        <v>638</v>
      </c>
      <c r="F664" s="84">
        <v>1</v>
      </c>
      <c r="G664" s="84" t="s">
        <v>110</v>
      </c>
      <c r="H664" s="85">
        <v>44854</v>
      </c>
      <c r="I664" s="84" t="s">
        <v>752</v>
      </c>
      <c r="J664" s="76" t="s">
        <v>755</v>
      </c>
      <c r="K664" s="76" t="s">
        <v>757</v>
      </c>
    </row>
    <row r="665" spans="1:11" x14ac:dyDescent="0.3">
      <c r="A665" s="83">
        <v>1222118719</v>
      </c>
      <c r="B665" s="84">
        <v>79571170</v>
      </c>
      <c r="C665" s="85">
        <v>44854</v>
      </c>
      <c r="D665" s="134">
        <v>407</v>
      </c>
      <c r="E665" s="84" t="s">
        <v>638</v>
      </c>
      <c r="F665" s="84">
        <v>1</v>
      </c>
      <c r="G665" s="84" t="s">
        <v>110</v>
      </c>
      <c r="H665" s="85">
        <v>44854</v>
      </c>
      <c r="I665" s="84" t="s">
        <v>759</v>
      </c>
      <c r="J665" s="76" t="s">
        <v>755</v>
      </c>
      <c r="K665" s="81" t="s">
        <v>757</v>
      </c>
    </row>
    <row r="666" spans="1:11" x14ac:dyDescent="0.3">
      <c r="A666" s="83">
        <v>1222118725</v>
      </c>
      <c r="B666" s="84">
        <v>81550059</v>
      </c>
      <c r="C666" s="85">
        <v>44854</v>
      </c>
      <c r="D666" s="134">
        <v>224</v>
      </c>
      <c r="E666" s="84" t="s">
        <v>638</v>
      </c>
      <c r="F666" s="84">
        <v>1</v>
      </c>
      <c r="G666" s="84" t="s">
        <v>110</v>
      </c>
      <c r="H666" s="85">
        <v>44854</v>
      </c>
      <c r="I666" s="84" t="s">
        <v>752</v>
      </c>
      <c r="J666" s="76" t="s">
        <v>759</v>
      </c>
    </row>
    <row r="667" spans="1:11" x14ac:dyDescent="0.3">
      <c r="A667" s="83">
        <v>1222119152</v>
      </c>
      <c r="B667" s="84" t="s">
        <v>760</v>
      </c>
      <c r="C667" s="85"/>
      <c r="D667" s="134">
        <v>74</v>
      </c>
      <c r="E667" s="84" t="s">
        <v>638</v>
      </c>
      <c r="F667" s="84">
        <v>1</v>
      </c>
      <c r="G667" s="84" t="s">
        <v>110</v>
      </c>
      <c r="H667" s="85">
        <v>44858</v>
      </c>
      <c r="I667" s="84" t="s">
        <v>756</v>
      </c>
      <c r="J667" s="76" t="s">
        <v>759</v>
      </c>
    </row>
    <row r="668" spans="1:11" x14ac:dyDescent="0.3">
      <c r="A668" s="83">
        <v>1222119154</v>
      </c>
      <c r="B668" s="84">
        <v>3583551</v>
      </c>
      <c r="C668" s="85"/>
      <c r="D668" s="134">
        <v>37</v>
      </c>
      <c r="E668" s="84" t="s">
        <v>638</v>
      </c>
      <c r="F668" s="84">
        <v>1</v>
      </c>
      <c r="G668" s="84" t="s">
        <v>110</v>
      </c>
      <c r="H668" s="85">
        <v>44860</v>
      </c>
      <c r="I668" s="84" t="s">
        <v>753</v>
      </c>
      <c r="J668" s="76" t="s">
        <v>756</v>
      </c>
    </row>
    <row r="669" spans="1:11" x14ac:dyDescent="0.3">
      <c r="A669" s="83">
        <v>1222119165</v>
      </c>
      <c r="B669" s="84">
        <v>65558226</v>
      </c>
      <c r="C669" s="85"/>
      <c r="D669" s="134">
        <v>74</v>
      </c>
      <c r="E669" s="84" t="s">
        <v>638</v>
      </c>
      <c r="F669" s="84">
        <v>1</v>
      </c>
      <c r="G669" s="84" t="s">
        <v>110</v>
      </c>
      <c r="H669" s="85">
        <v>44858</v>
      </c>
      <c r="I669" s="84" t="s">
        <v>752</v>
      </c>
      <c r="J669" s="76" t="s">
        <v>756</v>
      </c>
    </row>
    <row r="670" spans="1:11" x14ac:dyDescent="0.3">
      <c r="A670" s="83">
        <v>1222119166</v>
      </c>
      <c r="B670" s="84">
        <v>66567448</v>
      </c>
      <c r="C670" s="85"/>
      <c r="D670" s="134">
        <v>74</v>
      </c>
      <c r="E670" s="84" t="s">
        <v>638</v>
      </c>
      <c r="F670" s="84">
        <v>1</v>
      </c>
      <c r="G670" s="84" t="s">
        <v>110</v>
      </c>
      <c r="H670" s="85">
        <v>44858</v>
      </c>
      <c r="I670" s="84" t="s">
        <v>752</v>
      </c>
      <c r="J670" s="76" t="s">
        <v>756</v>
      </c>
    </row>
    <row r="671" spans="1:11" x14ac:dyDescent="0.3">
      <c r="A671" s="83">
        <v>1222119167</v>
      </c>
      <c r="B671" s="84">
        <v>67854467</v>
      </c>
      <c r="C671" s="85"/>
      <c r="D671" s="134">
        <v>34</v>
      </c>
      <c r="E671" s="84" t="s">
        <v>638</v>
      </c>
      <c r="F671" s="84">
        <v>1</v>
      </c>
      <c r="G671" s="84" t="s">
        <v>110</v>
      </c>
      <c r="H671" s="85">
        <v>44858</v>
      </c>
      <c r="I671" s="84" t="s">
        <v>752</v>
      </c>
      <c r="J671" s="76" t="s">
        <v>756</v>
      </c>
    </row>
    <row r="672" spans="1:11" x14ac:dyDescent="0.3">
      <c r="A672" s="83">
        <v>1222119382</v>
      </c>
      <c r="B672" s="84">
        <v>8550407</v>
      </c>
      <c r="C672" s="85"/>
      <c r="D672" s="134">
        <v>475</v>
      </c>
      <c r="E672" s="84" t="s">
        <v>638</v>
      </c>
      <c r="F672" s="84">
        <v>1</v>
      </c>
      <c r="G672" s="84" t="s">
        <v>110</v>
      </c>
      <c r="H672" s="85">
        <v>44860</v>
      </c>
      <c r="I672" s="84" t="s">
        <v>753</v>
      </c>
      <c r="J672" s="76" t="s">
        <v>756</v>
      </c>
    </row>
    <row r="673" spans="1:11" x14ac:dyDescent="0.3">
      <c r="A673" s="83">
        <v>1222119383</v>
      </c>
      <c r="B673" s="84">
        <v>8550408</v>
      </c>
      <c r="C673" s="85"/>
      <c r="D673" s="134">
        <v>219</v>
      </c>
      <c r="E673" s="84" t="s">
        <v>638</v>
      </c>
      <c r="F673" s="84">
        <v>1</v>
      </c>
      <c r="G673" s="84" t="s">
        <v>110</v>
      </c>
      <c r="H673" s="85">
        <v>44860</v>
      </c>
      <c r="I673" s="84" t="s">
        <v>753</v>
      </c>
      <c r="J673" s="76" t="s">
        <v>756</v>
      </c>
    </row>
    <row r="674" spans="1:11" x14ac:dyDescent="0.3">
      <c r="A674" s="83">
        <v>1222119387</v>
      </c>
      <c r="B674" s="84">
        <v>22556311</v>
      </c>
      <c r="C674" s="85"/>
      <c r="D674" s="134">
        <v>481</v>
      </c>
      <c r="E674" s="84" t="s">
        <v>638</v>
      </c>
      <c r="F674" s="84">
        <v>1</v>
      </c>
      <c r="G674" s="84" t="s">
        <v>110</v>
      </c>
      <c r="H674" s="85">
        <v>44860</v>
      </c>
      <c r="I674" s="84" t="s">
        <v>753</v>
      </c>
      <c r="J674" s="76" t="s">
        <v>755</v>
      </c>
      <c r="K674" s="76" t="s">
        <v>757</v>
      </c>
    </row>
    <row r="675" spans="1:11" x14ac:dyDescent="0.3">
      <c r="A675" s="83">
        <v>1222119400</v>
      </c>
      <c r="B675" s="84">
        <v>68702003</v>
      </c>
      <c r="C675" s="85"/>
      <c r="D675" s="134">
        <v>384</v>
      </c>
      <c r="E675" s="84" t="s">
        <v>638</v>
      </c>
      <c r="F675" s="84">
        <v>1</v>
      </c>
      <c r="G675" s="84" t="s">
        <v>110</v>
      </c>
      <c r="H675" s="85">
        <v>44860</v>
      </c>
      <c r="I675" s="84" t="s">
        <v>753</v>
      </c>
      <c r="J675" s="76" t="s">
        <v>759</v>
      </c>
    </row>
    <row r="676" spans="1:11" x14ac:dyDescent="0.3">
      <c r="A676" s="83">
        <v>1222119690</v>
      </c>
      <c r="B676" s="84">
        <v>56577387</v>
      </c>
      <c r="C676" s="85"/>
      <c r="D676" s="134">
        <v>148</v>
      </c>
      <c r="E676" s="84" t="s">
        <v>638</v>
      </c>
      <c r="F676" s="84">
        <v>1</v>
      </c>
      <c r="G676" s="84" t="s">
        <v>110</v>
      </c>
      <c r="H676" s="85">
        <v>44859</v>
      </c>
      <c r="I676" s="84" t="s">
        <v>761</v>
      </c>
    </row>
    <row r="677" spans="1:11" x14ac:dyDescent="0.3">
      <c r="A677" s="83">
        <v>1222119694</v>
      </c>
      <c r="B677" s="84">
        <v>68740148</v>
      </c>
      <c r="C677" s="85"/>
      <c r="D677" s="134">
        <v>370</v>
      </c>
      <c r="E677" s="84" t="s">
        <v>638</v>
      </c>
      <c r="F677" s="84">
        <v>1</v>
      </c>
      <c r="G677" s="84" t="s">
        <v>110</v>
      </c>
      <c r="H677" s="85">
        <v>44859</v>
      </c>
      <c r="I677" s="84" t="s">
        <v>761</v>
      </c>
    </row>
    <row r="678" spans="1:11" x14ac:dyDescent="0.3">
      <c r="A678" s="83">
        <v>1222119697</v>
      </c>
      <c r="B678" s="84">
        <v>68789548</v>
      </c>
      <c r="C678" s="85"/>
      <c r="D678" s="134">
        <v>192</v>
      </c>
      <c r="E678" s="84" t="s">
        <v>638</v>
      </c>
      <c r="F678" s="84">
        <v>1</v>
      </c>
      <c r="G678" s="84" t="s">
        <v>110</v>
      </c>
      <c r="H678" s="85">
        <v>44859</v>
      </c>
      <c r="I678" s="84" t="s">
        <v>761</v>
      </c>
    </row>
    <row r="679" spans="1:11" x14ac:dyDescent="0.3">
      <c r="A679" s="83">
        <v>1222119703</v>
      </c>
      <c r="B679" s="84">
        <v>71586911</v>
      </c>
      <c r="C679" s="85"/>
      <c r="D679" s="134">
        <v>148</v>
      </c>
      <c r="E679" s="84" t="s">
        <v>638</v>
      </c>
      <c r="F679" s="84">
        <v>1</v>
      </c>
      <c r="G679" s="84" t="s">
        <v>110</v>
      </c>
      <c r="H679" s="85">
        <v>44859</v>
      </c>
      <c r="I679" s="84" t="s">
        <v>761</v>
      </c>
    </row>
    <row r="680" spans="1:11" x14ac:dyDescent="0.3">
      <c r="A680" s="83">
        <v>1222119704</v>
      </c>
      <c r="B680" s="84">
        <v>71586915</v>
      </c>
      <c r="C680" s="85"/>
      <c r="D680" s="134">
        <v>148</v>
      </c>
      <c r="E680" s="84" t="s">
        <v>638</v>
      </c>
      <c r="F680" s="84">
        <v>1</v>
      </c>
      <c r="G680" s="84" t="s">
        <v>110</v>
      </c>
      <c r="H680" s="85">
        <v>44859</v>
      </c>
      <c r="I680" s="84" t="s">
        <v>761</v>
      </c>
    </row>
    <row r="681" spans="1:11" x14ac:dyDescent="0.3">
      <c r="A681" s="83">
        <v>1222119707</v>
      </c>
      <c r="B681" s="84">
        <v>76586732</v>
      </c>
      <c r="C681" s="85"/>
      <c r="D681" s="134">
        <v>185</v>
      </c>
      <c r="E681" s="84" t="s">
        <v>638</v>
      </c>
      <c r="F681" s="84">
        <v>1</v>
      </c>
      <c r="G681" s="84" t="s">
        <v>110</v>
      </c>
      <c r="H681" s="85">
        <v>44859</v>
      </c>
      <c r="I681" s="84" t="s">
        <v>761</v>
      </c>
    </row>
    <row r="682" spans="1:11" x14ac:dyDescent="0.3">
      <c r="A682" s="83">
        <v>1222120517</v>
      </c>
      <c r="B682" s="84">
        <v>4578011</v>
      </c>
      <c r="C682" s="85"/>
      <c r="D682" s="134">
        <v>1369</v>
      </c>
      <c r="E682" s="84" t="s">
        <v>638</v>
      </c>
      <c r="F682" s="84">
        <v>1</v>
      </c>
      <c r="G682" s="84" t="s">
        <v>110</v>
      </c>
      <c r="H682" s="85">
        <v>44860</v>
      </c>
      <c r="I682" s="84" t="s">
        <v>753</v>
      </c>
    </row>
    <row r="683" spans="1:11" x14ac:dyDescent="0.3">
      <c r="A683" s="83">
        <v>1222120524</v>
      </c>
      <c r="B683" s="84">
        <v>56566919</v>
      </c>
      <c r="C683" s="85">
        <v>44862</v>
      </c>
      <c r="D683" s="134">
        <v>56</v>
      </c>
      <c r="E683" s="84" t="s">
        <v>638</v>
      </c>
      <c r="F683" s="84">
        <v>1</v>
      </c>
      <c r="G683" s="84" t="s">
        <v>110</v>
      </c>
      <c r="H683" s="85">
        <v>44861</v>
      </c>
      <c r="I683" s="84" t="s">
        <v>762</v>
      </c>
    </row>
    <row r="684" spans="1:11" x14ac:dyDescent="0.3">
      <c r="A684" s="83">
        <v>1222120535</v>
      </c>
      <c r="B684" s="84">
        <v>14934097</v>
      </c>
      <c r="C684" s="85"/>
      <c r="D684" s="134">
        <v>7040.12</v>
      </c>
      <c r="E684" s="84" t="s">
        <v>638</v>
      </c>
      <c r="F684" s="84">
        <v>4</v>
      </c>
      <c r="G684" s="84" t="s">
        <v>110</v>
      </c>
      <c r="H684" s="85">
        <v>44860</v>
      </c>
      <c r="I684" s="84" t="s">
        <v>763</v>
      </c>
    </row>
    <row r="685" spans="1:11" x14ac:dyDescent="0.3">
      <c r="A685" s="83">
        <v>1222120556</v>
      </c>
      <c r="B685" s="84">
        <v>68988380</v>
      </c>
      <c r="C685" s="85">
        <v>44862</v>
      </c>
      <c r="D685" s="134">
        <v>74</v>
      </c>
      <c r="E685" s="84" t="s">
        <v>638</v>
      </c>
      <c r="F685" s="84">
        <v>1</v>
      </c>
      <c r="G685" s="84" t="s">
        <v>110</v>
      </c>
      <c r="H685" s="85">
        <v>44861</v>
      </c>
      <c r="I685" s="84" t="s">
        <v>762</v>
      </c>
    </row>
    <row r="686" spans="1:11" x14ac:dyDescent="0.3">
      <c r="A686" s="83">
        <v>1222120590</v>
      </c>
      <c r="B686" s="84" t="s">
        <v>764</v>
      </c>
      <c r="C686" s="85"/>
      <c r="D686" s="134">
        <v>224</v>
      </c>
      <c r="E686" s="84" t="s">
        <v>638</v>
      </c>
      <c r="F686" s="84">
        <v>1</v>
      </c>
      <c r="G686" s="84" t="s">
        <v>110</v>
      </c>
      <c r="H686" s="85">
        <v>44860</v>
      </c>
      <c r="I686" s="84" t="s">
        <v>753</v>
      </c>
    </row>
    <row r="687" spans="1:11" x14ac:dyDescent="0.3">
      <c r="A687" s="83">
        <v>1222121502</v>
      </c>
      <c r="B687" s="84">
        <v>17568971</v>
      </c>
      <c r="C687" s="85">
        <v>44862</v>
      </c>
      <c r="D687" s="134">
        <v>34</v>
      </c>
      <c r="E687" s="84" t="s">
        <v>638</v>
      </c>
      <c r="F687" s="84">
        <v>1</v>
      </c>
      <c r="G687" s="84" t="s">
        <v>110</v>
      </c>
      <c r="H687" s="85">
        <v>44861</v>
      </c>
      <c r="I687" s="84" t="s">
        <v>762</v>
      </c>
    </row>
    <row r="688" spans="1:11" x14ac:dyDescent="0.3">
      <c r="A688" s="83">
        <v>1222121503</v>
      </c>
      <c r="B688" s="84">
        <v>33559449</v>
      </c>
      <c r="C688" s="85">
        <v>44862</v>
      </c>
      <c r="D688" s="134">
        <v>37</v>
      </c>
      <c r="E688" s="84" t="s">
        <v>638</v>
      </c>
      <c r="F688" s="84">
        <v>1</v>
      </c>
      <c r="G688" s="84" t="s">
        <v>110</v>
      </c>
      <c r="H688" s="85">
        <v>44861</v>
      </c>
      <c r="I688" s="84" t="s">
        <v>762</v>
      </c>
    </row>
    <row r="689" spans="1:11" x14ac:dyDescent="0.3">
      <c r="A689" s="83">
        <v>1222121925</v>
      </c>
      <c r="B689" s="84">
        <v>43579413</v>
      </c>
      <c r="C689" s="85"/>
      <c r="D689" s="134">
        <v>74</v>
      </c>
      <c r="E689" s="84" t="s">
        <v>638</v>
      </c>
      <c r="F689" s="84">
        <v>1</v>
      </c>
      <c r="G689" s="84" t="s">
        <v>110</v>
      </c>
      <c r="H689" s="85">
        <v>44865</v>
      </c>
      <c r="I689" s="84" t="s">
        <v>765</v>
      </c>
    </row>
    <row r="690" spans="1:11" x14ac:dyDescent="0.3">
      <c r="A690" s="83">
        <v>1222121935</v>
      </c>
      <c r="B690" s="84">
        <v>95577796</v>
      </c>
      <c r="C690" s="85"/>
      <c r="D690" s="134">
        <v>34</v>
      </c>
      <c r="E690" s="84" t="s">
        <v>638</v>
      </c>
      <c r="F690" s="84">
        <v>1</v>
      </c>
      <c r="G690" s="84" t="s">
        <v>110</v>
      </c>
      <c r="H690" s="85">
        <v>44865</v>
      </c>
      <c r="I690" s="84" t="s">
        <v>765</v>
      </c>
    </row>
    <row r="691" spans="1:11" x14ac:dyDescent="0.3">
      <c r="A691" s="83">
        <v>1222122349</v>
      </c>
      <c r="B691" s="84">
        <v>71967241</v>
      </c>
      <c r="C691" s="85"/>
      <c r="D691" s="134">
        <v>74</v>
      </c>
      <c r="E691" s="84" t="s">
        <v>638</v>
      </c>
      <c r="F691" s="84">
        <v>1</v>
      </c>
      <c r="G691" s="84" t="s">
        <v>110</v>
      </c>
      <c r="H691" s="85">
        <v>44866</v>
      </c>
      <c r="I691" s="84" t="s">
        <v>766</v>
      </c>
    </row>
    <row r="692" spans="1:11" x14ac:dyDescent="0.3">
      <c r="A692" s="83">
        <v>1222122834</v>
      </c>
      <c r="B692" s="84">
        <v>26913709</v>
      </c>
      <c r="C692" s="85"/>
      <c r="D692" s="134">
        <v>14080.24</v>
      </c>
      <c r="E692" s="84" t="s">
        <v>638</v>
      </c>
      <c r="F692" s="84">
        <v>8</v>
      </c>
      <c r="G692" s="84" t="s">
        <v>110</v>
      </c>
      <c r="H692" s="85">
        <v>44867</v>
      </c>
      <c r="I692" s="84" t="s">
        <v>767</v>
      </c>
    </row>
    <row r="693" spans="1:11" x14ac:dyDescent="0.3">
      <c r="A693" s="83">
        <v>1222122835</v>
      </c>
      <c r="B693" s="84">
        <v>35937829</v>
      </c>
      <c r="C693" s="85"/>
      <c r="D693" s="134">
        <v>15840.27</v>
      </c>
      <c r="E693" s="84" t="s">
        <v>638</v>
      </c>
      <c r="F693" s="84">
        <v>9</v>
      </c>
      <c r="G693" s="84" t="s">
        <v>110</v>
      </c>
      <c r="H693" s="85">
        <v>44867</v>
      </c>
      <c r="I693" s="84" t="s">
        <v>767</v>
      </c>
    </row>
    <row r="694" spans="1:11" x14ac:dyDescent="0.3">
      <c r="A694" s="83">
        <v>1222123007</v>
      </c>
      <c r="B694" s="84">
        <v>1551145</v>
      </c>
      <c r="C694" s="85"/>
      <c r="D694" s="134">
        <v>4448</v>
      </c>
      <c r="E694" s="84" t="s">
        <v>638</v>
      </c>
      <c r="F694" s="84">
        <v>2</v>
      </c>
      <c r="G694" s="84" t="s">
        <v>110</v>
      </c>
      <c r="H694" s="85">
        <v>44867</v>
      </c>
      <c r="I694" s="84" t="s">
        <v>768</v>
      </c>
    </row>
    <row r="695" spans="1:11" x14ac:dyDescent="0.3">
      <c r="A695" s="83">
        <v>1222123025</v>
      </c>
      <c r="B695" s="84">
        <v>89587508</v>
      </c>
      <c r="C695" s="85"/>
      <c r="D695" s="134">
        <v>37</v>
      </c>
      <c r="E695" s="84" t="s">
        <v>638</v>
      </c>
      <c r="F695" s="84">
        <v>1</v>
      </c>
      <c r="G695" s="84" t="s">
        <v>110</v>
      </c>
      <c r="H695" s="85">
        <v>44867</v>
      </c>
      <c r="I695" s="84" t="s">
        <v>768</v>
      </c>
      <c r="J695" s="49" t="s">
        <v>755</v>
      </c>
      <c r="K695" s="49" t="s">
        <v>757</v>
      </c>
    </row>
    <row r="696" spans="1:11" x14ac:dyDescent="0.3">
      <c r="A696" s="83">
        <v>1222123026</v>
      </c>
      <c r="B696" s="84">
        <v>1554690</v>
      </c>
      <c r="C696" s="85"/>
      <c r="D696" s="134">
        <v>68</v>
      </c>
      <c r="E696" s="84" t="s">
        <v>638</v>
      </c>
      <c r="F696" s="84">
        <v>1</v>
      </c>
      <c r="G696" s="84" t="s">
        <v>110</v>
      </c>
      <c r="H696" s="85">
        <v>44867</v>
      </c>
      <c r="I696" s="84" t="s">
        <v>768</v>
      </c>
    </row>
    <row r="697" spans="1:11" x14ac:dyDescent="0.3">
      <c r="A697" s="83">
        <v>1222123057</v>
      </c>
      <c r="B697" s="84">
        <v>72848018</v>
      </c>
      <c r="C697" s="85"/>
      <c r="D697" s="134">
        <v>370</v>
      </c>
      <c r="E697" s="84" t="s">
        <v>638</v>
      </c>
      <c r="F697" s="84">
        <v>1</v>
      </c>
      <c r="G697" s="84" t="s">
        <v>110</v>
      </c>
      <c r="H697" s="85">
        <v>44867</v>
      </c>
      <c r="I697" s="84" t="s">
        <v>768</v>
      </c>
      <c r="J697" s="49" t="s">
        <v>754</v>
      </c>
    </row>
    <row r="698" spans="1:11" x14ac:dyDescent="0.3">
      <c r="A698" s="83">
        <v>1222123380</v>
      </c>
      <c r="B698" s="84">
        <v>72644506</v>
      </c>
      <c r="C698" s="85"/>
      <c r="D698" s="134">
        <v>37</v>
      </c>
      <c r="E698" s="84" t="s">
        <v>638</v>
      </c>
      <c r="F698" s="84">
        <v>1</v>
      </c>
      <c r="G698" s="84" t="s">
        <v>110</v>
      </c>
      <c r="H698" s="85">
        <v>44868</v>
      </c>
      <c r="I698" s="84" t="s">
        <v>769</v>
      </c>
    </row>
    <row r="699" spans="1:11" x14ac:dyDescent="0.3">
      <c r="A699" s="83">
        <v>1222123394</v>
      </c>
      <c r="B699" s="84">
        <v>1552269</v>
      </c>
      <c r="C699" s="85"/>
      <c r="D699" s="134">
        <v>111</v>
      </c>
      <c r="E699" s="84" t="s">
        <v>638</v>
      </c>
      <c r="F699" s="84">
        <v>1</v>
      </c>
      <c r="G699" s="84" t="s">
        <v>110</v>
      </c>
      <c r="H699" s="85">
        <v>44868</v>
      </c>
      <c r="I699" s="84" t="s">
        <v>769</v>
      </c>
    </row>
    <row r="700" spans="1:11" x14ac:dyDescent="0.3">
      <c r="A700" s="83">
        <v>1222123400</v>
      </c>
      <c r="B700" s="84">
        <v>2577957</v>
      </c>
      <c r="C700" s="85"/>
      <c r="D700" s="134">
        <v>370</v>
      </c>
      <c r="E700" s="84" t="s">
        <v>638</v>
      </c>
      <c r="F700" s="84">
        <v>1</v>
      </c>
      <c r="G700" s="84" t="s">
        <v>110</v>
      </c>
      <c r="H700" s="85">
        <v>44868</v>
      </c>
      <c r="I700" s="84" t="s">
        <v>769</v>
      </c>
    </row>
    <row r="701" spans="1:11" x14ac:dyDescent="0.3">
      <c r="A701" s="83">
        <v>1222123414</v>
      </c>
      <c r="B701" s="84">
        <v>15560710</v>
      </c>
      <c r="C701" s="85"/>
      <c r="D701" s="134">
        <v>17</v>
      </c>
      <c r="E701" s="84" t="s">
        <v>638</v>
      </c>
      <c r="F701" s="84">
        <v>1</v>
      </c>
      <c r="G701" s="84" t="s">
        <v>110</v>
      </c>
      <c r="H701" s="85">
        <v>44868</v>
      </c>
      <c r="I701" s="84" t="s">
        <v>769</v>
      </c>
    </row>
    <row r="702" spans="1:11" x14ac:dyDescent="0.3">
      <c r="A702" s="83">
        <v>1222123424</v>
      </c>
      <c r="B702" s="84">
        <v>72589681</v>
      </c>
      <c r="C702" s="85"/>
      <c r="D702" s="134">
        <v>333</v>
      </c>
      <c r="E702" s="84" t="s">
        <v>638</v>
      </c>
      <c r="F702" s="84">
        <v>1</v>
      </c>
      <c r="G702" s="84" t="s">
        <v>110</v>
      </c>
      <c r="H702" s="85">
        <v>44868</v>
      </c>
      <c r="I702" s="84" t="s">
        <v>769</v>
      </c>
    </row>
    <row r="703" spans="1:11" x14ac:dyDescent="0.3">
      <c r="A703" s="83">
        <v>1222123441</v>
      </c>
      <c r="B703" s="84">
        <v>10588055</v>
      </c>
      <c r="C703" s="85"/>
      <c r="D703" s="134">
        <v>37</v>
      </c>
      <c r="E703" s="84" t="s">
        <v>638</v>
      </c>
      <c r="F703" s="84">
        <v>1</v>
      </c>
      <c r="G703" s="84" t="s">
        <v>110</v>
      </c>
      <c r="H703" s="85">
        <v>44868</v>
      </c>
      <c r="I703" s="84" t="s">
        <v>769</v>
      </c>
    </row>
    <row r="704" spans="1:11" x14ac:dyDescent="0.3">
      <c r="A704" s="83">
        <v>1222123447</v>
      </c>
      <c r="B704" s="84" t="s">
        <v>770</v>
      </c>
      <c r="C704" s="85"/>
      <c r="D704" s="134">
        <v>185</v>
      </c>
      <c r="E704" s="84" t="s">
        <v>638</v>
      </c>
      <c r="F704" s="84">
        <v>1</v>
      </c>
      <c r="G704" s="84" t="s">
        <v>110</v>
      </c>
      <c r="H704" s="85">
        <v>44868</v>
      </c>
      <c r="I704" s="84" t="s">
        <v>769</v>
      </c>
    </row>
    <row r="705" spans="1:9" x14ac:dyDescent="0.3">
      <c r="A705" s="83">
        <v>1222123458</v>
      </c>
      <c r="B705" s="84">
        <v>73732723</v>
      </c>
      <c r="C705" s="85"/>
      <c r="D705" s="134">
        <v>74</v>
      </c>
      <c r="E705" s="84" t="s">
        <v>638</v>
      </c>
      <c r="F705" s="84">
        <v>1</v>
      </c>
      <c r="G705" s="84" t="s">
        <v>110</v>
      </c>
      <c r="H705" s="85">
        <v>44868</v>
      </c>
      <c r="I705" s="84" t="s">
        <v>769</v>
      </c>
    </row>
    <row r="706" spans="1:9" x14ac:dyDescent="0.3">
      <c r="A706" s="86" t="s">
        <v>771</v>
      </c>
      <c r="B706" s="84">
        <v>66685556</v>
      </c>
      <c r="C706" s="85">
        <v>44853</v>
      </c>
      <c r="D706" s="134">
        <v>1404</v>
      </c>
      <c r="E706" s="84" t="s">
        <v>638</v>
      </c>
      <c r="F706" s="84">
        <v>1</v>
      </c>
      <c r="G706" s="84" t="s">
        <v>110</v>
      </c>
      <c r="H706" s="85">
        <v>44853</v>
      </c>
      <c r="I706" s="84" t="s">
        <v>752</v>
      </c>
    </row>
    <row r="707" spans="1:9" x14ac:dyDescent="0.3">
      <c r="A707" s="86" t="s">
        <v>772</v>
      </c>
      <c r="B707" s="84">
        <v>81589981</v>
      </c>
      <c r="C707" s="85">
        <v>44853</v>
      </c>
      <c r="D707" s="134">
        <v>37</v>
      </c>
      <c r="E707" s="84" t="s">
        <v>638</v>
      </c>
      <c r="F707" s="84">
        <v>1</v>
      </c>
      <c r="G707" s="84" t="s">
        <v>110</v>
      </c>
      <c r="H707" s="85">
        <v>44853</v>
      </c>
      <c r="I707" s="84" t="s">
        <v>757</v>
      </c>
    </row>
    <row r="708" spans="1:9" x14ac:dyDescent="0.3">
      <c r="A708" s="86" t="s">
        <v>773</v>
      </c>
      <c r="B708" s="84">
        <v>8550321</v>
      </c>
      <c r="C708" s="85">
        <v>44853</v>
      </c>
      <c r="D708" s="134">
        <v>1560</v>
      </c>
      <c r="E708" s="84" t="s">
        <v>638</v>
      </c>
      <c r="F708" s="84">
        <v>1</v>
      </c>
      <c r="G708" s="84" t="s">
        <v>110</v>
      </c>
      <c r="H708" s="85">
        <v>44853</v>
      </c>
      <c r="I708" s="84" t="s">
        <v>757</v>
      </c>
    </row>
    <row r="709" spans="1:9" x14ac:dyDescent="0.3">
      <c r="A709" s="86" t="s">
        <v>774</v>
      </c>
      <c r="B709" s="84">
        <v>48574024</v>
      </c>
      <c r="C709" s="85">
        <v>44853</v>
      </c>
      <c r="D709" s="134">
        <v>37</v>
      </c>
      <c r="E709" s="84" t="s">
        <v>638</v>
      </c>
      <c r="F709" s="84">
        <v>1</v>
      </c>
      <c r="G709" s="84" t="s">
        <v>110</v>
      </c>
      <c r="H709" s="85">
        <v>44853</v>
      </c>
      <c r="I709" s="84" t="s">
        <v>757</v>
      </c>
    </row>
    <row r="710" spans="1:9" x14ac:dyDescent="0.3">
      <c r="A710" s="86" t="s">
        <v>775</v>
      </c>
      <c r="B710" s="84">
        <v>66881654</v>
      </c>
      <c r="C710" s="85">
        <v>44853</v>
      </c>
      <c r="D710" s="134">
        <v>34</v>
      </c>
      <c r="E710" s="84" t="s">
        <v>638</v>
      </c>
      <c r="F710" s="84">
        <v>1</v>
      </c>
      <c r="G710" s="84" t="s">
        <v>110</v>
      </c>
      <c r="H710" s="85">
        <v>44853</v>
      </c>
      <c r="I710" s="84" t="s">
        <v>757</v>
      </c>
    </row>
    <row r="711" spans="1:9" x14ac:dyDescent="0.3">
      <c r="A711" s="86" t="s">
        <v>776</v>
      </c>
      <c r="B711" s="84">
        <v>85581112</v>
      </c>
      <c r="C711" s="85">
        <v>44853</v>
      </c>
      <c r="D711" s="134">
        <v>3276</v>
      </c>
      <c r="E711" s="84" t="s">
        <v>638</v>
      </c>
      <c r="F711" s="84">
        <v>1</v>
      </c>
      <c r="G711" s="84" t="s">
        <v>110</v>
      </c>
      <c r="H711" s="85">
        <v>44853</v>
      </c>
      <c r="I711" s="84" t="s">
        <v>757</v>
      </c>
    </row>
    <row r="712" spans="1:9" x14ac:dyDescent="0.3">
      <c r="A712" s="86" t="s">
        <v>777</v>
      </c>
      <c r="B712" s="84">
        <v>54554277</v>
      </c>
      <c r="C712" s="85">
        <v>44853</v>
      </c>
      <c r="D712" s="134">
        <v>185</v>
      </c>
      <c r="E712" s="84" t="s">
        <v>638</v>
      </c>
      <c r="F712" s="84">
        <v>1</v>
      </c>
      <c r="G712" s="84" t="s">
        <v>110</v>
      </c>
      <c r="H712" s="85">
        <v>44853</v>
      </c>
      <c r="I712" s="84" t="s">
        <v>752</v>
      </c>
    </row>
    <row r="713" spans="1:9" x14ac:dyDescent="0.3">
      <c r="A713" s="86" t="s">
        <v>778</v>
      </c>
      <c r="B713" s="84">
        <v>66948441</v>
      </c>
      <c r="C713" s="85">
        <v>44853</v>
      </c>
      <c r="D713" s="134">
        <v>37</v>
      </c>
      <c r="E713" s="84" t="s">
        <v>638</v>
      </c>
      <c r="F713" s="84">
        <v>1</v>
      </c>
      <c r="G713" s="84" t="s">
        <v>110</v>
      </c>
      <c r="H713" s="85">
        <v>44853</v>
      </c>
      <c r="I713" s="84" t="s">
        <v>757</v>
      </c>
    </row>
    <row r="714" spans="1:9" x14ac:dyDescent="0.3">
      <c r="A714" s="86" t="s">
        <v>779</v>
      </c>
      <c r="B714" s="84">
        <v>66994685</v>
      </c>
      <c r="C714" s="85">
        <v>44853</v>
      </c>
      <c r="D714" s="134">
        <v>56</v>
      </c>
      <c r="E714" s="84" t="s">
        <v>638</v>
      </c>
      <c r="F714" s="84">
        <v>1</v>
      </c>
      <c r="G714" s="84" t="s">
        <v>110</v>
      </c>
      <c r="H714" s="85">
        <v>44853</v>
      </c>
      <c r="I714" s="84" t="s">
        <v>752</v>
      </c>
    </row>
    <row r="715" spans="1:9" x14ac:dyDescent="0.3">
      <c r="A715" s="86" t="s">
        <v>780</v>
      </c>
      <c r="B715" s="84">
        <v>67657879</v>
      </c>
      <c r="C715" s="85">
        <v>44853</v>
      </c>
      <c r="D715" s="134">
        <v>78</v>
      </c>
      <c r="E715" s="84" t="s">
        <v>638</v>
      </c>
      <c r="F715" s="84">
        <v>1</v>
      </c>
      <c r="G715" s="84" t="s">
        <v>110</v>
      </c>
      <c r="H715" s="85">
        <v>44853</v>
      </c>
      <c r="I715" s="84" t="s">
        <v>752</v>
      </c>
    </row>
    <row r="716" spans="1:9" x14ac:dyDescent="0.3">
      <c r="A716" s="83">
        <v>1222123430</v>
      </c>
      <c r="B716" s="84">
        <v>8550608</v>
      </c>
      <c r="C716" s="85"/>
      <c r="D716" s="134">
        <v>148</v>
      </c>
      <c r="E716" s="84" t="s">
        <v>638</v>
      </c>
      <c r="F716" s="84">
        <v>1</v>
      </c>
      <c r="G716" s="84" t="s">
        <v>110</v>
      </c>
      <c r="H716" s="85">
        <v>44868</v>
      </c>
      <c r="I716" s="84" t="s">
        <v>769</v>
      </c>
    </row>
    <row r="717" spans="1:9" x14ac:dyDescent="0.3">
      <c r="A717" s="83">
        <v>1222124067</v>
      </c>
      <c r="B717" s="84" t="s">
        <v>781</v>
      </c>
      <c r="C717" s="85"/>
      <c r="D717" s="134">
        <v>896</v>
      </c>
      <c r="E717" s="84" t="s">
        <v>638</v>
      </c>
      <c r="F717" s="84">
        <v>1</v>
      </c>
      <c r="G717" s="84" t="s">
        <v>110</v>
      </c>
      <c r="H717" s="85">
        <v>44872</v>
      </c>
      <c r="I717" s="84" t="s">
        <v>782</v>
      </c>
    </row>
    <row r="718" spans="1:9" x14ac:dyDescent="0.3">
      <c r="A718" s="83">
        <v>1222124080</v>
      </c>
      <c r="B718" s="84" t="s">
        <v>783</v>
      </c>
      <c r="C718" s="85"/>
      <c r="D718" s="134">
        <v>5413</v>
      </c>
      <c r="E718" s="84" t="s">
        <v>638</v>
      </c>
      <c r="F718" s="84">
        <v>5</v>
      </c>
      <c r="G718" s="84" t="s">
        <v>110</v>
      </c>
      <c r="H718" s="85">
        <v>44872</v>
      </c>
      <c r="I718" s="84" t="s">
        <v>782</v>
      </c>
    </row>
    <row r="719" spans="1:9" x14ac:dyDescent="0.3">
      <c r="A719" s="83">
        <v>1222124083</v>
      </c>
      <c r="B719" s="84" t="s">
        <v>784</v>
      </c>
      <c r="C719" s="85"/>
      <c r="D719" s="134">
        <v>1736</v>
      </c>
      <c r="E719" s="84" t="s">
        <v>638</v>
      </c>
      <c r="F719" s="84">
        <v>1</v>
      </c>
      <c r="G719" s="84" t="s">
        <v>110</v>
      </c>
      <c r="H719" s="85">
        <v>44872</v>
      </c>
      <c r="I719" s="84" t="s">
        <v>782</v>
      </c>
    </row>
    <row r="720" spans="1:9" x14ac:dyDescent="0.3">
      <c r="A720" s="83">
        <v>1222124101</v>
      </c>
      <c r="B720" s="84">
        <v>22556723</v>
      </c>
      <c r="C720" s="85"/>
      <c r="D720" s="134">
        <v>333</v>
      </c>
      <c r="E720" s="84" t="s">
        <v>638</v>
      </c>
      <c r="F720" s="84">
        <v>1</v>
      </c>
      <c r="G720" s="84" t="s">
        <v>110</v>
      </c>
      <c r="H720" s="85">
        <v>44872</v>
      </c>
      <c r="I720" s="84" t="s">
        <v>782</v>
      </c>
    </row>
    <row r="721" spans="1:10" x14ac:dyDescent="0.3">
      <c r="A721" s="83">
        <v>1222124129</v>
      </c>
      <c r="B721" s="84">
        <v>74714052</v>
      </c>
      <c r="C721" s="85"/>
      <c r="D721" s="134">
        <v>74</v>
      </c>
      <c r="E721" s="84" t="s">
        <v>638</v>
      </c>
      <c r="F721" s="84">
        <v>1</v>
      </c>
      <c r="G721" s="84" t="s">
        <v>110</v>
      </c>
      <c r="H721" s="85">
        <v>44872</v>
      </c>
      <c r="I721" s="84" t="s">
        <v>782</v>
      </c>
    </row>
    <row r="722" spans="1:10" x14ac:dyDescent="0.3">
      <c r="A722" s="87">
        <v>1222122335</v>
      </c>
      <c r="B722" s="88">
        <v>71941538</v>
      </c>
      <c r="C722" s="89"/>
      <c r="D722" s="144">
        <v>1856</v>
      </c>
      <c r="E722" s="88" t="s">
        <v>638</v>
      </c>
      <c r="F722" s="88">
        <v>1</v>
      </c>
      <c r="G722" s="88" t="s">
        <v>110</v>
      </c>
      <c r="H722" s="89">
        <v>44866</v>
      </c>
      <c r="I722" s="88" t="s">
        <v>766</v>
      </c>
      <c r="J722" s="90" t="s">
        <v>785</v>
      </c>
    </row>
    <row r="723" spans="1:10" x14ac:dyDescent="0.3">
      <c r="A723" s="83">
        <v>1222122001</v>
      </c>
      <c r="B723" s="84">
        <v>47937984</v>
      </c>
      <c r="C723" s="85"/>
      <c r="D723" s="134">
        <v>5280.09</v>
      </c>
      <c r="E723" s="84" t="s">
        <v>638</v>
      </c>
      <c r="F723" s="84">
        <v>3</v>
      </c>
      <c r="G723" s="84" t="s">
        <v>110</v>
      </c>
      <c r="H723" s="85">
        <v>44866</v>
      </c>
      <c r="I723" s="84" t="s">
        <v>786</v>
      </c>
    </row>
    <row r="724" spans="1:10" x14ac:dyDescent="0.3">
      <c r="A724" s="83">
        <v>1222123056</v>
      </c>
      <c r="B724" s="84">
        <v>72825533</v>
      </c>
      <c r="C724" s="85"/>
      <c r="D724" s="134">
        <v>64</v>
      </c>
      <c r="E724" s="84" t="s">
        <v>638</v>
      </c>
      <c r="F724" s="84">
        <v>1</v>
      </c>
      <c r="G724" s="84" t="s">
        <v>110</v>
      </c>
      <c r="H724" s="85">
        <v>44867</v>
      </c>
      <c r="I724" s="84" t="s">
        <v>768</v>
      </c>
      <c r="J724" s="91" t="s">
        <v>787</v>
      </c>
    </row>
    <row r="725" spans="1:10" x14ac:dyDescent="0.3">
      <c r="A725" s="83">
        <v>1222124449</v>
      </c>
      <c r="B725" s="84">
        <v>13584588</v>
      </c>
      <c r="C725" s="85"/>
      <c r="D725" s="134">
        <v>296</v>
      </c>
      <c r="E725" s="84" t="s">
        <v>638</v>
      </c>
      <c r="F725" s="84">
        <v>1</v>
      </c>
      <c r="G725" s="84" t="s">
        <v>110</v>
      </c>
      <c r="H725" s="85">
        <v>44873</v>
      </c>
      <c r="I725" s="84" t="s">
        <v>788</v>
      </c>
      <c r="J725" s="91" t="s">
        <v>787</v>
      </c>
    </row>
    <row r="726" spans="1:10" x14ac:dyDescent="0.3">
      <c r="A726" s="83">
        <v>1222124460</v>
      </c>
      <c r="B726" s="84">
        <v>69571682</v>
      </c>
      <c r="C726" s="85"/>
      <c r="D726" s="134">
        <v>407</v>
      </c>
      <c r="E726" s="84" t="s">
        <v>638</v>
      </c>
      <c r="F726" s="84">
        <v>1</v>
      </c>
      <c r="G726" s="84" t="s">
        <v>110</v>
      </c>
      <c r="H726" s="85">
        <v>44873</v>
      </c>
      <c r="I726" s="84" t="s">
        <v>788</v>
      </c>
      <c r="J726" s="91" t="s">
        <v>787</v>
      </c>
    </row>
    <row r="727" spans="1:10" x14ac:dyDescent="0.3">
      <c r="A727" s="83">
        <v>1222125396</v>
      </c>
      <c r="B727" s="84">
        <v>45911478</v>
      </c>
      <c r="C727" s="85">
        <v>44874</v>
      </c>
      <c r="D727" s="134">
        <v>3520.06</v>
      </c>
      <c r="E727" s="84" t="s">
        <v>638</v>
      </c>
      <c r="F727" s="84">
        <v>2</v>
      </c>
      <c r="G727" s="84" t="s">
        <v>110</v>
      </c>
      <c r="H727" s="85">
        <v>44873</v>
      </c>
      <c r="I727" s="84" t="s">
        <v>789</v>
      </c>
      <c r="J727" s="91" t="s">
        <v>790</v>
      </c>
    </row>
    <row r="728" spans="1:10" x14ac:dyDescent="0.3">
      <c r="A728" s="83">
        <v>1222125393</v>
      </c>
      <c r="B728" s="84">
        <v>14926250</v>
      </c>
      <c r="C728" s="85">
        <v>44874</v>
      </c>
      <c r="D728" s="134">
        <v>12320.21</v>
      </c>
      <c r="E728" s="84" t="s">
        <v>638</v>
      </c>
      <c r="F728" s="84">
        <v>7</v>
      </c>
      <c r="G728" s="84" t="s">
        <v>110</v>
      </c>
      <c r="H728" s="85">
        <v>44873</v>
      </c>
      <c r="I728" s="84" t="s">
        <v>791</v>
      </c>
      <c r="J728" s="91" t="s">
        <v>790</v>
      </c>
    </row>
    <row r="729" spans="1:10" x14ac:dyDescent="0.3">
      <c r="A729" s="83">
        <v>1222125411</v>
      </c>
      <c r="B729" s="84">
        <v>58550710</v>
      </c>
      <c r="C729" s="85">
        <v>44874</v>
      </c>
      <c r="D729" s="134">
        <v>222</v>
      </c>
      <c r="E729" s="84" t="s">
        <v>638</v>
      </c>
      <c r="F729" s="84">
        <v>1</v>
      </c>
      <c r="G729" s="84" t="s">
        <v>110</v>
      </c>
      <c r="H729" s="85">
        <v>44873</v>
      </c>
      <c r="I729" s="84" t="s">
        <v>792</v>
      </c>
      <c r="J729" s="91" t="s">
        <v>787</v>
      </c>
    </row>
    <row r="730" spans="1:10" x14ac:dyDescent="0.3">
      <c r="A730" s="83">
        <v>1222125446</v>
      </c>
      <c r="B730" s="84">
        <v>75679631</v>
      </c>
      <c r="C730" s="85">
        <v>44874</v>
      </c>
      <c r="D730" s="134">
        <v>555</v>
      </c>
      <c r="E730" s="84" t="s">
        <v>638</v>
      </c>
      <c r="F730" s="84">
        <v>1</v>
      </c>
      <c r="G730" s="84" t="s">
        <v>110</v>
      </c>
      <c r="H730" s="85">
        <v>44873</v>
      </c>
      <c r="I730" s="84" t="s">
        <v>792</v>
      </c>
      <c r="J730" s="91" t="s">
        <v>787</v>
      </c>
    </row>
    <row r="731" spans="1:10" x14ac:dyDescent="0.3">
      <c r="A731" s="83">
        <v>1222125460</v>
      </c>
      <c r="B731" s="84">
        <v>84568770</v>
      </c>
      <c r="C731" s="85">
        <v>44874</v>
      </c>
      <c r="D731" s="134">
        <v>370</v>
      </c>
      <c r="E731" s="84" t="s">
        <v>638</v>
      </c>
      <c r="F731" s="84">
        <v>1</v>
      </c>
      <c r="G731" s="84" t="s">
        <v>110</v>
      </c>
      <c r="H731" s="85">
        <v>44873</v>
      </c>
      <c r="I731" s="84" t="s">
        <v>792</v>
      </c>
      <c r="J731" s="91" t="s">
        <v>787</v>
      </c>
    </row>
    <row r="732" spans="1:10" x14ac:dyDescent="0.3">
      <c r="A732" s="83">
        <v>1222125465</v>
      </c>
      <c r="B732" s="84">
        <v>75748651</v>
      </c>
      <c r="C732" s="85">
        <v>44874</v>
      </c>
      <c r="D732" s="134">
        <v>222</v>
      </c>
      <c r="E732" s="84" t="s">
        <v>638</v>
      </c>
      <c r="F732" s="84">
        <v>1</v>
      </c>
      <c r="G732" s="84" t="s">
        <v>110</v>
      </c>
      <c r="H732" s="85">
        <v>44873</v>
      </c>
      <c r="I732" s="84" t="s">
        <v>792</v>
      </c>
      <c r="J732" s="91" t="s">
        <v>787</v>
      </c>
    </row>
    <row r="733" spans="1:10" x14ac:dyDescent="0.3">
      <c r="A733" s="83">
        <v>1222125469</v>
      </c>
      <c r="B733" s="84">
        <v>75833174</v>
      </c>
      <c r="C733" s="85">
        <v>44874</v>
      </c>
      <c r="D733" s="134">
        <v>128</v>
      </c>
      <c r="E733" s="84" t="s">
        <v>638</v>
      </c>
      <c r="F733" s="84">
        <v>1</v>
      </c>
      <c r="G733" s="84" t="s">
        <v>110</v>
      </c>
      <c r="H733" s="85">
        <v>44873</v>
      </c>
      <c r="I733" s="84" t="s">
        <v>792</v>
      </c>
      <c r="J733" s="91" t="s">
        <v>787</v>
      </c>
    </row>
    <row r="734" spans="1:10" x14ac:dyDescent="0.3">
      <c r="A734" s="83">
        <v>1222125475</v>
      </c>
      <c r="B734" s="84">
        <v>10585592</v>
      </c>
      <c r="C734" s="85">
        <v>44874</v>
      </c>
      <c r="D734" s="134">
        <v>518</v>
      </c>
      <c r="E734" s="84" t="s">
        <v>638</v>
      </c>
      <c r="F734" s="84">
        <v>1</v>
      </c>
      <c r="G734" s="84" t="s">
        <v>110</v>
      </c>
      <c r="H734" s="85">
        <v>44873</v>
      </c>
      <c r="I734" s="84" t="s">
        <v>792</v>
      </c>
      <c r="J734" s="91" t="s">
        <v>787</v>
      </c>
    </row>
    <row r="735" spans="1:10" x14ac:dyDescent="0.3">
      <c r="A735" s="83">
        <v>1222125489</v>
      </c>
      <c r="B735" s="84">
        <v>37588679</v>
      </c>
      <c r="C735" s="85">
        <v>44874</v>
      </c>
      <c r="D735" s="134">
        <v>17</v>
      </c>
      <c r="E735" s="84" t="s">
        <v>638</v>
      </c>
      <c r="F735" s="84">
        <v>1</v>
      </c>
      <c r="G735" s="84" t="s">
        <v>110</v>
      </c>
      <c r="H735" s="85">
        <v>44873</v>
      </c>
      <c r="I735" s="84" t="s">
        <v>792</v>
      </c>
      <c r="J735" s="91" t="s">
        <v>787</v>
      </c>
    </row>
    <row r="736" spans="1:10" x14ac:dyDescent="0.3">
      <c r="A736" s="83">
        <v>1222125979</v>
      </c>
      <c r="B736" s="84">
        <v>10560572</v>
      </c>
      <c r="C736" s="85">
        <v>44875</v>
      </c>
      <c r="D736" s="134">
        <v>333</v>
      </c>
      <c r="E736" s="84" t="s">
        <v>638</v>
      </c>
      <c r="F736" s="84">
        <v>1</v>
      </c>
      <c r="G736" s="84" t="s">
        <v>110</v>
      </c>
      <c r="H736" s="85">
        <v>44874</v>
      </c>
      <c r="I736" s="84" t="s">
        <v>793</v>
      </c>
      <c r="J736" s="92" t="s">
        <v>787</v>
      </c>
    </row>
    <row r="737" spans="1:11" x14ac:dyDescent="0.3">
      <c r="A737" s="83">
        <v>1222125985</v>
      </c>
      <c r="B737" s="84">
        <v>41586431</v>
      </c>
      <c r="C737" s="85">
        <v>44875</v>
      </c>
      <c r="D737" s="134">
        <v>333</v>
      </c>
      <c r="E737" s="84" t="s">
        <v>638</v>
      </c>
      <c r="F737" s="84">
        <v>1</v>
      </c>
      <c r="G737" s="84" t="s">
        <v>110</v>
      </c>
      <c r="H737" s="85">
        <v>44874</v>
      </c>
      <c r="I737" s="84" t="s">
        <v>793</v>
      </c>
      <c r="J737" s="92" t="s">
        <v>787</v>
      </c>
    </row>
    <row r="738" spans="1:11" x14ac:dyDescent="0.3">
      <c r="A738" s="83">
        <v>1222126498</v>
      </c>
      <c r="B738" s="84" t="s">
        <v>794</v>
      </c>
      <c r="C738" s="85">
        <v>44876</v>
      </c>
      <c r="D738" s="134">
        <v>3139</v>
      </c>
      <c r="E738" s="84" t="s">
        <v>638</v>
      </c>
      <c r="F738" s="84">
        <v>2</v>
      </c>
      <c r="G738" s="84" t="s">
        <v>110</v>
      </c>
      <c r="H738" s="85">
        <v>44876</v>
      </c>
      <c r="I738" s="84" t="s">
        <v>795</v>
      </c>
      <c r="J738" s="93" t="s">
        <v>787</v>
      </c>
    </row>
    <row r="739" spans="1:11" x14ac:dyDescent="0.3">
      <c r="A739" s="83">
        <v>1222127403</v>
      </c>
      <c r="B739" s="84" t="s">
        <v>796</v>
      </c>
      <c r="C739" s="85">
        <v>44880</v>
      </c>
      <c r="D739" s="134">
        <v>2052</v>
      </c>
      <c r="E739" s="84" t="s">
        <v>638</v>
      </c>
      <c r="F739" s="84">
        <v>2</v>
      </c>
      <c r="G739" s="84" t="s">
        <v>110</v>
      </c>
      <c r="H739" s="85">
        <v>44879</v>
      </c>
      <c r="I739" s="84" t="s">
        <v>797</v>
      </c>
      <c r="J739" s="93" t="s">
        <v>787</v>
      </c>
    </row>
    <row r="740" spans="1:11" x14ac:dyDescent="0.3">
      <c r="A740" s="87">
        <v>1222127411</v>
      </c>
      <c r="B740" s="88">
        <v>24554186</v>
      </c>
      <c r="C740" s="89">
        <v>44880</v>
      </c>
      <c r="D740" s="144">
        <v>17</v>
      </c>
      <c r="E740" s="88" t="s">
        <v>638</v>
      </c>
      <c r="F740" s="88">
        <v>1</v>
      </c>
      <c r="G740" s="88" t="s">
        <v>110</v>
      </c>
      <c r="H740" s="89">
        <v>44879</v>
      </c>
      <c r="I740" s="88" t="s">
        <v>797</v>
      </c>
      <c r="J740" s="97" t="s">
        <v>785</v>
      </c>
    </row>
    <row r="741" spans="1:11" x14ac:dyDescent="0.3">
      <c r="A741" s="87">
        <v>1222127426</v>
      </c>
      <c r="B741" s="88">
        <v>27575338</v>
      </c>
      <c r="C741" s="89">
        <v>44880</v>
      </c>
      <c r="D741" s="144">
        <v>56</v>
      </c>
      <c r="E741" s="88" t="s">
        <v>638</v>
      </c>
      <c r="F741" s="88">
        <v>1</v>
      </c>
      <c r="G741" s="88" t="s">
        <v>110</v>
      </c>
      <c r="H741" s="89">
        <v>44879</v>
      </c>
      <c r="I741" s="88" t="s">
        <v>797</v>
      </c>
      <c r="J741" s="97" t="s">
        <v>785</v>
      </c>
    </row>
    <row r="742" spans="1:11" x14ac:dyDescent="0.3">
      <c r="A742" s="83">
        <v>1222130137</v>
      </c>
      <c r="B742" s="84" t="s">
        <v>798</v>
      </c>
      <c r="C742" s="85">
        <v>44887</v>
      </c>
      <c r="D742" s="134">
        <v>445</v>
      </c>
      <c r="E742" s="84" t="s">
        <v>638</v>
      </c>
      <c r="F742" s="84">
        <v>1</v>
      </c>
      <c r="G742" s="84" t="s">
        <v>110</v>
      </c>
      <c r="H742" s="150">
        <v>44887</v>
      </c>
      <c r="I742" s="84" t="s">
        <v>799</v>
      </c>
      <c r="J742" s="91" t="s">
        <v>787</v>
      </c>
    </row>
    <row r="743" spans="1:11" x14ac:dyDescent="0.3">
      <c r="A743" s="83">
        <v>1222130139</v>
      </c>
      <c r="B743" s="84" t="s">
        <v>800</v>
      </c>
      <c r="C743" s="85">
        <v>44887</v>
      </c>
      <c r="D743" s="134">
        <v>728</v>
      </c>
      <c r="E743" s="84" t="s">
        <v>638</v>
      </c>
      <c r="F743" s="84">
        <v>1</v>
      </c>
      <c r="G743" s="84" t="s">
        <v>110</v>
      </c>
      <c r="H743" s="85">
        <v>44887</v>
      </c>
      <c r="I743" s="84" t="s">
        <v>799</v>
      </c>
      <c r="J743" s="91" t="s">
        <v>787</v>
      </c>
    </row>
    <row r="744" spans="1:11" x14ac:dyDescent="0.3">
      <c r="A744" s="83">
        <v>1222131028</v>
      </c>
      <c r="B744" s="84">
        <v>38946724</v>
      </c>
      <c r="C744" s="85">
        <v>44888</v>
      </c>
      <c r="D744" s="134">
        <v>12320.21</v>
      </c>
      <c r="E744" s="84" t="s">
        <v>638</v>
      </c>
      <c r="F744" s="84">
        <v>7</v>
      </c>
      <c r="G744" s="84" t="s">
        <v>110</v>
      </c>
      <c r="H744" s="85">
        <v>44887</v>
      </c>
      <c r="I744" s="84" t="s">
        <v>801</v>
      </c>
      <c r="J744" s="91" t="s">
        <v>790</v>
      </c>
    </row>
    <row r="745" spans="1:11" x14ac:dyDescent="0.3">
      <c r="A745" s="83">
        <v>1222131029</v>
      </c>
      <c r="B745" s="84">
        <v>12946733</v>
      </c>
      <c r="C745" s="85">
        <v>44888</v>
      </c>
      <c r="D745" s="134">
        <v>15840.27</v>
      </c>
      <c r="E745" s="84" t="s">
        <v>638</v>
      </c>
      <c r="F745" s="84">
        <v>9</v>
      </c>
      <c r="G745" s="84" t="s">
        <v>110</v>
      </c>
      <c r="H745" s="85">
        <v>44887</v>
      </c>
      <c r="I745" s="84" t="s">
        <v>801</v>
      </c>
      <c r="J745" s="91" t="s">
        <v>790</v>
      </c>
    </row>
    <row r="746" spans="1:11" x14ac:dyDescent="0.3">
      <c r="A746" s="83">
        <v>1222131819</v>
      </c>
      <c r="B746" s="84" t="s">
        <v>802</v>
      </c>
      <c r="C746" s="85">
        <v>44893</v>
      </c>
      <c r="D746" s="134">
        <v>1908</v>
      </c>
      <c r="E746" s="84" t="s">
        <v>638</v>
      </c>
      <c r="F746" s="84">
        <v>1</v>
      </c>
      <c r="G746" s="84" t="s">
        <v>110</v>
      </c>
      <c r="H746" s="85">
        <v>44888</v>
      </c>
      <c r="I746" s="84" t="s">
        <v>803</v>
      </c>
      <c r="J746" s="92" t="s">
        <v>787</v>
      </c>
    </row>
    <row r="747" spans="1:11" x14ac:dyDescent="0.3">
      <c r="A747" s="83">
        <v>1222131829</v>
      </c>
      <c r="B747" s="84">
        <v>83884920</v>
      </c>
      <c r="C747" s="85">
        <v>44893</v>
      </c>
      <c r="D747" s="134">
        <v>555</v>
      </c>
      <c r="E747" s="84" t="s">
        <v>638</v>
      </c>
      <c r="F747" s="84">
        <v>1</v>
      </c>
      <c r="G747" s="84" t="s">
        <v>110</v>
      </c>
      <c r="H747" s="85">
        <v>44888</v>
      </c>
      <c r="I747" s="84" t="s">
        <v>803</v>
      </c>
      <c r="J747" s="92" t="s">
        <v>787</v>
      </c>
    </row>
    <row r="748" spans="1:11" x14ac:dyDescent="0.3">
      <c r="A748" s="83">
        <v>1222132860</v>
      </c>
      <c r="B748" s="84">
        <v>46941156</v>
      </c>
      <c r="C748" s="85">
        <v>44895</v>
      </c>
      <c r="D748" s="134">
        <v>1760.03</v>
      </c>
      <c r="E748" s="84" t="s">
        <v>638</v>
      </c>
      <c r="F748" s="84">
        <v>1</v>
      </c>
      <c r="G748" s="84" t="s">
        <v>110</v>
      </c>
      <c r="H748" s="85">
        <v>44895</v>
      </c>
      <c r="I748" s="84" t="s">
        <v>804</v>
      </c>
      <c r="J748" s="93" t="s">
        <v>790</v>
      </c>
    </row>
    <row r="749" spans="1:11" x14ac:dyDescent="0.3">
      <c r="A749" s="83">
        <v>1222132863</v>
      </c>
      <c r="B749" s="84">
        <v>32939946</v>
      </c>
      <c r="C749" s="85">
        <v>44895</v>
      </c>
      <c r="D749" s="134">
        <v>10560.18</v>
      </c>
      <c r="E749" s="84" t="s">
        <v>638</v>
      </c>
      <c r="F749" s="84">
        <v>6</v>
      </c>
      <c r="G749" s="84" t="s">
        <v>110</v>
      </c>
      <c r="H749" s="85">
        <v>44895</v>
      </c>
      <c r="I749" s="84" t="s">
        <v>804</v>
      </c>
      <c r="J749" s="93" t="s">
        <v>790</v>
      </c>
    </row>
    <row r="750" spans="1:11" x14ac:dyDescent="0.3">
      <c r="A750" s="83">
        <v>1222132942</v>
      </c>
      <c r="B750" s="84">
        <v>84638803</v>
      </c>
      <c r="C750" s="85">
        <v>44895</v>
      </c>
      <c r="D750" s="134">
        <v>296</v>
      </c>
      <c r="E750" s="84" t="s">
        <v>638</v>
      </c>
      <c r="F750" s="84">
        <v>1</v>
      </c>
      <c r="G750" s="84" t="s">
        <v>110</v>
      </c>
      <c r="H750" s="85">
        <v>44895</v>
      </c>
      <c r="I750" s="84" t="s">
        <v>805</v>
      </c>
      <c r="J750" s="93" t="s">
        <v>787</v>
      </c>
    </row>
    <row r="751" spans="1:11" x14ac:dyDescent="0.3">
      <c r="A751" s="83">
        <v>1222134895</v>
      </c>
      <c r="B751" s="84">
        <v>36905345</v>
      </c>
      <c r="C751" s="85">
        <v>44901</v>
      </c>
      <c r="D751" s="134">
        <v>14080.24</v>
      </c>
      <c r="E751" s="84" t="s">
        <v>638</v>
      </c>
      <c r="F751" s="84">
        <v>8</v>
      </c>
      <c r="G751" s="84" t="s">
        <v>110</v>
      </c>
      <c r="H751" s="85">
        <v>44900</v>
      </c>
      <c r="I751" s="84" t="s">
        <v>806</v>
      </c>
      <c r="J751" s="93" t="s">
        <v>790</v>
      </c>
    </row>
    <row r="752" spans="1:11" x14ac:dyDescent="0.3">
      <c r="A752" s="94">
        <v>1222134501</v>
      </c>
      <c r="B752" s="88" t="s">
        <v>807</v>
      </c>
      <c r="C752" s="89">
        <v>44900</v>
      </c>
      <c r="D752" s="144">
        <v>742</v>
      </c>
      <c r="E752" s="88" t="s">
        <v>638</v>
      </c>
      <c r="F752" s="88">
        <v>1</v>
      </c>
      <c r="G752" s="88" t="s">
        <v>110</v>
      </c>
      <c r="H752" s="89">
        <v>44900</v>
      </c>
      <c r="I752" s="88" t="s">
        <v>808</v>
      </c>
      <c r="J752" s="97" t="s">
        <v>787</v>
      </c>
      <c r="K752" s="109" t="s">
        <v>659</v>
      </c>
    </row>
    <row r="753" spans="1:11" x14ac:dyDescent="0.3">
      <c r="A753" s="83">
        <v>1222136026</v>
      </c>
      <c r="B753" s="84">
        <v>36907110</v>
      </c>
      <c r="C753" s="85">
        <v>44902</v>
      </c>
      <c r="D753" s="134">
        <v>5280.09</v>
      </c>
      <c r="E753" s="84" t="s">
        <v>638</v>
      </c>
      <c r="F753" s="84">
        <v>3</v>
      </c>
      <c r="G753" s="84" t="s">
        <v>110</v>
      </c>
      <c r="H753" s="85">
        <v>44901</v>
      </c>
      <c r="I753" s="84" t="s">
        <v>809</v>
      </c>
      <c r="J753" s="93" t="s">
        <v>790</v>
      </c>
    </row>
    <row r="754" spans="1:11" x14ac:dyDescent="0.3">
      <c r="A754" s="83">
        <v>1222136074</v>
      </c>
      <c r="B754" s="84" t="s">
        <v>810</v>
      </c>
      <c r="C754" s="85">
        <v>44902</v>
      </c>
      <c r="D754" s="134">
        <v>370</v>
      </c>
      <c r="E754" s="84" t="s">
        <v>638</v>
      </c>
      <c r="F754" s="84">
        <v>1</v>
      </c>
      <c r="G754" s="84" t="s">
        <v>110</v>
      </c>
      <c r="H754" s="85">
        <v>44902</v>
      </c>
      <c r="I754" s="84" t="s">
        <v>811</v>
      </c>
      <c r="J754" s="93" t="s">
        <v>787</v>
      </c>
    </row>
    <row r="755" spans="1:11" x14ac:dyDescent="0.3">
      <c r="A755" s="83">
        <v>1222137850</v>
      </c>
      <c r="B755" s="84" t="s">
        <v>807</v>
      </c>
      <c r="C755" s="85">
        <v>44908</v>
      </c>
      <c r="D755" s="134">
        <v>478</v>
      </c>
      <c r="E755" s="84" t="s">
        <v>638</v>
      </c>
      <c r="F755" s="84">
        <v>1</v>
      </c>
      <c r="G755" s="84" t="s">
        <v>110</v>
      </c>
      <c r="H755" s="85">
        <v>44907</v>
      </c>
      <c r="I755" s="84" t="s">
        <v>812</v>
      </c>
      <c r="J755" s="93" t="s">
        <v>787</v>
      </c>
    </row>
    <row r="756" spans="1:11" x14ac:dyDescent="0.3">
      <c r="A756" s="83">
        <v>1222138892</v>
      </c>
      <c r="B756" s="84">
        <v>46910676</v>
      </c>
      <c r="C756" s="85">
        <v>44909</v>
      </c>
      <c r="D756" s="134">
        <v>12320.21</v>
      </c>
      <c r="E756" s="84" t="s">
        <v>638</v>
      </c>
      <c r="F756" s="84">
        <v>7</v>
      </c>
      <c r="G756" s="84" t="s">
        <v>110</v>
      </c>
      <c r="H756" s="85">
        <v>44907</v>
      </c>
      <c r="I756" s="84" t="s">
        <v>813</v>
      </c>
      <c r="J756" s="93" t="s">
        <v>790</v>
      </c>
    </row>
    <row r="757" spans="1:11" x14ac:dyDescent="0.3">
      <c r="A757" s="83">
        <v>1222140367</v>
      </c>
      <c r="B757" s="84">
        <v>35554289</v>
      </c>
      <c r="C757" s="85">
        <v>44914</v>
      </c>
      <c r="D757" s="134">
        <v>426</v>
      </c>
      <c r="E757" s="84" t="s">
        <v>638</v>
      </c>
      <c r="F757" s="84">
        <v>1</v>
      </c>
      <c r="G757" s="84" t="s">
        <v>110</v>
      </c>
      <c r="H757" s="85">
        <v>44914</v>
      </c>
      <c r="I757" s="84" t="s">
        <v>814</v>
      </c>
      <c r="J757" s="93" t="s">
        <v>787</v>
      </c>
    </row>
    <row r="758" spans="1:11" x14ac:dyDescent="0.3">
      <c r="A758" s="83">
        <v>1222141300</v>
      </c>
      <c r="B758" s="84">
        <v>47918706</v>
      </c>
      <c r="C758" s="85">
        <v>44916</v>
      </c>
      <c r="D758" s="134">
        <v>14080.24</v>
      </c>
      <c r="E758" s="84" t="s">
        <v>638</v>
      </c>
      <c r="F758" s="84">
        <v>8</v>
      </c>
      <c r="G758" s="84" t="s">
        <v>110</v>
      </c>
      <c r="H758" s="85">
        <v>44917</v>
      </c>
      <c r="I758" s="84" t="s">
        <v>815</v>
      </c>
      <c r="J758" s="93" t="s">
        <v>790</v>
      </c>
    </row>
    <row r="759" spans="1:11" x14ac:dyDescent="0.3">
      <c r="A759" s="83">
        <v>1222141302</v>
      </c>
      <c r="B759" s="84">
        <v>46916490</v>
      </c>
      <c r="C759" s="85">
        <v>44916</v>
      </c>
      <c r="D759" s="134">
        <v>12320.21</v>
      </c>
      <c r="E759" s="84" t="s">
        <v>638</v>
      </c>
      <c r="F759" s="84">
        <v>7</v>
      </c>
      <c r="G759" s="84" t="s">
        <v>110</v>
      </c>
      <c r="H759" s="85">
        <v>44917</v>
      </c>
      <c r="I759" s="84" t="s">
        <v>815</v>
      </c>
      <c r="J759" s="93" t="s">
        <v>790</v>
      </c>
    </row>
    <row r="760" spans="1:11" x14ac:dyDescent="0.3">
      <c r="A760" s="83">
        <v>1222141723</v>
      </c>
      <c r="B760" s="84">
        <v>98757845</v>
      </c>
      <c r="C760" s="85">
        <v>44917</v>
      </c>
      <c r="D760" s="134">
        <v>919</v>
      </c>
      <c r="E760" s="84" t="s">
        <v>638</v>
      </c>
      <c r="F760" s="84">
        <v>1</v>
      </c>
      <c r="G760" s="84" t="s">
        <v>110</v>
      </c>
      <c r="H760" s="85">
        <v>44917</v>
      </c>
      <c r="I760" s="84" t="s">
        <v>816</v>
      </c>
      <c r="J760" s="93" t="s">
        <v>787</v>
      </c>
    </row>
    <row r="761" spans="1:11" x14ac:dyDescent="0.3">
      <c r="A761" s="83">
        <v>1222141267</v>
      </c>
      <c r="B761" s="84" t="s">
        <v>817</v>
      </c>
      <c r="C761" s="85">
        <v>44916</v>
      </c>
      <c r="D761" s="134">
        <v>1922</v>
      </c>
      <c r="E761" s="84" t="s">
        <v>638</v>
      </c>
      <c r="F761" s="84">
        <v>1</v>
      </c>
      <c r="G761" s="84" t="s">
        <v>110</v>
      </c>
      <c r="H761" s="85">
        <v>44917</v>
      </c>
      <c r="I761" s="84" t="s">
        <v>816</v>
      </c>
      <c r="J761" s="93" t="s">
        <v>787</v>
      </c>
    </row>
    <row r="762" spans="1:11" x14ac:dyDescent="0.3">
      <c r="A762" s="83">
        <v>1222142260</v>
      </c>
      <c r="B762" s="84" t="s">
        <v>818</v>
      </c>
      <c r="C762" s="85">
        <v>44922</v>
      </c>
      <c r="D762" s="134">
        <v>624</v>
      </c>
      <c r="E762" s="84" t="s">
        <v>638</v>
      </c>
      <c r="F762" s="84">
        <v>1</v>
      </c>
      <c r="G762" s="84" t="s">
        <v>110</v>
      </c>
      <c r="H762" s="85">
        <v>44917</v>
      </c>
      <c r="I762" s="84" t="s">
        <v>819</v>
      </c>
      <c r="J762" s="93" t="s">
        <v>787</v>
      </c>
    </row>
    <row r="763" spans="1:11" x14ac:dyDescent="0.3">
      <c r="A763" s="83">
        <v>1222142262</v>
      </c>
      <c r="B763" s="84" t="s">
        <v>820</v>
      </c>
      <c r="C763" s="85">
        <v>44922</v>
      </c>
      <c r="D763" s="134">
        <v>1686</v>
      </c>
      <c r="E763" s="84" t="s">
        <v>638</v>
      </c>
      <c r="F763" s="84">
        <v>1</v>
      </c>
      <c r="G763" s="84" t="s">
        <v>110</v>
      </c>
      <c r="H763" s="85">
        <v>44917</v>
      </c>
      <c r="I763" s="84" t="s">
        <v>819</v>
      </c>
      <c r="J763" s="93" t="s">
        <v>787</v>
      </c>
    </row>
    <row r="764" spans="1:11" x14ac:dyDescent="0.3">
      <c r="A764" s="83">
        <v>1222142937</v>
      </c>
      <c r="B764" s="84">
        <v>33925905</v>
      </c>
      <c r="C764" s="85">
        <v>44929</v>
      </c>
      <c r="D764" s="134">
        <v>14080.24</v>
      </c>
      <c r="E764" s="84" t="s">
        <v>638</v>
      </c>
      <c r="F764" s="84">
        <v>8</v>
      </c>
      <c r="G764" s="84" t="s">
        <v>110</v>
      </c>
      <c r="H764" s="85">
        <v>44930</v>
      </c>
      <c r="I764" s="84" t="s">
        <v>821</v>
      </c>
      <c r="J764" s="93" t="s">
        <v>790</v>
      </c>
    </row>
    <row r="765" spans="1:11" x14ac:dyDescent="0.3">
      <c r="A765" s="83">
        <v>1222142931</v>
      </c>
      <c r="B765" s="84">
        <v>46911108</v>
      </c>
      <c r="C765" s="85">
        <v>44929</v>
      </c>
      <c r="D765" s="134">
        <v>1760.03</v>
      </c>
      <c r="E765" s="84" t="s">
        <v>638</v>
      </c>
      <c r="F765" s="84">
        <v>1</v>
      </c>
      <c r="G765" s="84" t="s">
        <v>110</v>
      </c>
      <c r="H765" s="85">
        <v>44930</v>
      </c>
      <c r="I765" s="84" t="s">
        <v>821</v>
      </c>
      <c r="J765" s="93" t="s">
        <v>790</v>
      </c>
    </row>
    <row r="766" spans="1:11" x14ac:dyDescent="0.3">
      <c r="A766" s="99">
        <v>1222142542</v>
      </c>
      <c r="B766" s="100" t="s">
        <v>822</v>
      </c>
      <c r="C766" s="101">
        <v>44929</v>
      </c>
      <c r="D766" s="145">
        <v>299</v>
      </c>
      <c r="E766" s="100" t="s">
        <v>638</v>
      </c>
      <c r="F766" s="100">
        <v>1</v>
      </c>
      <c r="G766" s="100" t="s">
        <v>110</v>
      </c>
      <c r="H766" s="101">
        <v>44930</v>
      </c>
      <c r="I766" s="100" t="s">
        <v>823</v>
      </c>
      <c r="J766" s="97" t="s">
        <v>787</v>
      </c>
      <c r="K766" s="109" t="s">
        <v>659</v>
      </c>
    </row>
    <row r="767" spans="1:11" x14ac:dyDescent="0.3">
      <c r="A767" s="83">
        <v>1232000159</v>
      </c>
      <c r="B767" s="84">
        <v>46918353</v>
      </c>
      <c r="C767" s="85">
        <v>44931</v>
      </c>
      <c r="D767" s="134">
        <v>12320.21</v>
      </c>
      <c r="E767" s="84" t="s">
        <v>638</v>
      </c>
      <c r="F767" s="84">
        <v>7</v>
      </c>
      <c r="G767" s="84" t="s">
        <v>110</v>
      </c>
      <c r="H767" s="85">
        <v>44931</v>
      </c>
      <c r="I767" s="84" t="s">
        <v>824</v>
      </c>
      <c r="J767" s="84" t="s">
        <v>790</v>
      </c>
    </row>
    <row r="768" spans="1:11" x14ac:dyDescent="0.3">
      <c r="A768" s="83">
        <v>1232000086</v>
      </c>
      <c r="B768" s="84">
        <v>3942354</v>
      </c>
      <c r="C768" s="85">
        <v>44932</v>
      </c>
      <c r="D768" s="134">
        <v>1826</v>
      </c>
      <c r="E768" s="84" t="s">
        <v>638</v>
      </c>
      <c r="F768" s="84">
        <v>1</v>
      </c>
      <c r="G768" s="84" t="s">
        <v>110</v>
      </c>
      <c r="H768" s="85">
        <v>44932</v>
      </c>
      <c r="I768" s="84" t="s">
        <v>825</v>
      </c>
      <c r="J768" s="84" t="s">
        <v>787</v>
      </c>
    </row>
    <row r="769" spans="1:10" x14ac:dyDescent="0.3">
      <c r="A769" s="83">
        <v>1232000089</v>
      </c>
      <c r="B769" s="84">
        <v>4611157</v>
      </c>
      <c r="C769" s="85">
        <v>44932</v>
      </c>
      <c r="D769" s="134">
        <v>775</v>
      </c>
      <c r="E769" s="84" t="s">
        <v>638</v>
      </c>
      <c r="F769" s="84">
        <v>1</v>
      </c>
      <c r="G769" s="84" t="s">
        <v>110</v>
      </c>
      <c r="H769" s="85">
        <v>44932</v>
      </c>
      <c r="I769" s="84" t="s">
        <v>825</v>
      </c>
      <c r="J769" s="84" t="s">
        <v>787</v>
      </c>
    </row>
    <row r="770" spans="1:10" x14ac:dyDescent="0.3">
      <c r="A770" s="83">
        <v>1232000091</v>
      </c>
      <c r="B770" s="84">
        <v>4645809</v>
      </c>
      <c r="C770" s="85">
        <v>44932</v>
      </c>
      <c r="D770" s="134">
        <v>922</v>
      </c>
      <c r="E770" s="84" t="s">
        <v>638</v>
      </c>
      <c r="F770" s="84">
        <v>1</v>
      </c>
      <c r="G770" s="84" t="s">
        <v>110</v>
      </c>
      <c r="H770" s="85">
        <v>44932</v>
      </c>
      <c r="I770" s="84" t="s">
        <v>825</v>
      </c>
      <c r="J770" s="84" t="s">
        <v>787</v>
      </c>
    </row>
    <row r="771" spans="1:10" x14ac:dyDescent="0.3">
      <c r="A771" s="83">
        <v>1232000114</v>
      </c>
      <c r="B771" s="84">
        <v>17559993</v>
      </c>
      <c r="C771" s="85">
        <v>44932</v>
      </c>
      <c r="D771" s="134">
        <v>370</v>
      </c>
      <c r="E771" s="84" t="s">
        <v>638</v>
      </c>
      <c r="F771" s="84">
        <v>1</v>
      </c>
      <c r="G771" s="84" t="s">
        <v>110</v>
      </c>
      <c r="H771" s="85">
        <v>44932</v>
      </c>
      <c r="I771" s="84" t="s">
        <v>825</v>
      </c>
      <c r="J771" s="84" t="s">
        <v>787</v>
      </c>
    </row>
    <row r="772" spans="1:10" x14ac:dyDescent="0.3">
      <c r="A772" s="83">
        <v>1232000124</v>
      </c>
      <c r="B772" s="84">
        <v>24553990</v>
      </c>
      <c r="C772" s="85">
        <v>44932</v>
      </c>
      <c r="D772" s="134">
        <v>388</v>
      </c>
      <c r="E772" s="84" t="s">
        <v>638</v>
      </c>
      <c r="F772" s="84">
        <v>1</v>
      </c>
      <c r="G772" s="84" t="s">
        <v>110</v>
      </c>
      <c r="H772" s="85">
        <v>44932</v>
      </c>
      <c r="I772" s="84" t="s">
        <v>825</v>
      </c>
      <c r="J772" s="84" t="s">
        <v>787</v>
      </c>
    </row>
    <row r="773" spans="1:10" x14ac:dyDescent="0.3">
      <c r="A773" s="83">
        <v>1232000148</v>
      </c>
      <c r="B773" s="84">
        <v>32552824</v>
      </c>
      <c r="C773" s="85">
        <v>44932</v>
      </c>
      <c r="D773" s="134">
        <v>426</v>
      </c>
      <c r="E773" s="84" t="s">
        <v>638</v>
      </c>
      <c r="F773" s="84">
        <v>1</v>
      </c>
      <c r="G773" s="84" t="s">
        <v>110</v>
      </c>
      <c r="H773" s="85">
        <v>44932</v>
      </c>
      <c r="I773" s="84" t="s">
        <v>825</v>
      </c>
      <c r="J773" s="84" t="s">
        <v>787</v>
      </c>
    </row>
    <row r="774" spans="1:10" x14ac:dyDescent="0.3">
      <c r="A774" s="83">
        <v>1232000156</v>
      </c>
      <c r="B774" s="84" t="s">
        <v>826</v>
      </c>
      <c r="C774" s="85">
        <v>44932</v>
      </c>
      <c r="D774" s="134">
        <v>426</v>
      </c>
      <c r="E774" s="84" t="s">
        <v>638</v>
      </c>
      <c r="F774" s="84">
        <v>1</v>
      </c>
      <c r="G774" s="84" t="s">
        <v>110</v>
      </c>
      <c r="H774" s="85">
        <v>44932</v>
      </c>
      <c r="I774" s="84" t="s">
        <v>825</v>
      </c>
      <c r="J774" s="84" t="s">
        <v>787</v>
      </c>
    </row>
    <row r="775" spans="1:10" x14ac:dyDescent="0.3">
      <c r="A775" s="83">
        <v>1232000194</v>
      </c>
      <c r="B775" s="84">
        <v>79561433</v>
      </c>
      <c r="C775" s="85">
        <v>44932</v>
      </c>
      <c r="D775" s="134">
        <v>314</v>
      </c>
      <c r="E775" s="84" t="s">
        <v>638</v>
      </c>
      <c r="F775" s="84">
        <v>1</v>
      </c>
      <c r="G775" s="84" t="s">
        <v>110</v>
      </c>
      <c r="H775" s="85">
        <v>44932</v>
      </c>
      <c r="I775" s="84" t="s">
        <v>825</v>
      </c>
      <c r="J775" s="84" t="s">
        <v>787</v>
      </c>
    </row>
    <row r="776" spans="1:10" x14ac:dyDescent="0.3">
      <c r="A776" s="83">
        <v>1232000195</v>
      </c>
      <c r="B776" s="84">
        <v>80589601</v>
      </c>
      <c r="C776" s="85">
        <v>44932</v>
      </c>
      <c r="D776" s="134">
        <v>482</v>
      </c>
      <c r="E776" s="84" t="s">
        <v>638</v>
      </c>
      <c r="F776" s="84">
        <v>1</v>
      </c>
      <c r="G776" s="84" t="s">
        <v>110</v>
      </c>
      <c r="H776" s="85">
        <v>44932</v>
      </c>
      <c r="I776" s="84" t="s">
        <v>825</v>
      </c>
      <c r="J776" s="84" t="s">
        <v>787</v>
      </c>
    </row>
    <row r="777" spans="1:10" x14ac:dyDescent="0.3">
      <c r="A777" s="83">
        <v>1232000202</v>
      </c>
      <c r="B777" s="84">
        <v>87553178</v>
      </c>
      <c r="C777" s="85">
        <v>44932</v>
      </c>
      <c r="D777" s="134">
        <v>370</v>
      </c>
      <c r="E777" s="84" t="s">
        <v>638</v>
      </c>
      <c r="F777" s="84">
        <v>1</v>
      </c>
      <c r="G777" s="84" t="s">
        <v>110</v>
      </c>
      <c r="H777" s="85">
        <v>44932</v>
      </c>
      <c r="I777" s="84" t="s">
        <v>825</v>
      </c>
      <c r="J777" s="84" t="s">
        <v>787</v>
      </c>
    </row>
    <row r="778" spans="1:10" x14ac:dyDescent="0.3">
      <c r="A778" s="83">
        <v>1232000841</v>
      </c>
      <c r="B778" s="84">
        <v>38938366</v>
      </c>
      <c r="C778" s="85">
        <v>44937</v>
      </c>
      <c r="D778" s="134">
        <v>7040.12</v>
      </c>
      <c r="E778" s="84" t="s">
        <v>638</v>
      </c>
      <c r="F778" s="84">
        <v>4</v>
      </c>
      <c r="G778" s="84" t="s">
        <v>110</v>
      </c>
      <c r="H778" s="85">
        <v>44937</v>
      </c>
      <c r="I778" s="84" t="s">
        <v>827</v>
      </c>
      <c r="J778" s="84" t="s">
        <v>790</v>
      </c>
    </row>
    <row r="779" spans="1:10" x14ac:dyDescent="0.3">
      <c r="A779" s="83">
        <v>1232000839</v>
      </c>
      <c r="B779" s="84">
        <v>36923580</v>
      </c>
      <c r="C779" s="85">
        <v>44937</v>
      </c>
      <c r="D779" s="134">
        <v>3520.06</v>
      </c>
      <c r="E779" s="84" t="s">
        <v>638</v>
      </c>
      <c r="F779" s="84">
        <v>2</v>
      </c>
      <c r="G779" s="84" t="s">
        <v>110</v>
      </c>
      <c r="H779" s="85">
        <v>44937</v>
      </c>
      <c r="I779" s="84" t="s">
        <v>827</v>
      </c>
      <c r="J779" s="84" t="s">
        <v>790</v>
      </c>
    </row>
    <row r="780" spans="1:10" x14ac:dyDescent="0.3">
      <c r="A780" s="83">
        <v>1232000538</v>
      </c>
      <c r="B780" s="84">
        <v>4579862</v>
      </c>
      <c r="C780" s="85">
        <v>44937</v>
      </c>
      <c r="D780" s="134">
        <v>482</v>
      </c>
      <c r="E780" s="84" t="s">
        <v>638</v>
      </c>
      <c r="F780" s="84">
        <v>1</v>
      </c>
      <c r="G780" s="84" t="s">
        <v>110</v>
      </c>
      <c r="H780" s="85">
        <v>44937</v>
      </c>
      <c r="I780" s="84" t="s">
        <v>828</v>
      </c>
      <c r="J780" s="84" t="s">
        <v>787</v>
      </c>
    </row>
    <row r="781" spans="1:10" x14ac:dyDescent="0.3">
      <c r="A781" s="83">
        <v>1232000545</v>
      </c>
      <c r="B781" s="84" t="s">
        <v>829</v>
      </c>
      <c r="C781" s="85">
        <v>44937</v>
      </c>
      <c r="D781" s="134">
        <v>314</v>
      </c>
      <c r="E781" s="84" t="s">
        <v>638</v>
      </c>
      <c r="F781" s="84">
        <v>1</v>
      </c>
      <c r="G781" s="84" t="s">
        <v>110</v>
      </c>
      <c r="H781" s="85">
        <v>44937</v>
      </c>
      <c r="I781" s="84" t="s">
        <v>828</v>
      </c>
      <c r="J781" s="84" t="s">
        <v>787</v>
      </c>
    </row>
    <row r="782" spans="1:10" x14ac:dyDescent="0.3">
      <c r="A782" s="83">
        <v>1232000546</v>
      </c>
      <c r="B782" s="84">
        <v>28562773</v>
      </c>
      <c r="C782" s="85">
        <v>44937</v>
      </c>
      <c r="D782" s="134">
        <v>511</v>
      </c>
      <c r="E782" s="84" t="s">
        <v>638</v>
      </c>
      <c r="F782" s="84">
        <v>1</v>
      </c>
      <c r="G782" s="84" t="s">
        <v>110</v>
      </c>
      <c r="H782" s="85">
        <v>44937</v>
      </c>
      <c r="I782" s="84" t="s">
        <v>828</v>
      </c>
      <c r="J782" s="84" t="s">
        <v>787</v>
      </c>
    </row>
    <row r="783" spans="1:10" x14ac:dyDescent="0.3">
      <c r="A783" s="83">
        <v>1232000944</v>
      </c>
      <c r="B783" s="84">
        <v>24583796</v>
      </c>
      <c r="C783" s="85">
        <v>44939</v>
      </c>
      <c r="D783" s="134">
        <v>718</v>
      </c>
      <c r="E783" s="84" t="s">
        <v>638</v>
      </c>
      <c r="F783" s="84">
        <v>1</v>
      </c>
      <c r="G783" s="84" t="s">
        <v>110</v>
      </c>
      <c r="H783" s="85">
        <v>44939</v>
      </c>
      <c r="I783" s="84" t="s">
        <v>830</v>
      </c>
      <c r="J783" s="84" t="s">
        <v>787</v>
      </c>
    </row>
    <row r="784" spans="1:10" x14ac:dyDescent="0.3">
      <c r="A784" s="83">
        <v>1232000947</v>
      </c>
      <c r="B784" s="84">
        <v>10560038</v>
      </c>
      <c r="C784" s="85">
        <v>44939</v>
      </c>
      <c r="D784" s="134">
        <v>482</v>
      </c>
      <c r="E784" s="84" t="s">
        <v>638</v>
      </c>
      <c r="F784" s="84">
        <v>1</v>
      </c>
      <c r="G784" s="84" t="s">
        <v>110</v>
      </c>
      <c r="H784" s="85">
        <v>44939</v>
      </c>
      <c r="I784" s="84" t="s">
        <v>830</v>
      </c>
      <c r="J784" s="84" t="s">
        <v>787</v>
      </c>
    </row>
    <row r="785" spans="1:11" x14ac:dyDescent="0.3">
      <c r="A785" s="83">
        <v>1232001646</v>
      </c>
      <c r="B785" s="116" t="s">
        <v>831</v>
      </c>
      <c r="C785" s="85">
        <v>44943</v>
      </c>
      <c r="D785" s="134">
        <v>538</v>
      </c>
      <c r="E785" s="84" t="s">
        <v>638</v>
      </c>
      <c r="F785" s="84">
        <v>1</v>
      </c>
      <c r="G785" s="84" t="s">
        <v>110</v>
      </c>
      <c r="H785" s="85">
        <v>44943</v>
      </c>
      <c r="I785" s="84" t="s">
        <v>832</v>
      </c>
      <c r="J785" s="84" t="s">
        <v>787</v>
      </c>
    </row>
    <row r="786" spans="1:11" x14ac:dyDescent="0.3">
      <c r="A786" s="83">
        <v>1232000886</v>
      </c>
      <c r="B786" s="84" t="s">
        <v>833</v>
      </c>
      <c r="C786" s="85">
        <v>44939</v>
      </c>
      <c r="D786" s="134">
        <v>314</v>
      </c>
      <c r="E786" s="84" t="s">
        <v>638</v>
      </c>
      <c r="F786" s="84">
        <v>1</v>
      </c>
      <c r="G786" s="84" t="s">
        <v>110</v>
      </c>
      <c r="H786" s="85">
        <v>44939</v>
      </c>
      <c r="I786" s="84" t="s">
        <v>834</v>
      </c>
      <c r="J786" s="84" t="s">
        <v>787</v>
      </c>
      <c r="K786" s="98" t="s">
        <v>830</v>
      </c>
    </row>
    <row r="787" spans="1:11" x14ac:dyDescent="0.3">
      <c r="A787" s="83">
        <v>1232002125</v>
      </c>
      <c r="B787" s="84">
        <v>60583579</v>
      </c>
      <c r="C787" s="85">
        <v>44944</v>
      </c>
      <c r="D787" s="134">
        <v>314</v>
      </c>
      <c r="E787" s="84" t="s">
        <v>638</v>
      </c>
      <c r="F787" s="84">
        <v>1</v>
      </c>
      <c r="G787" s="84" t="s">
        <v>110</v>
      </c>
      <c r="H787" s="85">
        <v>44944</v>
      </c>
      <c r="I787" s="84" t="s">
        <v>835</v>
      </c>
      <c r="J787" s="84" t="s">
        <v>787</v>
      </c>
    </row>
    <row r="788" spans="1:11" x14ac:dyDescent="0.3">
      <c r="A788" s="83">
        <v>1232002144</v>
      </c>
      <c r="B788" s="84">
        <v>56578879</v>
      </c>
      <c r="C788" s="85">
        <v>44944</v>
      </c>
      <c r="D788" s="134">
        <v>368</v>
      </c>
      <c r="E788" s="84" t="s">
        <v>638</v>
      </c>
      <c r="F788" s="84">
        <v>1</v>
      </c>
      <c r="G788" s="84" t="s">
        <v>110</v>
      </c>
      <c r="H788" s="85">
        <v>44944</v>
      </c>
      <c r="I788" s="84" t="s">
        <v>835</v>
      </c>
      <c r="J788" s="84" t="s">
        <v>787</v>
      </c>
    </row>
    <row r="789" spans="1:11" x14ac:dyDescent="0.3">
      <c r="A789" s="83">
        <v>1232002027</v>
      </c>
      <c r="B789" s="84">
        <v>26907796</v>
      </c>
      <c r="C789" s="85">
        <v>44944</v>
      </c>
      <c r="D789" s="134">
        <v>12320.21</v>
      </c>
      <c r="E789" s="84" t="s">
        <v>638</v>
      </c>
      <c r="F789" s="84">
        <v>7</v>
      </c>
      <c r="G789" s="84" t="s">
        <v>110</v>
      </c>
      <c r="H789" s="85">
        <v>44944</v>
      </c>
      <c r="I789" s="84" t="s">
        <v>835</v>
      </c>
      <c r="J789" s="84" t="s">
        <v>790</v>
      </c>
    </row>
    <row r="790" spans="1:11" x14ac:dyDescent="0.3">
      <c r="A790" s="83">
        <v>1232000946</v>
      </c>
      <c r="B790" s="84">
        <v>36586039</v>
      </c>
      <c r="C790" s="85">
        <v>44939</v>
      </c>
      <c r="D790" s="134">
        <v>426</v>
      </c>
      <c r="E790" s="84" t="s">
        <v>638</v>
      </c>
      <c r="F790" s="84">
        <v>1</v>
      </c>
      <c r="G790" s="84" t="s">
        <v>110</v>
      </c>
      <c r="H790" s="85">
        <v>44939</v>
      </c>
      <c r="I790" s="84" t="s">
        <v>834</v>
      </c>
      <c r="J790" s="84" t="s">
        <v>787</v>
      </c>
      <c r="K790" s="98" t="s">
        <v>830</v>
      </c>
    </row>
    <row r="791" spans="1:11" x14ac:dyDescent="0.3">
      <c r="A791" s="83">
        <v>1232002442</v>
      </c>
      <c r="B791" s="84">
        <v>55589584</v>
      </c>
      <c r="C791" s="85">
        <v>44945</v>
      </c>
      <c r="D791" s="134">
        <v>668</v>
      </c>
      <c r="E791" s="84" t="s">
        <v>638</v>
      </c>
      <c r="F791" s="84">
        <v>1</v>
      </c>
      <c r="G791" s="84" t="s">
        <v>110</v>
      </c>
      <c r="H791" s="85">
        <v>44945</v>
      </c>
      <c r="I791" s="84" t="s">
        <v>836</v>
      </c>
      <c r="J791" s="84" t="s">
        <v>787</v>
      </c>
    </row>
    <row r="792" spans="1:11" x14ac:dyDescent="0.3">
      <c r="A792" s="83">
        <v>1232002762</v>
      </c>
      <c r="B792" s="84" t="s">
        <v>837</v>
      </c>
      <c r="C792" s="85">
        <v>44946</v>
      </c>
      <c r="D792" s="134">
        <v>480</v>
      </c>
      <c r="E792" s="84" t="s">
        <v>638</v>
      </c>
      <c r="F792" s="84">
        <v>1</v>
      </c>
      <c r="G792" s="84" t="s">
        <v>110</v>
      </c>
      <c r="H792" s="85">
        <v>44946</v>
      </c>
      <c r="I792" s="84" t="s">
        <v>838</v>
      </c>
      <c r="J792" s="84" t="s">
        <v>787</v>
      </c>
    </row>
    <row r="793" spans="1:11" x14ac:dyDescent="0.3">
      <c r="A793" s="83">
        <v>1232003005</v>
      </c>
      <c r="B793" s="84">
        <v>32903323</v>
      </c>
      <c r="C793" s="85">
        <v>44949</v>
      </c>
      <c r="D793" s="134">
        <v>4439.9799999999996</v>
      </c>
      <c r="E793" s="84" t="s">
        <v>638</v>
      </c>
      <c r="F793" s="84">
        <v>2</v>
      </c>
      <c r="G793" s="84" t="s">
        <v>110</v>
      </c>
      <c r="H793" s="85">
        <v>44946</v>
      </c>
      <c r="I793" s="84" t="s">
        <v>839</v>
      </c>
      <c r="J793" s="84" t="s">
        <v>790</v>
      </c>
    </row>
    <row r="794" spans="1:11" x14ac:dyDescent="0.3">
      <c r="A794" s="83">
        <v>1232003304</v>
      </c>
      <c r="B794" s="84">
        <v>69567710</v>
      </c>
      <c r="C794" s="85">
        <v>44950</v>
      </c>
      <c r="D794" s="134">
        <v>297</v>
      </c>
      <c r="E794" s="84" t="s">
        <v>638</v>
      </c>
      <c r="F794" s="84">
        <v>1</v>
      </c>
      <c r="G794" s="84" t="s">
        <v>110</v>
      </c>
      <c r="H794" s="85">
        <v>44949</v>
      </c>
      <c r="I794" s="84" t="s">
        <v>840</v>
      </c>
      <c r="J794" s="84" t="s">
        <v>787</v>
      </c>
    </row>
    <row r="795" spans="1:11" x14ac:dyDescent="0.3">
      <c r="A795" s="83">
        <v>1232003927</v>
      </c>
      <c r="B795" s="84">
        <v>36934549</v>
      </c>
      <c r="C795" s="85">
        <v>44951</v>
      </c>
      <c r="D795" s="134">
        <v>17600.3</v>
      </c>
      <c r="E795" s="84" t="s">
        <v>638</v>
      </c>
      <c r="F795" s="84">
        <v>10</v>
      </c>
      <c r="G795" s="84" t="s">
        <v>110</v>
      </c>
      <c r="H795" s="85">
        <v>44949</v>
      </c>
      <c r="I795" s="84" t="s">
        <v>841</v>
      </c>
      <c r="J795" s="84" t="s">
        <v>790</v>
      </c>
    </row>
    <row r="796" spans="1:11" x14ac:dyDescent="0.3">
      <c r="A796" s="83">
        <v>1232006879</v>
      </c>
      <c r="B796" s="116" t="s">
        <v>842</v>
      </c>
      <c r="C796" s="85">
        <v>44958</v>
      </c>
      <c r="D796" s="134">
        <v>5280.09</v>
      </c>
      <c r="E796" s="84" t="s">
        <v>638</v>
      </c>
      <c r="F796" s="84">
        <v>3</v>
      </c>
      <c r="G796" s="84" t="s">
        <v>110</v>
      </c>
      <c r="H796" s="85">
        <v>44956</v>
      </c>
      <c r="I796" s="84" t="s">
        <v>843</v>
      </c>
      <c r="J796" s="84" t="s">
        <v>790</v>
      </c>
    </row>
    <row r="797" spans="1:11" x14ac:dyDescent="0.3">
      <c r="A797" s="83">
        <v>1232006880</v>
      </c>
      <c r="B797" s="116" t="s">
        <v>844</v>
      </c>
      <c r="C797" s="85">
        <v>44958</v>
      </c>
      <c r="D797" s="134">
        <v>3520.06</v>
      </c>
      <c r="E797" s="84" t="s">
        <v>638</v>
      </c>
      <c r="F797" s="84">
        <v>2</v>
      </c>
      <c r="G797" s="84" t="s">
        <v>110</v>
      </c>
      <c r="H797" s="85">
        <v>44956</v>
      </c>
      <c r="I797" s="84" t="s">
        <v>843</v>
      </c>
      <c r="J797" s="84" t="s">
        <v>790</v>
      </c>
    </row>
    <row r="798" spans="1:11" x14ac:dyDescent="0.3">
      <c r="A798" s="83">
        <v>1232005620</v>
      </c>
      <c r="B798" s="84">
        <v>13688862</v>
      </c>
      <c r="C798" s="85">
        <v>44957</v>
      </c>
      <c r="D798" s="134">
        <v>368</v>
      </c>
      <c r="E798" s="84" t="s">
        <v>638</v>
      </c>
      <c r="F798" s="84">
        <v>1</v>
      </c>
      <c r="G798" s="84" t="s">
        <v>110</v>
      </c>
      <c r="H798" s="85">
        <v>44956</v>
      </c>
      <c r="I798" s="84" t="s">
        <v>845</v>
      </c>
      <c r="J798" s="84" t="s">
        <v>787</v>
      </c>
    </row>
    <row r="799" spans="1:11" x14ac:dyDescent="0.3">
      <c r="A799" s="83">
        <v>1232006104</v>
      </c>
      <c r="B799" s="84">
        <v>15566708</v>
      </c>
      <c r="C799" s="85">
        <v>44958</v>
      </c>
      <c r="D799" s="134">
        <v>480</v>
      </c>
      <c r="E799" s="84" t="s">
        <v>638</v>
      </c>
      <c r="F799" s="84">
        <v>1</v>
      </c>
      <c r="G799" s="84" t="s">
        <v>110</v>
      </c>
      <c r="H799" s="85">
        <v>44956</v>
      </c>
      <c r="I799" s="84" t="s">
        <v>846</v>
      </c>
      <c r="J799" s="84" t="s">
        <v>787</v>
      </c>
    </row>
    <row r="800" spans="1:11" x14ac:dyDescent="0.3">
      <c r="A800" s="87" t="s">
        <v>847</v>
      </c>
      <c r="B800" s="88">
        <v>47580683</v>
      </c>
      <c r="C800" s="89">
        <v>44958</v>
      </c>
      <c r="D800" s="144">
        <v>3142</v>
      </c>
      <c r="E800" s="88" t="s">
        <v>638</v>
      </c>
      <c r="F800" s="88">
        <v>2</v>
      </c>
      <c r="G800" s="88" t="s">
        <v>110</v>
      </c>
      <c r="H800" s="89">
        <v>44956</v>
      </c>
      <c r="I800" s="88" t="s">
        <v>846</v>
      </c>
      <c r="J800" s="88" t="s">
        <v>787</v>
      </c>
      <c r="K800" s="109" t="s">
        <v>659</v>
      </c>
    </row>
    <row r="801" spans="1:11" x14ac:dyDescent="0.3">
      <c r="A801" s="83" t="s">
        <v>848</v>
      </c>
      <c r="B801" s="84">
        <v>37585095</v>
      </c>
      <c r="C801" s="85">
        <v>44958</v>
      </c>
      <c r="D801" s="134">
        <v>1781</v>
      </c>
      <c r="E801" s="84" t="s">
        <v>638</v>
      </c>
      <c r="F801" s="84">
        <v>1</v>
      </c>
      <c r="G801" s="84" t="s">
        <v>110</v>
      </c>
      <c r="H801" s="85">
        <v>44956</v>
      </c>
      <c r="I801" s="84" t="s">
        <v>846</v>
      </c>
      <c r="J801" s="84" t="s">
        <v>787</v>
      </c>
    </row>
    <row r="802" spans="1:11" x14ac:dyDescent="0.3">
      <c r="A802" s="83" t="s">
        <v>849</v>
      </c>
      <c r="B802" s="84">
        <v>8550421</v>
      </c>
      <c r="C802" s="85">
        <v>44958</v>
      </c>
      <c r="D802" s="134">
        <v>368</v>
      </c>
      <c r="E802" s="84" t="s">
        <v>638</v>
      </c>
      <c r="F802" s="84">
        <v>1</v>
      </c>
      <c r="G802" s="84" t="s">
        <v>110</v>
      </c>
      <c r="H802" s="85">
        <v>44956</v>
      </c>
      <c r="I802" s="84" t="s">
        <v>846</v>
      </c>
      <c r="J802" s="84" t="s">
        <v>787</v>
      </c>
    </row>
    <row r="803" spans="1:11" x14ac:dyDescent="0.3">
      <c r="A803" s="83" t="s">
        <v>850</v>
      </c>
      <c r="B803" s="84">
        <v>29550828</v>
      </c>
      <c r="C803" s="85">
        <v>44958</v>
      </c>
      <c r="D803" s="134">
        <v>480</v>
      </c>
      <c r="E803" s="84" t="s">
        <v>638</v>
      </c>
      <c r="F803" s="84">
        <v>1</v>
      </c>
      <c r="G803" s="84" t="s">
        <v>110</v>
      </c>
      <c r="H803" s="85">
        <v>44956</v>
      </c>
      <c r="I803" s="84" t="s">
        <v>846</v>
      </c>
      <c r="J803" s="84" t="s">
        <v>787</v>
      </c>
    </row>
    <row r="804" spans="1:11" x14ac:dyDescent="0.3">
      <c r="A804" s="83" t="s">
        <v>851</v>
      </c>
      <c r="B804" s="84">
        <v>72581748</v>
      </c>
      <c r="C804" s="85">
        <v>44958</v>
      </c>
      <c r="D804" s="134">
        <v>2831</v>
      </c>
      <c r="E804" s="84" t="s">
        <v>638</v>
      </c>
      <c r="F804" s="84">
        <v>2</v>
      </c>
      <c r="G804" s="84" t="s">
        <v>110</v>
      </c>
      <c r="H804" s="85">
        <v>44956</v>
      </c>
      <c r="I804" s="84" t="s">
        <v>846</v>
      </c>
      <c r="J804" s="84" t="s">
        <v>787</v>
      </c>
    </row>
    <row r="805" spans="1:11" x14ac:dyDescent="0.3">
      <c r="A805" s="83" t="s">
        <v>852</v>
      </c>
      <c r="B805" s="84">
        <v>7555040</v>
      </c>
      <c r="C805" s="85">
        <v>44958</v>
      </c>
      <c r="D805" s="134">
        <v>480</v>
      </c>
      <c r="E805" s="84" t="s">
        <v>638</v>
      </c>
      <c r="F805" s="84">
        <v>1</v>
      </c>
      <c r="G805" s="84" t="s">
        <v>110</v>
      </c>
      <c r="H805" s="85">
        <v>44956</v>
      </c>
      <c r="I805" s="84" t="s">
        <v>846</v>
      </c>
      <c r="J805" s="84" t="s">
        <v>787</v>
      </c>
    </row>
    <row r="806" spans="1:11" x14ac:dyDescent="0.3">
      <c r="A806" s="83" t="s">
        <v>853</v>
      </c>
      <c r="B806" s="84">
        <v>14827353</v>
      </c>
      <c r="C806" s="85">
        <v>44958</v>
      </c>
      <c r="D806" s="134">
        <v>314</v>
      </c>
      <c r="E806" s="84" t="s">
        <v>638</v>
      </c>
      <c r="F806" s="84">
        <v>1</v>
      </c>
      <c r="G806" s="84" t="s">
        <v>110</v>
      </c>
      <c r="H806" s="85">
        <v>44956</v>
      </c>
      <c r="I806" s="84" t="s">
        <v>846</v>
      </c>
      <c r="J806" s="84" t="s">
        <v>787</v>
      </c>
    </row>
    <row r="807" spans="1:11" x14ac:dyDescent="0.3">
      <c r="A807" s="83">
        <v>1232006989</v>
      </c>
      <c r="B807" s="84" t="s">
        <v>854</v>
      </c>
      <c r="C807" s="85">
        <v>44958</v>
      </c>
      <c r="D807" s="134">
        <v>314</v>
      </c>
      <c r="E807" s="84" t="s">
        <v>638</v>
      </c>
      <c r="F807" s="84">
        <v>1</v>
      </c>
      <c r="G807" s="84" t="s">
        <v>110</v>
      </c>
      <c r="H807" s="85">
        <v>44956</v>
      </c>
      <c r="I807" s="84" t="s">
        <v>846</v>
      </c>
      <c r="J807" s="84" t="s">
        <v>787</v>
      </c>
    </row>
    <row r="808" spans="1:11" x14ac:dyDescent="0.3">
      <c r="A808" s="87">
        <v>1232007504</v>
      </c>
      <c r="B808" s="88" t="s">
        <v>855</v>
      </c>
      <c r="C808" s="89">
        <v>44959</v>
      </c>
      <c r="D808" s="144">
        <v>592</v>
      </c>
      <c r="E808" s="88" t="s">
        <v>638</v>
      </c>
      <c r="F808" s="88">
        <v>1</v>
      </c>
      <c r="G808" s="88" t="s">
        <v>110</v>
      </c>
      <c r="H808" s="89">
        <v>44957</v>
      </c>
      <c r="I808" s="88" t="s">
        <v>856</v>
      </c>
      <c r="J808" s="88" t="s">
        <v>787</v>
      </c>
      <c r="K808" s="90" t="s">
        <v>659</v>
      </c>
    </row>
    <row r="809" spans="1:11" x14ac:dyDescent="0.3">
      <c r="A809" s="83">
        <v>1232007507</v>
      </c>
      <c r="B809" s="84" t="s">
        <v>857</v>
      </c>
      <c r="C809" s="85">
        <v>44959</v>
      </c>
      <c r="D809" s="134">
        <v>297</v>
      </c>
      <c r="E809" s="84" t="s">
        <v>638</v>
      </c>
      <c r="F809" s="84">
        <v>1</v>
      </c>
      <c r="G809" s="84" t="s">
        <v>110</v>
      </c>
      <c r="H809" s="85">
        <v>44957</v>
      </c>
      <c r="I809" s="84" t="s">
        <v>856</v>
      </c>
      <c r="J809" s="84" t="s">
        <v>787</v>
      </c>
    </row>
    <row r="810" spans="1:11" x14ac:dyDescent="0.3">
      <c r="A810" s="83">
        <v>1232007520</v>
      </c>
      <c r="B810" s="84">
        <v>7566425</v>
      </c>
      <c r="C810" s="85">
        <v>44959</v>
      </c>
      <c r="D810" s="134">
        <v>368</v>
      </c>
      <c r="E810" s="84" t="s">
        <v>638</v>
      </c>
      <c r="F810" s="84">
        <v>1</v>
      </c>
      <c r="G810" s="84" t="s">
        <v>110</v>
      </c>
      <c r="H810" s="85">
        <v>44957</v>
      </c>
      <c r="I810" s="84" t="s">
        <v>856</v>
      </c>
      <c r="J810" s="84" t="s">
        <v>787</v>
      </c>
    </row>
    <row r="811" spans="1:11" x14ac:dyDescent="0.3">
      <c r="A811" s="83">
        <v>1232007531</v>
      </c>
      <c r="B811" s="84">
        <v>14919057</v>
      </c>
      <c r="C811" s="85">
        <v>44959</v>
      </c>
      <c r="D811" s="134">
        <v>368</v>
      </c>
      <c r="E811" s="84" t="s">
        <v>638</v>
      </c>
      <c r="F811" s="84">
        <v>1</v>
      </c>
      <c r="G811" s="84" t="s">
        <v>110</v>
      </c>
      <c r="H811" s="85">
        <v>44957</v>
      </c>
      <c r="I811" s="84" t="s">
        <v>856</v>
      </c>
      <c r="J811" s="84" t="s">
        <v>787</v>
      </c>
    </row>
    <row r="812" spans="1:11" x14ac:dyDescent="0.3">
      <c r="A812" s="83">
        <v>1232007563</v>
      </c>
      <c r="B812" s="84">
        <v>14997615</v>
      </c>
      <c r="C812" s="85">
        <v>44959</v>
      </c>
      <c r="D812" s="134">
        <v>368</v>
      </c>
      <c r="E812" s="84" t="s">
        <v>638</v>
      </c>
      <c r="F812" s="84">
        <v>1</v>
      </c>
      <c r="G812" s="84" t="s">
        <v>110</v>
      </c>
      <c r="H812" s="85">
        <v>44957</v>
      </c>
      <c r="I812" s="84" t="s">
        <v>856</v>
      </c>
      <c r="J812" s="84" t="s">
        <v>787</v>
      </c>
    </row>
    <row r="813" spans="1:11" x14ac:dyDescent="0.3">
      <c r="A813" s="83">
        <v>1232007846</v>
      </c>
      <c r="B813" s="116" t="s">
        <v>858</v>
      </c>
      <c r="C813" s="85">
        <v>44960</v>
      </c>
      <c r="D813" s="134">
        <v>314</v>
      </c>
      <c r="E813" s="84" t="s">
        <v>638</v>
      </c>
      <c r="F813" s="84">
        <v>1</v>
      </c>
      <c r="G813" s="84" t="s">
        <v>110</v>
      </c>
      <c r="H813" s="85">
        <v>44959</v>
      </c>
      <c r="I813" s="84" t="s">
        <v>859</v>
      </c>
      <c r="J813" s="84" t="s">
        <v>787</v>
      </c>
    </row>
    <row r="814" spans="1:11" x14ac:dyDescent="0.3">
      <c r="A814" s="87">
        <v>1232007851</v>
      </c>
      <c r="B814" s="88">
        <v>15698831</v>
      </c>
      <c r="C814" s="89">
        <v>44960</v>
      </c>
      <c r="D814" s="144">
        <v>424</v>
      </c>
      <c r="E814" s="88" t="s">
        <v>638</v>
      </c>
      <c r="F814" s="88">
        <v>1</v>
      </c>
      <c r="G814" s="88" t="s">
        <v>110</v>
      </c>
      <c r="H814" s="89">
        <v>44959</v>
      </c>
      <c r="I814" s="88" t="s">
        <v>859</v>
      </c>
      <c r="J814" s="88" t="s">
        <v>787</v>
      </c>
    </row>
    <row r="815" spans="1:11" x14ac:dyDescent="0.3">
      <c r="A815" s="83">
        <v>1232007865</v>
      </c>
      <c r="B815" s="84">
        <v>71570814</v>
      </c>
      <c r="C815" s="85">
        <v>44960</v>
      </c>
      <c r="D815" s="134">
        <v>314</v>
      </c>
      <c r="E815" s="84" t="s">
        <v>638</v>
      </c>
      <c r="F815" s="84">
        <v>1</v>
      </c>
      <c r="G815" s="84" t="s">
        <v>110</v>
      </c>
      <c r="H815" s="85">
        <v>44959</v>
      </c>
      <c r="I815" s="84" t="s">
        <v>859</v>
      </c>
      <c r="J815" s="84" t="s">
        <v>787</v>
      </c>
    </row>
    <row r="816" spans="1:11" x14ac:dyDescent="0.3">
      <c r="A816" s="83">
        <v>1232008213</v>
      </c>
      <c r="B816" s="84" t="s">
        <v>860</v>
      </c>
      <c r="C816" s="85">
        <v>44963</v>
      </c>
      <c r="D816" s="134">
        <v>592</v>
      </c>
      <c r="E816" s="84" t="s">
        <v>638</v>
      </c>
      <c r="F816" s="84">
        <v>1</v>
      </c>
      <c r="G816" s="84" t="s">
        <v>110</v>
      </c>
      <c r="H816" s="85">
        <v>44959</v>
      </c>
      <c r="I816" s="84" t="s">
        <v>861</v>
      </c>
      <c r="J816" s="84" t="s">
        <v>787</v>
      </c>
    </row>
    <row r="817" spans="1:10" x14ac:dyDescent="0.3">
      <c r="A817" s="83">
        <v>1232008214</v>
      </c>
      <c r="B817" s="84">
        <v>52568992</v>
      </c>
      <c r="C817" s="85">
        <v>44963</v>
      </c>
      <c r="D817" s="134">
        <v>314</v>
      </c>
      <c r="E817" s="84" t="s">
        <v>638</v>
      </c>
      <c r="F817" s="84">
        <v>1</v>
      </c>
      <c r="G817" s="84" t="s">
        <v>110</v>
      </c>
      <c r="H817" s="85">
        <v>44959</v>
      </c>
      <c r="I817" s="84" t="s">
        <v>861</v>
      </c>
      <c r="J817" s="84" t="s">
        <v>787</v>
      </c>
    </row>
    <row r="818" spans="1:10" x14ac:dyDescent="0.3">
      <c r="A818" s="83">
        <v>1232009637</v>
      </c>
      <c r="B818" s="84">
        <v>39580679</v>
      </c>
      <c r="C818" s="85">
        <v>44965</v>
      </c>
      <c r="D818" s="134">
        <v>648</v>
      </c>
      <c r="E818" s="84" t="s">
        <v>638</v>
      </c>
      <c r="F818" s="84">
        <v>1</v>
      </c>
      <c r="G818" s="84" t="s">
        <v>110</v>
      </c>
      <c r="H818" s="85">
        <v>44964</v>
      </c>
      <c r="I818" s="84" t="s">
        <v>862</v>
      </c>
      <c r="J818" s="84" t="s">
        <v>787</v>
      </c>
    </row>
    <row r="819" spans="1:10" x14ac:dyDescent="0.3">
      <c r="A819" s="83">
        <v>1232009712</v>
      </c>
      <c r="B819" s="84">
        <v>15999920</v>
      </c>
      <c r="C819" s="85">
        <v>44965</v>
      </c>
      <c r="D819" s="134">
        <v>984</v>
      </c>
      <c r="E819" s="84" t="s">
        <v>638</v>
      </c>
      <c r="F819" s="84">
        <v>1</v>
      </c>
      <c r="G819" s="84" t="s">
        <v>110</v>
      </c>
      <c r="H819" s="85">
        <v>44964</v>
      </c>
      <c r="I819" s="84" t="s">
        <v>862</v>
      </c>
      <c r="J819" s="84" t="s">
        <v>787</v>
      </c>
    </row>
    <row r="820" spans="1:10" x14ac:dyDescent="0.3">
      <c r="A820" s="83">
        <v>1232009768</v>
      </c>
      <c r="B820" s="84">
        <v>59574625</v>
      </c>
      <c r="C820" s="85">
        <v>44965</v>
      </c>
      <c r="D820" s="134">
        <v>592</v>
      </c>
      <c r="E820" s="84" t="s">
        <v>638</v>
      </c>
      <c r="F820" s="84">
        <v>1</v>
      </c>
      <c r="G820" s="84" t="s">
        <v>110</v>
      </c>
      <c r="H820" s="85">
        <v>44964</v>
      </c>
      <c r="I820" s="84" t="s">
        <v>862</v>
      </c>
      <c r="J820" s="84" t="s">
        <v>787</v>
      </c>
    </row>
    <row r="821" spans="1:10" x14ac:dyDescent="0.3">
      <c r="A821" s="83">
        <v>1232009522</v>
      </c>
      <c r="B821" s="84">
        <v>46931566</v>
      </c>
      <c r="C821" s="85">
        <v>44965</v>
      </c>
      <c r="D821" s="134">
        <v>14080.24</v>
      </c>
      <c r="E821" s="84" t="s">
        <v>638</v>
      </c>
      <c r="F821" s="84">
        <v>8</v>
      </c>
      <c r="G821" s="84" t="s">
        <v>110</v>
      </c>
      <c r="H821" s="85">
        <v>44964</v>
      </c>
      <c r="I821" s="84" t="s">
        <v>863</v>
      </c>
      <c r="J821" s="84" t="s">
        <v>790</v>
      </c>
    </row>
    <row r="822" spans="1:10" x14ac:dyDescent="0.3">
      <c r="A822" s="83">
        <v>1232009623</v>
      </c>
      <c r="B822" s="84">
        <v>18557752</v>
      </c>
      <c r="C822" s="85">
        <v>44965</v>
      </c>
      <c r="D822" s="134">
        <v>368</v>
      </c>
      <c r="E822" s="84" t="s">
        <v>638</v>
      </c>
      <c r="F822" s="84">
        <v>1</v>
      </c>
      <c r="G822" s="84" t="s">
        <v>110</v>
      </c>
      <c r="H822" s="85">
        <v>44964</v>
      </c>
      <c r="I822" s="84" t="s">
        <v>862</v>
      </c>
      <c r="J822" s="84" t="s">
        <v>787</v>
      </c>
    </row>
    <row r="823" spans="1:10" x14ac:dyDescent="0.3">
      <c r="A823" s="83">
        <v>1232009715</v>
      </c>
      <c r="B823" s="84">
        <v>16607846</v>
      </c>
      <c r="C823" s="85">
        <v>44965</v>
      </c>
      <c r="D823" s="134">
        <v>291</v>
      </c>
      <c r="E823" s="84" t="s">
        <v>638</v>
      </c>
      <c r="F823" s="84">
        <v>1</v>
      </c>
      <c r="G823" s="84" t="s">
        <v>110</v>
      </c>
      <c r="H823" s="85">
        <v>44964</v>
      </c>
      <c r="I823" s="84" t="s">
        <v>862</v>
      </c>
      <c r="J823" s="84" t="s">
        <v>787</v>
      </c>
    </row>
    <row r="824" spans="1:10" x14ac:dyDescent="0.3">
      <c r="A824" s="83">
        <v>1232010262</v>
      </c>
      <c r="B824" s="116" t="s">
        <v>864</v>
      </c>
      <c r="C824" s="85">
        <v>44966</v>
      </c>
      <c r="D824" s="134">
        <v>2494</v>
      </c>
      <c r="E824" s="84" t="s">
        <v>638</v>
      </c>
      <c r="F824" s="84">
        <v>2</v>
      </c>
      <c r="G824" s="84" t="s">
        <v>110</v>
      </c>
      <c r="H824" s="85">
        <v>44964</v>
      </c>
      <c r="I824" s="84" t="s">
        <v>865</v>
      </c>
      <c r="J824" s="84" t="s">
        <v>787</v>
      </c>
    </row>
    <row r="825" spans="1:10" x14ac:dyDescent="0.3">
      <c r="A825" s="83">
        <v>1232010641</v>
      </c>
      <c r="B825" s="84" t="s">
        <v>866</v>
      </c>
      <c r="C825" s="85">
        <v>44967</v>
      </c>
      <c r="D825" s="134">
        <v>1152</v>
      </c>
      <c r="E825" s="84" t="s">
        <v>638</v>
      </c>
      <c r="F825" s="84">
        <v>1</v>
      </c>
      <c r="G825" s="84" t="s">
        <v>110</v>
      </c>
      <c r="H825" s="85">
        <v>44965</v>
      </c>
      <c r="I825" s="84" t="s">
        <v>867</v>
      </c>
      <c r="J825" s="84" t="s">
        <v>787</v>
      </c>
    </row>
    <row r="826" spans="1:10" x14ac:dyDescent="0.3">
      <c r="A826" s="83">
        <v>1232011136</v>
      </c>
      <c r="B826" s="116" t="s">
        <v>868</v>
      </c>
      <c r="C826" s="85">
        <v>44971</v>
      </c>
      <c r="D826" s="134">
        <v>668</v>
      </c>
      <c r="E826" s="84" t="s">
        <v>638</v>
      </c>
      <c r="F826" s="84">
        <v>1</v>
      </c>
      <c r="G826" s="84" t="s">
        <v>110</v>
      </c>
      <c r="H826" s="85">
        <v>44967</v>
      </c>
      <c r="I826" s="84" t="s">
        <v>869</v>
      </c>
      <c r="J826" s="84" t="s">
        <v>787</v>
      </c>
    </row>
    <row r="827" spans="1:10" x14ac:dyDescent="0.3">
      <c r="A827" s="83">
        <v>1232011169</v>
      </c>
      <c r="B827" s="84">
        <v>17971784</v>
      </c>
      <c r="C827" s="85">
        <v>44971</v>
      </c>
      <c r="D827" s="134">
        <v>424</v>
      </c>
      <c r="E827" s="84" t="s">
        <v>638</v>
      </c>
      <c r="F827" s="84">
        <v>1</v>
      </c>
      <c r="G827" s="84" t="s">
        <v>110</v>
      </c>
      <c r="H827" s="85">
        <v>44967</v>
      </c>
      <c r="I827" s="84" t="s">
        <v>869</v>
      </c>
      <c r="J827" s="84" t="s">
        <v>787</v>
      </c>
    </row>
    <row r="828" spans="1:10" x14ac:dyDescent="0.3">
      <c r="A828" s="83">
        <v>1232011561</v>
      </c>
      <c r="B828" s="84" t="s">
        <v>870</v>
      </c>
      <c r="C828" s="85">
        <v>44971</v>
      </c>
      <c r="D828" s="134">
        <v>648</v>
      </c>
      <c r="E828" s="84" t="s">
        <v>638</v>
      </c>
      <c r="F828" s="84">
        <v>1</v>
      </c>
      <c r="G828" s="84" t="s">
        <v>110</v>
      </c>
      <c r="H828" s="85">
        <v>44967</v>
      </c>
      <c r="I828" s="84" t="s">
        <v>869</v>
      </c>
      <c r="J828" s="84" t="s">
        <v>787</v>
      </c>
    </row>
    <row r="829" spans="1:10" x14ac:dyDescent="0.3">
      <c r="A829" s="83">
        <v>1232012041</v>
      </c>
      <c r="B829" s="84">
        <v>38916382</v>
      </c>
      <c r="C829" s="85">
        <v>44972</v>
      </c>
      <c r="D829" s="134">
        <v>15840.27</v>
      </c>
      <c r="E829" s="84" t="s">
        <v>638</v>
      </c>
      <c r="F829" s="84">
        <v>9</v>
      </c>
      <c r="G829" s="84" t="s">
        <v>110</v>
      </c>
      <c r="H829" s="85">
        <v>44970</v>
      </c>
      <c r="I829" s="84" t="s">
        <v>871</v>
      </c>
      <c r="J829" s="84" t="s">
        <v>790</v>
      </c>
    </row>
    <row r="830" spans="1:10" x14ac:dyDescent="0.3">
      <c r="A830" s="83">
        <v>1232012046</v>
      </c>
      <c r="B830" s="84">
        <v>45903604</v>
      </c>
      <c r="C830" s="85">
        <v>44972</v>
      </c>
      <c r="D830" s="134">
        <v>14080.24</v>
      </c>
      <c r="E830" s="84" t="s">
        <v>638</v>
      </c>
      <c r="F830" s="84">
        <v>8</v>
      </c>
      <c r="G830" s="84" t="s">
        <v>110</v>
      </c>
      <c r="H830" s="85">
        <v>44970</v>
      </c>
      <c r="I830" s="84" t="s">
        <v>871</v>
      </c>
      <c r="J830" s="84" t="s">
        <v>790</v>
      </c>
    </row>
    <row r="831" spans="1:10" x14ac:dyDescent="0.3">
      <c r="A831" s="83">
        <v>1232012151</v>
      </c>
      <c r="B831" s="84" t="s">
        <v>872</v>
      </c>
      <c r="C831" s="85">
        <v>44972</v>
      </c>
      <c r="D831" s="134">
        <v>592</v>
      </c>
      <c r="E831" s="84" t="s">
        <v>638</v>
      </c>
      <c r="F831" s="84">
        <v>1</v>
      </c>
      <c r="G831" s="84" t="s">
        <v>110</v>
      </c>
      <c r="H831" s="85">
        <v>44970</v>
      </c>
      <c r="I831" s="84" t="s">
        <v>873</v>
      </c>
      <c r="J831" s="84" t="s">
        <v>787</v>
      </c>
    </row>
    <row r="832" spans="1:10" x14ac:dyDescent="0.3">
      <c r="A832" s="83">
        <v>1232012178</v>
      </c>
      <c r="B832" s="84">
        <v>18572081</v>
      </c>
      <c r="C832" s="85">
        <v>44972</v>
      </c>
      <c r="D832" s="134">
        <v>1040</v>
      </c>
      <c r="E832" s="84" t="s">
        <v>638</v>
      </c>
      <c r="F832" s="84">
        <v>1</v>
      </c>
      <c r="G832" s="84" t="s">
        <v>110</v>
      </c>
      <c r="H832" s="85">
        <v>44970</v>
      </c>
      <c r="I832" s="84" t="s">
        <v>873</v>
      </c>
      <c r="J832" s="84" t="s">
        <v>787</v>
      </c>
    </row>
    <row r="833" spans="1:10" x14ac:dyDescent="0.3">
      <c r="A833" s="83">
        <v>1232012225</v>
      </c>
      <c r="B833" s="84">
        <v>21587396</v>
      </c>
      <c r="C833" s="85">
        <v>44972</v>
      </c>
      <c r="D833" s="134">
        <v>368</v>
      </c>
      <c r="E833" s="84" t="s">
        <v>638</v>
      </c>
      <c r="F833" s="84">
        <v>1</v>
      </c>
      <c r="G833" s="84" t="s">
        <v>110</v>
      </c>
      <c r="H833" s="85">
        <v>44970</v>
      </c>
      <c r="I833" s="84" t="s">
        <v>873</v>
      </c>
      <c r="J833" s="84" t="s">
        <v>787</v>
      </c>
    </row>
    <row r="834" spans="1:10" x14ac:dyDescent="0.3">
      <c r="A834" s="83">
        <v>1232012730</v>
      </c>
      <c r="B834" s="84">
        <v>31901417</v>
      </c>
      <c r="C834" s="85">
        <v>44973</v>
      </c>
      <c r="D834" s="134">
        <v>5280.09</v>
      </c>
      <c r="E834" s="84" t="s">
        <v>638</v>
      </c>
      <c r="F834" s="84">
        <v>3</v>
      </c>
      <c r="G834" s="84" t="s">
        <v>110</v>
      </c>
      <c r="H834" s="85">
        <v>44971</v>
      </c>
      <c r="I834" s="84" t="s">
        <v>874</v>
      </c>
      <c r="J834" s="84" t="s">
        <v>790</v>
      </c>
    </row>
    <row r="835" spans="1:10" x14ac:dyDescent="0.3">
      <c r="A835" s="83">
        <v>1232012669</v>
      </c>
      <c r="B835" s="84">
        <v>19794283</v>
      </c>
      <c r="C835" s="85">
        <v>44973</v>
      </c>
      <c r="D835" s="134">
        <v>1152</v>
      </c>
      <c r="E835" s="84" t="s">
        <v>638</v>
      </c>
      <c r="F835" s="84">
        <v>1</v>
      </c>
      <c r="G835" s="84" t="s">
        <v>110</v>
      </c>
      <c r="H835" s="85">
        <v>44971</v>
      </c>
      <c r="I835" s="84" t="s">
        <v>875</v>
      </c>
      <c r="J835" s="84" t="s">
        <v>787</v>
      </c>
    </row>
    <row r="836" spans="1:10" x14ac:dyDescent="0.3">
      <c r="A836" s="83">
        <v>1232013017</v>
      </c>
      <c r="B836" s="84">
        <v>31901882</v>
      </c>
      <c r="C836" s="85">
        <v>44974</v>
      </c>
      <c r="D836" s="134">
        <v>5280.09</v>
      </c>
      <c r="E836" s="84" t="s">
        <v>638</v>
      </c>
      <c r="F836" s="84">
        <v>3</v>
      </c>
      <c r="G836" s="84" t="s">
        <v>110</v>
      </c>
      <c r="H836" s="85">
        <v>44972</v>
      </c>
      <c r="I836" s="84" t="s">
        <v>876</v>
      </c>
      <c r="J836" s="84" t="s">
        <v>790</v>
      </c>
    </row>
    <row r="837" spans="1:10" x14ac:dyDescent="0.3">
      <c r="A837" s="83">
        <v>1232012988</v>
      </c>
      <c r="B837" s="84">
        <v>14586421</v>
      </c>
      <c r="C837" s="85">
        <v>44974</v>
      </c>
      <c r="D837" s="134">
        <v>314</v>
      </c>
      <c r="E837" s="84" t="s">
        <v>638</v>
      </c>
      <c r="F837" s="84">
        <v>1</v>
      </c>
      <c r="G837" s="84" t="s">
        <v>110</v>
      </c>
      <c r="H837" s="85">
        <v>44972</v>
      </c>
      <c r="I837" s="84" t="s">
        <v>877</v>
      </c>
      <c r="J837" s="84" t="s">
        <v>787</v>
      </c>
    </row>
    <row r="838" spans="1:10" x14ac:dyDescent="0.3">
      <c r="A838" s="83">
        <v>1232013378</v>
      </c>
      <c r="B838" s="84">
        <v>78572744</v>
      </c>
      <c r="C838" s="85">
        <v>44977</v>
      </c>
      <c r="D838" s="134">
        <v>536</v>
      </c>
      <c r="E838" s="84" t="s">
        <v>638</v>
      </c>
      <c r="F838" s="84">
        <v>1</v>
      </c>
      <c r="G838" s="84" t="s">
        <v>110</v>
      </c>
      <c r="H838" s="85">
        <v>44976</v>
      </c>
      <c r="I838" s="84"/>
      <c r="J838" s="84" t="s">
        <v>787</v>
      </c>
    </row>
    <row r="839" spans="1:10" x14ac:dyDescent="0.3">
      <c r="A839" s="83">
        <v>1232014729</v>
      </c>
      <c r="B839" s="116" t="s">
        <v>878</v>
      </c>
      <c r="C839" s="85">
        <v>44979</v>
      </c>
      <c r="D839" s="134">
        <v>14080.24</v>
      </c>
      <c r="E839" s="84" t="s">
        <v>638</v>
      </c>
      <c r="F839" s="84">
        <v>8</v>
      </c>
      <c r="G839" s="84" t="s">
        <v>110</v>
      </c>
      <c r="H839" s="85">
        <v>44977</v>
      </c>
      <c r="I839" s="84" t="s">
        <v>879</v>
      </c>
      <c r="J839" s="84" t="s">
        <v>790</v>
      </c>
    </row>
    <row r="840" spans="1:10" x14ac:dyDescent="0.3">
      <c r="A840" s="83">
        <v>1232014849</v>
      </c>
      <c r="B840" s="84" t="s">
        <v>880</v>
      </c>
      <c r="C840" s="85">
        <v>44979</v>
      </c>
      <c r="D840" s="134">
        <v>1096</v>
      </c>
      <c r="E840" s="84" t="s">
        <v>638</v>
      </c>
      <c r="F840" s="84">
        <v>1</v>
      </c>
      <c r="G840" s="84" t="s">
        <v>110</v>
      </c>
      <c r="H840" s="85">
        <v>44977</v>
      </c>
      <c r="I840" s="84" t="s">
        <v>881</v>
      </c>
      <c r="J840" s="84" t="s">
        <v>787</v>
      </c>
    </row>
    <row r="841" spans="1:10" x14ac:dyDescent="0.3">
      <c r="A841" s="83">
        <v>1232014859</v>
      </c>
      <c r="B841" s="84">
        <v>12576241</v>
      </c>
      <c r="C841" s="85">
        <v>44979</v>
      </c>
      <c r="D841" s="134">
        <v>368</v>
      </c>
      <c r="E841" s="84" t="s">
        <v>638</v>
      </c>
      <c r="F841" s="84">
        <v>1</v>
      </c>
      <c r="G841" s="84" t="s">
        <v>110</v>
      </c>
      <c r="H841" s="85">
        <v>44977</v>
      </c>
      <c r="I841" s="84" t="s">
        <v>881</v>
      </c>
      <c r="J841" s="84" t="s">
        <v>787</v>
      </c>
    </row>
    <row r="842" spans="1:10" x14ac:dyDescent="0.3">
      <c r="A842" s="83">
        <v>1232014864</v>
      </c>
      <c r="B842" s="84">
        <v>32553787</v>
      </c>
      <c r="C842" s="85">
        <v>44979</v>
      </c>
      <c r="D842" s="134">
        <v>562</v>
      </c>
      <c r="E842" s="84" t="s">
        <v>638</v>
      </c>
      <c r="F842" s="84">
        <v>1</v>
      </c>
      <c r="G842" s="84" t="s">
        <v>110</v>
      </c>
      <c r="H842" s="85">
        <v>44977</v>
      </c>
      <c r="I842" s="84" t="s">
        <v>881</v>
      </c>
      <c r="J842" s="84" t="s">
        <v>787</v>
      </c>
    </row>
    <row r="843" spans="1:10" x14ac:dyDescent="0.3">
      <c r="A843" s="83">
        <v>1232014863</v>
      </c>
      <c r="B843" s="84" t="s">
        <v>882</v>
      </c>
      <c r="C843" s="85">
        <v>44979</v>
      </c>
      <c r="D843" s="134">
        <v>424</v>
      </c>
      <c r="E843" s="84" t="s">
        <v>638</v>
      </c>
      <c r="F843" s="84">
        <v>1</v>
      </c>
      <c r="G843" s="84" t="s">
        <v>110</v>
      </c>
      <c r="H843" s="85">
        <v>44977</v>
      </c>
      <c r="I843" s="84" t="s">
        <v>881</v>
      </c>
      <c r="J843" s="84" t="s">
        <v>787</v>
      </c>
    </row>
    <row r="844" spans="1:10" x14ac:dyDescent="0.3">
      <c r="A844" s="83">
        <v>1232015625</v>
      </c>
      <c r="B844" s="84">
        <v>14586532</v>
      </c>
      <c r="C844" s="85">
        <v>44980</v>
      </c>
      <c r="D844" s="134">
        <v>314</v>
      </c>
      <c r="E844" s="84" t="s">
        <v>638</v>
      </c>
      <c r="F844" s="84">
        <v>1</v>
      </c>
      <c r="G844" s="84" t="s">
        <v>110</v>
      </c>
      <c r="H844" s="85">
        <v>44978</v>
      </c>
      <c r="I844" s="84" t="s">
        <v>883</v>
      </c>
      <c r="J844" s="84" t="s">
        <v>787</v>
      </c>
    </row>
    <row r="845" spans="1:10" x14ac:dyDescent="0.3">
      <c r="A845" s="83">
        <v>1232015678</v>
      </c>
      <c r="B845" s="84">
        <v>71584483</v>
      </c>
      <c r="C845" s="85">
        <v>44980</v>
      </c>
      <c r="D845" s="134">
        <v>424</v>
      </c>
      <c r="E845" s="84" t="s">
        <v>638</v>
      </c>
      <c r="F845" s="84">
        <v>1</v>
      </c>
      <c r="G845" s="84" t="s">
        <v>110</v>
      </c>
      <c r="H845" s="85">
        <v>44978</v>
      </c>
      <c r="I845" s="84" t="s">
        <v>883</v>
      </c>
      <c r="J845" s="84" t="s">
        <v>787</v>
      </c>
    </row>
    <row r="846" spans="1:10" x14ac:dyDescent="0.3">
      <c r="A846" s="83">
        <v>1232016216</v>
      </c>
      <c r="B846" s="84">
        <v>72582294</v>
      </c>
      <c r="C846" s="85">
        <v>44981</v>
      </c>
      <c r="D846" s="134">
        <v>314</v>
      </c>
      <c r="E846" s="84" t="s">
        <v>638</v>
      </c>
      <c r="F846" s="84">
        <v>1</v>
      </c>
      <c r="G846" s="84" t="s">
        <v>110</v>
      </c>
      <c r="H846" s="85">
        <v>44980</v>
      </c>
      <c r="I846" s="84" t="s">
        <v>884</v>
      </c>
      <c r="J846" s="84" t="s">
        <v>787</v>
      </c>
    </row>
    <row r="847" spans="1:10" x14ac:dyDescent="0.3">
      <c r="A847" s="83">
        <v>1232016244</v>
      </c>
      <c r="B847" s="84">
        <v>88585122</v>
      </c>
      <c r="C847" s="85">
        <v>44981</v>
      </c>
      <c r="D847" s="134">
        <v>592</v>
      </c>
      <c r="E847" s="84" t="s">
        <v>638</v>
      </c>
      <c r="F847" s="84">
        <v>1</v>
      </c>
      <c r="G847" s="84" t="s">
        <v>110</v>
      </c>
      <c r="H847" s="85">
        <v>44980</v>
      </c>
      <c r="I847" s="84" t="s">
        <v>884</v>
      </c>
      <c r="J847" s="84" t="s">
        <v>787</v>
      </c>
    </row>
    <row r="848" spans="1:10" x14ac:dyDescent="0.3">
      <c r="A848" s="83">
        <v>1232016275</v>
      </c>
      <c r="B848" s="84">
        <v>22962801</v>
      </c>
      <c r="C848" s="85">
        <v>44981</v>
      </c>
      <c r="D848" s="134">
        <v>1264</v>
      </c>
      <c r="E848" s="84" t="s">
        <v>638</v>
      </c>
      <c r="F848" s="84">
        <v>1</v>
      </c>
      <c r="G848" s="84" t="s">
        <v>110</v>
      </c>
      <c r="H848" s="85">
        <v>44980</v>
      </c>
      <c r="I848" s="84" t="s">
        <v>884</v>
      </c>
      <c r="J848" s="84" t="s">
        <v>787</v>
      </c>
    </row>
    <row r="849" spans="1:10" x14ac:dyDescent="0.3">
      <c r="A849" s="87">
        <v>1232016742</v>
      </c>
      <c r="B849" s="88" t="s">
        <v>870</v>
      </c>
      <c r="C849" s="89">
        <v>44981</v>
      </c>
      <c r="D849" s="144">
        <v>704</v>
      </c>
      <c r="E849" s="88" t="s">
        <v>638</v>
      </c>
      <c r="F849" s="88">
        <v>1</v>
      </c>
      <c r="G849" s="88" t="s">
        <v>110</v>
      </c>
      <c r="H849" s="89">
        <v>44980</v>
      </c>
      <c r="I849" s="88" t="s">
        <v>884</v>
      </c>
      <c r="J849" s="88" t="s">
        <v>787</v>
      </c>
    </row>
    <row r="850" spans="1:10" x14ac:dyDescent="0.3">
      <c r="A850" s="83">
        <v>1232016646</v>
      </c>
      <c r="B850" s="84">
        <v>23665365</v>
      </c>
      <c r="C850" s="85">
        <v>44984</v>
      </c>
      <c r="D850" s="134">
        <v>2402</v>
      </c>
      <c r="E850" s="84" t="s">
        <v>638</v>
      </c>
      <c r="F850" s="84">
        <v>2</v>
      </c>
      <c r="G850" s="84" t="s">
        <v>110</v>
      </c>
      <c r="H850" s="85">
        <v>44980</v>
      </c>
      <c r="I850" s="84" t="s">
        <v>885</v>
      </c>
      <c r="J850" s="84" t="s">
        <v>787</v>
      </c>
    </row>
    <row r="851" spans="1:10" x14ac:dyDescent="0.3">
      <c r="A851" s="83">
        <v>1232017326</v>
      </c>
      <c r="B851" s="84">
        <v>35902884</v>
      </c>
      <c r="C851" s="85">
        <v>44986</v>
      </c>
      <c r="D851" s="134">
        <v>15840.27</v>
      </c>
      <c r="E851" s="84" t="s">
        <v>638</v>
      </c>
      <c r="F851" s="84">
        <v>9</v>
      </c>
      <c r="G851" s="84" t="s">
        <v>110</v>
      </c>
      <c r="H851" s="85">
        <v>44985</v>
      </c>
      <c r="I851" s="84" t="s">
        <v>886</v>
      </c>
      <c r="J851" s="84" t="s">
        <v>790</v>
      </c>
    </row>
    <row r="852" spans="1:10" x14ac:dyDescent="0.3">
      <c r="A852" s="83">
        <v>1232016963</v>
      </c>
      <c r="B852" s="84">
        <v>85571085</v>
      </c>
      <c r="C852" s="85">
        <v>44986</v>
      </c>
      <c r="D852" s="134">
        <v>314</v>
      </c>
      <c r="E852" s="84" t="s">
        <v>638</v>
      </c>
      <c r="F852" s="84">
        <v>1</v>
      </c>
      <c r="G852" s="84" t="s">
        <v>110</v>
      </c>
      <c r="H852" s="85">
        <v>44985</v>
      </c>
      <c r="I852" s="84" t="s">
        <v>887</v>
      </c>
      <c r="J852" s="84" t="s">
        <v>787</v>
      </c>
    </row>
    <row r="853" spans="1:10" x14ac:dyDescent="0.3">
      <c r="A853" s="83">
        <v>1232016964</v>
      </c>
      <c r="B853" s="84">
        <v>5564178</v>
      </c>
      <c r="C853" s="85">
        <v>44986</v>
      </c>
      <c r="D853" s="134">
        <v>536</v>
      </c>
      <c r="E853" s="84" t="s">
        <v>638</v>
      </c>
      <c r="F853" s="84">
        <v>1</v>
      </c>
      <c r="G853" s="84" t="s">
        <v>110</v>
      </c>
      <c r="H853" s="85">
        <v>44985</v>
      </c>
      <c r="I853" s="84" t="s">
        <v>887</v>
      </c>
      <c r="J853" s="84" t="s">
        <v>787</v>
      </c>
    </row>
    <row r="854" spans="1:10" x14ac:dyDescent="0.3">
      <c r="A854" s="83">
        <v>1232019618</v>
      </c>
      <c r="B854" s="84">
        <v>35906273</v>
      </c>
      <c r="C854" s="85">
        <v>44993</v>
      </c>
      <c r="D854" s="134">
        <v>11480.1</v>
      </c>
      <c r="E854" s="84" t="s">
        <v>638</v>
      </c>
      <c r="F854" s="84">
        <v>6</v>
      </c>
      <c r="G854" s="84" t="s">
        <v>110</v>
      </c>
      <c r="H854" s="85">
        <v>44992</v>
      </c>
      <c r="I854" s="84"/>
      <c r="J854" s="84" t="s">
        <v>790</v>
      </c>
    </row>
    <row r="855" spans="1:10" x14ac:dyDescent="0.3">
      <c r="A855" s="83">
        <v>1232019903</v>
      </c>
      <c r="B855" s="84">
        <v>46943956</v>
      </c>
      <c r="C855" s="85">
        <v>44993</v>
      </c>
      <c r="D855" s="134">
        <v>17600.3</v>
      </c>
      <c r="E855" s="84" t="s">
        <v>638</v>
      </c>
      <c r="F855" s="84">
        <v>10</v>
      </c>
      <c r="G855" s="84" t="s">
        <v>110</v>
      </c>
      <c r="H855" s="85">
        <v>44992</v>
      </c>
      <c r="I855" s="84"/>
      <c r="J855" s="84" t="s">
        <v>790</v>
      </c>
    </row>
    <row r="856" spans="1:10" x14ac:dyDescent="0.3">
      <c r="A856" s="83">
        <v>1232019905</v>
      </c>
      <c r="B856" s="116" t="s">
        <v>888</v>
      </c>
      <c r="C856" s="85">
        <v>44993</v>
      </c>
      <c r="D856" s="134">
        <v>7040.12</v>
      </c>
      <c r="E856" s="84" t="s">
        <v>638</v>
      </c>
      <c r="F856" s="84">
        <v>4</v>
      </c>
      <c r="G856" s="84" t="s">
        <v>110</v>
      </c>
      <c r="H856" s="85">
        <v>44992</v>
      </c>
      <c r="I856" s="84"/>
      <c r="J856" s="84" t="s">
        <v>790</v>
      </c>
    </row>
    <row r="857" spans="1:10" x14ac:dyDescent="0.3">
      <c r="A857" s="83">
        <v>1232019243</v>
      </c>
      <c r="B857" s="84">
        <v>25991455</v>
      </c>
      <c r="C857" s="85">
        <v>44993</v>
      </c>
      <c r="D857" s="134">
        <v>314</v>
      </c>
      <c r="E857" s="84" t="s">
        <v>638</v>
      </c>
      <c r="F857" s="84">
        <v>1</v>
      </c>
      <c r="G857" s="84" t="s">
        <v>110</v>
      </c>
      <c r="H857" s="85">
        <v>44992</v>
      </c>
      <c r="I857" s="84" t="s">
        <v>889</v>
      </c>
      <c r="J857" s="84" t="s">
        <v>787</v>
      </c>
    </row>
    <row r="858" spans="1:10" x14ac:dyDescent="0.3">
      <c r="A858" s="83">
        <v>1232019256</v>
      </c>
      <c r="B858" s="84">
        <v>25975318</v>
      </c>
      <c r="C858" s="85">
        <v>44993</v>
      </c>
      <c r="D858" s="134">
        <v>928</v>
      </c>
      <c r="E858" s="84" t="s">
        <v>638</v>
      </c>
      <c r="F858" s="84">
        <v>1</v>
      </c>
      <c r="G858" s="84" t="s">
        <v>110</v>
      </c>
      <c r="H858" s="85">
        <v>44992</v>
      </c>
      <c r="I858" s="84" t="s">
        <v>889</v>
      </c>
      <c r="J858" s="84" t="s">
        <v>787</v>
      </c>
    </row>
    <row r="859" spans="1:10" x14ac:dyDescent="0.3">
      <c r="A859" s="83">
        <v>1232019964</v>
      </c>
      <c r="B859" s="84">
        <v>78572965</v>
      </c>
      <c r="C859" s="85">
        <v>44993</v>
      </c>
      <c r="D859" s="134">
        <v>495.00900000000001</v>
      </c>
      <c r="E859" s="84" t="s">
        <v>638</v>
      </c>
      <c r="F859" s="84">
        <v>1</v>
      </c>
      <c r="G859" s="84" t="s">
        <v>110</v>
      </c>
      <c r="H859" s="85">
        <v>44992</v>
      </c>
      <c r="I859" s="84" t="s">
        <v>889</v>
      </c>
      <c r="J859" s="84" t="s">
        <v>787</v>
      </c>
    </row>
    <row r="860" spans="1:10" x14ac:dyDescent="0.3">
      <c r="A860" s="83">
        <v>1232019966</v>
      </c>
      <c r="B860" s="84">
        <v>23587427</v>
      </c>
      <c r="C860" s="85">
        <v>44993</v>
      </c>
      <c r="D860" s="134">
        <v>2071.9920000000002</v>
      </c>
      <c r="E860" s="84" t="s">
        <v>638</v>
      </c>
      <c r="F860" s="84">
        <v>2</v>
      </c>
      <c r="G860" s="84" t="s">
        <v>110</v>
      </c>
      <c r="H860" s="85">
        <v>44992</v>
      </c>
      <c r="I860" s="84" t="s">
        <v>889</v>
      </c>
      <c r="J860" s="84" t="s">
        <v>787</v>
      </c>
    </row>
    <row r="861" spans="1:10" x14ac:dyDescent="0.3">
      <c r="A861" s="83">
        <v>1232019972</v>
      </c>
      <c r="B861" s="84">
        <v>26777817</v>
      </c>
      <c r="C861" s="85">
        <v>44993</v>
      </c>
      <c r="D861" s="134">
        <v>7037.1610000000001</v>
      </c>
      <c r="E861" s="84" t="s">
        <v>638</v>
      </c>
      <c r="F861" s="84">
        <v>4</v>
      </c>
      <c r="G861" s="84" t="s">
        <v>110</v>
      </c>
      <c r="H861" s="85">
        <v>44992</v>
      </c>
      <c r="I861" s="84" t="s">
        <v>889</v>
      </c>
      <c r="J861" s="84" t="s">
        <v>787</v>
      </c>
    </row>
    <row r="862" spans="1:10" x14ac:dyDescent="0.3">
      <c r="A862" s="83">
        <v>1232019975</v>
      </c>
      <c r="B862" s="84">
        <v>26791247</v>
      </c>
      <c r="C862" s="85">
        <v>44993</v>
      </c>
      <c r="D862" s="134">
        <v>495.00900000000001</v>
      </c>
      <c r="E862" s="84" t="s">
        <v>638</v>
      </c>
      <c r="F862" s="84">
        <v>1</v>
      </c>
      <c r="G862" s="84" t="s">
        <v>110</v>
      </c>
      <c r="H862" s="85">
        <v>44992</v>
      </c>
      <c r="I862" s="84" t="s">
        <v>889</v>
      </c>
      <c r="J862" s="84" t="s">
        <v>787</v>
      </c>
    </row>
    <row r="863" spans="1:10" x14ac:dyDescent="0.3">
      <c r="A863" s="83">
        <v>1232019982</v>
      </c>
      <c r="B863" s="84">
        <v>39586132</v>
      </c>
      <c r="C863" s="85">
        <v>44993</v>
      </c>
      <c r="D863" s="134">
        <v>330.00599999999997</v>
      </c>
      <c r="E863" s="84" t="s">
        <v>638</v>
      </c>
      <c r="F863" s="84">
        <v>1</v>
      </c>
      <c r="G863" s="84" t="s">
        <v>110</v>
      </c>
      <c r="H863" s="85">
        <v>44992</v>
      </c>
      <c r="I863" s="84" t="s">
        <v>889</v>
      </c>
      <c r="J863" s="84" t="s">
        <v>787</v>
      </c>
    </row>
    <row r="864" spans="1:10" x14ac:dyDescent="0.3">
      <c r="A864" s="83">
        <v>1232020002</v>
      </c>
      <c r="B864" s="84">
        <v>58558486</v>
      </c>
      <c r="C864" s="85">
        <v>44993</v>
      </c>
      <c r="D864" s="134">
        <v>880.01599999999996</v>
      </c>
      <c r="E864" s="84" t="s">
        <v>638</v>
      </c>
      <c r="F864" s="84">
        <v>1</v>
      </c>
      <c r="G864" s="84" t="s">
        <v>110</v>
      </c>
      <c r="H864" s="85">
        <v>44992</v>
      </c>
      <c r="I864" s="84" t="s">
        <v>889</v>
      </c>
      <c r="J864" s="84" t="s">
        <v>787</v>
      </c>
    </row>
    <row r="865" spans="1:11" x14ac:dyDescent="0.3">
      <c r="A865" s="83">
        <v>1232020491</v>
      </c>
      <c r="B865" s="84">
        <v>47918910</v>
      </c>
      <c r="C865" s="85">
        <v>44994</v>
      </c>
      <c r="D865" s="134">
        <v>7040.12</v>
      </c>
      <c r="E865" s="84" t="s">
        <v>638</v>
      </c>
      <c r="F865" s="84">
        <v>4</v>
      </c>
      <c r="G865" s="84" t="s">
        <v>110</v>
      </c>
      <c r="H865" s="85">
        <v>44992</v>
      </c>
      <c r="I865" s="84" t="s">
        <v>890</v>
      </c>
      <c r="J865" s="84" t="s">
        <v>790</v>
      </c>
    </row>
    <row r="866" spans="1:11" x14ac:dyDescent="0.3">
      <c r="A866" s="83">
        <v>1232020868</v>
      </c>
      <c r="B866" s="84">
        <v>38931888</v>
      </c>
      <c r="C866" s="85">
        <v>44998</v>
      </c>
      <c r="D866" s="134">
        <v>8800.15</v>
      </c>
      <c r="E866" s="84" t="s">
        <v>638</v>
      </c>
      <c r="F866" s="84">
        <v>5</v>
      </c>
      <c r="G866" s="84" t="s">
        <v>110</v>
      </c>
      <c r="H866" s="85">
        <v>44998</v>
      </c>
      <c r="I866" s="84" t="s">
        <v>891</v>
      </c>
      <c r="J866" s="84" t="s">
        <v>790</v>
      </c>
    </row>
    <row r="867" spans="1:11" x14ac:dyDescent="0.3">
      <c r="A867" s="83">
        <v>1232024545</v>
      </c>
      <c r="B867" s="84">
        <v>45917942</v>
      </c>
      <c r="C867" s="85">
        <v>45002</v>
      </c>
      <c r="D867" s="134">
        <v>2219.9899999999998</v>
      </c>
      <c r="E867" s="84" t="s">
        <v>638</v>
      </c>
      <c r="F867" s="84">
        <v>1</v>
      </c>
      <c r="G867" s="84" t="s">
        <v>110</v>
      </c>
      <c r="H867" s="85">
        <v>45002</v>
      </c>
      <c r="I867" s="84" t="s">
        <v>892</v>
      </c>
      <c r="J867" s="84" t="s">
        <v>790</v>
      </c>
    </row>
    <row r="868" spans="1:11" x14ac:dyDescent="0.3">
      <c r="A868" s="83">
        <v>1232024001</v>
      </c>
      <c r="B868" s="84">
        <v>29820969</v>
      </c>
      <c r="C868" s="85">
        <v>45002</v>
      </c>
      <c r="D868" s="134">
        <v>3117</v>
      </c>
      <c r="E868" s="84" t="s">
        <v>638</v>
      </c>
      <c r="F868" s="84">
        <v>2</v>
      </c>
      <c r="G868" s="84" t="s">
        <v>110</v>
      </c>
      <c r="H868" s="85">
        <v>45002</v>
      </c>
      <c r="I868" s="84" t="s">
        <v>893</v>
      </c>
      <c r="J868" s="84" t="s">
        <v>787</v>
      </c>
    </row>
    <row r="869" spans="1:11" x14ac:dyDescent="0.3">
      <c r="A869" s="83">
        <v>1232025899</v>
      </c>
      <c r="B869" s="84">
        <v>36917883</v>
      </c>
      <c r="C869" s="85">
        <v>45006</v>
      </c>
      <c r="D869" s="134">
        <v>3520.06</v>
      </c>
      <c r="E869" s="84" t="s">
        <v>638</v>
      </c>
      <c r="F869" s="84">
        <v>2</v>
      </c>
      <c r="G869" s="84" t="s">
        <v>110</v>
      </c>
      <c r="H869" s="85">
        <v>45002</v>
      </c>
      <c r="I869" s="84" t="s">
        <v>894</v>
      </c>
      <c r="J869" s="84" t="s">
        <v>790</v>
      </c>
    </row>
    <row r="870" spans="1:11" x14ac:dyDescent="0.3">
      <c r="A870" s="83">
        <v>1232036835</v>
      </c>
      <c r="B870" s="84">
        <v>23588211</v>
      </c>
      <c r="C870" s="85">
        <v>45033</v>
      </c>
      <c r="D870" s="134">
        <v>424</v>
      </c>
      <c r="E870" s="84" t="s">
        <v>638</v>
      </c>
      <c r="F870" s="84">
        <v>1</v>
      </c>
      <c r="G870" s="84" t="s">
        <v>110</v>
      </c>
      <c r="H870" s="85">
        <v>45033</v>
      </c>
      <c r="I870" s="84" t="s">
        <v>895</v>
      </c>
      <c r="J870" s="84" t="s">
        <v>787</v>
      </c>
    </row>
    <row r="871" spans="1:11" x14ac:dyDescent="0.3">
      <c r="A871" s="83">
        <v>1232036851</v>
      </c>
      <c r="B871" s="84">
        <v>42558706</v>
      </c>
      <c r="C871" s="85">
        <v>45033</v>
      </c>
      <c r="D871" s="134">
        <v>368</v>
      </c>
      <c r="E871" s="84" t="s">
        <v>638</v>
      </c>
      <c r="F871" s="84">
        <v>1</v>
      </c>
      <c r="G871" s="84" t="s">
        <v>110</v>
      </c>
      <c r="H871" s="85">
        <v>45033</v>
      </c>
      <c r="I871" s="84" t="s">
        <v>895</v>
      </c>
      <c r="J871" s="84" t="s">
        <v>787</v>
      </c>
    </row>
    <row r="872" spans="1:11" x14ac:dyDescent="0.3">
      <c r="A872" s="83">
        <v>1232037328</v>
      </c>
      <c r="B872" s="84">
        <v>19589016</v>
      </c>
      <c r="C872" s="85">
        <v>45033</v>
      </c>
      <c r="D872" s="134">
        <v>480</v>
      </c>
      <c r="E872" s="84" t="s">
        <v>638</v>
      </c>
      <c r="F872" s="84">
        <v>1</v>
      </c>
      <c r="G872" s="84" t="s">
        <v>110</v>
      </c>
      <c r="H872" s="85">
        <v>45033</v>
      </c>
      <c r="I872" s="84" t="s">
        <v>895</v>
      </c>
      <c r="J872" s="84" t="s">
        <v>787</v>
      </c>
    </row>
    <row r="873" spans="1:11" x14ac:dyDescent="0.3">
      <c r="A873" s="83">
        <v>1232037374</v>
      </c>
      <c r="B873" s="84">
        <v>1554111</v>
      </c>
      <c r="C873" s="85">
        <v>45033</v>
      </c>
      <c r="D873" s="134">
        <v>480</v>
      </c>
      <c r="E873" s="84" t="s">
        <v>638</v>
      </c>
      <c r="F873" s="84">
        <v>1</v>
      </c>
      <c r="G873" s="84" t="s">
        <v>110</v>
      </c>
      <c r="H873" s="85">
        <v>45033</v>
      </c>
      <c r="I873" s="84" t="s">
        <v>895</v>
      </c>
      <c r="J873" s="84" t="s">
        <v>787</v>
      </c>
    </row>
    <row r="874" spans="1:11" x14ac:dyDescent="0.3">
      <c r="A874" s="83">
        <v>1232037391</v>
      </c>
      <c r="B874" s="84">
        <v>21588624</v>
      </c>
      <c r="C874" s="85">
        <v>45033</v>
      </c>
      <c r="D874" s="134">
        <v>2970</v>
      </c>
      <c r="E874" s="84" t="s">
        <v>638</v>
      </c>
      <c r="F874" s="84">
        <v>2</v>
      </c>
      <c r="G874" s="84" t="s">
        <v>110</v>
      </c>
      <c r="H874" s="85">
        <v>45033</v>
      </c>
      <c r="I874" s="84" t="s">
        <v>895</v>
      </c>
      <c r="J874" s="84" t="s">
        <v>787</v>
      </c>
    </row>
    <row r="875" spans="1:11" x14ac:dyDescent="0.3">
      <c r="A875" s="83">
        <v>1232037401</v>
      </c>
      <c r="B875" s="84">
        <v>31566162</v>
      </c>
      <c r="C875" s="85">
        <v>45033</v>
      </c>
      <c r="D875" s="134">
        <v>536</v>
      </c>
      <c r="E875" s="84" t="s">
        <v>638</v>
      </c>
      <c r="F875" s="84">
        <v>1</v>
      </c>
      <c r="G875" s="84" t="s">
        <v>110</v>
      </c>
      <c r="H875" s="85">
        <v>45033</v>
      </c>
      <c r="I875" s="84" t="s">
        <v>895</v>
      </c>
      <c r="J875" s="84" t="s">
        <v>787</v>
      </c>
    </row>
    <row r="876" spans="1:11" x14ac:dyDescent="0.3">
      <c r="A876" s="83">
        <v>1232037291</v>
      </c>
      <c r="B876" s="84">
        <v>41862511</v>
      </c>
      <c r="C876" s="85">
        <v>45033</v>
      </c>
      <c r="D876" s="134">
        <v>872</v>
      </c>
      <c r="E876" s="84" t="s">
        <v>638</v>
      </c>
      <c r="F876" s="84">
        <v>1</v>
      </c>
      <c r="G876" s="84" t="s">
        <v>110</v>
      </c>
      <c r="H876" s="85">
        <v>45033</v>
      </c>
      <c r="I876" s="84" t="s">
        <v>895</v>
      </c>
      <c r="J876" s="84" t="s">
        <v>787</v>
      </c>
      <c r="K876" s="63" t="s">
        <v>699</v>
      </c>
    </row>
    <row r="877" spans="1:11" x14ac:dyDescent="0.3">
      <c r="A877" s="83">
        <v>1232037294</v>
      </c>
      <c r="B877" s="84">
        <v>41878856</v>
      </c>
      <c r="C877" s="85">
        <v>45033</v>
      </c>
      <c r="D877" s="134">
        <v>6463</v>
      </c>
      <c r="E877" s="84" t="s">
        <v>638</v>
      </c>
      <c r="F877" s="84">
        <v>3</v>
      </c>
      <c r="G877" s="84" t="s">
        <v>110</v>
      </c>
      <c r="H877" s="85">
        <v>45033</v>
      </c>
      <c r="I877" s="84" t="s">
        <v>895</v>
      </c>
      <c r="J877" s="84" t="s">
        <v>787</v>
      </c>
      <c r="K877" s="63" t="s">
        <v>699</v>
      </c>
    </row>
    <row r="878" spans="1:11" x14ac:dyDescent="0.3">
      <c r="A878" s="83">
        <v>1232037336</v>
      </c>
      <c r="B878" s="84">
        <v>41976655</v>
      </c>
      <c r="C878" s="85">
        <v>45033</v>
      </c>
      <c r="D878" s="134">
        <v>536</v>
      </c>
      <c r="E878" s="84" t="s">
        <v>638</v>
      </c>
      <c r="F878" s="84">
        <v>1</v>
      </c>
      <c r="G878" s="84" t="s">
        <v>110</v>
      </c>
      <c r="H878" s="85">
        <v>45033</v>
      </c>
      <c r="I878" s="84" t="s">
        <v>895</v>
      </c>
      <c r="J878" s="84" t="s">
        <v>787</v>
      </c>
      <c r="K878" s="63" t="s">
        <v>699</v>
      </c>
    </row>
    <row r="879" spans="1:11" x14ac:dyDescent="0.3">
      <c r="A879" s="83">
        <v>1232037392</v>
      </c>
      <c r="B879" s="84">
        <v>22561000</v>
      </c>
      <c r="C879" s="85">
        <v>45033</v>
      </c>
      <c r="D879" s="134">
        <v>480</v>
      </c>
      <c r="E879" s="84" t="s">
        <v>638</v>
      </c>
      <c r="F879" s="84">
        <v>1</v>
      </c>
      <c r="G879" s="84" t="s">
        <v>110</v>
      </c>
      <c r="H879" s="85">
        <v>45033</v>
      </c>
      <c r="I879" s="84" t="s">
        <v>895</v>
      </c>
      <c r="J879" s="84" t="s">
        <v>787</v>
      </c>
      <c r="K879" s="64" t="s">
        <v>699</v>
      </c>
    </row>
    <row r="880" spans="1:11" x14ac:dyDescent="0.3">
      <c r="A880" s="83">
        <v>1232039119</v>
      </c>
      <c r="B880" s="84">
        <v>35927853</v>
      </c>
      <c r="C880" s="85">
        <v>45035</v>
      </c>
      <c r="D880" s="134">
        <v>7040.12</v>
      </c>
      <c r="E880" s="84" t="s">
        <v>638</v>
      </c>
      <c r="F880" s="84">
        <v>4</v>
      </c>
      <c r="G880" s="84" t="s">
        <v>110</v>
      </c>
      <c r="H880" s="85">
        <v>45033</v>
      </c>
      <c r="I880" s="84" t="s">
        <v>896</v>
      </c>
      <c r="J880" s="84" t="s">
        <v>790</v>
      </c>
      <c r="K880" s="64" t="s">
        <v>699</v>
      </c>
    </row>
    <row r="881" spans="1:11" x14ac:dyDescent="0.3">
      <c r="A881" s="83">
        <v>1232039082</v>
      </c>
      <c r="B881" s="84" t="s">
        <v>897</v>
      </c>
      <c r="C881" s="85">
        <v>45035</v>
      </c>
      <c r="D881" s="134">
        <v>880</v>
      </c>
      <c r="E881" s="84" t="s">
        <v>638</v>
      </c>
      <c r="F881" s="84">
        <v>1</v>
      </c>
      <c r="G881" s="84" t="s">
        <v>110</v>
      </c>
      <c r="H881" s="85">
        <v>45034</v>
      </c>
      <c r="I881" s="84" t="s">
        <v>898</v>
      </c>
      <c r="J881" s="84" t="s">
        <v>787</v>
      </c>
      <c r="K881" s="64" t="s">
        <v>699</v>
      </c>
    </row>
    <row r="882" spans="1:11" x14ac:dyDescent="0.3">
      <c r="A882" s="83">
        <v>1232039120</v>
      </c>
      <c r="B882" s="84">
        <v>18914323</v>
      </c>
      <c r="C882" s="85">
        <v>45035</v>
      </c>
      <c r="D882" s="134">
        <v>12320.21</v>
      </c>
      <c r="E882" s="84" t="s">
        <v>638</v>
      </c>
      <c r="F882" s="84">
        <v>7</v>
      </c>
      <c r="G882" s="84" t="s">
        <v>110</v>
      </c>
      <c r="H882" s="85">
        <v>45033</v>
      </c>
      <c r="I882" s="84" t="s">
        <v>896</v>
      </c>
      <c r="J882" s="84" t="s">
        <v>790</v>
      </c>
      <c r="K882" s="64" t="s">
        <v>699</v>
      </c>
    </row>
    <row r="883" spans="1:11" x14ac:dyDescent="0.3">
      <c r="A883" s="83">
        <v>1232037989</v>
      </c>
      <c r="B883" s="84">
        <v>17567759</v>
      </c>
      <c r="C883" s="85">
        <v>45035</v>
      </c>
      <c r="D883" s="134">
        <v>297</v>
      </c>
      <c r="E883" s="84" t="s">
        <v>638</v>
      </c>
      <c r="F883" s="84">
        <v>1</v>
      </c>
      <c r="G883" s="84" t="s">
        <v>110</v>
      </c>
      <c r="H883" s="85">
        <v>45034</v>
      </c>
      <c r="I883" s="84" t="s">
        <v>898</v>
      </c>
      <c r="J883" s="84" t="s">
        <v>787</v>
      </c>
      <c r="K883" s="64" t="s">
        <v>699</v>
      </c>
    </row>
    <row r="884" spans="1:11" x14ac:dyDescent="0.3">
      <c r="A884" s="83">
        <v>1232038006</v>
      </c>
      <c r="B884" s="84">
        <v>26566867</v>
      </c>
      <c r="C884" s="85">
        <v>45035</v>
      </c>
      <c r="D884" s="134">
        <v>368</v>
      </c>
      <c r="E884" s="84" t="s">
        <v>638</v>
      </c>
      <c r="F884" s="84">
        <v>1</v>
      </c>
      <c r="G884" s="84" t="s">
        <v>110</v>
      </c>
      <c r="H884" s="85">
        <v>45034</v>
      </c>
      <c r="I884" s="84" t="s">
        <v>898</v>
      </c>
      <c r="J884" s="84" t="s">
        <v>787</v>
      </c>
      <c r="K884" s="64" t="s">
        <v>699</v>
      </c>
    </row>
    <row r="885" spans="1:11" x14ac:dyDescent="0.3">
      <c r="A885" s="83">
        <v>1232038021</v>
      </c>
      <c r="B885" s="84">
        <v>8551577</v>
      </c>
      <c r="C885" s="85">
        <v>45035</v>
      </c>
      <c r="D885" s="134">
        <v>480</v>
      </c>
      <c r="E885" s="84" t="s">
        <v>638</v>
      </c>
      <c r="F885" s="84">
        <v>1</v>
      </c>
      <c r="G885" s="84" t="s">
        <v>110</v>
      </c>
      <c r="H885" s="85">
        <v>45034</v>
      </c>
      <c r="I885" s="84" t="s">
        <v>898</v>
      </c>
      <c r="J885" s="84" t="s">
        <v>787</v>
      </c>
      <c r="K885" s="64" t="s">
        <v>699</v>
      </c>
    </row>
    <row r="886" spans="1:11" x14ac:dyDescent="0.3">
      <c r="A886" s="83">
        <v>1232038095</v>
      </c>
      <c r="B886" s="84">
        <v>43674103</v>
      </c>
      <c r="C886" s="85">
        <v>45035</v>
      </c>
      <c r="D886" s="134">
        <v>314</v>
      </c>
      <c r="E886" s="84" t="s">
        <v>638</v>
      </c>
      <c r="F886" s="84">
        <v>1</v>
      </c>
      <c r="G886" s="84" t="s">
        <v>110</v>
      </c>
      <c r="H886" s="85">
        <v>45034</v>
      </c>
      <c r="I886" s="84" t="s">
        <v>898</v>
      </c>
      <c r="J886" s="84" t="s">
        <v>787</v>
      </c>
      <c r="K886" s="64" t="s">
        <v>699</v>
      </c>
    </row>
    <row r="887" spans="1:11" x14ac:dyDescent="0.3">
      <c r="A887" s="83">
        <v>1232038100</v>
      </c>
      <c r="B887" s="84">
        <v>85581550</v>
      </c>
      <c r="C887" s="85">
        <v>45035</v>
      </c>
      <c r="D887" s="134">
        <v>368</v>
      </c>
      <c r="E887" s="84" t="s">
        <v>638</v>
      </c>
      <c r="F887" s="84">
        <v>1</v>
      </c>
      <c r="G887" s="84" t="s">
        <v>110</v>
      </c>
      <c r="H887" s="85">
        <v>45034</v>
      </c>
      <c r="I887" s="84" t="s">
        <v>898</v>
      </c>
      <c r="J887" s="84" t="s">
        <v>787</v>
      </c>
      <c r="K887" s="64" t="s">
        <v>699</v>
      </c>
    </row>
    <row r="888" spans="1:11" x14ac:dyDescent="0.3">
      <c r="A888" s="83">
        <v>1232042003</v>
      </c>
      <c r="B888" s="84">
        <v>31931183</v>
      </c>
      <c r="C888" s="85">
        <v>45042</v>
      </c>
      <c r="D888" s="134">
        <v>16416</v>
      </c>
      <c r="E888" s="84" t="s">
        <v>638</v>
      </c>
      <c r="F888" s="84">
        <v>9</v>
      </c>
      <c r="G888" s="84" t="s">
        <v>110</v>
      </c>
      <c r="H888" s="85">
        <v>45044</v>
      </c>
      <c r="I888" s="84" t="s">
        <v>899</v>
      </c>
      <c r="J888" s="84" t="s">
        <v>790</v>
      </c>
    </row>
    <row r="889" spans="1:11" x14ac:dyDescent="0.3">
      <c r="A889" s="83" t="s">
        <v>900</v>
      </c>
      <c r="B889" s="84">
        <v>45667596</v>
      </c>
      <c r="C889" s="85"/>
      <c r="D889" s="134">
        <v>314</v>
      </c>
      <c r="E889" s="84" t="s">
        <v>638</v>
      </c>
      <c r="F889" s="84">
        <v>1</v>
      </c>
      <c r="G889" s="84" t="s">
        <v>110</v>
      </c>
      <c r="H889" s="85">
        <v>45044</v>
      </c>
      <c r="I889" s="84" t="s">
        <v>901</v>
      </c>
      <c r="J889" s="84" t="s">
        <v>787</v>
      </c>
    </row>
    <row r="890" spans="1:11" x14ac:dyDescent="0.3">
      <c r="A890" s="83" t="s">
        <v>902</v>
      </c>
      <c r="B890" s="84">
        <v>45717066</v>
      </c>
      <c r="C890" s="85"/>
      <c r="D890" s="134">
        <v>2120</v>
      </c>
      <c r="E890" s="84" t="s">
        <v>638</v>
      </c>
      <c r="F890" s="84">
        <v>1</v>
      </c>
      <c r="G890" s="84" t="s">
        <v>110</v>
      </c>
      <c r="H890" s="85">
        <v>45044</v>
      </c>
      <c r="I890" s="84" t="s">
        <v>901</v>
      </c>
      <c r="J890" s="84" t="s">
        <v>787</v>
      </c>
    </row>
    <row r="891" spans="1:11" x14ac:dyDescent="0.3">
      <c r="A891" s="83">
        <v>1232042149</v>
      </c>
      <c r="B891" s="84">
        <v>76550485</v>
      </c>
      <c r="C891" s="85"/>
      <c r="D891" s="134">
        <v>592</v>
      </c>
      <c r="E891" s="84" t="s">
        <v>638</v>
      </c>
      <c r="F891" s="84">
        <v>1</v>
      </c>
      <c r="G891" s="84" t="s">
        <v>110</v>
      </c>
      <c r="H891" s="85">
        <v>45044</v>
      </c>
      <c r="I891" s="84" t="s">
        <v>903</v>
      </c>
      <c r="J891" s="84" t="s">
        <v>787</v>
      </c>
    </row>
    <row r="892" spans="1:11" x14ac:dyDescent="0.3">
      <c r="A892" s="83">
        <v>1232042159</v>
      </c>
      <c r="B892" s="84">
        <v>32582876</v>
      </c>
      <c r="C892" s="85"/>
      <c r="D892" s="134">
        <v>648</v>
      </c>
      <c r="E892" s="84" t="s">
        <v>638</v>
      </c>
      <c r="F892" s="84">
        <v>1</v>
      </c>
      <c r="G892" s="84" t="s">
        <v>110</v>
      </c>
      <c r="H892" s="85">
        <v>45044</v>
      </c>
      <c r="I892" s="84" t="s">
        <v>903</v>
      </c>
      <c r="J892" s="84" t="s">
        <v>787</v>
      </c>
    </row>
    <row r="893" spans="1:11" x14ac:dyDescent="0.3">
      <c r="A893" s="83">
        <v>1232042006</v>
      </c>
      <c r="B893" s="84">
        <v>31931472</v>
      </c>
      <c r="C893" s="85">
        <v>45042</v>
      </c>
      <c r="D893" s="134">
        <v>18240</v>
      </c>
      <c r="E893" s="84" t="s">
        <v>638</v>
      </c>
      <c r="F893" s="84">
        <v>10</v>
      </c>
      <c r="G893" s="84" t="s">
        <v>110</v>
      </c>
      <c r="H893" s="85">
        <v>45044</v>
      </c>
      <c r="I893" s="93" t="s">
        <v>904</v>
      </c>
      <c r="J893" s="84" t="s">
        <v>790</v>
      </c>
      <c r="K893" s="110" t="s">
        <v>899</v>
      </c>
    </row>
    <row r="894" spans="1:11" x14ac:dyDescent="0.3">
      <c r="A894" s="83">
        <v>1232042117</v>
      </c>
      <c r="B894" s="84">
        <v>23588479</v>
      </c>
      <c r="C894" s="85"/>
      <c r="D894" s="134">
        <v>872</v>
      </c>
      <c r="E894" s="84" t="s">
        <v>638</v>
      </c>
      <c r="F894" s="84">
        <v>1</v>
      </c>
      <c r="G894" s="84" t="s">
        <v>110</v>
      </c>
      <c r="H894" s="85">
        <v>45047</v>
      </c>
      <c r="I894" s="84" t="s">
        <v>905</v>
      </c>
      <c r="J894" s="84" t="s">
        <v>787</v>
      </c>
    </row>
    <row r="895" spans="1:11" x14ac:dyDescent="0.3">
      <c r="A895" s="83">
        <v>1232042118</v>
      </c>
      <c r="B895" s="84">
        <v>31589763</v>
      </c>
      <c r="C895" s="85"/>
      <c r="D895" s="134">
        <v>424</v>
      </c>
      <c r="E895" s="84" t="s">
        <v>638</v>
      </c>
      <c r="F895" s="84">
        <v>1</v>
      </c>
      <c r="G895" s="84" t="s">
        <v>110</v>
      </c>
      <c r="H895" s="85">
        <v>45047</v>
      </c>
      <c r="I895" s="84" t="s">
        <v>905</v>
      </c>
      <c r="J895" s="84" t="s">
        <v>787</v>
      </c>
    </row>
    <row r="896" spans="1:11" x14ac:dyDescent="0.3">
      <c r="A896" s="83">
        <v>1232042126</v>
      </c>
      <c r="B896" s="84">
        <v>50578896</v>
      </c>
      <c r="C896" s="85"/>
      <c r="D896" s="134">
        <v>368</v>
      </c>
      <c r="E896" s="84" t="s">
        <v>638</v>
      </c>
      <c r="F896" s="84">
        <v>1</v>
      </c>
      <c r="G896" s="84" t="s">
        <v>110</v>
      </c>
      <c r="H896" s="85">
        <v>45047</v>
      </c>
      <c r="I896" s="84" t="s">
        <v>905</v>
      </c>
      <c r="J896" s="84" t="s">
        <v>787</v>
      </c>
    </row>
    <row r="897" spans="1:10" x14ac:dyDescent="0.3">
      <c r="A897" s="83">
        <v>1232042135</v>
      </c>
      <c r="B897" s="84">
        <v>17563137</v>
      </c>
      <c r="C897" s="85"/>
      <c r="D897" s="134">
        <v>760</v>
      </c>
      <c r="E897" s="84" t="s">
        <v>638</v>
      </c>
      <c r="F897" s="84">
        <v>1</v>
      </c>
      <c r="G897" s="84" t="s">
        <v>110</v>
      </c>
      <c r="H897" s="85">
        <v>45047</v>
      </c>
      <c r="I897" s="84" t="s">
        <v>905</v>
      </c>
      <c r="J897" s="84" t="s">
        <v>787</v>
      </c>
    </row>
    <row r="898" spans="1:10" x14ac:dyDescent="0.3">
      <c r="A898" s="83">
        <v>1232042150</v>
      </c>
      <c r="B898" s="84">
        <v>81571299</v>
      </c>
      <c r="C898" s="85"/>
      <c r="D898" s="134">
        <v>297</v>
      </c>
      <c r="E898" s="84" t="s">
        <v>638</v>
      </c>
      <c r="F898" s="84">
        <v>1</v>
      </c>
      <c r="G898" s="84" t="s">
        <v>110</v>
      </c>
      <c r="H898" s="85">
        <v>45047</v>
      </c>
      <c r="I898" s="84" t="s">
        <v>905</v>
      </c>
      <c r="J898" s="84" t="s">
        <v>787</v>
      </c>
    </row>
    <row r="899" spans="1:10" x14ac:dyDescent="0.3">
      <c r="A899" s="87">
        <v>1232040508</v>
      </c>
      <c r="B899" s="88">
        <v>44946601</v>
      </c>
      <c r="C899" s="89"/>
      <c r="D899" s="144">
        <v>572</v>
      </c>
      <c r="E899" s="88" t="s">
        <v>638</v>
      </c>
      <c r="F899" s="88">
        <v>1</v>
      </c>
      <c r="G899" s="88" t="s">
        <v>110</v>
      </c>
      <c r="H899" s="89">
        <v>45044</v>
      </c>
      <c r="I899" s="88" t="s">
        <v>906</v>
      </c>
      <c r="J899" s="88" t="s">
        <v>787</v>
      </c>
    </row>
    <row r="900" spans="1:10" x14ac:dyDescent="0.3">
      <c r="A900" s="83">
        <v>1232042142</v>
      </c>
      <c r="B900" s="84">
        <v>46946841</v>
      </c>
      <c r="C900" s="85"/>
      <c r="D900" s="134">
        <v>314</v>
      </c>
      <c r="E900" s="84" t="s">
        <v>638</v>
      </c>
      <c r="F900" s="84">
        <v>1</v>
      </c>
      <c r="G900" s="84" t="s">
        <v>110</v>
      </c>
      <c r="H900" s="85">
        <v>45047</v>
      </c>
      <c r="I900" s="84" t="s">
        <v>905</v>
      </c>
      <c r="J900" s="84" t="s">
        <v>787</v>
      </c>
    </row>
    <row r="901" spans="1:10" x14ac:dyDescent="0.3">
      <c r="A901" s="83">
        <v>1232042545</v>
      </c>
      <c r="B901" s="115">
        <v>9555925</v>
      </c>
      <c r="C901" s="85"/>
      <c r="D901" s="134">
        <v>536</v>
      </c>
      <c r="E901" s="84" t="s">
        <v>638</v>
      </c>
      <c r="F901" s="84">
        <v>1</v>
      </c>
      <c r="G901" s="84" t="s">
        <v>110</v>
      </c>
      <c r="H901" s="85">
        <v>45049</v>
      </c>
      <c r="I901" s="84" t="s">
        <v>907</v>
      </c>
      <c r="J901" s="84" t="s">
        <v>787</v>
      </c>
    </row>
    <row r="902" spans="1:10" x14ac:dyDescent="0.3">
      <c r="A902" s="83">
        <v>1232043498</v>
      </c>
      <c r="B902" s="115">
        <v>1550798</v>
      </c>
      <c r="C902" s="85"/>
      <c r="D902" s="134">
        <v>368</v>
      </c>
      <c r="E902" s="84" t="s">
        <v>638</v>
      </c>
      <c r="F902" s="84">
        <v>1</v>
      </c>
      <c r="G902" s="84" t="s">
        <v>110</v>
      </c>
      <c r="H902" s="85">
        <v>45049</v>
      </c>
      <c r="I902" s="84" t="s">
        <v>907</v>
      </c>
      <c r="J902" s="84" t="s">
        <v>787</v>
      </c>
    </row>
    <row r="903" spans="1:10" x14ac:dyDescent="0.3">
      <c r="A903" s="83">
        <v>1232043510</v>
      </c>
      <c r="B903" s="115">
        <v>12579044</v>
      </c>
      <c r="C903" s="85"/>
      <c r="D903" s="134">
        <v>648</v>
      </c>
      <c r="E903" s="84" t="s">
        <v>638</v>
      </c>
      <c r="F903" s="84">
        <v>1</v>
      </c>
      <c r="G903" s="84" t="s">
        <v>110</v>
      </c>
      <c r="H903" s="85">
        <v>45049</v>
      </c>
      <c r="I903" s="84" t="s">
        <v>907</v>
      </c>
      <c r="J903" s="84" t="s">
        <v>787</v>
      </c>
    </row>
    <row r="904" spans="1:10" x14ac:dyDescent="0.3">
      <c r="A904" s="83">
        <v>1232044545</v>
      </c>
      <c r="B904" s="84">
        <v>45943055</v>
      </c>
      <c r="C904" s="85"/>
      <c r="D904" s="134">
        <v>5472</v>
      </c>
      <c r="E904" s="84" t="s">
        <v>638</v>
      </c>
      <c r="F904" s="84">
        <v>3</v>
      </c>
      <c r="G904" s="84" t="s">
        <v>110</v>
      </c>
      <c r="H904" s="85">
        <v>45049</v>
      </c>
      <c r="I904" s="84" t="s">
        <v>908</v>
      </c>
      <c r="J904" s="84" t="s">
        <v>790</v>
      </c>
    </row>
    <row r="905" spans="1:10" x14ac:dyDescent="0.3">
      <c r="A905" s="83">
        <v>1232044585</v>
      </c>
      <c r="B905" s="84">
        <v>48898798</v>
      </c>
      <c r="C905" s="85"/>
      <c r="D905" s="134">
        <v>5612</v>
      </c>
      <c r="E905" s="84" t="s">
        <v>638</v>
      </c>
      <c r="F905" s="84">
        <v>3</v>
      </c>
      <c r="G905" s="84" t="s">
        <v>110</v>
      </c>
      <c r="H905" s="85">
        <v>45051</v>
      </c>
      <c r="I905" s="84" t="s">
        <v>909</v>
      </c>
      <c r="J905" s="84" t="s">
        <v>787</v>
      </c>
    </row>
    <row r="906" spans="1:10" x14ac:dyDescent="0.3">
      <c r="A906" s="83">
        <v>1232049404</v>
      </c>
      <c r="B906" s="84">
        <v>35940210</v>
      </c>
      <c r="C906" s="85">
        <v>45063</v>
      </c>
      <c r="D906" s="134">
        <v>7296</v>
      </c>
      <c r="E906" s="84" t="s">
        <v>638</v>
      </c>
      <c r="F906" s="84">
        <v>4</v>
      </c>
      <c r="G906" s="84" t="s">
        <v>110</v>
      </c>
      <c r="H906" s="85">
        <v>45061</v>
      </c>
      <c r="I906" s="84" t="s">
        <v>910</v>
      </c>
      <c r="J906" s="84" t="s">
        <v>790</v>
      </c>
    </row>
    <row r="907" spans="1:10" x14ac:dyDescent="0.3">
      <c r="A907" s="83">
        <v>1232052327</v>
      </c>
      <c r="B907" s="84">
        <v>14935465</v>
      </c>
      <c r="C907" s="85">
        <v>45070</v>
      </c>
      <c r="D907" s="134">
        <v>10944</v>
      </c>
      <c r="E907" s="84" t="s">
        <v>638</v>
      </c>
      <c r="F907" s="84">
        <v>6</v>
      </c>
      <c r="G907" s="84" t="s">
        <v>110</v>
      </c>
      <c r="H907" s="85">
        <v>45070</v>
      </c>
      <c r="I907" s="84" t="s">
        <v>911</v>
      </c>
      <c r="J907" s="84" t="s">
        <v>790</v>
      </c>
    </row>
    <row r="908" spans="1:10" x14ac:dyDescent="0.3">
      <c r="A908" s="83">
        <v>1232050986</v>
      </c>
      <c r="B908" s="84">
        <v>14587251</v>
      </c>
      <c r="C908" s="85"/>
      <c r="D908" s="134">
        <v>314</v>
      </c>
      <c r="E908" s="84" t="s">
        <v>638</v>
      </c>
      <c r="F908" s="84">
        <v>1</v>
      </c>
      <c r="G908" s="84" t="s">
        <v>110</v>
      </c>
      <c r="H908" s="85">
        <v>45070</v>
      </c>
      <c r="I908" s="84"/>
      <c r="J908" s="84" t="s">
        <v>787</v>
      </c>
    </row>
    <row r="909" spans="1:10" x14ac:dyDescent="0.3">
      <c r="A909" s="83">
        <v>1232051009</v>
      </c>
      <c r="B909" s="84">
        <v>58578953</v>
      </c>
      <c r="C909" s="85"/>
      <c r="D909" s="134">
        <v>424</v>
      </c>
      <c r="E909" s="84" t="s">
        <v>638</v>
      </c>
      <c r="F909" s="84">
        <v>1</v>
      </c>
      <c r="G909" s="84" t="s">
        <v>110</v>
      </c>
      <c r="H909" s="85">
        <v>45070</v>
      </c>
      <c r="I909" s="84"/>
      <c r="J909" s="84" t="s">
        <v>787</v>
      </c>
    </row>
    <row r="910" spans="1:10" x14ac:dyDescent="0.3">
      <c r="A910" s="83">
        <v>1232051013</v>
      </c>
      <c r="B910" s="84">
        <v>63582380</v>
      </c>
      <c r="C910" s="85"/>
      <c r="D910" s="134">
        <v>928</v>
      </c>
      <c r="E910" s="84" t="s">
        <v>638</v>
      </c>
      <c r="F910" s="84">
        <v>1</v>
      </c>
      <c r="G910" s="84" t="s">
        <v>110</v>
      </c>
      <c r="H910" s="85">
        <v>45070</v>
      </c>
      <c r="I910" s="84"/>
      <c r="J910" s="84" t="s">
        <v>787</v>
      </c>
    </row>
    <row r="911" spans="1:10" x14ac:dyDescent="0.3">
      <c r="A911" s="83">
        <v>1232051018</v>
      </c>
      <c r="B911" s="84">
        <v>71586689</v>
      </c>
      <c r="C911" s="85"/>
      <c r="D911" s="134">
        <v>872</v>
      </c>
      <c r="E911" s="84" t="s">
        <v>638</v>
      </c>
      <c r="F911" s="84">
        <v>1</v>
      </c>
      <c r="G911" s="84" t="s">
        <v>110</v>
      </c>
      <c r="H911" s="85">
        <v>45070</v>
      </c>
      <c r="I911" s="84"/>
      <c r="J911" s="84" t="s">
        <v>787</v>
      </c>
    </row>
    <row r="912" spans="1:10" x14ac:dyDescent="0.3">
      <c r="A912" s="83" t="s">
        <v>912</v>
      </c>
      <c r="B912" s="84">
        <v>15567717</v>
      </c>
      <c r="C912" s="85"/>
      <c r="D912" s="134">
        <v>314</v>
      </c>
      <c r="E912" s="84" t="s">
        <v>638</v>
      </c>
      <c r="F912" s="84">
        <v>1</v>
      </c>
      <c r="G912" s="84" t="s">
        <v>110</v>
      </c>
      <c r="H912" s="85">
        <v>45070</v>
      </c>
      <c r="I912" s="84"/>
      <c r="J912" s="84" t="s">
        <v>787</v>
      </c>
    </row>
    <row r="913" spans="1:11" x14ac:dyDescent="0.3">
      <c r="A913" s="83" t="s">
        <v>913</v>
      </c>
      <c r="B913" s="84">
        <v>18575613</v>
      </c>
      <c r="C913" s="85"/>
      <c r="D913" s="134">
        <v>368</v>
      </c>
      <c r="E913" s="84" t="s">
        <v>638</v>
      </c>
      <c r="F913" s="84">
        <v>1</v>
      </c>
      <c r="G913" s="84" t="s">
        <v>110</v>
      </c>
      <c r="H913" s="85">
        <v>45070</v>
      </c>
      <c r="I913" s="84"/>
      <c r="J913" s="84" t="s">
        <v>787</v>
      </c>
    </row>
    <row r="914" spans="1:11" x14ac:dyDescent="0.3">
      <c r="A914" s="83" t="s">
        <v>914</v>
      </c>
      <c r="B914" s="84">
        <v>31567130</v>
      </c>
      <c r="C914" s="85"/>
      <c r="D914" s="134">
        <v>314</v>
      </c>
      <c r="E914" s="84" t="s">
        <v>638</v>
      </c>
      <c r="F914" s="84">
        <v>1</v>
      </c>
      <c r="G914" s="84" t="s">
        <v>110</v>
      </c>
      <c r="H914" s="85">
        <v>45070</v>
      </c>
      <c r="I914" s="84"/>
      <c r="J914" s="84" t="s">
        <v>787</v>
      </c>
    </row>
    <row r="915" spans="1:11" x14ac:dyDescent="0.3">
      <c r="A915" s="83" t="s">
        <v>915</v>
      </c>
      <c r="B915" s="84">
        <v>57574991</v>
      </c>
      <c r="C915" s="85"/>
      <c r="D915" s="134">
        <v>1096</v>
      </c>
      <c r="E915" s="84" t="s">
        <v>638</v>
      </c>
      <c r="F915" s="84">
        <v>1</v>
      </c>
      <c r="G915" s="84" t="s">
        <v>110</v>
      </c>
      <c r="H915" s="85">
        <v>45070</v>
      </c>
      <c r="I915" s="84"/>
      <c r="J915" s="84" t="s">
        <v>787</v>
      </c>
    </row>
    <row r="916" spans="1:11" x14ac:dyDescent="0.3">
      <c r="A916" s="83" t="s">
        <v>916</v>
      </c>
      <c r="B916" s="84">
        <v>42584183</v>
      </c>
      <c r="C916" s="85"/>
      <c r="D916" s="134">
        <v>2160</v>
      </c>
      <c r="E916" s="84" t="s">
        <v>638</v>
      </c>
      <c r="F916" s="84">
        <v>1</v>
      </c>
      <c r="G916" s="84" t="s">
        <v>110</v>
      </c>
      <c r="H916" s="85">
        <v>45070</v>
      </c>
      <c r="I916" s="84"/>
      <c r="J916" s="84" t="s">
        <v>787</v>
      </c>
    </row>
    <row r="917" spans="1:11" x14ac:dyDescent="0.3">
      <c r="A917" s="83" t="s">
        <v>917</v>
      </c>
      <c r="B917" s="84">
        <v>59678894</v>
      </c>
      <c r="C917" s="85"/>
      <c r="D917" s="134">
        <v>6512</v>
      </c>
      <c r="E917" s="84" t="s">
        <v>638</v>
      </c>
      <c r="F917" s="84">
        <v>3</v>
      </c>
      <c r="G917" s="84" t="s">
        <v>110</v>
      </c>
      <c r="H917" s="85">
        <v>45070</v>
      </c>
      <c r="I917" s="84"/>
      <c r="J917" s="84" t="s">
        <v>787</v>
      </c>
    </row>
    <row r="918" spans="1:11" x14ac:dyDescent="0.3">
      <c r="A918" s="83">
        <v>1232050993</v>
      </c>
      <c r="B918" s="84">
        <v>17568867</v>
      </c>
      <c r="C918" s="85"/>
      <c r="D918" s="134">
        <v>2552</v>
      </c>
      <c r="E918" s="84" t="s">
        <v>638</v>
      </c>
      <c r="F918" s="84">
        <v>2</v>
      </c>
      <c r="G918" s="84" t="s">
        <v>110</v>
      </c>
      <c r="H918" s="85">
        <v>45071</v>
      </c>
      <c r="I918" s="84" t="s">
        <v>918</v>
      </c>
      <c r="J918" s="84" t="s">
        <v>787</v>
      </c>
    </row>
    <row r="919" spans="1:11" x14ac:dyDescent="0.3">
      <c r="A919" s="83">
        <v>1232052461</v>
      </c>
      <c r="B919" s="84">
        <v>22583374</v>
      </c>
      <c r="C919" s="85"/>
      <c r="D919" s="134">
        <v>716</v>
      </c>
      <c r="E919" s="84" t="s">
        <v>638</v>
      </c>
      <c r="F919" s="84">
        <v>1</v>
      </c>
      <c r="G919" s="84" t="s">
        <v>110</v>
      </c>
      <c r="H919" s="85">
        <v>45071</v>
      </c>
      <c r="I919" s="84" t="s">
        <v>918</v>
      </c>
      <c r="J919" s="84" t="s">
        <v>787</v>
      </c>
    </row>
    <row r="920" spans="1:11" x14ac:dyDescent="0.3">
      <c r="A920" s="83">
        <v>1232053337</v>
      </c>
      <c r="B920" s="84">
        <v>58560970</v>
      </c>
      <c r="C920" s="85"/>
      <c r="D920" s="134">
        <v>536</v>
      </c>
      <c r="E920" s="84" t="s">
        <v>638</v>
      </c>
      <c r="F920" s="84">
        <v>1</v>
      </c>
      <c r="G920" s="84" t="s">
        <v>110</v>
      </c>
      <c r="H920" s="85">
        <v>45071</v>
      </c>
      <c r="I920" s="84" t="s">
        <v>918</v>
      </c>
      <c r="J920" s="84" t="s">
        <v>787</v>
      </c>
    </row>
    <row r="921" spans="1:11" x14ac:dyDescent="0.3">
      <c r="A921" s="83">
        <v>1232055540</v>
      </c>
      <c r="B921" s="84">
        <v>47904844</v>
      </c>
      <c r="C921" s="85">
        <v>45078</v>
      </c>
      <c r="D921" s="134">
        <v>14592</v>
      </c>
      <c r="E921" s="84" t="s">
        <v>638</v>
      </c>
      <c r="F921" s="84">
        <v>8</v>
      </c>
      <c r="G921" s="84" t="s">
        <v>110</v>
      </c>
      <c r="H921" s="85">
        <v>45076</v>
      </c>
      <c r="I921" s="84" t="s">
        <v>919</v>
      </c>
      <c r="J921" s="84" t="s">
        <v>790</v>
      </c>
    </row>
    <row r="922" spans="1:11" x14ac:dyDescent="0.3">
      <c r="A922" s="83">
        <v>1232058185</v>
      </c>
      <c r="B922" s="84">
        <v>25922675</v>
      </c>
      <c r="C922" s="85">
        <v>45085</v>
      </c>
      <c r="D922" s="134">
        <v>10944</v>
      </c>
      <c r="E922" s="84" t="s">
        <v>638</v>
      </c>
      <c r="F922" s="84">
        <v>6</v>
      </c>
      <c r="G922" s="84" t="s">
        <v>110</v>
      </c>
      <c r="H922" s="85">
        <v>45085</v>
      </c>
      <c r="I922" s="84" t="s">
        <v>920</v>
      </c>
      <c r="J922" s="84" t="s">
        <v>790</v>
      </c>
    </row>
    <row r="923" spans="1:11" x14ac:dyDescent="0.3">
      <c r="A923" s="83">
        <v>1232058186</v>
      </c>
      <c r="B923" s="84">
        <v>32928057</v>
      </c>
      <c r="C923" s="85">
        <v>45085</v>
      </c>
      <c r="D923" s="134">
        <v>3648</v>
      </c>
      <c r="E923" s="84" t="s">
        <v>638</v>
      </c>
      <c r="F923" s="84">
        <v>2</v>
      </c>
      <c r="G923" s="84" t="s">
        <v>110</v>
      </c>
      <c r="H923" s="85">
        <v>45085</v>
      </c>
      <c r="I923" s="84" t="s">
        <v>920</v>
      </c>
      <c r="J923" s="84" t="s">
        <v>790</v>
      </c>
    </row>
    <row r="924" spans="1:11" x14ac:dyDescent="0.3">
      <c r="A924" s="83">
        <v>1232060963</v>
      </c>
      <c r="B924" s="84">
        <v>7927031</v>
      </c>
      <c r="C924" s="85">
        <v>45092</v>
      </c>
      <c r="D924" s="134">
        <v>14976</v>
      </c>
      <c r="E924" s="84" t="s">
        <v>638</v>
      </c>
      <c r="F924" s="84">
        <v>12</v>
      </c>
      <c r="G924" s="84" t="s">
        <v>110</v>
      </c>
      <c r="H924" s="85">
        <v>45097</v>
      </c>
      <c r="I924" s="84" t="s">
        <v>921</v>
      </c>
      <c r="J924" s="84" t="s">
        <v>790</v>
      </c>
    </row>
    <row r="925" spans="1:11" x14ac:dyDescent="0.3">
      <c r="A925" s="83">
        <v>1232063143</v>
      </c>
      <c r="B925" s="84">
        <v>7927013</v>
      </c>
      <c r="C925" s="85">
        <v>45097</v>
      </c>
      <c r="D925" s="134">
        <v>12480</v>
      </c>
      <c r="E925" s="84" t="s">
        <v>638</v>
      </c>
      <c r="F925" s="84">
        <v>13</v>
      </c>
      <c r="G925" s="84" t="s">
        <v>110</v>
      </c>
      <c r="H925" s="85">
        <v>45097</v>
      </c>
      <c r="I925" s="84" t="s">
        <v>921</v>
      </c>
      <c r="J925" s="84" t="s">
        <v>790</v>
      </c>
    </row>
    <row r="926" spans="1:11" x14ac:dyDescent="0.3">
      <c r="A926" s="83">
        <v>1232063134</v>
      </c>
      <c r="B926" s="84">
        <v>7927026</v>
      </c>
      <c r="C926" s="85">
        <v>45097</v>
      </c>
      <c r="D926" s="134">
        <v>18624</v>
      </c>
      <c r="E926" s="84" t="s">
        <v>638</v>
      </c>
      <c r="F926" s="84">
        <v>14</v>
      </c>
      <c r="G926" s="84" t="s">
        <v>110</v>
      </c>
      <c r="H926" s="85">
        <v>45097</v>
      </c>
      <c r="I926" s="93" t="s">
        <v>922</v>
      </c>
      <c r="J926" s="84" t="s">
        <v>790</v>
      </c>
      <c r="K926" s="84" t="s">
        <v>921</v>
      </c>
    </row>
    <row r="927" spans="1:11" x14ac:dyDescent="0.3">
      <c r="A927" s="83">
        <v>1232063831</v>
      </c>
      <c r="B927" s="84">
        <v>32933267</v>
      </c>
      <c r="C927" s="85"/>
      <c r="D927" s="134">
        <v>16416</v>
      </c>
      <c r="E927" s="84" t="s">
        <v>638</v>
      </c>
      <c r="F927" s="84">
        <v>9</v>
      </c>
      <c r="G927" s="84" t="s">
        <v>110</v>
      </c>
      <c r="H927" s="85">
        <v>45097</v>
      </c>
      <c r="I927" s="84" t="s">
        <v>923</v>
      </c>
      <c r="J927" s="84" t="s">
        <v>790</v>
      </c>
    </row>
    <row r="928" spans="1:11" x14ac:dyDescent="0.3">
      <c r="A928" s="83">
        <v>1232063830</v>
      </c>
      <c r="B928" s="84">
        <v>25928625</v>
      </c>
      <c r="C928" s="85"/>
      <c r="D928" s="134">
        <v>3648</v>
      </c>
      <c r="E928" s="84" t="s">
        <v>638</v>
      </c>
      <c r="F928" s="84">
        <v>2</v>
      </c>
      <c r="G928" s="84" t="s">
        <v>110</v>
      </c>
      <c r="H928" s="85">
        <v>45097</v>
      </c>
      <c r="I928" s="84" t="s">
        <v>923</v>
      </c>
      <c r="J928" s="84" t="s">
        <v>790</v>
      </c>
    </row>
    <row r="929" spans="1:10" x14ac:dyDescent="0.3">
      <c r="A929" s="83">
        <v>1232064442</v>
      </c>
      <c r="B929" s="84">
        <v>7927010</v>
      </c>
      <c r="C929" s="85"/>
      <c r="D929" s="134">
        <v>12027</v>
      </c>
      <c r="E929" s="84" t="s">
        <v>638</v>
      </c>
      <c r="F929" s="84">
        <v>7</v>
      </c>
      <c r="G929" s="84" t="s">
        <v>110</v>
      </c>
      <c r="H929" s="85">
        <v>45103</v>
      </c>
      <c r="I929" s="84" t="s">
        <v>924</v>
      </c>
      <c r="J929" s="84" t="s">
        <v>790</v>
      </c>
    </row>
    <row r="930" spans="1:10" x14ac:dyDescent="0.3">
      <c r="A930" s="83">
        <v>1232067041</v>
      </c>
      <c r="B930" s="84">
        <v>47917689</v>
      </c>
      <c r="C930" s="85">
        <v>45105</v>
      </c>
      <c r="D930" s="134">
        <v>5472</v>
      </c>
      <c r="E930" s="84" t="s">
        <v>638</v>
      </c>
      <c r="F930" s="84">
        <v>3</v>
      </c>
      <c r="G930" s="84" t="s">
        <v>110</v>
      </c>
      <c r="H930" s="85">
        <v>45104</v>
      </c>
      <c r="I930" s="84" t="s">
        <v>925</v>
      </c>
      <c r="J930" s="84" t="s">
        <v>790</v>
      </c>
    </row>
    <row r="931" spans="1:10" x14ac:dyDescent="0.3">
      <c r="A931" s="83">
        <v>1232067042</v>
      </c>
      <c r="B931" s="84">
        <v>14903335</v>
      </c>
      <c r="C931" s="85">
        <v>45105</v>
      </c>
      <c r="D931" s="134">
        <v>12768</v>
      </c>
      <c r="E931" s="84" t="s">
        <v>638</v>
      </c>
      <c r="F931" s="84">
        <v>7</v>
      </c>
      <c r="G931" s="84" t="s">
        <v>110</v>
      </c>
      <c r="H931" s="85">
        <v>45104</v>
      </c>
      <c r="I931" s="84" t="s">
        <v>925</v>
      </c>
      <c r="J931" s="84" t="s">
        <v>790</v>
      </c>
    </row>
    <row r="932" spans="1:10" x14ac:dyDescent="0.3">
      <c r="A932" s="83">
        <v>1232066890</v>
      </c>
      <c r="B932" s="84">
        <v>79563037</v>
      </c>
      <c r="C932" s="85">
        <v>45106</v>
      </c>
      <c r="D932" s="134">
        <v>368</v>
      </c>
      <c r="E932" s="84" t="s">
        <v>638</v>
      </c>
      <c r="F932" s="84">
        <v>1</v>
      </c>
      <c r="G932" s="84" t="s">
        <v>110</v>
      </c>
      <c r="H932" s="85">
        <v>45106</v>
      </c>
      <c r="I932" s="84" t="s">
        <v>926</v>
      </c>
      <c r="J932" s="84" t="s">
        <v>787</v>
      </c>
    </row>
    <row r="933" spans="1:10" x14ac:dyDescent="0.3">
      <c r="A933" s="83">
        <v>1232067666</v>
      </c>
      <c r="B933" s="84">
        <v>15568705</v>
      </c>
      <c r="C933" s="85">
        <v>45106</v>
      </c>
      <c r="D933" s="134">
        <v>368</v>
      </c>
      <c r="E933" s="84" t="s">
        <v>638</v>
      </c>
      <c r="F933" s="84">
        <v>1</v>
      </c>
      <c r="G933" s="84" t="s">
        <v>110</v>
      </c>
      <c r="H933" s="85">
        <v>45106</v>
      </c>
      <c r="I933" s="84" t="s">
        <v>926</v>
      </c>
      <c r="J933" s="84" t="s">
        <v>787</v>
      </c>
    </row>
    <row r="934" spans="1:10" x14ac:dyDescent="0.3">
      <c r="A934" s="83">
        <v>1232067667</v>
      </c>
      <c r="B934" s="84">
        <v>16550368</v>
      </c>
      <c r="C934" s="85">
        <v>45106</v>
      </c>
      <c r="D934" s="134">
        <v>816</v>
      </c>
      <c r="E934" s="84" t="s">
        <v>638</v>
      </c>
      <c r="F934" s="84">
        <v>1</v>
      </c>
      <c r="G934" s="84" t="s">
        <v>110</v>
      </c>
      <c r="H934" s="85">
        <v>45106</v>
      </c>
      <c r="I934" s="84" t="s">
        <v>926</v>
      </c>
      <c r="J934" s="84" t="s">
        <v>787</v>
      </c>
    </row>
    <row r="935" spans="1:10" x14ac:dyDescent="0.3">
      <c r="A935" s="83">
        <v>1232067724</v>
      </c>
      <c r="B935" s="84">
        <v>88569254</v>
      </c>
      <c r="C935" s="85">
        <v>45106</v>
      </c>
      <c r="D935" s="134">
        <v>1152</v>
      </c>
      <c r="E935" s="84" t="s">
        <v>638</v>
      </c>
      <c r="F935" s="84">
        <v>1</v>
      </c>
      <c r="G935" s="84" t="s">
        <v>110</v>
      </c>
      <c r="H935" s="85">
        <v>45106</v>
      </c>
      <c r="I935" s="84" t="s">
        <v>926</v>
      </c>
      <c r="J935" s="84" t="s">
        <v>787</v>
      </c>
    </row>
    <row r="936" spans="1:10" x14ac:dyDescent="0.3">
      <c r="A936" s="83">
        <v>1232067761</v>
      </c>
      <c r="B936" s="84">
        <v>29577162</v>
      </c>
      <c r="C936" s="85">
        <v>45106</v>
      </c>
      <c r="D936" s="134">
        <v>536</v>
      </c>
      <c r="E936" s="84" t="s">
        <v>638</v>
      </c>
      <c r="F936" s="84">
        <v>1</v>
      </c>
      <c r="G936" s="84" t="s">
        <v>110</v>
      </c>
      <c r="H936" s="85">
        <v>45106</v>
      </c>
      <c r="I936" s="84" t="s">
        <v>926</v>
      </c>
      <c r="J936" s="84" t="s">
        <v>787</v>
      </c>
    </row>
    <row r="937" spans="1:10" x14ac:dyDescent="0.3">
      <c r="A937" s="83">
        <v>1232067744</v>
      </c>
      <c r="B937" s="84" t="s">
        <v>927</v>
      </c>
      <c r="C937" s="85">
        <v>45106</v>
      </c>
      <c r="D937" s="134">
        <v>6872</v>
      </c>
      <c r="E937" s="84" t="s">
        <v>638</v>
      </c>
      <c r="F937" s="84">
        <v>4</v>
      </c>
      <c r="G937" s="84" t="s">
        <v>110</v>
      </c>
      <c r="H937" s="85">
        <v>45106</v>
      </c>
      <c r="I937" s="84" t="s">
        <v>926</v>
      </c>
      <c r="J937" s="84" t="s">
        <v>787</v>
      </c>
    </row>
    <row r="938" spans="1:10" x14ac:dyDescent="0.3">
      <c r="A938" s="83">
        <v>1232069171</v>
      </c>
      <c r="B938" s="84">
        <v>66580658</v>
      </c>
      <c r="C938" s="85"/>
      <c r="D938" s="134">
        <v>480</v>
      </c>
      <c r="E938" s="84" t="s">
        <v>638</v>
      </c>
      <c r="F938" s="84">
        <v>1</v>
      </c>
      <c r="G938" s="84" t="s">
        <v>110</v>
      </c>
      <c r="H938" s="85">
        <v>45113</v>
      </c>
      <c r="I938" s="84" t="s">
        <v>928</v>
      </c>
      <c r="J938" s="84" t="s">
        <v>787</v>
      </c>
    </row>
    <row r="939" spans="1:10" x14ac:dyDescent="0.3">
      <c r="A939" s="83">
        <v>1232069194</v>
      </c>
      <c r="B939" s="84">
        <v>77745158</v>
      </c>
      <c r="C939" s="85"/>
      <c r="D939" s="134">
        <v>536</v>
      </c>
      <c r="E939" s="84" t="s">
        <v>638</v>
      </c>
      <c r="F939" s="84">
        <v>1</v>
      </c>
      <c r="G939" s="84" t="s">
        <v>110</v>
      </c>
      <c r="H939" s="85">
        <v>45114</v>
      </c>
      <c r="I939" s="84" t="s">
        <v>928</v>
      </c>
      <c r="J939" s="84" t="s">
        <v>787</v>
      </c>
    </row>
    <row r="940" spans="1:10" x14ac:dyDescent="0.3">
      <c r="A940" s="83">
        <v>1232069197</v>
      </c>
      <c r="B940" s="84">
        <v>16550491</v>
      </c>
      <c r="C940" s="85"/>
      <c r="D940" s="134">
        <v>896</v>
      </c>
      <c r="E940" s="84" t="s">
        <v>638</v>
      </c>
      <c r="F940" s="84">
        <v>1</v>
      </c>
      <c r="G940" s="84" t="s">
        <v>110</v>
      </c>
      <c r="H940" s="85">
        <v>45115</v>
      </c>
      <c r="I940" s="84" t="s">
        <v>928</v>
      </c>
      <c r="J940" s="84" t="s">
        <v>787</v>
      </c>
    </row>
    <row r="941" spans="1:10" x14ac:dyDescent="0.3">
      <c r="A941" s="83">
        <v>1232070375</v>
      </c>
      <c r="B941" s="84">
        <v>32938798</v>
      </c>
      <c r="C941" s="85">
        <v>45117</v>
      </c>
      <c r="D941" s="134">
        <v>10944</v>
      </c>
      <c r="E941" s="84" t="s">
        <v>638</v>
      </c>
      <c r="F941" s="84">
        <v>6</v>
      </c>
      <c r="G941" s="84" t="s">
        <v>110</v>
      </c>
      <c r="H941" s="85">
        <v>45117</v>
      </c>
      <c r="I941" s="84" t="s">
        <v>929</v>
      </c>
      <c r="J941" s="84" t="s">
        <v>790</v>
      </c>
    </row>
    <row r="942" spans="1:10" x14ac:dyDescent="0.3">
      <c r="A942" s="83">
        <v>1232070376</v>
      </c>
      <c r="B942" s="84">
        <v>33945756</v>
      </c>
      <c r="C942" s="85">
        <v>45117</v>
      </c>
      <c r="D942" s="134">
        <v>3648</v>
      </c>
      <c r="E942" s="84" t="s">
        <v>638</v>
      </c>
      <c r="F942" s="84">
        <v>2</v>
      </c>
      <c r="G942" s="84" t="s">
        <v>110</v>
      </c>
      <c r="H942" s="85">
        <v>45117</v>
      </c>
      <c r="I942" s="84" t="s">
        <v>929</v>
      </c>
      <c r="J942" s="84" t="s">
        <v>790</v>
      </c>
    </row>
    <row r="943" spans="1:10" x14ac:dyDescent="0.3">
      <c r="A943" s="83">
        <v>1232070377</v>
      </c>
      <c r="B943" s="84">
        <v>35912860</v>
      </c>
      <c r="C943" s="85">
        <v>45117</v>
      </c>
      <c r="D943" s="134">
        <v>9120</v>
      </c>
      <c r="E943" s="84" t="s">
        <v>638</v>
      </c>
      <c r="F943" s="84">
        <v>5</v>
      </c>
      <c r="G943" s="84" t="s">
        <v>110</v>
      </c>
      <c r="H943" s="85">
        <v>45117</v>
      </c>
      <c r="I943" s="84" t="s">
        <v>929</v>
      </c>
      <c r="J943" s="84" t="s">
        <v>790</v>
      </c>
    </row>
    <row r="944" spans="1:10" x14ac:dyDescent="0.3">
      <c r="A944" s="83">
        <v>1232072579</v>
      </c>
      <c r="B944" s="84">
        <v>18900172</v>
      </c>
      <c r="C944" s="85">
        <v>45118</v>
      </c>
      <c r="D944" s="134">
        <v>9216</v>
      </c>
      <c r="E944" s="84" t="s">
        <v>638</v>
      </c>
      <c r="F944" s="84">
        <v>6</v>
      </c>
      <c r="G944" s="84" t="s">
        <v>110</v>
      </c>
      <c r="H944" s="85">
        <v>45117</v>
      </c>
      <c r="I944" s="84" t="s">
        <v>930</v>
      </c>
      <c r="J944" s="84" t="s">
        <v>790</v>
      </c>
    </row>
    <row r="945" spans="1:11" x14ac:dyDescent="0.3">
      <c r="A945" s="83">
        <v>1232072585</v>
      </c>
      <c r="B945" s="84">
        <v>38941521</v>
      </c>
      <c r="C945" s="85">
        <v>45118</v>
      </c>
      <c r="D945" s="134">
        <v>8256</v>
      </c>
      <c r="E945" s="84" t="s">
        <v>638</v>
      </c>
      <c r="F945" s="84">
        <v>5</v>
      </c>
      <c r="G945" s="84" t="s">
        <v>110</v>
      </c>
      <c r="H945" s="85">
        <v>45117</v>
      </c>
      <c r="I945" s="84" t="s">
        <v>930</v>
      </c>
      <c r="J945" s="84" t="s">
        <v>790</v>
      </c>
    </row>
    <row r="946" spans="1:11" x14ac:dyDescent="0.3">
      <c r="A946" s="83">
        <v>1232074498</v>
      </c>
      <c r="B946" s="93">
        <v>34276071</v>
      </c>
      <c r="C946" s="85">
        <v>45124</v>
      </c>
      <c r="D946" s="134">
        <v>3648</v>
      </c>
      <c r="E946" s="84" t="s">
        <v>638</v>
      </c>
      <c r="F946" s="84">
        <v>2</v>
      </c>
      <c r="G946" s="84" t="s">
        <v>110</v>
      </c>
      <c r="H946" s="85">
        <v>45124</v>
      </c>
      <c r="I946" s="84" t="s">
        <v>931</v>
      </c>
      <c r="J946" s="84" t="s">
        <v>790</v>
      </c>
    </row>
    <row r="947" spans="1:11" x14ac:dyDescent="0.3">
      <c r="A947" s="83">
        <v>1232074795</v>
      </c>
      <c r="B947" s="84">
        <v>45924084</v>
      </c>
      <c r="C947" s="85">
        <v>45125</v>
      </c>
      <c r="D947" s="134">
        <v>16320</v>
      </c>
      <c r="E947" s="84" t="s">
        <v>638</v>
      </c>
      <c r="F947" s="84">
        <v>17</v>
      </c>
      <c r="G947" s="84" t="s">
        <v>110</v>
      </c>
      <c r="H947" s="85">
        <v>45124</v>
      </c>
      <c r="I947" s="84" t="s">
        <v>932</v>
      </c>
      <c r="J947" s="84" t="s">
        <v>790</v>
      </c>
    </row>
    <row r="948" spans="1:11" x14ac:dyDescent="0.3">
      <c r="A948" s="83">
        <v>1232075917</v>
      </c>
      <c r="B948" s="84">
        <v>25939301</v>
      </c>
      <c r="C948" s="85">
        <v>45126</v>
      </c>
      <c r="D948" s="134">
        <v>18624</v>
      </c>
      <c r="E948" s="84" t="s">
        <v>638</v>
      </c>
      <c r="F948" s="84">
        <v>14</v>
      </c>
      <c r="G948" s="84" t="s">
        <v>110</v>
      </c>
      <c r="H948" s="85">
        <v>45125</v>
      </c>
      <c r="I948" s="84" t="s">
        <v>933</v>
      </c>
      <c r="J948" s="84" t="s">
        <v>790</v>
      </c>
    </row>
    <row r="949" spans="1:11" x14ac:dyDescent="0.3">
      <c r="A949" s="83">
        <v>1232075914</v>
      </c>
      <c r="B949" s="84">
        <v>45926208</v>
      </c>
      <c r="C949" s="85">
        <v>45126</v>
      </c>
      <c r="D949" s="134">
        <v>16416</v>
      </c>
      <c r="E949" s="84" t="s">
        <v>638</v>
      </c>
      <c r="F949" s="84">
        <v>9</v>
      </c>
      <c r="G949" s="84" t="s">
        <v>110</v>
      </c>
      <c r="H949" s="85">
        <v>45125</v>
      </c>
      <c r="I949" s="84" t="s">
        <v>933</v>
      </c>
      <c r="J949" s="84" t="s">
        <v>790</v>
      </c>
    </row>
    <row r="950" spans="1:11" x14ac:dyDescent="0.3">
      <c r="A950" s="83">
        <v>1232079179</v>
      </c>
      <c r="B950" s="84">
        <v>38900520</v>
      </c>
      <c r="C950" s="85">
        <v>45133</v>
      </c>
      <c r="D950" s="134">
        <v>14592</v>
      </c>
      <c r="E950" s="84" t="s">
        <v>638</v>
      </c>
      <c r="F950" s="84">
        <v>8</v>
      </c>
      <c r="G950" s="84" t="s">
        <v>110</v>
      </c>
      <c r="H950" s="85">
        <v>45138</v>
      </c>
      <c r="I950" s="84" t="s">
        <v>934</v>
      </c>
      <c r="J950" s="84" t="s">
        <v>790</v>
      </c>
    </row>
    <row r="951" spans="1:11" x14ac:dyDescent="0.3">
      <c r="A951" s="83">
        <v>1232079185</v>
      </c>
      <c r="B951" s="84">
        <v>38900250</v>
      </c>
      <c r="C951" s="85">
        <v>45133</v>
      </c>
      <c r="D951" s="134">
        <v>19200</v>
      </c>
      <c r="E951" s="84" t="s">
        <v>638</v>
      </c>
      <c r="F951" s="84">
        <v>20</v>
      </c>
      <c r="G951" s="84" t="s">
        <v>110</v>
      </c>
      <c r="H951" s="85">
        <v>45138</v>
      </c>
      <c r="I951" s="84" t="s">
        <v>934</v>
      </c>
      <c r="J951" s="84" t="s">
        <v>790</v>
      </c>
    </row>
    <row r="952" spans="1:11" x14ac:dyDescent="0.3">
      <c r="A952" s="83">
        <v>1232079934</v>
      </c>
      <c r="B952" s="84">
        <v>38900245</v>
      </c>
      <c r="C952" s="85">
        <v>45134</v>
      </c>
      <c r="D952" s="134">
        <v>960</v>
      </c>
      <c r="E952" s="84" t="s">
        <v>638</v>
      </c>
      <c r="F952" s="84">
        <v>1</v>
      </c>
      <c r="G952" s="84" t="s">
        <v>110</v>
      </c>
      <c r="H952" s="85">
        <v>45138</v>
      </c>
      <c r="I952" s="84" t="s">
        <v>934</v>
      </c>
      <c r="J952" s="84" t="s">
        <v>790</v>
      </c>
    </row>
    <row r="953" spans="1:11" x14ac:dyDescent="0.3">
      <c r="A953" s="83">
        <v>1232080525</v>
      </c>
      <c r="B953" s="84">
        <v>25943250</v>
      </c>
      <c r="C953" s="85">
        <v>45135</v>
      </c>
      <c r="D953" s="134">
        <v>18240</v>
      </c>
      <c r="E953" s="84" t="s">
        <v>638</v>
      </c>
      <c r="F953" s="84">
        <v>10</v>
      </c>
      <c r="G953" s="84" t="s">
        <v>110</v>
      </c>
      <c r="H953" s="85">
        <v>45138</v>
      </c>
      <c r="I953" s="84" t="s">
        <v>934</v>
      </c>
      <c r="J953" s="84" t="s">
        <v>790</v>
      </c>
    </row>
    <row r="954" spans="1:11" x14ac:dyDescent="0.3">
      <c r="A954" s="83">
        <v>1232079180</v>
      </c>
      <c r="B954" s="84">
        <v>36927265</v>
      </c>
      <c r="C954" s="85">
        <v>45133</v>
      </c>
      <c r="D954" s="134">
        <v>5472</v>
      </c>
      <c r="E954" s="84" t="s">
        <v>638</v>
      </c>
      <c r="F954" s="84">
        <v>3</v>
      </c>
      <c r="G954" s="84" t="s">
        <v>110</v>
      </c>
      <c r="H954" s="85">
        <v>45138</v>
      </c>
      <c r="I954" s="84" t="s">
        <v>935</v>
      </c>
      <c r="J954" s="84" t="s">
        <v>790</v>
      </c>
      <c r="K954" t="s">
        <v>934</v>
      </c>
    </row>
    <row r="955" spans="1:11" x14ac:dyDescent="0.3">
      <c r="A955" s="87">
        <v>1232079183</v>
      </c>
      <c r="B955" s="88">
        <v>38900244</v>
      </c>
      <c r="C955" s="89">
        <v>45133</v>
      </c>
      <c r="D955" s="144">
        <v>18240</v>
      </c>
      <c r="E955" s="88" t="s">
        <v>638</v>
      </c>
      <c r="F955" s="88">
        <v>19</v>
      </c>
      <c r="G955" s="88" t="s">
        <v>110</v>
      </c>
      <c r="H955" s="89">
        <v>45138</v>
      </c>
      <c r="I955" s="88" t="s">
        <v>935</v>
      </c>
      <c r="J955" s="88" t="s">
        <v>790</v>
      </c>
      <c r="K955" s="109" t="s">
        <v>934</v>
      </c>
    </row>
    <row r="956" spans="1:11" x14ac:dyDescent="0.3">
      <c r="A956" s="83">
        <v>1232079909</v>
      </c>
      <c r="B956" s="84">
        <v>33906822</v>
      </c>
      <c r="C956" s="85">
        <v>45134</v>
      </c>
      <c r="D956" s="134">
        <v>19031.98</v>
      </c>
      <c r="E956" s="84" t="s">
        <v>638</v>
      </c>
      <c r="F956" s="84">
        <v>10</v>
      </c>
      <c r="G956" s="84" t="s">
        <v>110</v>
      </c>
      <c r="H956" s="85">
        <v>45138</v>
      </c>
      <c r="I956" s="84" t="s">
        <v>935</v>
      </c>
      <c r="J956" s="84" t="s">
        <v>790</v>
      </c>
      <c r="K956" t="s">
        <v>934</v>
      </c>
    </row>
    <row r="957" spans="1:11" x14ac:dyDescent="0.3">
      <c r="A957" s="83">
        <v>1232081785</v>
      </c>
      <c r="B957" s="84">
        <v>35923652</v>
      </c>
      <c r="C957" s="85">
        <v>45139</v>
      </c>
      <c r="D957" s="134">
        <v>7680</v>
      </c>
      <c r="E957" s="84" t="s">
        <v>638</v>
      </c>
      <c r="F957" s="84">
        <v>8</v>
      </c>
      <c r="G957" s="84" t="s">
        <v>110</v>
      </c>
      <c r="H957" s="85">
        <v>45139</v>
      </c>
      <c r="I957" s="84" t="s">
        <v>936</v>
      </c>
      <c r="J957" s="84" t="s">
        <v>790</v>
      </c>
      <c r="K957" t="s">
        <v>937</v>
      </c>
    </row>
    <row r="958" spans="1:11" x14ac:dyDescent="0.3">
      <c r="A958" s="83">
        <v>1232081786</v>
      </c>
      <c r="B958" s="84">
        <v>35923653</v>
      </c>
      <c r="C958" s="85">
        <v>45139</v>
      </c>
      <c r="D958" s="134">
        <v>960</v>
      </c>
      <c r="E958" s="84" t="s">
        <v>638</v>
      </c>
      <c r="F958" s="84">
        <v>1</v>
      </c>
      <c r="G958" s="84" t="s">
        <v>110</v>
      </c>
      <c r="H958" s="85">
        <v>45139</v>
      </c>
      <c r="I958" s="84" t="s">
        <v>936</v>
      </c>
      <c r="J958" s="84" t="s">
        <v>790</v>
      </c>
      <c r="K958" t="s">
        <v>937</v>
      </c>
    </row>
    <row r="959" spans="1:11" x14ac:dyDescent="0.3">
      <c r="A959" s="83">
        <v>1232081780</v>
      </c>
      <c r="B959" s="84">
        <v>31922237</v>
      </c>
      <c r="C959" s="85">
        <v>45139</v>
      </c>
      <c r="D959" s="134">
        <v>12768</v>
      </c>
      <c r="E959" s="84" t="s">
        <v>638</v>
      </c>
      <c r="F959" s="84">
        <v>7</v>
      </c>
      <c r="G959" s="84" t="s">
        <v>110</v>
      </c>
      <c r="H959" s="85">
        <v>45139</v>
      </c>
      <c r="I959" s="84" t="s">
        <v>936</v>
      </c>
      <c r="J959" s="84" t="s">
        <v>790</v>
      </c>
      <c r="K959" t="s">
        <v>937</v>
      </c>
    </row>
    <row r="960" spans="1:11" x14ac:dyDescent="0.3">
      <c r="A960" s="83">
        <v>1232083531</v>
      </c>
      <c r="B960" s="84">
        <v>33909630</v>
      </c>
      <c r="C960" s="85">
        <v>45142</v>
      </c>
      <c r="D960" s="134">
        <v>9120</v>
      </c>
      <c r="E960" s="84" t="s">
        <v>638</v>
      </c>
      <c r="F960" s="84">
        <v>5</v>
      </c>
      <c r="G960" s="84" t="s">
        <v>110</v>
      </c>
      <c r="H960" s="85">
        <v>45145</v>
      </c>
      <c r="I960" s="84" t="s">
        <v>938</v>
      </c>
      <c r="J960" s="84" t="s">
        <v>790</v>
      </c>
    </row>
    <row r="961" spans="1:11" x14ac:dyDescent="0.3">
      <c r="A961" s="83">
        <v>1232083534</v>
      </c>
      <c r="B961" s="84">
        <v>35923659</v>
      </c>
      <c r="C961" s="85">
        <v>45142</v>
      </c>
      <c r="D961" s="134">
        <v>6720</v>
      </c>
      <c r="E961" s="84" t="s">
        <v>638</v>
      </c>
      <c r="F961" s="84">
        <v>7</v>
      </c>
      <c r="G961" s="84" t="s">
        <v>110</v>
      </c>
      <c r="H961" s="85">
        <v>45146</v>
      </c>
      <c r="I961" s="84" t="s">
        <v>938</v>
      </c>
      <c r="J961" s="84" t="s">
        <v>790</v>
      </c>
    </row>
    <row r="962" spans="1:11" x14ac:dyDescent="0.3">
      <c r="A962" s="83">
        <v>1232086482</v>
      </c>
      <c r="B962" s="84">
        <v>25945985</v>
      </c>
      <c r="C962" s="85">
        <v>45148</v>
      </c>
      <c r="D962" s="134">
        <v>1920</v>
      </c>
      <c r="E962" s="84" t="s">
        <v>638</v>
      </c>
      <c r="F962" s="84">
        <v>2</v>
      </c>
      <c r="G962" s="84" t="s">
        <v>110</v>
      </c>
      <c r="H962" s="85">
        <v>45148</v>
      </c>
      <c r="I962" s="84" t="s">
        <v>939</v>
      </c>
      <c r="J962" s="84" t="s">
        <v>790</v>
      </c>
    </row>
    <row r="963" spans="1:11" x14ac:dyDescent="0.3">
      <c r="A963" s="83">
        <v>1232086485</v>
      </c>
      <c r="B963" s="84">
        <v>25945986</v>
      </c>
      <c r="C963" s="85">
        <v>45148</v>
      </c>
      <c r="D963" s="134">
        <v>1920</v>
      </c>
      <c r="E963" s="84" t="s">
        <v>638</v>
      </c>
      <c r="F963" s="84">
        <v>2</v>
      </c>
      <c r="G963" s="84" t="s">
        <v>110</v>
      </c>
      <c r="H963" s="85">
        <v>45148</v>
      </c>
      <c r="I963" s="84" t="s">
        <v>939</v>
      </c>
      <c r="J963" s="84" t="s">
        <v>790</v>
      </c>
    </row>
    <row r="964" spans="1:11" x14ac:dyDescent="0.3">
      <c r="A964" s="83">
        <v>1232087160</v>
      </c>
      <c r="B964" s="84">
        <v>26941923</v>
      </c>
      <c r="C964" s="85">
        <v>45154</v>
      </c>
      <c r="D964" s="134">
        <v>6720</v>
      </c>
      <c r="E964" s="84" t="s">
        <v>638</v>
      </c>
      <c r="F964" s="84">
        <v>7</v>
      </c>
      <c r="G964" s="84" t="s">
        <v>110</v>
      </c>
      <c r="H964" s="85">
        <v>45153</v>
      </c>
      <c r="I964" s="84" t="s">
        <v>940</v>
      </c>
      <c r="J964" s="84" t="s">
        <v>790</v>
      </c>
    </row>
    <row r="965" spans="1:11" x14ac:dyDescent="0.3">
      <c r="A965" s="83">
        <v>1232088996</v>
      </c>
      <c r="B965" s="84">
        <v>32907384</v>
      </c>
      <c r="C965" s="85">
        <v>45154</v>
      </c>
      <c r="D965" s="134">
        <v>13440</v>
      </c>
      <c r="E965" s="84" t="s">
        <v>638</v>
      </c>
      <c r="F965" s="84">
        <v>14</v>
      </c>
      <c r="G965" s="84" t="s">
        <v>110</v>
      </c>
      <c r="H965" s="85">
        <v>45153</v>
      </c>
      <c r="I965" s="84" t="s">
        <v>941</v>
      </c>
      <c r="J965" s="84" t="s">
        <v>790</v>
      </c>
      <c r="K965" t="s">
        <v>940</v>
      </c>
    </row>
    <row r="966" spans="1:11" x14ac:dyDescent="0.3">
      <c r="A966" s="83">
        <v>1232088999</v>
      </c>
      <c r="B966" s="84">
        <v>26944499</v>
      </c>
      <c r="C966" s="85">
        <v>45154</v>
      </c>
      <c r="D966" s="134">
        <v>3840</v>
      </c>
      <c r="E966" s="84" t="s">
        <v>638</v>
      </c>
      <c r="F966" s="84">
        <v>4</v>
      </c>
      <c r="G966" s="84" t="s">
        <v>110</v>
      </c>
      <c r="H966" s="85">
        <v>45153</v>
      </c>
      <c r="I966" s="84" t="s">
        <v>942</v>
      </c>
      <c r="J966" s="84" t="s">
        <v>790</v>
      </c>
      <c r="K966" t="s">
        <v>940</v>
      </c>
    </row>
    <row r="967" spans="1:11" x14ac:dyDescent="0.3">
      <c r="A967" s="83">
        <v>1232087161</v>
      </c>
      <c r="B967" s="84">
        <v>26941924</v>
      </c>
      <c r="C967" s="85">
        <v>45159</v>
      </c>
      <c r="D967" s="134">
        <v>3840</v>
      </c>
      <c r="E967" s="84" t="s">
        <v>638</v>
      </c>
      <c r="F967" s="84">
        <v>4</v>
      </c>
      <c r="G967" s="84" t="s">
        <v>110</v>
      </c>
      <c r="H967" s="85">
        <v>45159</v>
      </c>
      <c r="I967" s="84" t="s">
        <v>943</v>
      </c>
      <c r="J967" s="84" t="s">
        <v>790</v>
      </c>
    </row>
    <row r="968" spans="1:11" x14ac:dyDescent="0.3">
      <c r="A968" s="83">
        <v>1232087156</v>
      </c>
      <c r="B968" s="84">
        <v>26941918</v>
      </c>
      <c r="C968" s="85">
        <v>45156</v>
      </c>
      <c r="D968" s="134">
        <v>1920</v>
      </c>
      <c r="E968" s="84" t="s">
        <v>638</v>
      </c>
      <c r="F968" s="84">
        <v>2</v>
      </c>
      <c r="G968" s="84" t="s">
        <v>110</v>
      </c>
      <c r="H968" s="85">
        <v>45159</v>
      </c>
      <c r="I968" s="84" t="s">
        <v>943</v>
      </c>
      <c r="J968" s="84" t="s">
        <v>790</v>
      </c>
    </row>
    <row r="969" spans="1:11" x14ac:dyDescent="0.3">
      <c r="A969" s="83">
        <v>1232089301</v>
      </c>
      <c r="B969" s="84">
        <v>86550199</v>
      </c>
      <c r="C969" s="85"/>
      <c r="D969" s="134">
        <v>1600</v>
      </c>
      <c r="E969" s="84" t="s">
        <v>638</v>
      </c>
      <c r="F969" s="84">
        <v>1</v>
      </c>
      <c r="G969" s="84" t="s">
        <v>110</v>
      </c>
      <c r="H969" s="85">
        <v>45159</v>
      </c>
      <c r="I969" s="84" t="s">
        <v>944</v>
      </c>
      <c r="J969" s="84" t="s">
        <v>787</v>
      </c>
    </row>
    <row r="970" spans="1:11" x14ac:dyDescent="0.3">
      <c r="A970" s="83">
        <v>1232089324</v>
      </c>
      <c r="B970" s="84">
        <v>40574821</v>
      </c>
      <c r="C970" s="85"/>
      <c r="D970" s="134">
        <v>704</v>
      </c>
      <c r="E970" s="84" t="s">
        <v>638</v>
      </c>
      <c r="F970" s="84">
        <v>1</v>
      </c>
      <c r="G970" s="84" t="s">
        <v>110</v>
      </c>
      <c r="H970" s="85">
        <v>45159</v>
      </c>
      <c r="I970" s="84" t="s">
        <v>944</v>
      </c>
      <c r="J970" s="84" t="s">
        <v>787</v>
      </c>
    </row>
    <row r="971" spans="1:11" x14ac:dyDescent="0.3">
      <c r="A971" s="83">
        <v>1232089334</v>
      </c>
      <c r="B971" s="84">
        <v>95820903</v>
      </c>
      <c r="C971" s="85"/>
      <c r="D971" s="134">
        <v>872</v>
      </c>
      <c r="E971" s="84" t="s">
        <v>638</v>
      </c>
      <c r="F971" s="84">
        <v>1</v>
      </c>
      <c r="G971" s="84" t="s">
        <v>110</v>
      </c>
      <c r="H971" s="85">
        <v>45159</v>
      </c>
      <c r="I971" s="84" t="s">
        <v>944</v>
      </c>
      <c r="J971" s="84" t="s">
        <v>787</v>
      </c>
    </row>
    <row r="972" spans="1:11" x14ac:dyDescent="0.3">
      <c r="A972" s="83">
        <v>1232089335</v>
      </c>
      <c r="B972" s="84">
        <v>95827087</v>
      </c>
      <c r="C972" s="85"/>
      <c r="D972" s="134">
        <v>536</v>
      </c>
      <c r="E972" s="84" t="s">
        <v>638</v>
      </c>
      <c r="F972" s="84">
        <v>1</v>
      </c>
      <c r="G972" s="84" t="s">
        <v>110</v>
      </c>
      <c r="H972" s="85">
        <v>45159</v>
      </c>
      <c r="I972" s="84" t="s">
        <v>944</v>
      </c>
      <c r="J972" s="84" t="s">
        <v>787</v>
      </c>
    </row>
    <row r="973" spans="1:11" x14ac:dyDescent="0.3">
      <c r="A973" s="83">
        <v>1232090219</v>
      </c>
      <c r="B973" s="84">
        <v>59584481</v>
      </c>
      <c r="C973" s="85"/>
      <c r="D973" s="134">
        <v>592</v>
      </c>
      <c r="E973" s="84" t="s">
        <v>638</v>
      </c>
      <c r="F973" s="84">
        <v>1</v>
      </c>
      <c r="G973" s="84" t="s">
        <v>110</v>
      </c>
      <c r="H973" s="85">
        <v>45159</v>
      </c>
      <c r="I973" s="84" t="s">
        <v>944</v>
      </c>
      <c r="J973" s="84" t="s">
        <v>787</v>
      </c>
    </row>
    <row r="974" spans="1:11" x14ac:dyDescent="0.3">
      <c r="A974" s="83">
        <v>1232090244</v>
      </c>
      <c r="B974" s="84">
        <v>11557201</v>
      </c>
      <c r="C974" s="85"/>
      <c r="D974" s="134">
        <v>1152</v>
      </c>
      <c r="E974" s="84" t="s">
        <v>638</v>
      </c>
      <c r="F974" s="84">
        <v>1</v>
      </c>
      <c r="G974" s="84" t="s">
        <v>110</v>
      </c>
      <c r="H974" s="85">
        <v>45159</v>
      </c>
      <c r="I974" s="84" t="s">
        <v>944</v>
      </c>
      <c r="J974" s="84" t="s">
        <v>787</v>
      </c>
    </row>
    <row r="975" spans="1:11" x14ac:dyDescent="0.3">
      <c r="A975" s="83">
        <v>1232090245</v>
      </c>
      <c r="B975" s="84">
        <v>13557930</v>
      </c>
      <c r="C975" s="85"/>
      <c r="D975" s="134">
        <v>536</v>
      </c>
      <c r="E975" s="84" t="s">
        <v>638</v>
      </c>
      <c r="F975" s="84">
        <v>1</v>
      </c>
      <c r="G975" s="84" t="s">
        <v>110</v>
      </c>
      <c r="H975" s="85">
        <v>45159</v>
      </c>
      <c r="I975" s="84" t="s">
        <v>944</v>
      </c>
      <c r="J975" s="84" t="s">
        <v>787</v>
      </c>
    </row>
    <row r="976" spans="1:11" x14ac:dyDescent="0.3">
      <c r="A976" s="83">
        <v>1232094890</v>
      </c>
      <c r="B976" s="84">
        <v>32912952</v>
      </c>
      <c r="C976" s="85">
        <v>45170</v>
      </c>
      <c r="D976" s="134">
        <v>12768</v>
      </c>
      <c r="E976" s="84" t="s">
        <v>638</v>
      </c>
      <c r="F976" s="84">
        <v>7</v>
      </c>
      <c r="G976" s="84" t="s">
        <v>110</v>
      </c>
      <c r="H976" s="85">
        <v>45169</v>
      </c>
      <c r="I976" s="84" t="s">
        <v>945</v>
      </c>
      <c r="J976" s="84" t="s">
        <v>790</v>
      </c>
    </row>
    <row r="977" spans="1:11" x14ac:dyDescent="0.3">
      <c r="A977" s="83">
        <v>1232094894</v>
      </c>
      <c r="B977" s="84">
        <v>32913183</v>
      </c>
      <c r="C977" s="85">
        <v>45170</v>
      </c>
      <c r="D977" s="134">
        <v>9120</v>
      </c>
      <c r="E977" s="84" t="s">
        <v>638</v>
      </c>
      <c r="F977" s="84">
        <v>5</v>
      </c>
      <c r="G977" s="84" t="s">
        <v>110</v>
      </c>
      <c r="H977" s="85">
        <v>45169</v>
      </c>
      <c r="I977" s="84" t="s">
        <v>945</v>
      </c>
      <c r="J977" s="84" t="s">
        <v>790</v>
      </c>
    </row>
    <row r="978" spans="1:11" x14ac:dyDescent="0.3">
      <c r="A978" s="83">
        <v>1232092649</v>
      </c>
      <c r="B978" s="84">
        <v>46915759</v>
      </c>
      <c r="C978" s="85">
        <v>45174</v>
      </c>
      <c r="D978" s="134">
        <v>7680</v>
      </c>
      <c r="E978" s="84" t="s">
        <v>638</v>
      </c>
      <c r="F978" s="84">
        <v>8</v>
      </c>
      <c r="G978" s="84" t="s">
        <v>110</v>
      </c>
      <c r="H978" s="85">
        <v>45174</v>
      </c>
      <c r="I978" s="84" t="s">
        <v>946</v>
      </c>
      <c r="J978" s="84" t="s">
        <v>790</v>
      </c>
    </row>
    <row r="979" spans="1:11" x14ac:dyDescent="0.3">
      <c r="A979" s="83">
        <v>1232092652</v>
      </c>
      <c r="B979" s="84">
        <v>46915765</v>
      </c>
      <c r="C979" s="85">
        <v>45174</v>
      </c>
      <c r="D979" s="134">
        <v>5760</v>
      </c>
      <c r="E979" s="84" t="s">
        <v>638</v>
      </c>
      <c r="F979" s="84">
        <v>6</v>
      </c>
      <c r="G979" s="84" t="s">
        <v>110</v>
      </c>
      <c r="H979" s="85">
        <v>45174</v>
      </c>
      <c r="I979" s="84" t="s">
        <v>946</v>
      </c>
      <c r="J979" s="84" t="s">
        <v>790</v>
      </c>
    </row>
    <row r="980" spans="1:11" x14ac:dyDescent="0.3">
      <c r="A980" s="83">
        <v>1232096880</v>
      </c>
      <c r="B980" s="84">
        <v>18920891</v>
      </c>
      <c r="C980" s="85">
        <v>45175</v>
      </c>
      <c r="D980" s="134">
        <v>8640</v>
      </c>
      <c r="E980" s="84" t="s">
        <v>638</v>
      </c>
      <c r="F980" s="84">
        <v>9</v>
      </c>
      <c r="G980" s="84" t="s">
        <v>110</v>
      </c>
      <c r="H980" s="85">
        <v>45174</v>
      </c>
      <c r="I980" s="84" t="s">
        <v>947</v>
      </c>
      <c r="J980" s="84" t="s">
        <v>790</v>
      </c>
    </row>
    <row r="981" spans="1:11" x14ac:dyDescent="0.3">
      <c r="A981" s="83">
        <v>1232096885</v>
      </c>
      <c r="B981" s="84">
        <v>18920892</v>
      </c>
      <c r="C981" s="85">
        <v>45175</v>
      </c>
      <c r="D981" s="134">
        <v>2880</v>
      </c>
      <c r="E981" s="84" t="s">
        <v>638</v>
      </c>
      <c r="F981" s="84">
        <v>3</v>
      </c>
      <c r="G981" s="84" t="s">
        <v>110</v>
      </c>
      <c r="H981" s="85">
        <v>45174</v>
      </c>
      <c r="I981" s="84" t="s">
        <v>947</v>
      </c>
      <c r="J981" s="84" t="s">
        <v>790</v>
      </c>
    </row>
    <row r="982" spans="1:11" x14ac:dyDescent="0.3">
      <c r="A982" s="83">
        <v>1232097732</v>
      </c>
      <c r="B982" s="84">
        <v>25911591</v>
      </c>
      <c r="C982" s="85">
        <v>45176</v>
      </c>
      <c r="D982" s="134">
        <v>10944</v>
      </c>
      <c r="E982" s="84" t="s">
        <v>638</v>
      </c>
      <c r="F982" s="84">
        <v>6</v>
      </c>
      <c r="G982" s="84" t="s">
        <v>110</v>
      </c>
      <c r="H982" s="85">
        <v>45177</v>
      </c>
      <c r="I982" s="84" t="s">
        <v>948</v>
      </c>
      <c r="J982" s="84" t="s">
        <v>790</v>
      </c>
    </row>
    <row r="983" spans="1:11" x14ac:dyDescent="0.3">
      <c r="A983" s="83">
        <v>1232097735</v>
      </c>
      <c r="B983" s="84">
        <v>31934568</v>
      </c>
      <c r="C983" s="85">
        <v>45176</v>
      </c>
      <c r="D983" s="134">
        <v>14880</v>
      </c>
      <c r="E983" s="84" t="s">
        <v>638</v>
      </c>
      <c r="F983" s="84">
        <v>11</v>
      </c>
      <c r="G983" s="84" t="s">
        <v>110</v>
      </c>
      <c r="H983" s="85">
        <v>45177</v>
      </c>
      <c r="I983" s="84" t="s">
        <v>948</v>
      </c>
      <c r="J983" s="84" t="s">
        <v>790</v>
      </c>
    </row>
    <row r="984" spans="1:11" x14ac:dyDescent="0.3">
      <c r="A984" s="83">
        <v>1232098941</v>
      </c>
      <c r="B984" s="84">
        <v>45943257</v>
      </c>
      <c r="C984" s="85">
        <v>45181</v>
      </c>
      <c r="D984" s="134">
        <v>6720</v>
      </c>
      <c r="E984" s="84" t="s">
        <v>638</v>
      </c>
      <c r="F984" s="84">
        <v>7</v>
      </c>
      <c r="G984" s="84" t="s">
        <v>110</v>
      </c>
      <c r="H984" s="85">
        <v>45181</v>
      </c>
      <c r="I984" s="84" t="s">
        <v>949</v>
      </c>
      <c r="J984" s="84" t="s">
        <v>790</v>
      </c>
    </row>
    <row r="985" spans="1:11" x14ac:dyDescent="0.3">
      <c r="A985" s="83">
        <v>1232098943</v>
      </c>
      <c r="B985" s="84">
        <v>45943259</v>
      </c>
      <c r="C985" s="85">
        <v>45181</v>
      </c>
      <c r="D985" s="134">
        <v>4800</v>
      </c>
      <c r="E985" s="84" t="s">
        <v>638</v>
      </c>
      <c r="F985" s="84">
        <v>5</v>
      </c>
      <c r="G985" s="84" t="s">
        <v>110</v>
      </c>
      <c r="H985" s="85">
        <v>45181</v>
      </c>
      <c r="I985" s="84" t="s">
        <v>949</v>
      </c>
      <c r="J985" s="84" t="s">
        <v>790</v>
      </c>
    </row>
    <row r="986" spans="1:11" x14ac:dyDescent="0.3">
      <c r="A986" s="83">
        <v>1232100026</v>
      </c>
      <c r="B986" s="84">
        <v>36945908</v>
      </c>
      <c r="C986" s="85">
        <v>45182</v>
      </c>
      <c r="D986" s="134">
        <v>1824</v>
      </c>
      <c r="E986" s="84" t="s">
        <v>638</v>
      </c>
      <c r="F986" s="84">
        <v>1</v>
      </c>
      <c r="G986" s="84" t="s">
        <v>110</v>
      </c>
      <c r="H986" s="85">
        <v>45182</v>
      </c>
      <c r="I986" s="84" t="s">
        <v>950</v>
      </c>
      <c r="J986" s="84" t="s">
        <v>790</v>
      </c>
    </row>
    <row r="987" spans="1:11" x14ac:dyDescent="0.3">
      <c r="A987" s="83">
        <v>1232098953</v>
      </c>
      <c r="B987" s="84">
        <v>45943267</v>
      </c>
      <c r="C987" s="85">
        <v>45182</v>
      </c>
      <c r="D987" s="134">
        <v>3840</v>
      </c>
      <c r="E987" s="84" t="s">
        <v>638</v>
      </c>
      <c r="F987" s="84">
        <v>4</v>
      </c>
      <c r="G987" s="84" t="s">
        <v>110</v>
      </c>
      <c r="H987" s="85">
        <v>45182</v>
      </c>
      <c r="I987" s="84" t="s">
        <v>950</v>
      </c>
      <c r="J987" s="84" t="s">
        <v>790</v>
      </c>
    </row>
    <row r="988" spans="1:11" x14ac:dyDescent="0.3">
      <c r="A988" s="83">
        <v>1232100025</v>
      </c>
      <c r="B988" s="84">
        <v>31936403</v>
      </c>
      <c r="C988" s="85">
        <v>45182</v>
      </c>
      <c r="D988" s="134">
        <v>17472</v>
      </c>
      <c r="E988" s="84" t="s">
        <v>638</v>
      </c>
      <c r="F988" s="84">
        <v>11</v>
      </c>
      <c r="G988" s="84" t="s">
        <v>110</v>
      </c>
      <c r="H988" s="85">
        <v>45182</v>
      </c>
      <c r="I988" s="84" t="s">
        <v>950</v>
      </c>
      <c r="J988" s="84" t="s">
        <v>790</v>
      </c>
    </row>
    <row r="989" spans="1:11" x14ac:dyDescent="0.3">
      <c r="A989" s="83">
        <v>1232100748</v>
      </c>
      <c r="B989" s="84">
        <v>45945059</v>
      </c>
      <c r="C989" s="85">
        <v>45184</v>
      </c>
      <c r="D989" s="134">
        <v>5760</v>
      </c>
      <c r="E989" s="84" t="s">
        <v>638</v>
      </c>
      <c r="F989" s="84">
        <v>6</v>
      </c>
      <c r="G989" s="84" t="s">
        <v>110</v>
      </c>
      <c r="H989" s="85">
        <v>45182</v>
      </c>
      <c r="I989" s="84" t="s">
        <v>951</v>
      </c>
      <c r="J989" s="84" t="s">
        <v>790</v>
      </c>
    </row>
    <row r="990" spans="1:11" x14ac:dyDescent="0.3">
      <c r="A990" s="83">
        <v>1232101243</v>
      </c>
      <c r="B990" s="84">
        <v>45945054</v>
      </c>
      <c r="C990" s="85">
        <v>45191</v>
      </c>
      <c r="D990" s="134">
        <v>1920</v>
      </c>
      <c r="E990" s="84" t="s">
        <v>638</v>
      </c>
      <c r="F990" s="84">
        <v>2</v>
      </c>
      <c r="G990" s="84" t="s">
        <v>110</v>
      </c>
      <c r="H990" s="85">
        <v>45191</v>
      </c>
      <c r="I990" s="84" t="s">
        <v>952</v>
      </c>
      <c r="J990" s="84" t="s">
        <v>790</v>
      </c>
    </row>
    <row r="991" spans="1:11" x14ac:dyDescent="0.3">
      <c r="A991" s="83">
        <v>1232102403</v>
      </c>
      <c r="B991" s="84">
        <v>11945141</v>
      </c>
      <c r="C991" s="85">
        <v>45191</v>
      </c>
      <c r="D991" s="134">
        <v>5472</v>
      </c>
      <c r="E991" s="84" t="s">
        <v>638</v>
      </c>
      <c r="F991" s="84">
        <v>3</v>
      </c>
      <c r="G991" s="84" t="s">
        <v>110</v>
      </c>
      <c r="H991" s="85">
        <v>45191</v>
      </c>
      <c r="I991" s="93" t="s">
        <v>953</v>
      </c>
      <c r="J991" s="84" t="s">
        <v>790</v>
      </c>
      <c r="K991" s="148" t="s">
        <v>952</v>
      </c>
    </row>
    <row r="992" spans="1:11" x14ac:dyDescent="0.3">
      <c r="A992" s="83">
        <v>1232101247</v>
      </c>
      <c r="B992" s="84">
        <v>45945060</v>
      </c>
      <c r="C992" s="85">
        <v>45194</v>
      </c>
      <c r="D992" s="134">
        <v>960</v>
      </c>
      <c r="E992" s="84" t="s">
        <v>638</v>
      </c>
      <c r="F992" s="84">
        <v>1</v>
      </c>
      <c r="G992" s="84" t="s">
        <v>110</v>
      </c>
      <c r="H992" s="85">
        <v>45193</v>
      </c>
      <c r="I992" s="84" t="s">
        <v>954</v>
      </c>
      <c r="J992" s="84" t="s">
        <v>790</v>
      </c>
    </row>
    <row r="993" spans="1:11" x14ac:dyDescent="0.3">
      <c r="A993" s="83">
        <v>1232104062</v>
      </c>
      <c r="B993" s="84">
        <v>31940176</v>
      </c>
      <c r="C993" s="85">
        <v>45195</v>
      </c>
      <c r="D993" s="134">
        <v>17280</v>
      </c>
      <c r="E993" s="84" t="s">
        <v>638</v>
      </c>
      <c r="F993" s="84">
        <v>18</v>
      </c>
      <c r="G993" s="84" t="s">
        <v>110</v>
      </c>
      <c r="H993" s="85">
        <v>45194</v>
      </c>
      <c r="I993" s="84" t="s">
        <v>955</v>
      </c>
      <c r="J993" s="84" t="s">
        <v>790</v>
      </c>
    </row>
    <row r="994" spans="1:11" x14ac:dyDescent="0.3">
      <c r="A994" s="83">
        <v>1232105550</v>
      </c>
      <c r="B994" s="84">
        <v>14936957</v>
      </c>
      <c r="C994" s="85">
        <v>45196</v>
      </c>
      <c r="D994" s="134">
        <v>9600</v>
      </c>
      <c r="E994" s="84" t="s">
        <v>638</v>
      </c>
      <c r="F994" s="84">
        <v>10</v>
      </c>
      <c r="G994" s="84" t="s">
        <v>110</v>
      </c>
      <c r="H994" s="85">
        <v>45196</v>
      </c>
      <c r="I994" s="84" t="s">
        <v>956</v>
      </c>
      <c r="J994" s="84" t="s">
        <v>790</v>
      </c>
    </row>
    <row r="995" spans="1:11" x14ac:dyDescent="0.3">
      <c r="A995" s="83">
        <v>1232105554</v>
      </c>
      <c r="B995" s="84">
        <v>31943485</v>
      </c>
      <c r="C995" s="85">
        <v>45196</v>
      </c>
      <c r="D995" s="134">
        <v>5760</v>
      </c>
      <c r="E995" s="84" t="s">
        <v>638</v>
      </c>
      <c r="F995" s="84">
        <v>6</v>
      </c>
      <c r="G995" s="84" t="s">
        <v>110</v>
      </c>
      <c r="H995" s="85">
        <v>45196</v>
      </c>
      <c r="I995" s="84" t="s">
        <v>956</v>
      </c>
      <c r="J995" s="84" t="s">
        <v>790</v>
      </c>
    </row>
    <row r="996" spans="1:11" x14ac:dyDescent="0.3">
      <c r="A996" s="83">
        <v>1232105482</v>
      </c>
      <c r="B996" s="116" t="s">
        <v>957</v>
      </c>
      <c r="C996" s="85">
        <v>45196</v>
      </c>
      <c r="D996" s="134">
        <v>960</v>
      </c>
      <c r="E996" s="84" t="s">
        <v>638</v>
      </c>
      <c r="F996" s="84">
        <v>1</v>
      </c>
      <c r="G996" s="84" t="s">
        <v>110</v>
      </c>
      <c r="H996" s="85">
        <v>45196</v>
      </c>
      <c r="I996" s="84" t="s">
        <v>956</v>
      </c>
      <c r="J996" s="84" t="s">
        <v>790</v>
      </c>
    </row>
    <row r="997" spans="1:11" x14ac:dyDescent="0.3">
      <c r="A997" s="83">
        <v>1232105480</v>
      </c>
      <c r="B997" s="116" t="s">
        <v>958</v>
      </c>
      <c r="C997" s="85">
        <v>45196</v>
      </c>
      <c r="D997" s="134">
        <v>3840</v>
      </c>
      <c r="E997" s="84" t="s">
        <v>638</v>
      </c>
      <c r="F997" s="84">
        <v>4</v>
      </c>
      <c r="G997" s="84" t="s">
        <v>110</v>
      </c>
      <c r="H997" s="85">
        <v>45196</v>
      </c>
      <c r="I997" s="93" t="s">
        <v>959</v>
      </c>
      <c r="J997" s="84" t="s">
        <v>790</v>
      </c>
      <c r="K997" s="81" t="s">
        <v>956</v>
      </c>
    </row>
    <row r="998" spans="1:11" x14ac:dyDescent="0.3">
      <c r="A998" s="83">
        <v>1232106041</v>
      </c>
      <c r="B998" s="84">
        <v>26913379</v>
      </c>
      <c r="C998" s="85">
        <v>45197</v>
      </c>
      <c r="D998" s="134">
        <v>960</v>
      </c>
      <c r="E998" s="84" t="s">
        <v>638</v>
      </c>
      <c r="F998" s="84">
        <v>1</v>
      </c>
      <c r="G998" s="84" t="s">
        <v>110</v>
      </c>
      <c r="H998" s="85">
        <v>45197</v>
      </c>
      <c r="I998" s="84" t="s">
        <v>960</v>
      </c>
      <c r="J998" s="84" t="s">
        <v>790</v>
      </c>
    </row>
    <row r="999" spans="1:11" x14ac:dyDescent="0.3">
      <c r="A999" s="83">
        <v>1232105486</v>
      </c>
      <c r="B999" s="116" t="s">
        <v>961</v>
      </c>
      <c r="C999" s="85">
        <v>45197</v>
      </c>
      <c r="D999" s="134">
        <v>3840</v>
      </c>
      <c r="E999" s="84" t="s">
        <v>638</v>
      </c>
      <c r="F999" s="84">
        <v>4</v>
      </c>
      <c r="G999" s="84" t="s">
        <v>110</v>
      </c>
      <c r="H999" s="85">
        <v>45197</v>
      </c>
      <c r="I999" s="84" t="s">
        <v>960</v>
      </c>
      <c r="J999" s="84" t="s">
        <v>790</v>
      </c>
    </row>
    <row r="1000" spans="1:11" x14ac:dyDescent="0.3">
      <c r="A1000" s="83">
        <v>1232106046</v>
      </c>
      <c r="B1000" s="84">
        <v>26913384</v>
      </c>
      <c r="C1000" s="85">
        <v>45197</v>
      </c>
      <c r="D1000" s="134">
        <v>4800</v>
      </c>
      <c r="E1000" s="84" t="s">
        <v>638</v>
      </c>
      <c r="F1000" s="84">
        <v>5</v>
      </c>
      <c r="G1000" s="84" t="s">
        <v>110</v>
      </c>
      <c r="H1000" s="85">
        <v>45197</v>
      </c>
      <c r="I1000" s="84" t="s">
        <v>960</v>
      </c>
      <c r="J1000" s="84" t="s">
        <v>790</v>
      </c>
    </row>
    <row r="1001" spans="1:11" x14ac:dyDescent="0.3">
      <c r="A1001" s="83">
        <v>1232104072</v>
      </c>
      <c r="B1001" s="84">
        <v>31940170</v>
      </c>
      <c r="C1001" s="85">
        <v>45198</v>
      </c>
      <c r="D1001" s="134">
        <v>6720</v>
      </c>
      <c r="E1001" s="84" t="s">
        <v>638</v>
      </c>
      <c r="F1001" s="84">
        <v>7</v>
      </c>
      <c r="G1001" s="84" t="s">
        <v>110</v>
      </c>
      <c r="H1001" s="85">
        <v>45198</v>
      </c>
      <c r="I1001" s="84" t="s">
        <v>962</v>
      </c>
      <c r="J1001" s="84" t="s">
        <v>790</v>
      </c>
    </row>
    <row r="1002" spans="1:11" x14ac:dyDescent="0.3">
      <c r="A1002" s="83">
        <v>1232106310</v>
      </c>
      <c r="B1002" s="93">
        <v>26913853</v>
      </c>
      <c r="C1002" s="85">
        <v>45198</v>
      </c>
      <c r="D1002" s="134">
        <v>9600</v>
      </c>
      <c r="E1002" s="84" t="s">
        <v>638</v>
      </c>
      <c r="F1002" s="84">
        <v>10</v>
      </c>
      <c r="G1002" s="84" t="s">
        <v>110</v>
      </c>
      <c r="H1002" s="85">
        <v>45198</v>
      </c>
      <c r="I1002" s="84" t="s">
        <v>962</v>
      </c>
      <c r="J1002" s="84" t="s">
        <v>790</v>
      </c>
    </row>
    <row r="1003" spans="1:11" x14ac:dyDescent="0.3">
      <c r="A1003" s="83">
        <v>1232105493</v>
      </c>
      <c r="B1003" s="84">
        <v>3943986</v>
      </c>
      <c r="C1003" s="85">
        <v>45201</v>
      </c>
      <c r="D1003" s="134">
        <v>6720</v>
      </c>
      <c r="E1003" s="84" t="s">
        <v>638</v>
      </c>
      <c r="F1003" s="84">
        <v>7</v>
      </c>
      <c r="G1003" s="84" t="s">
        <v>110</v>
      </c>
      <c r="H1003" s="85">
        <v>45201</v>
      </c>
      <c r="I1003" s="84" t="s">
        <v>963</v>
      </c>
      <c r="J1003" s="84" t="s">
        <v>790</v>
      </c>
    </row>
    <row r="1004" spans="1:11" x14ac:dyDescent="0.3">
      <c r="A1004" s="83">
        <v>1232104081</v>
      </c>
      <c r="B1004" s="84">
        <v>31940171</v>
      </c>
      <c r="C1004" s="85">
        <v>45201</v>
      </c>
      <c r="D1004" s="134">
        <v>1920</v>
      </c>
      <c r="E1004" s="84" t="s">
        <v>638</v>
      </c>
      <c r="F1004" s="84">
        <v>2</v>
      </c>
      <c r="G1004" s="84" t="s">
        <v>110</v>
      </c>
      <c r="H1004" s="85">
        <v>45201</v>
      </c>
      <c r="I1004" s="84" t="s">
        <v>963</v>
      </c>
      <c r="J1004" s="84" t="s">
        <v>790</v>
      </c>
    </row>
    <row r="1005" spans="1:11" x14ac:dyDescent="0.3">
      <c r="A1005" s="83">
        <v>1232104083</v>
      </c>
      <c r="B1005" s="84">
        <v>31940177</v>
      </c>
      <c r="C1005" s="85">
        <v>45201</v>
      </c>
      <c r="D1005" s="134">
        <v>1920</v>
      </c>
      <c r="E1005" s="84" t="s">
        <v>638</v>
      </c>
      <c r="F1005" s="84">
        <v>2</v>
      </c>
      <c r="G1005" s="84" t="s">
        <v>110</v>
      </c>
      <c r="H1005" s="85">
        <v>45201</v>
      </c>
      <c r="I1005" s="84" t="s">
        <v>963</v>
      </c>
      <c r="J1005" s="84" t="s">
        <v>790</v>
      </c>
    </row>
    <row r="1006" spans="1:11" x14ac:dyDescent="0.3">
      <c r="A1006" s="83">
        <v>1232107130</v>
      </c>
      <c r="B1006" s="84">
        <v>46928552</v>
      </c>
      <c r="C1006" s="85">
        <v>45202</v>
      </c>
      <c r="D1006" s="134">
        <v>18240</v>
      </c>
      <c r="E1006" s="84" t="s">
        <v>638</v>
      </c>
      <c r="F1006" s="84">
        <v>10</v>
      </c>
      <c r="G1006" s="84" t="s">
        <v>110</v>
      </c>
      <c r="H1006" s="85">
        <v>45201</v>
      </c>
      <c r="I1006" s="84" t="s">
        <v>964</v>
      </c>
      <c r="J1006" s="84" t="s">
        <v>790</v>
      </c>
    </row>
    <row r="1007" spans="1:11" x14ac:dyDescent="0.3">
      <c r="A1007" s="83">
        <v>1232108146</v>
      </c>
      <c r="B1007" s="84">
        <v>38926376</v>
      </c>
      <c r="C1007" s="85">
        <v>45203</v>
      </c>
      <c r="D1007" s="134">
        <v>12768</v>
      </c>
      <c r="E1007" s="84" t="s">
        <v>638</v>
      </c>
      <c r="F1007" s="84">
        <v>7</v>
      </c>
      <c r="G1007" s="84" t="s">
        <v>110</v>
      </c>
      <c r="H1007" s="85">
        <v>45203</v>
      </c>
      <c r="I1007" s="84" t="s">
        <v>965</v>
      </c>
      <c r="J1007" s="84" t="s">
        <v>790</v>
      </c>
    </row>
    <row r="1008" spans="1:11" x14ac:dyDescent="0.3">
      <c r="A1008" s="83">
        <v>1232108147</v>
      </c>
      <c r="B1008" s="84">
        <v>3950739</v>
      </c>
      <c r="C1008" s="85">
        <v>45203</v>
      </c>
      <c r="D1008" s="134">
        <v>16416</v>
      </c>
      <c r="E1008" s="84" t="s">
        <v>638</v>
      </c>
      <c r="F1008" s="84">
        <v>9</v>
      </c>
      <c r="G1008" s="84" t="s">
        <v>110</v>
      </c>
      <c r="H1008" s="85">
        <v>45203</v>
      </c>
      <c r="I1008" s="84" t="s">
        <v>965</v>
      </c>
      <c r="J1008" s="84" t="s">
        <v>790</v>
      </c>
    </row>
    <row r="1009" spans="1:10" x14ac:dyDescent="0.3">
      <c r="A1009" s="83">
        <v>1232108726</v>
      </c>
      <c r="B1009" s="84">
        <v>38926812</v>
      </c>
      <c r="C1009" s="85">
        <v>45204</v>
      </c>
      <c r="D1009" s="134">
        <v>8640</v>
      </c>
      <c r="E1009" s="84" t="s">
        <v>638</v>
      </c>
      <c r="F1009" s="84">
        <v>9</v>
      </c>
      <c r="G1009" s="84" t="s">
        <v>110</v>
      </c>
      <c r="H1009" s="85">
        <v>45203</v>
      </c>
      <c r="I1009" s="84" t="s">
        <v>966</v>
      </c>
      <c r="J1009" s="84" t="s">
        <v>790</v>
      </c>
    </row>
    <row r="1010" spans="1:10" x14ac:dyDescent="0.3">
      <c r="A1010" s="83">
        <v>1232108717</v>
      </c>
      <c r="B1010" s="84">
        <v>31945788</v>
      </c>
      <c r="C1010" s="85">
        <v>45204</v>
      </c>
      <c r="D1010" s="134">
        <v>10944</v>
      </c>
      <c r="E1010" s="84" t="s">
        <v>638</v>
      </c>
      <c r="F1010" s="84">
        <v>6</v>
      </c>
      <c r="G1010" s="84" t="s">
        <v>110</v>
      </c>
      <c r="H1010" s="85">
        <v>45203</v>
      </c>
      <c r="I1010" s="84" t="s">
        <v>966</v>
      </c>
      <c r="J1010" s="84" t="s">
        <v>790</v>
      </c>
    </row>
    <row r="1011" spans="1:10" x14ac:dyDescent="0.3">
      <c r="A1011" s="83">
        <v>1232109293</v>
      </c>
      <c r="B1011" s="84">
        <v>38926822</v>
      </c>
      <c r="C1011" s="85">
        <v>45205</v>
      </c>
      <c r="D1011" s="134">
        <v>5760</v>
      </c>
      <c r="E1011" s="84" t="s">
        <v>638</v>
      </c>
      <c r="F1011" s="84">
        <v>6</v>
      </c>
      <c r="G1011" s="84" t="s">
        <v>110</v>
      </c>
      <c r="H1011" s="85">
        <v>45205</v>
      </c>
      <c r="I1011" s="84" t="s">
        <v>967</v>
      </c>
      <c r="J1011" s="84" t="s">
        <v>790</v>
      </c>
    </row>
    <row r="1012" spans="1:10" x14ac:dyDescent="0.3">
      <c r="A1012" s="83">
        <v>1232111013</v>
      </c>
      <c r="B1012" s="84">
        <v>25922631</v>
      </c>
      <c r="C1012" s="85">
        <v>45210</v>
      </c>
      <c r="D1012" s="134">
        <v>9120</v>
      </c>
      <c r="E1012" s="84" t="s">
        <v>638</v>
      </c>
      <c r="F1012" s="84">
        <v>5</v>
      </c>
      <c r="G1012" s="84" t="s">
        <v>110</v>
      </c>
      <c r="H1012" s="85">
        <v>45209</v>
      </c>
      <c r="I1012" s="84" t="s">
        <v>968</v>
      </c>
      <c r="J1012" s="84" t="s">
        <v>790</v>
      </c>
    </row>
    <row r="1013" spans="1:10" x14ac:dyDescent="0.3">
      <c r="A1013" s="83">
        <v>1232111014</v>
      </c>
      <c r="B1013" s="84">
        <v>18933889</v>
      </c>
      <c r="C1013" s="85">
        <v>45210</v>
      </c>
      <c r="D1013" s="134">
        <v>12768</v>
      </c>
      <c r="E1013" s="84" t="s">
        <v>638</v>
      </c>
      <c r="F1013" s="84">
        <v>7</v>
      </c>
      <c r="G1013" s="84" t="s">
        <v>110</v>
      </c>
      <c r="H1013" s="85">
        <v>45209</v>
      </c>
      <c r="I1013" s="84" t="s">
        <v>968</v>
      </c>
      <c r="J1013" s="84" t="s">
        <v>790</v>
      </c>
    </row>
    <row r="1014" spans="1:10" x14ac:dyDescent="0.3">
      <c r="A1014" s="83">
        <v>1232111411</v>
      </c>
      <c r="B1014" s="93">
        <v>26916981</v>
      </c>
      <c r="C1014" s="85">
        <v>45211</v>
      </c>
      <c r="D1014" s="134">
        <v>9600</v>
      </c>
      <c r="E1014" s="84" t="s">
        <v>638</v>
      </c>
      <c r="F1014" s="84">
        <v>10</v>
      </c>
      <c r="G1014" s="84" t="s">
        <v>110</v>
      </c>
      <c r="H1014" s="85">
        <v>45210</v>
      </c>
      <c r="I1014" s="84" t="s">
        <v>969</v>
      </c>
      <c r="J1014" s="84" t="s">
        <v>790</v>
      </c>
    </row>
    <row r="1015" spans="1:10" x14ac:dyDescent="0.3">
      <c r="A1015" s="83">
        <v>1232111412</v>
      </c>
      <c r="B1015" s="84">
        <v>26916982</v>
      </c>
      <c r="C1015" s="85">
        <v>45211</v>
      </c>
      <c r="D1015" s="134">
        <v>5760</v>
      </c>
      <c r="E1015" s="84" t="s">
        <v>638</v>
      </c>
      <c r="F1015" s="84">
        <v>6</v>
      </c>
      <c r="G1015" s="84" t="s">
        <v>110</v>
      </c>
      <c r="H1015" s="85">
        <v>45210</v>
      </c>
      <c r="I1015" s="84" t="s">
        <v>969</v>
      </c>
      <c r="J1015" s="84" t="s">
        <v>790</v>
      </c>
    </row>
    <row r="1016" spans="1:10" x14ac:dyDescent="0.3">
      <c r="A1016" s="83">
        <v>1232111426</v>
      </c>
      <c r="B1016" s="84">
        <v>26916990</v>
      </c>
      <c r="C1016" s="85">
        <v>45211</v>
      </c>
      <c r="D1016" s="134">
        <v>12480</v>
      </c>
      <c r="E1016" s="84" t="s">
        <v>638</v>
      </c>
      <c r="F1016" s="84">
        <v>13</v>
      </c>
      <c r="G1016" s="84" t="s">
        <v>110</v>
      </c>
      <c r="H1016" s="85">
        <v>45210</v>
      </c>
      <c r="I1016" s="84" t="s">
        <v>969</v>
      </c>
      <c r="J1016" s="84" t="s">
        <v>790</v>
      </c>
    </row>
    <row r="1017" spans="1:10" x14ac:dyDescent="0.3">
      <c r="A1017" s="83">
        <v>1232109289</v>
      </c>
      <c r="B1017" s="84">
        <v>38926820</v>
      </c>
      <c r="C1017" s="85">
        <v>45212</v>
      </c>
      <c r="D1017" s="134">
        <v>19200</v>
      </c>
      <c r="E1017" s="84" t="s">
        <v>638</v>
      </c>
      <c r="F1017" s="84">
        <v>20</v>
      </c>
      <c r="G1017" s="84" t="s">
        <v>110</v>
      </c>
      <c r="H1017" s="85">
        <v>45212</v>
      </c>
      <c r="I1017" s="84" t="s">
        <v>970</v>
      </c>
      <c r="J1017" s="84" t="s">
        <v>790</v>
      </c>
    </row>
    <row r="1018" spans="1:10" x14ac:dyDescent="0.3">
      <c r="A1018" s="83">
        <v>1232111784</v>
      </c>
      <c r="B1018" s="93">
        <v>26916992</v>
      </c>
      <c r="C1018" s="85">
        <v>45212</v>
      </c>
      <c r="D1018" s="134">
        <v>7680</v>
      </c>
      <c r="E1018" s="84" t="s">
        <v>638</v>
      </c>
      <c r="F1018" s="84">
        <v>8</v>
      </c>
      <c r="G1018" s="84" t="s">
        <v>110</v>
      </c>
      <c r="H1018" s="85">
        <v>45212</v>
      </c>
      <c r="I1018" s="84" t="s">
        <v>971</v>
      </c>
      <c r="J1018" s="84" t="s">
        <v>790</v>
      </c>
    </row>
    <row r="1019" spans="1:10" x14ac:dyDescent="0.3">
      <c r="A1019" s="83">
        <v>225064990</v>
      </c>
      <c r="B1019" s="84">
        <v>60436</v>
      </c>
      <c r="C1019" s="85">
        <v>45212</v>
      </c>
      <c r="D1019" s="134">
        <v>14400</v>
      </c>
      <c r="E1019" s="84"/>
      <c r="F1019" s="84">
        <v>15</v>
      </c>
      <c r="G1019" s="84" t="s">
        <v>182</v>
      </c>
      <c r="H1019" s="85">
        <v>45212</v>
      </c>
      <c r="I1019" s="84"/>
      <c r="J1019" s="84" t="s">
        <v>790</v>
      </c>
    </row>
    <row r="1020" spans="1:10" x14ac:dyDescent="0.3">
      <c r="A1020" s="83">
        <v>225065005</v>
      </c>
      <c r="B1020" s="116" t="s">
        <v>972</v>
      </c>
      <c r="C1020" s="85">
        <v>45212</v>
      </c>
      <c r="D1020" s="134">
        <v>10560</v>
      </c>
      <c r="E1020" s="84"/>
      <c r="F1020" s="84">
        <v>11</v>
      </c>
      <c r="G1020" s="84" t="s">
        <v>182</v>
      </c>
      <c r="H1020" s="85">
        <v>45212</v>
      </c>
      <c r="I1020" s="84"/>
      <c r="J1020" s="84" t="s">
        <v>790</v>
      </c>
    </row>
    <row r="1021" spans="1:10" x14ac:dyDescent="0.3">
      <c r="A1021" s="83">
        <v>225065037</v>
      </c>
      <c r="B1021" s="84">
        <v>95304</v>
      </c>
      <c r="C1021" s="85">
        <v>45212</v>
      </c>
      <c r="D1021" s="134">
        <v>8640</v>
      </c>
      <c r="E1021" s="84"/>
      <c r="F1021" s="84">
        <v>9</v>
      </c>
      <c r="G1021" s="84" t="s">
        <v>182</v>
      </c>
      <c r="H1021" s="85">
        <v>45212</v>
      </c>
      <c r="I1021" s="84"/>
      <c r="J1021" s="84" t="s">
        <v>790</v>
      </c>
    </row>
    <row r="1022" spans="1:10" x14ac:dyDescent="0.3">
      <c r="A1022" s="83">
        <v>225065038</v>
      </c>
      <c r="B1022" s="84">
        <v>85353</v>
      </c>
      <c r="C1022" s="85">
        <v>45212</v>
      </c>
      <c r="D1022" s="134">
        <v>960</v>
      </c>
      <c r="E1022" s="84"/>
      <c r="F1022" s="84">
        <v>1</v>
      </c>
      <c r="G1022" s="84" t="s">
        <v>182</v>
      </c>
      <c r="H1022" s="85">
        <v>45212</v>
      </c>
      <c r="I1022" s="84"/>
      <c r="J1022" s="84" t="s">
        <v>790</v>
      </c>
    </row>
    <row r="1023" spans="1:10" x14ac:dyDescent="0.3">
      <c r="A1023" s="83">
        <v>225065039</v>
      </c>
      <c r="B1023" s="84">
        <v>91764</v>
      </c>
      <c r="C1023" s="85">
        <v>45212</v>
      </c>
      <c r="D1023" s="134">
        <v>12480</v>
      </c>
      <c r="E1023" s="84"/>
      <c r="F1023" s="84">
        <v>13</v>
      </c>
      <c r="G1023" s="84" t="s">
        <v>182</v>
      </c>
      <c r="H1023" s="85">
        <v>45212</v>
      </c>
      <c r="I1023" s="84"/>
      <c r="J1023" s="84" t="s">
        <v>790</v>
      </c>
    </row>
    <row r="1024" spans="1:10" x14ac:dyDescent="0.3">
      <c r="A1024" s="83">
        <v>1232115003</v>
      </c>
      <c r="B1024" s="84">
        <v>18935884</v>
      </c>
      <c r="C1024" s="85">
        <v>45218</v>
      </c>
      <c r="D1024" s="134">
        <v>3648</v>
      </c>
      <c r="E1024" s="84"/>
      <c r="F1024" s="84">
        <v>2</v>
      </c>
      <c r="G1024" s="84" t="s">
        <v>110</v>
      </c>
      <c r="H1024" s="85">
        <v>45218</v>
      </c>
      <c r="I1024" s="84" t="s">
        <v>973</v>
      </c>
      <c r="J1024" s="84" t="s">
        <v>790</v>
      </c>
    </row>
    <row r="1025" spans="1:11" x14ac:dyDescent="0.3">
      <c r="A1025" s="83">
        <v>1232116206</v>
      </c>
      <c r="B1025" s="84">
        <v>35903211</v>
      </c>
      <c r="C1025" s="85">
        <v>45222</v>
      </c>
      <c r="D1025" s="134">
        <v>3840</v>
      </c>
      <c r="E1025" s="84"/>
      <c r="F1025" s="84">
        <v>4</v>
      </c>
      <c r="G1025" s="84" t="s">
        <v>110</v>
      </c>
      <c r="H1025" s="85">
        <v>45221</v>
      </c>
      <c r="I1025" s="84" t="s">
        <v>974</v>
      </c>
      <c r="J1025" s="84" t="s">
        <v>790</v>
      </c>
    </row>
    <row r="1026" spans="1:11" x14ac:dyDescent="0.3">
      <c r="A1026" s="83">
        <v>1232116213</v>
      </c>
      <c r="B1026" s="84">
        <v>35903216</v>
      </c>
      <c r="C1026" s="85">
        <v>45223</v>
      </c>
      <c r="D1026" s="134">
        <v>4800</v>
      </c>
      <c r="E1026" s="84" t="s">
        <v>638</v>
      </c>
      <c r="F1026" s="84">
        <v>5</v>
      </c>
      <c r="G1026" s="84" t="s">
        <v>110</v>
      </c>
      <c r="H1026" s="85">
        <v>45223</v>
      </c>
      <c r="I1026" s="84" t="s">
        <v>975</v>
      </c>
      <c r="J1026" s="84" t="s">
        <v>790</v>
      </c>
    </row>
    <row r="1027" spans="1:11" x14ac:dyDescent="0.3">
      <c r="A1027" s="83">
        <v>1232117661</v>
      </c>
      <c r="B1027" s="84">
        <v>46933050</v>
      </c>
      <c r="C1027" s="85">
        <v>45224</v>
      </c>
      <c r="D1027" s="134">
        <v>7561</v>
      </c>
      <c r="E1027" s="84" t="s">
        <v>638</v>
      </c>
      <c r="F1027" s="84">
        <v>4</v>
      </c>
      <c r="G1027" s="84" t="s">
        <v>110</v>
      </c>
      <c r="H1027" s="85">
        <v>45224</v>
      </c>
      <c r="I1027" s="84" t="s">
        <v>976</v>
      </c>
      <c r="J1027" s="84"/>
    </row>
    <row r="1028" spans="1:11" x14ac:dyDescent="0.3">
      <c r="A1028" s="83">
        <v>1232118044</v>
      </c>
      <c r="B1028" s="84">
        <v>32930238</v>
      </c>
      <c r="C1028" s="85">
        <v>45224</v>
      </c>
      <c r="D1028" s="134">
        <v>14592</v>
      </c>
      <c r="E1028" s="84" t="s">
        <v>638</v>
      </c>
      <c r="F1028" s="84">
        <v>8</v>
      </c>
      <c r="G1028" s="84" t="s">
        <v>110</v>
      </c>
      <c r="H1028" s="85">
        <v>45224</v>
      </c>
      <c r="I1028" s="84" t="s">
        <v>976</v>
      </c>
      <c r="J1028" s="22"/>
    </row>
    <row r="1029" spans="1:11" x14ac:dyDescent="0.3">
      <c r="A1029" s="83">
        <v>1232116215</v>
      </c>
      <c r="B1029" s="84">
        <v>35903217</v>
      </c>
      <c r="C1029" s="85">
        <v>45224</v>
      </c>
      <c r="D1029" s="134">
        <v>6720</v>
      </c>
      <c r="E1029" s="84" t="s">
        <v>638</v>
      </c>
      <c r="F1029" s="84">
        <v>7</v>
      </c>
      <c r="G1029" s="84" t="s">
        <v>110</v>
      </c>
      <c r="H1029" s="85">
        <v>45224</v>
      </c>
      <c r="I1029" s="84" t="s">
        <v>976</v>
      </c>
      <c r="J1029" s="22"/>
    </row>
    <row r="1030" spans="1:11" x14ac:dyDescent="0.3">
      <c r="A1030" s="83">
        <v>1232118206</v>
      </c>
      <c r="B1030" s="84">
        <v>46933046</v>
      </c>
      <c r="C1030" s="85">
        <v>45225</v>
      </c>
      <c r="D1030" s="134">
        <v>16712</v>
      </c>
      <c r="E1030" s="84" t="s">
        <v>638</v>
      </c>
      <c r="F1030" s="84">
        <v>8</v>
      </c>
      <c r="G1030" s="84" t="s">
        <v>110</v>
      </c>
      <c r="H1030" s="85">
        <v>45230</v>
      </c>
      <c r="I1030" s="84" t="s">
        <v>977</v>
      </c>
      <c r="J1030" s="22"/>
    </row>
    <row r="1031" spans="1:11" x14ac:dyDescent="0.3">
      <c r="A1031" s="83">
        <v>1232121330</v>
      </c>
      <c r="B1031" s="84">
        <v>50370583</v>
      </c>
      <c r="C1031" s="85">
        <v>45231</v>
      </c>
      <c r="D1031" s="134">
        <v>10944</v>
      </c>
      <c r="E1031" s="84" t="s">
        <v>638</v>
      </c>
      <c r="F1031" s="84">
        <v>6</v>
      </c>
      <c r="G1031" s="84" t="s">
        <v>110</v>
      </c>
      <c r="H1031" s="85">
        <v>45231</v>
      </c>
      <c r="I1031" s="84" t="s">
        <v>978</v>
      </c>
      <c r="J1031" s="22"/>
    </row>
    <row r="1032" spans="1:11" x14ac:dyDescent="0.3">
      <c r="A1032" s="83">
        <v>1232122072</v>
      </c>
      <c r="B1032" s="84">
        <v>50373707</v>
      </c>
      <c r="C1032" s="85">
        <v>45232</v>
      </c>
      <c r="D1032" s="134">
        <v>9600</v>
      </c>
      <c r="E1032" s="84" t="s">
        <v>638</v>
      </c>
      <c r="F1032" s="84">
        <v>10</v>
      </c>
      <c r="G1032" s="84" t="s">
        <v>110</v>
      </c>
      <c r="H1032" s="85">
        <v>45232</v>
      </c>
      <c r="I1032" s="84" t="s">
        <v>979</v>
      </c>
      <c r="J1032" s="22"/>
    </row>
    <row r="1033" spans="1:11" x14ac:dyDescent="0.3">
      <c r="A1033" s="83">
        <v>1232118954</v>
      </c>
      <c r="B1033" s="84">
        <v>46933069</v>
      </c>
      <c r="C1033" s="85">
        <v>45232</v>
      </c>
      <c r="D1033" s="134">
        <v>14738</v>
      </c>
      <c r="E1033" s="84" t="s">
        <v>638</v>
      </c>
      <c r="F1033" s="84">
        <v>13</v>
      </c>
      <c r="G1033" s="84" t="s">
        <v>110</v>
      </c>
      <c r="H1033" s="85">
        <v>45232</v>
      </c>
      <c r="I1033" s="84" t="s">
        <v>979</v>
      </c>
      <c r="J1033" s="22"/>
    </row>
    <row r="1034" spans="1:11" x14ac:dyDescent="0.3">
      <c r="A1034" s="83">
        <v>1232121333</v>
      </c>
      <c r="B1034" s="84">
        <v>50370844</v>
      </c>
      <c r="C1034" s="85">
        <v>45231</v>
      </c>
      <c r="D1034" s="134">
        <v>7296</v>
      </c>
      <c r="E1034" s="84" t="s">
        <v>638</v>
      </c>
      <c r="F1034" s="84">
        <v>4</v>
      </c>
      <c r="G1034" s="84" t="s">
        <v>110</v>
      </c>
      <c r="H1034" s="85">
        <v>45231</v>
      </c>
      <c r="I1034" s="84" t="s">
        <v>980</v>
      </c>
      <c r="J1034" s="84" t="s">
        <v>978</v>
      </c>
      <c r="K1034" s="155" t="s">
        <v>981</v>
      </c>
    </row>
    <row r="1035" spans="1:11" x14ac:dyDescent="0.3">
      <c r="A1035" s="83">
        <v>1232123755</v>
      </c>
      <c r="B1035" s="84">
        <v>50397361</v>
      </c>
      <c r="C1035" s="85">
        <v>45238</v>
      </c>
      <c r="D1035" s="134">
        <v>5472</v>
      </c>
      <c r="E1035" s="84" t="s">
        <v>638</v>
      </c>
      <c r="F1035" s="84">
        <v>3</v>
      </c>
      <c r="G1035" s="84" t="s">
        <v>110</v>
      </c>
      <c r="H1035" s="85">
        <v>45238</v>
      </c>
      <c r="I1035" s="84" t="s">
        <v>982</v>
      </c>
      <c r="J1035" s="156" t="s">
        <v>983</v>
      </c>
    </row>
    <row r="1036" spans="1:11" x14ac:dyDescent="0.3">
      <c r="A1036" s="83">
        <v>1232123756</v>
      </c>
      <c r="B1036" s="84">
        <v>50397576</v>
      </c>
      <c r="C1036" s="85">
        <v>45238</v>
      </c>
      <c r="D1036" s="134">
        <v>9120</v>
      </c>
      <c r="E1036" s="84" t="s">
        <v>638</v>
      </c>
      <c r="F1036" s="84">
        <v>5</v>
      </c>
      <c r="G1036" s="84" t="s">
        <v>110</v>
      </c>
      <c r="H1036" s="85">
        <v>45238</v>
      </c>
      <c r="I1036" s="84" t="s">
        <v>983</v>
      </c>
      <c r="J1036" s="84"/>
    </row>
    <row r="1037" spans="1:11" x14ac:dyDescent="0.3">
      <c r="A1037" s="83">
        <v>1232126044</v>
      </c>
      <c r="B1037" s="84">
        <v>52313125</v>
      </c>
      <c r="C1037" s="85">
        <v>45244</v>
      </c>
      <c r="D1037" s="134">
        <v>18240</v>
      </c>
      <c r="E1037" s="84" t="s">
        <v>638</v>
      </c>
      <c r="F1037" s="84">
        <v>19</v>
      </c>
      <c r="G1037" s="84" t="s">
        <v>110</v>
      </c>
      <c r="H1037" s="85">
        <v>45243</v>
      </c>
      <c r="I1037" s="84" t="s">
        <v>984</v>
      </c>
      <c r="J1037" s="84"/>
    </row>
    <row r="1038" spans="1:11" x14ac:dyDescent="0.3">
      <c r="A1038" s="83">
        <v>1232126673</v>
      </c>
      <c r="B1038" s="84">
        <v>52318267</v>
      </c>
      <c r="C1038" s="85">
        <v>45245</v>
      </c>
      <c r="D1038" s="134">
        <v>3648</v>
      </c>
      <c r="E1038" s="84" t="s">
        <v>638</v>
      </c>
      <c r="F1038" s="84">
        <v>2</v>
      </c>
      <c r="G1038" s="84" t="s">
        <v>110</v>
      </c>
      <c r="H1038" s="85">
        <v>45244</v>
      </c>
      <c r="I1038" s="93" t="s">
        <v>985</v>
      </c>
      <c r="J1038" s="84"/>
    </row>
    <row r="1039" spans="1:11" x14ac:dyDescent="0.3">
      <c r="A1039" s="83">
        <v>1232126667</v>
      </c>
      <c r="B1039" s="84">
        <v>52319057</v>
      </c>
      <c r="C1039" s="85">
        <v>45245</v>
      </c>
      <c r="D1039" s="134">
        <v>12768</v>
      </c>
      <c r="E1039" s="84" t="s">
        <v>638</v>
      </c>
      <c r="F1039" s="84">
        <v>7</v>
      </c>
      <c r="G1039" s="84" t="s">
        <v>110</v>
      </c>
      <c r="H1039" s="85">
        <v>45244</v>
      </c>
      <c r="I1039" s="84" t="s">
        <v>986</v>
      </c>
      <c r="J1039" s="81" t="s">
        <v>985</v>
      </c>
    </row>
    <row r="1040" spans="1:11" x14ac:dyDescent="0.3">
      <c r="A1040" s="83">
        <v>1232127301</v>
      </c>
      <c r="B1040" s="84">
        <v>52323452</v>
      </c>
      <c r="C1040" s="85">
        <v>45246</v>
      </c>
      <c r="D1040" s="134">
        <v>19200</v>
      </c>
      <c r="E1040" s="84" t="s">
        <v>638</v>
      </c>
      <c r="F1040" s="84">
        <v>19</v>
      </c>
      <c r="G1040" s="84" t="s">
        <v>110</v>
      </c>
      <c r="H1040" s="85">
        <v>45245</v>
      </c>
      <c r="I1040" s="84" t="s">
        <v>987</v>
      </c>
      <c r="J1040" s="22"/>
    </row>
    <row r="1041" spans="1:10" x14ac:dyDescent="0.3">
      <c r="A1041" s="83">
        <v>1232127304</v>
      </c>
      <c r="B1041" s="84">
        <v>52323484</v>
      </c>
      <c r="C1041" s="85">
        <v>45246</v>
      </c>
      <c r="D1041" s="134">
        <v>3840</v>
      </c>
      <c r="E1041" s="84" t="s">
        <v>638</v>
      </c>
      <c r="F1041" s="84">
        <v>4</v>
      </c>
      <c r="G1041" s="84" t="s">
        <v>110</v>
      </c>
      <c r="H1041" s="85">
        <v>45245</v>
      </c>
      <c r="I1041" s="84" t="s">
        <v>987</v>
      </c>
      <c r="J1041" s="22"/>
    </row>
    <row r="1042" spans="1:10" x14ac:dyDescent="0.3">
      <c r="A1042" s="83">
        <v>1232127641</v>
      </c>
      <c r="B1042" s="84">
        <v>52323479</v>
      </c>
      <c r="C1042" s="85">
        <v>45247</v>
      </c>
      <c r="D1042" s="134">
        <v>6720</v>
      </c>
      <c r="E1042" s="84" t="s">
        <v>638</v>
      </c>
      <c r="F1042" s="84">
        <v>7</v>
      </c>
      <c r="G1042" s="84" t="s">
        <v>110</v>
      </c>
      <c r="H1042" s="85">
        <v>45247</v>
      </c>
      <c r="I1042" s="84" t="s">
        <v>988</v>
      </c>
      <c r="J1042" s="22"/>
    </row>
    <row r="1043" spans="1:10" x14ac:dyDescent="0.3">
      <c r="A1043" s="83">
        <v>1232128150</v>
      </c>
      <c r="B1043" s="84">
        <v>52323457</v>
      </c>
      <c r="C1043" s="85">
        <v>45250</v>
      </c>
      <c r="D1043" s="134">
        <v>3840</v>
      </c>
      <c r="E1043" s="84" t="s">
        <v>638</v>
      </c>
      <c r="F1043" s="84">
        <v>4</v>
      </c>
      <c r="G1043" s="84" t="s">
        <v>110</v>
      </c>
      <c r="H1043" s="85">
        <v>45250</v>
      </c>
      <c r="I1043" s="84" t="s">
        <v>989</v>
      </c>
      <c r="J1043" s="22"/>
    </row>
    <row r="1044" spans="1:10" x14ac:dyDescent="0.3">
      <c r="A1044" s="83">
        <v>1232128151</v>
      </c>
      <c r="B1044" s="84">
        <v>52323456</v>
      </c>
      <c r="C1044" s="85">
        <v>45250</v>
      </c>
      <c r="D1044" s="134">
        <v>6720</v>
      </c>
      <c r="E1044" s="84" t="s">
        <v>638</v>
      </c>
      <c r="F1044" s="84">
        <v>7</v>
      </c>
      <c r="G1044" s="84" t="s">
        <v>110</v>
      </c>
      <c r="H1044" s="85">
        <v>45250</v>
      </c>
      <c r="I1044" s="84" t="s">
        <v>989</v>
      </c>
      <c r="J1044" s="22"/>
    </row>
    <row r="1045" spans="1:10" x14ac:dyDescent="0.3">
      <c r="A1045" s="83">
        <v>1232130634</v>
      </c>
      <c r="B1045" s="93">
        <v>52382291</v>
      </c>
      <c r="C1045" s="85">
        <v>45259</v>
      </c>
      <c r="D1045" s="134">
        <v>3648</v>
      </c>
      <c r="E1045" s="84" t="s">
        <v>638</v>
      </c>
      <c r="F1045" s="84">
        <v>2</v>
      </c>
      <c r="G1045" s="84" t="s">
        <v>110</v>
      </c>
      <c r="H1045" s="85">
        <v>45259</v>
      </c>
      <c r="I1045" s="84" t="s">
        <v>990</v>
      </c>
      <c r="J1045" s="22"/>
    </row>
    <row r="1046" spans="1:10" x14ac:dyDescent="0.3">
      <c r="A1046" s="83">
        <v>1232132265</v>
      </c>
      <c r="B1046" s="84">
        <v>52399907</v>
      </c>
      <c r="C1046" s="85">
        <v>45264</v>
      </c>
      <c r="D1046" s="134">
        <v>9600</v>
      </c>
      <c r="E1046" s="84" t="s">
        <v>638</v>
      </c>
      <c r="F1046" s="84">
        <v>10</v>
      </c>
      <c r="G1046" s="84" t="s">
        <v>110</v>
      </c>
      <c r="H1046" s="85">
        <v>45264</v>
      </c>
      <c r="I1046" s="84" t="s">
        <v>991</v>
      </c>
      <c r="J1046" s="22"/>
    </row>
    <row r="1047" spans="1:10" x14ac:dyDescent="0.3">
      <c r="A1047" s="83">
        <v>1232132274</v>
      </c>
      <c r="B1047" s="84">
        <v>52399905</v>
      </c>
      <c r="C1047" s="85">
        <v>45264</v>
      </c>
      <c r="D1047" s="134">
        <v>1920</v>
      </c>
      <c r="E1047" s="84" t="s">
        <v>638</v>
      </c>
      <c r="F1047" s="84">
        <v>2</v>
      </c>
      <c r="G1047" s="84" t="s">
        <v>110</v>
      </c>
      <c r="H1047" s="85">
        <v>45264</v>
      </c>
      <c r="I1047" s="84" t="s">
        <v>991</v>
      </c>
      <c r="J1047" s="22"/>
    </row>
    <row r="1048" spans="1:10" x14ac:dyDescent="0.3">
      <c r="A1048" s="83">
        <v>1232132258</v>
      </c>
      <c r="B1048" s="84">
        <v>53308577</v>
      </c>
      <c r="C1048" s="85">
        <v>45264</v>
      </c>
      <c r="D1048" s="134">
        <v>7849</v>
      </c>
      <c r="E1048" s="84" t="s">
        <v>638</v>
      </c>
      <c r="F1048" s="84">
        <v>7</v>
      </c>
      <c r="G1048" s="84" t="s">
        <v>110</v>
      </c>
      <c r="H1048" s="85">
        <v>45264</v>
      </c>
      <c r="I1048" s="84" t="s">
        <v>991</v>
      </c>
      <c r="J1048" s="22"/>
    </row>
    <row r="1049" spans="1:10" x14ac:dyDescent="0.3">
      <c r="A1049" s="83">
        <v>1232132291</v>
      </c>
      <c r="B1049" s="84">
        <v>53300130</v>
      </c>
      <c r="C1049" s="85">
        <v>45264</v>
      </c>
      <c r="D1049" s="134">
        <v>4800</v>
      </c>
      <c r="E1049" s="84" t="s">
        <v>638</v>
      </c>
      <c r="F1049" s="84">
        <v>5</v>
      </c>
      <c r="G1049" s="84" t="s">
        <v>110</v>
      </c>
      <c r="H1049" s="85">
        <v>45264</v>
      </c>
      <c r="I1049" s="84" t="s">
        <v>991</v>
      </c>
      <c r="J1049" s="22"/>
    </row>
    <row r="1050" spans="1:10" x14ac:dyDescent="0.3">
      <c r="A1050" s="157">
        <v>1232134677</v>
      </c>
      <c r="B1050" s="158">
        <v>54319927</v>
      </c>
      <c r="C1050" s="159">
        <v>45271</v>
      </c>
      <c r="D1050" s="160">
        <v>6720</v>
      </c>
      <c r="E1050" s="158" t="s">
        <v>638</v>
      </c>
      <c r="F1050" s="158">
        <v>7</v>
      </c>
      <c r="G1050" s="158" t="s">
        <v>110</v>
      </c>
      <c r="H1050" s="159">
        <v>45270</v>
      </c>
      <c r="I1050" s="158" t="s">
        <v>992</v>
      </c>
      <c r="J1050" s="22"/>
    </row>
    <row r="1051" spans="1:10" x14ac:dyDescent="0.3">
      <c r="A1051" s="157">
        <v>1232134674</v>
      </c>
      <c r="B1051" s="158">
        <v>54319922</v>
      </c>
      <c r="C1051" s="159">
        <v>45271</v>
      </c>
      <c r="D1051" s="160">
        <v>8640</v>
      </c>
      <c r="E1051" s="158" t="s">
        <v>638</v>
      </c>
      <c r="F1051" s="158">
        <v>9</v>
      </c>
      <c r="G1051" s="158" t="s">
        <v>110</v>
      </c>
      <c r="H1051" s="159">
        <v>45270</v>
      </c>
      <c r="I1051" s="158" t="s">
        <v>992</v>
      </c>
      <c r="J1051" s="22"/>
    </row>
    <row r="1052" spans="1:10" x14ac:dyDescent="0.3">
      <c r="C1052" s="27"/>
      <c r="D1052" s="133"/>
      <c r="E1052" s="22"/>
      <c r="F1052" s="22"/>
      <c r="G1052" s="22"/>
      <c r="H1052" s="27"/>
      <c r="I1052" s="22"/>
      <c r="J1052" s="22"/>
    </row>
    <row r="1053" spans="1:10" x14ac:dyDescent="0.3">
      <c r="A1053" s="25"/>
      <c r="B1053" s="22"/>
      <c r="C1053" s="27"/>
      <c r="D1053" s="133"/>
      <c r="E1053" s="22"/>
      <c r="F1053" s="22"/>
      <c r="G1053" s="22"/>
      <c r="H1053" s="27"/>
      <c r="I1053" s="22"/>
      <c r="J1053" s="22"/>
    </row>
    <row r="1054" spans="1:10" x14ac:dyDescent="0.3">
      <c r="A1054" s="25"/>
      <c r="B1054" s="22"/>
      <c r="C1054" s="27"/>
      <c r="D1054" s="133"/>
      <c r="E1054" s="22"/>
      <c r="F1054" s="22"/>
      <c r="G1054" s="22"/>
      <c r="H1054" s="27"/>
      <c r="I1054" s="22"/>
      <c r="J1054" s="22"/>
    </row>
    <row r="1055" spans="1:10" x14ac:dyDescent="0.3">
      <c r="A1055" s="25"/>
      <c r="B1055" s="22"/>
      <c r="C1055" s="27"/>
      <c r="D1055" s="133"/>
      <c r="E1055" s="22"/>
      <c r="F1055" s="22"/>
      <c r="G1055" s="22"/>
      <c r="H1055" s="27"/>
      <c r="I1055" s="22"/>
      <c r="J1055" s="22"/>
    </row>
    <row r="1056" spans="1:10" x14ac:dyDescent="0.3">
      <c r="A1056" s="25"/>
      <c r="B1056" s="22"/>
      <c r="C1056" s="27"/>
      <c r="D1056" s="133"/>
      <c r="E1056" s="22"/>
      <c r="F1056" s="22"/>
      <c r="G1056" s="22"/>
      <c r="H1056" s="27"/>
      <c r="I1056" s="22"/>
      <c r="J1056" s="22"/>
    </row>
    <row r="1057" spans="1:10" x14ac:dyDescent="0.3">
      <c r="A1057" s="25"/>
      <c r="B1057" s="22"/>
      <c r="C1057" s="27"/>
      <c r="D1057" s="133"/>
      <c r="E1057" s="22"/>
      <c r="F1057" s="22"/>
      <c r="G1057" s="22"/>
      <c r="H1057" s="27"/>
      <c r="I1057" s="22"/>
      <c r="J1057" s="22"/>
    </row>
    <row r="1058" spans="1:10" x14ac:dyDescent="0.3">
      <c r="A1058" s="25"/>
      <c r="B1058" s="22"/>
      <c r="C1058" s="27"/>
      <c r="D1058" s="133"/>
      <c r="E1058" s="22"/>
      <c r="F1058" s="22"/>
      <c r="G1058" s="22"/>
      <c r="H1058" s="27"/>
      <c r="I1058" s="22"/>
      <c r="J1058" s="22"/>
    </row>
    <row r="1059" spans="1:10" x14ac:dyDescent="0.3">
      <c r="A1059" s="25"/>
      <c r="B1059" s="22"/>
      <c r="C1059" s="27"/>
      <c r="D1059" s="133"/>
      <c r="E1059" s="22"/>
      <c r="F1059" s="22"/>
      <c r="G1059" s="22"/>
      <c r="H1059" s="27"/>
      <c r="I1059" s="22"/>
      <c r="J1059" s="22"/>
    </row>
    <row r="1060" spans="1:10" x14ac:dyDescent="0.3">
      <c r="A1060" s="25"/>
      <c r="B1060" s="22"/>
      <c r="C1060" s="27"/>
      <c r="D1060" s="133"/>
      <c r="E1060" s="22"/>
      <c r="F1060" s="22"/>
      <c r="G1060" s="22"/>
      <c r="H1060" s="27"/>
      <c r="I1060" s="22"/>
      <c r="J1060" s="22"/>
    </row>
    <row r="1061" spans="1:10" x14ac:dyDescent="0.3">
      <c r="A1061" s="25"/>
      <c r="B1061" s="22"/>
      <c r="C1061" s="27"/>
      <c r="D1061" s="133"/>
      <c r="E1061" s="22"/>
      <c r="F1061" s="22"/>
      <c r="G1061" s="22"/>
      <c r="H1061" s="27"/>
      <c r="I1061" s="22"/>
      <c r="J1061" s="22"/>
    </row>
    <row r="1062" spans="1:10" x14ac:dyDescent="0.3">
      <c r="A1062" s="25"/>
      <c r="B1062" s="22"/>
      <c r="C1062" s="27"/>
      <c r="D1062" s="133"/>
      <c r="E1062" s="22"/>
      <c r="F1062" s="22"/>
      <c r="G1062" s="22"/>
      <c r="H1062" s="27"/>
      <c r="I1062" s="22"/>
      <c r="J1062" s="22"/>
    </row>
    <row r="1063" spans="1:10" x14ac:dyDescent="0.3">
      <c r="A1063" s="25"/>
      <c r="B1063" s="22"/>
      <c r="C1063" s="27"/>
      <c r="D1063" s="133"/>
      <c r="E1063" s="22"/>
      <c r="F1063" s="22"/>
      <c r="G1063" s="22"/>
      <c r="H1063" s="27"/>
      <c r="I1063" s="22"/>
      <c r="J1063" s="22"/>
    </row>
    <row r="1064" spans="1:10" x14ac:dyDescent="0.3">
      <c r="A1064" s="25"/>
      <c r="B1064" s="22"/>
      <c r="C1064" s="27"/>
      <c r="D1064" s="133"/>
      <c r="E1064" s="22"/>
      <c r="F1064" s="22"/>
      <c r="G1064" s="22"/>
      <c r="H1064" s="27"/>
      <c r="I1064" s="22"/>
      <c r="J1064" s="22"/>
    </row>
    <row r="1065" spans="1:10" x14ac:dyDescent="0.3">
      <c r="A1065" s="25"/>
      <c r="B1065" s="22"/>
      <c r="C1065" s="27"/>
      <c r="D1065" s="133"/>
      <c r="E1065" s="22"/>
      <c r="F1065" s="22"/>
      <c r="G1065" s="22"/>
      <c r="H1065" s="27"/>
      <c r="I1065" s="22"/>
      <c r="J1065" s="22"/>
    </row>
    <row r="1066" spans="1:10" x14ac:dyDescent="0.3">
      <c r="A1066" s="25"/>
      <c r="B1066" s="22"/>
      <c r="C1066" s="27"/>
      <c r="D1066" s="133"/>
      <c r="E1066" s="22"/>
      <c r="F1066" s="22"/>
      <c r="G1066" s="22"/>
      <c r="H1066" s="27"/>
      <c r="I1066" s="22"/>
      <c r="J1066" s="22"/>
    </row>
    <row r="1067" spans="1:10" x14ac:dyDescent="0.3">
      <c r="A1067" s="25"/>
      <c r="B1067" s="22"/>
      <c r="C1067" s="27"/>
      <c r="D1067" s="133"/>
      <c r="E1067" s="22"/>
      <c r="F1067" s="22"/>
      <c r="G1067" s="22"/>
      <c r="H1067" s="27"/>
      <c r="I1067" s="22"/>
      <c r="J1067" s="22"/>
    </row>
    <row r="1068" spans="1:10" x14ac:dyDescent="0.3">
      <c r="A1068" s="25"/>
      <c r="B1068" s="22"/>
      <c r="C1068" s="27"/>
      <c r="D1068" s="133"/>
      <c r="E1068" s="22"/>
      <c r="F1068" s="22"/>
      <c r="G1068" s="22"/>
      <c r="H1068" s="27"/>
      <c r="I1068" s="22"/>
      <c r="J1068" s="22"/>
    </row>
    <row r="1069" spans="1:10" x14ac:dyDescent="0.3">
      <c r="A1069" s="25"/>
      <c r="B1069" s="22"/>
      <c r="C1069" s="27"/>
      <c r="D1069" s="133"/>
      <c r="E1069" s="22"/>
      <c r="F1069" s="22"/>
      <c r="G1069" s="22"/>
      <c r="H1069" s="27"/>
      <c r="I1069" s="22"/>
      <c r="J1069" s="22"/>
    </row>
    <row r="1070" spans="1:10" x14ac:dyDescent="0.3">
      <c r="A1070" s="25"/>
      <c r="B1070" s="22"/>
      <c r="C1070" s="27"/>
      <c r="D1070" s="133"/>
      <c r="E1070" s="22"/>
      <c r="F1070" s="22"/>
      <c r="G1070" s="22"/>
      <c r="H1070" s="27"/>
      <c r="I1070" s="22"/>
      <c r="J1070" s="22"/>
    </row>
    <row r="1071" spans="1:10" x14ac:dyDescent="0.3">
      <c r="A1071" s="25"/>
      <c r="B1071" s="22"/>
      <c r="C1071" s="27"/>
      <c r="D1071" s="133"/>
      <c r="E1071" s="22"/>
      <c r="F1071" s="22"/>
      <c r="G1071" s="22"/>
      <c r="H1071" s="27"/>
      <c r="I1071" s="22"/>
      <c r="J1071" s="22"/>
    </row>
    <row r="1072" spans="1:10" x14ac:dyDescent="0.3">
      <c r="A1072" s="25"/>
      <c r="B1072" s="22"/>
      <c r="C1072" s="27"/>
      <c r="D1072" s="133"/>
      <c r="E1072" s="22"/>
      <c r="F1072" s="22"/>
      <c r="G1072" s="22"/>
      <c r="H1072" s="27"/>
      <c r="I1072" s="22"/>
      <c r="J1072" s="22"/>
    </row>
    <row r="1073" spans="1:10" x14ac:dyDescent="0.3">
      <c r="A1073" s="25"/>
      <c r="B1073" s="22"/>
      <c r="C1073" s="27"/>
      <c r="D1073" s="133"/>
      <c r="E1073" s="22"/>
      <c r="F1073" s="22"/>
      <c r="G1073" s="22"/>
      <c r="H1073" s="27"/>
      <c r="I1073" s="22"/>
      <c r="J1073" s="22"/>
    </row>
    <row r="1074" spans="1:10" x14ac:dyDescent="0.3">
      <c r="A1074" s="25"/>
      <c r="B1074" s="22"/>
      <c r="C1074" s="27"/>
      <c r="D1074" s="133"/>
      <c r="E1074" s="22"/>
      <c r="F1074" s="22"/>
      <c r="G1074" s="22"/>
      <c r="H1074" s="27"/>
      <c r="I1074" s="22"/>
      <c r="J1074" s="22"/>
    </row>
    <row r="1075" spans="1:10" x14ac:dyDescent="0.3">
      <c r="A1075" s="25"/>
      <c r="B1075" s="22"/>
      <c r="C1075" s="27"/>
      <c r="D1075" s="133"/>
      <c r="E1075" s="22"/>
      <c r="F1075" s="22"/>
      <c r="G1075" s="22"/>
      <c r="H1075" s="27"/>
      <c r="I1075" s="22"/>
      <c r="J1075" s="22"/>
    </row>
    <row r="1076" spans="1:10" x14ac:dyDescent="0.3">
      <c r="A1076" s="25"/>
      <c r="B1076" s="22"/>
      <c r="C1076" s="27"/>
      <c r="D1076" s="133"/>
      <c r="E1076" s="22"/>
      <c r="F1076" s="22"/>
      <c r="G1076" s="22"/>
      <c r="H1076" s="27"/>
      <c r="I1076" s="22"/>
      <c r="J1076" s="22"/>
    </row>
    <row r="1077" spans="1:10" x14ac:dyDescent="0.3">
      <c r="A1077" s="25"/>
      <c r="B1077" s="22"/>
      <c r="C1077" s="27"/>
      <c r="D1077" s="133"/>
      <c r="E1077" s="22"/>
      <c r="F1077" s="22"/>
      <c r="G1077" s="22"/>
      <c r="H1077" s="27"/>
      <c r="I1077" s="22"/>
      <c r="J1077" s="22"/>
    </row>
    <row r="1078" spans="1:10" x14ac:dyDescent="0.3">
      <c r="A1078" s="25"/>
      <c r="B1078" s="22"/>
      <c r="C1078" s="27"/>
      <c r="D1078" s="133"/>
      <c r="E1078" s="22"/>
      <c r="F1078" s="22"/>
      <c r="G1078" s="22"/>
      <c r="H1078" s="27"/>
      <c r="I1078" s="22"/>
      <c r="J1078" s="22"/>
    </row>
    <row r="1079" spans="1:10" x14ac:dyDescent="0.3">
      <c r="A1079" s="25"/>
      <c r="B1079" s="22"/>
      <c r="C1079" s="27"/>
      <c r="D1079" s="133"/>
      <c r="E1079" s="22"/>
      <c r="F1079" s="22"/>
      <c r="G1079" s="22"/>
      <c r="H1079" s="27"/>
      <c r="I1079" s="22"/>
      <c r="J1079" s="22"/>
    </row>
    <row r="1080" spans="1:10" x14ac:dyDescent="0.3">
      <c r="A1080" s="25"/>
      <c r="B1080" s="22"/>
      <c r="C1080" s="27"/>
      <c r="D1080" s="133"/>
      <c r="E1080" s="22"/>
      <c r="F1080" s="22"/>
      <c r="G1080" s="22"/>
      <c r="H1080" s="27"/>
      <c r="I1080" s="22"/>
      <c r="J1080" s="22"/>
    </row>
    <row r="1081" spans="1:10" x14ac:dyDescent="0.3">
      <c r="A1081" s="25"/>
      <c r="B1081" s="22"/>
      <c r="C1081" s="27"/>
      <c r="D1081" s="133"/>
      <c r="E1081" s="22"/>
      <c r="F1081" s="22"/>
      <c r="G1081" s="22"/>
      <c r="H1081" s="27"/>
      <c r="I1081" s="22"/>
      <c r="J1081" s="22"/>
    </row>
    <row r="1082" spans="1:10" x14ac:dyDescent="0.3">
      <c r="A1082" s="25"/>
      <c r="B1082" s="22"/>
      <c r="C1082" s="27"/>
      <c r="D1082" s="133"/>
      <c r="E1082" s="22"/>
      <c r="F1082" s="22"/>
      <c r="G1082" s="22"/>
      <c r="H1082" s="27"/>
      <c r="I1082" s="22"/>
      <c r="J1082" s="22"/>
    </row>
    <row r="1083" spans="1:10" x14ac:dyDescent="0.3">
      <c r="A1083" s="25"/>
      <c r="B1083" s="22"/>
      <c r="C1083" s="27"/>
      <c r="D1083" s="133"/>
      <c r="E1083" s="22"/>
      <c r="F1083" s="22"/>
      <c r="G1083" s="22"/>
      <c r="H1083" s="27"/>
      <c r="I1083" s="22"/>
      <c r="J1083" s="22"/>
    </row>
    <row r="1084" spans="1:10" x14ac:dyDescent="0.3">
      <c r="A1084" s="25"/>
      <c r="B1084" s="22"/>
      <c r="C1084" s="27"/>
      <c r="D1084" s="133"/>
      <c r="E1084" s="22"/>
      <c r="F1084" s="22"/>
      <c r="G1084" s="22"/>
      <c r="H1084" s="27"/>
      <c r="I1084" s="22"/>
      <c r="J1084" s="22"/>
    </row>
    <row r="1085" spans="1:10" x14ac:dyDescent="0.3">
      <c r="A1085" s="25"/>
      <c r="B1085" s="22"/>
      <c r="C1085" s="27"/>
      <c r="D1085" s="133"/>
      <c r="E1085" s="22"/>
      <c r="F1085" s="22"/>
      <c r="G1085" s="22"/>
      <c r="H1085" s="27"/>
      <c r="I1085" s="22"/>
      <c r="J1085" s="22"/>
    </row>
    <row r="1086" spans="1:10" x14ac:dyDescent="0.3">
      <c r="A1086" s="25"/>
      <c r="B1086" s="22"/>
      <c r="C1086" s="27"/>
      <c r="D1086" s="133"/>
      <c r="E1086" s="22"/>
      <c r="F1086" s="22"/>
      <c r="G1086" s="22"/>
      <c r="H1086" s="27"/>
      <c r="I1086" s="22"/>
      <c r="J1086" s="22"/>
    </row>
    <row r="1087" spans="1:10" x14ac:dyDescent="0.3">
      <c r="A1087" s="25"/>
      <c r="B1087" s="22"/>
      <c r="C1087" s="27"/>
      <c r="D1087" s="133"/>
      <c r="E1087" s="22"/>
      <c r="F1087" s="22"/>
      <c r="G1087" s="22"/>
      <c r="H1087" s="27"/>
      <c r="I1087" s="22"/>
      <c r="J1087" s="22"/>
    </row>
    <row r="1088" spans="1:10" x14ac:dyDescent="0.3">
      <c r="A1088" s="25"/>
      <c r="B1088" s="22"/>
      <c r="C1088" s="27"/>
      <c r="D1088" s="133"/>
      <c r="E1088" s="22"/>
      <c r="F1088" s="22"/>
      <c r="G1088" s="22"/>
      <c r="H1088" s="27"/>
      <c r="I1088" s="22"/>
      <c r="J1088" s="22"/>
    </row>
    <row r="1089" spans="1:10" x14ac:dyDescent="0.3">
      <c r="A1089" s="25"/>
      <c r="B1089" s="22"/>
      <c r="C1089" s="27"/>
      <c r="D1089" s="133"/>
      <c r="E1089" s="22"/>
      <c r="F1089" s="22"/>
      <c r="G1089" s="22"/>
      <c r="H1089" s="27"/>
      <c r="I1089" s="22"/>
      <c r="J1089" s="22"/>
    </row>
    <row r="1090" spans="1:10" x14ac:dyDescent="0.3">
      <c r="A1090" s="25"/>
      <c r="B1090" s="22"/>
      <c r="C1090" s="27"/>
      <c r="D1090" s="133"/>
      <c r="E1090" s="22"/>
      <c r="F1090" s="22"/>
      <c r="G1090" s="22"/>
      <c r="H1090" s="27"/>
      <c r="I1090" s="22"/>
      <c r="J1090" s="22"/>
    </row>
    <row r="1091" spans="1:10" x14ac:dyDescent="0.3">
      <c r="A1091" s="25"/>
      <c r="B1091" s="22"/>
      <c r="C1091" s="27"/>
      <c r="D1091" s="133"/>
      <c r="E1091" s="22"/>
      <c r="F1091" s="22"/>
      <c r="G1091" s="22"/>
      <c r="H1091" s="27"/>
      <c r="I1091" s="22"/>
      <c r="J1091" s="22"/>
    </row>
    <row r="1092" spans="1:10" x14ac:dyDescent="0.3">
      <c r="A1092" s="25"/>
      <c r="B1092" s="22"/>
      <c r="C1092" s="27"/>
      <c r="D1092" s="133"/>
      <c r="E1092" s="22"/>
      <c r="F1092" s="22"/>
      <c r="G1092" s="22"/>
      <c r="H1092" s="27"/>
      <c r="I1092" s="22"/>
      <c r="J1092" s="22"/>
    </row>
    <row r="1093" spans="1:10" x14ac:dyDescent="0.3">
      <c r="A1093" s="25"/>
      <c r="B1093" s="22"/>
      <c r="C1093" s="27"/>
      <c r="D1093" s="133"/>
      <c r="E1093" s="22"/>
      <c r="F1093" s="22"/>
      <c r="G1093" s="22"/>
      <c r="H1093" s="27"/>
      <c r="I1093" s="22"/>
      <c r="J1093" s="22"/>
    </row>
    <row r="1094" spans="1:10" x14ac:dyDescent="0.3">
      <c r="A1094" s="25"/>
      <c r="B1094" s="22"/>
      <c r="C1094" s="27"/>
      <c r="D1094" s="133"/>
      <c r="E1094" s="22"/>
      <c r="F1094" s="22"/>
      <c r="G1094" s="22"/>
      <c r="H1094" s="27"/>
      <c r="I1094" s="22"/>
      <c r="J1094" s="22"/>
    </row>
    <row r="1095" spans="1:10" x14ac:dyDescent="0.3">
      <c r="A1095" s="25"/>
      <c r="B1095" s="22"/>
      <c r="C1095" s="27"/>
      <c r="D1095" s="133"/>
      <c r="E1095" s="22"/>
      <c r="F1095" s="22"/>
      <c r="G1095" s="22"/>
      <c r="H1095" s="27"/>
      <c r="I1095" s="22"/>
      <c r="J1095" s="22"/>
    </row>
    <row r="1096" spans="1:10" x14ac:dyDescent="0.3">
      <c r="A1096" s="25"/>
      <c r="B1096" s="22"/>
      <c r="C1096" s="27"/>
      <c r="D1096" s="133"/>
      <c r="E1096" s="22"/>
      <c r="F1096" s="22"/>
      <c r="G1096" s="22"/>
      <c r="H1096" s="27"/>
      <c r="I1096" s="22"/>
      <c r="J1096" s="22"/>
    </row>
    <row r="1097" spans="1:10" x14ac:dyDescent="0.3">
      <c r="A1097" s="25"/>
      <c r="B1097" s="22"/>
      <c r="C1097" s="27"/>
      <c r="D1097" s="133"/>
      <c r="E1097" s="22"/>
      <c r="F1097" s="22"/>
      <c r="G1097" s="22"/>
      <c r="H1097" s="27"/>
      <c r="I1097" s="22"/>
      <c r="J1097" s="22"/>
    </row>
    <row r="1098" spans="1:10" x14ac:dyDescent="0.3">
      <c r="A1098" s="25"/>
      <c r="B1098" s="22"/>
      <c r="C1098" s="27"/>
      <c r="D1098" s="133"/>
      <c r="E1098" s="22"/>
      <c r="F1098" s="22"/>
      <c r="G1098" s="22"/>
      <c r="H1098" s="27"/>
      <c r="I1098" s="22"/>
      <c r="J1098" s="22"/>
    </row>
    <row r="1099" spans="1:10" x14ac:dyDescent="0.3">
      <c r="A1099" s="25"/>
      <c r="B1099" s="22"/>
      <c r="C1099" s="27"/>
      <c r="D1099" s="133"/>
      <c r="E1099" s="22"/>
      <c r="F1099" s="22"/>
      <c r="G1099" s="22"/>
      <c r="H1099" s="27"/>
      <c r="I1099" s="22"/>
      <c r="J1099" s="22"/>
    </row>
    <row r="1100" spans="1:10" x14ac:dyDescent="0.3">
      <c r="A1100" s="25"/>
      <c r="B1100" s="22"/>
      <c r="C1100" s="27"/>
      <c r="D1100" s="133"/>
      <c r="E1100" s="22"/>
      <c r="F1100" s="22"/>
      <c r="G1100" s="22"/>
      <c r="H1100" s="27"/>
      <c r="I1100" s="22"/>
      <c r="J1100" s="22"/>
    </row>
    <row r="1101" spans="1:10" x14ac:dyDescent="0.3">
      <c r="A1101" s="25"/>
      <c r="B1101" s="22"/>
      <c r="C1101" s="27"/>
      <c r="D1101" s="133"/>
      <c r="E1101" s="22"/>
      <c r="F1101" s="22"/>
      <c r="G1101" s="22"/>
      <c r="H1101" s="27"/>
      <c r="I1101" s="22"/>
      <c r="J1101" s="22"/>
    </row>
    <row r="1102" spans="1:10" x14ac:dyDescent="0.3">
      <c r="A1102" s="25"/>
      <c r="B1102" s="22"/>
      <c r="C1102" s="27"/>
      <c r="D1102" s="133"/>
      <c r="E1102" s="22"/>
      <c r="F1102" s="22"/>
      <c r="G1102" s="22"/>
      <c r="H1102" s="27"/>
      <c r="I1102" s="22"/>
      <c r="J1102" s="22"/>
    </row>
    <row r="1103" spans="1:10" x14ac:dyDescent="0.3">
      <c r="A1103" s="25"/>
      <c r="B1103" s="22"/>
      <c r="C1103" s="27"/>
      <c r="D1103" s="133"/>
      <c r="E1103" s="22"/>
      <c r="F1103" s="22"/>
      <c r="G1103" s="22"/>
      <c r="H1103" s="27"/>
      <c r="I1103" s="22"/>
      <c r="J1103" s="22"/>
    </row>
    <row r="1104" spans="1:10" x14ac:dyDescent="0.3">
      <c r="A1104" s="25"/>
      <c r="B1104" s="22"/>
      <c r="C1104" s="27"/>
      <c r="D1104" s="133"/>
      <c r="E1104" s="22"/>
      <c r="F1104" s="22"/>
      <c r="G1104" s="22"/>
      <c r="H1104" s="27"/>
      <c r="I1104" s="22"/>
      <c r="J1104" s="22"/>
    </row>
    <row r="1105" spans="1:10" x14ac:dyDescent="0.3">
      <c r="A1105" s="25"/>
      <c r="B1105" s="22"/>
      <c r="C1105" s="27"/>
      <c r="D1105" s="133"/>
      <c r="E1105" s="22"/>
      <c r="F1105" s="22"/>
      <c r="G1105" s="22"/>
      <c r="H1105" s="27"/>
      <c r="I1105" s="22"/>
      <c r="J1105" s="22"/>
    </row>
  </sheetData>
  <sortState xmlns:xlrd2="http://schemas.microsoft.com/office/spreadsheetml/2017/richdata2" ref="A581:A607">
    <sortCondition ref="A581:A607"/>
  </sortState>
  <phoneticPr fontId="9" type="noConversion"/>
  <pageMargins left="0.7" right="0.7" top="0.75" bottom="0.75" header="0.3" footer="0.3"/>
  <pageSetup orientation="portrait" r:id="rId1"/>
  <ignoredErrors>
    <ignoredError sqref="B117 B785 B813 B824 B826 B839 B856 B999 B996:B997 B102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b39fbd-1bf3-440b-8c4c-d4dc28c25c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5D05406A3DA44AE2786798D619E3C" ma:contentTypeVersion="12" ma:contentTypeDescription="Create a new document." ma:contentTypeScope="" ma:versionID="7da65a1e0c10505a3998dc76ccb3894d">
  <xsd:schema xmlns:xsd="http://www.w3.org/2001/XMLSchema" xmlns:xs="http://www.w3.org/2001/XMLSchema" xmlns:p="http://schemas.microsoft.com/office/2006/metadata/properties" xmlns:ns2="acb39fbd-1bf3-440b-8c4c-d4dc28c25cfe" xmlns:ns3="223c32a2-ca9d-4b0e-b8bc-b859b2b1f67b" targetNamespace="http://schemas.microsoft.com/office/2006/metadata/properties" ma:root="true" ma:fieldsID="e8ec450ac0d22b892da48cec5e9e5e14" ns2:_="" ns3:_="">
    <xsd:import namespace="acb39fbd-1bf3-440b-8c4c-d4dc28c25cfe"/>
    <xsd:import namespace="223c32a2-ca9d-4b0e-b8bc-b859b2b1f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39fbd-1bf3-440b-8c4c-d4dc28c25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21afdb-c730-4d6b-a27a-ed74e909d6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c32a2-ca9d-4b0e-b8bc-b859b2b1f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7D0C2C-47DA-4615-8121-FEF6B7DB76CA}">
  <ds:schemaRefs>
    <ds:schemaRef ds:uri="http://schemas.microsoft.com/office/2006/metadata/properties"/>
    <ds:schemaRef ds:uri="http://schemas.microsoft.com/office/infopath/2007/PartnerControls"/>
    <ds:schemaRef ds:uri="acb39fbd-1bf3-440b-8c4c-d4dc28c25cfe"/>
  </ds:schemaRefs>
</ds:datastoreItem>
</file>

<file path=customXml/itemProps2.xml><?xml version="1.0" encoding="utf-8"?>
<ds:datastoreItem xmlns:ds="http://schemas.openxmlformats.org/officeDocument/2006/customXml" ds:itemID="{D92E0B69-C55D-48D2-99C6-7859B6865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39fbd-1bf3-440b-8c4c-d4dc28c25cfe"/>
    <ds:schemaRef ds:uri="223c32a2-ca9d-4b0e-b8bc-b859b2b1f6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C12546-74DB-494F-9ADB-EA79703127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Carrier Codes</vt:lpstr>
      <vt:lpstr>Pallet&amp;Carton count</vt:lpstr>
      <vt:lpstr>Prep sheet for LTLs</vt:lpstr>
      <vt:lpstr>'Carrier Codes'!Print_Area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 Counts</dc:creator>
  <cp:keywords/>
  <dc:description/>
  <cp:lastModifiedBy>Giovanni Ghedini</cp:lastModifiedBy>
  <cp:revision/>
  <dcterms:created xsi:type="dcterms:W3CDTF">2017-01-10T16:26:37Z</dcterms:created>
  <dcterms:modified xsi:type="dcterms:W3CDTF">2026-05-14T18:59:45Z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0x0101007CF5D05406A3DA44AE2786798D619E3C</vt:lpwstr>
  </property>
  <property fmtid="{D5CDD505-2E9C-101B-9397-08002B2CF9AE}" pid="3" name="MediaServiceImageTags">
    <vt:lpwstr/>
  </property>
</Properties>
</file>