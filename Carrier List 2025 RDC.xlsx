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usa-my.sharepoint.com/personal/g_ghedini_atlasconcordeusa_com/Documents/Desktop/AI - Automations/BOL creation/BOL RDC/Data source/"/>
    </mc:Choice>
  </mc:AlternateContent>
  <xr:revisionPtr revIDLastSave="1" documentId="8_{0E510905-3190-465C-B36D-B4E2A41B941E}" xr6:coauthVersionLast="47" xr6:coauthVersionMax="47" xr10:uidLastSave="{C5352750-53C6-481C-9E02-855790FD4FBA}"/>
  <bookViews>
    <workbookView xWindow="-108" yWindow="-108" windowWidth="23256" windowHeight="13896" tabRatio="769" xr2:uid="{00000000-000D-0000-FFFF-FFFF00000000}"/>
  </bookViews>
  <sheets>
    <sheet name="Carrier Codes" sheetId="1" r:id="rId1"/>
    <sheet name="Pallet&amp;Carton count" sheetId="2" state="hidden" r:id="rId2"/>
    <sheet name="Prep sheet for LTLs" sheetId="3" state="hidden" r:id="rId3"/>
  </sheets>
  <definedNames>
    <definedName name="_xlnm._FilterDatabase" localSheetId="0" hidden="1">'Carrier Codes'!$A$1:$J$1</definedName>
    <definedName name="_xlnm._FilterDatabase" localSheetId="1" hidden="1">'Pallet&amp;Carton count'!$A$1:$D$1</definedName>
    <definedName name="_xlnm.Print_Area" localSheetId="0">'Carrier Codes'!$A$1:$E$45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D9" i="2" s="1"/>
  <c r="C12" i="2"/>
  <c r="F19" i="2"/>
  <c r="C10" i="2"/>
  <c r="D10" i="2" s="1"/>
  <c r="F21" i="2" l="1"/>
  <c r="F23" i="2" s="1"/>
  <c r="A23" i="2"/>
  <c r="C15" i="2"/>
  <c r="D15" i="2" s="1"/>
  <c r="C16" i="2" l="1"/>
  <c r="D16" i="2" s="1"/>
  <c r="C18" i="2" l="1"/>
  <c r="D18" i="2" s="1"/>
  <c r="C19" i="2"/>
  <c r="D19" i="2" s="1"/>
  <c r="C14" i="2" l="1"/>
  <c r="D14" i="2" s="1"/>
  <c r="C20" i="2" l="1"/>
  <c r="C5" i="2"/>
  <c r="D5" i="2" s="1"/>
  <c r="C6" i="2"/>
  <c r="D6" i="2" s="1"/>
  <c r="C7" i="2"/>
  <c r="D7" i="2" s="1"/>
  <c r="C13" i="2"/>
  <c r="D13" i="2" s="1"/>
  <c r="C21" i="2"/>
  <c r="D21" i="2" s="1"/>
  <c r="C22" i="2"/>
  <c r="D22" i="2" s="1"/>
  <c r="C8" i="2"/>
  <c r="D8" i="2" s="1"/>
  <c r="C11" i="2"/>
  <c r="D11" i="2" s="1"/>
  <c r="D20" i="2" l="1"/>
  <c r="C17" i="2"/>
  <c r="D17" i="2" s="1"/>
  <c r="C4" i="2"/>
  <c r="D4" i="2" s="1"/>
  <c r="C3" i="2"/>
  <c r="D3" i="2" s="1"/>
  <c r="D12" i="2"/>
  <c r="C2" i="2"/>
  <c r="D2" i="2" s="1"/>
  <c r="D23" i="2" l="1"/>
  <c r="C23" i="2"/>
</calcChain>
</file>

<file path=xl/sharedStrings.xml><?xml version="1.0" encoding="utf-8"?>
<sst xmlns="http://schemas.openxmlformats.org/spreadsheetml/2006/main" count="4241" uniqueCount="1010">
  <si>
    <t xml:space="preserve">SCAC Code </t>
  </si>
  <si>
    <t xml:space="preserve">Carrier </t>
  </si>
  <si>
    <t>Contact Number</t>
  </si>
  <si>
    <t>Address</t>
  </si>
  <si>
    <t>Code</t>
  </si>
  <si>
    <t>B&amp;G</t>
  </si>
  <si>
    <t>Emails</t>
  </si>
  <si>
    <t>2nd email</t>
  </si>
  <si>
    <t>3rd email</t>
  </si>
  <si>
    <t xml:space="preserve">AACT </t>
  </si>
  <si>
    <t xml:space="preserve">AAA COOPER TRANSPORTATION </t>
  </si>
  <si>
    <t>800-633-7571</t>
  </si>
  <si>
    <t>1751 Kinsey Road Dothan AL 36303-5877</t>
  </si>
  <si>
    <t>NA</t>
  </si>
  <si>
    <t>Heather.Helton@aaacooper.com</t>
  </si>
  <si>
    <t>WESTON.HUSKEY@aaacooper.com</t>
  </si>
  <si>
    <t>ABFS</t>
  </si>
  <si>
    <t>ABF FREIGHT SYSTEM INC</t>
  </si>
  <si>
    <t>(800) 610-5544</t>
  </si>
  <si>
    <t xml:space="preserve">3801 OLD GREENWOOD ROAD FORT SMITH, AR 72903 </t>
  </si>
  <si>
    <t>homedepotvendorsupport@arcb.com</t>
  </si>
  <si>
    <t>ACRL</t>
  </si>
  <si>
    <t>AMERICAN CENTRAL TRANSPORT </t>
  </si>
  <si>
    <t>(816) 781-9600</t>
  </si>
  <si>
    <t>1700 E. Old State Rt 210 Liberty, MO 64068</t>
  </si>
  <si>
    <t>sent</t>
  </si>
  <si>
    <t>homedepot@americancentral.com</t>
  </si>
  <si>
    <t>ANTT</t>
  </si>
  <si>
    <t>ARNOLD TRANSPORTATION SE</t>
  </si>
  <si>
    <t>(904) 262-4285</t>
  </si>
  <si>
    <t>9523 FLORIDA MINING BLVD JACKSONVILLE,FL32257US</t>
  </si>
  <si>
    <t>44801 </t>
  </si>
  <si>
    <t>ARKY</t>
  </si>
  <si>
    <t>ARKA EXPRESS INC</t>
  </si>
  <si>
    <t>(404) 800-1010 ext. 170</t>
  </si>
  <si>
    <t>2202 W 166TH ST MARKHAM,IL60428US</t>
  </si>
  <si>
    <t>ARVY</t>
  </si>
  <si>
    <t>DM TRANS LLC - ARVY</t>
  </si>
  <si>
    <t xml:space="preserve">50107  </t>
  </si>
  <si>
    <t>yes</t>
  </si>
  <si>
    <t>homedepot@arrivelogistics.com</t>
  </si>
  <si>
    <t>jgonzalez@arrivelogistics.com</t>
  </si>
  <si>
    <t>ASCR</t>
  </si>
  <si>
    <t>ASCEND LLC</t>
  </si>
  <si>
    <t>(731) 723-3063</t>
  </si>
  <si>
    <t>79 Sand Pebble Drive Jackson, TN 38305</t>
  </si>
  <si>
    <t>homedepot@ascend.net</t>
  </si>
  <si>
    <t>acourtright@ascend.net</t>
  </si>
  <si>
    <t>AVQD</t>
  </si>
  <si>
    <t>DM TRANS LLC - AVQD</t>
  </si>
  <si>
    <t>(888)399-0162</t>
  </si>
  <si>
    <t>7701 METROPOLIS DR BLDG 15 AUSTIN, TX 78744 US</t>
  </si>
  <si>
    <t xml:space="preserve">55897  </t>
  </si>
  <si>
    <t>no</t>
  </si>
  <si>
    <t>mmaass@arrivelogistics.com</t>
  </si>
  <si>
    <t>kbaldwin@arrivelogistics.com</t>
  </si>
  <si>
    <t>DM TRANS- ARVY</t>
  </si>
  <si>
    <t>BGXP</t>
  </si>
  <si>
    <t>BIG G EXPRESS, INC</t>
  </si>
  <si>
    <t>800-684-9140 - EXT 7014</t>
  </si>
  <si>
    <t>190 HAWKINS DR SHELBYVILLE,TN37160US</t>
  </si>
  <si>
    <t>NO</t>
  </si>
  <si>
    <t>customerservice@biggexpress.com</t>
  </si>
  <si>
    <t>TabiBaker@biggexpress.com</t>
  </si>
  <si>
    <t>BMAV</t>
  </si>
  <si>
    <t>BIG M TRANSPORTATION</t>
  </si>
  <si>
    <t>(662) 815-5000</t>
  </si>
  <si>
    <t>6341 B Highway 15 Blue Mountain, MS 38610</t>
  </si>
  <si>
    <t>homedepot@bigm.com</t>
  </si>
  <si>
    <t>hwhite@bigm.com</t>
  </si>
  <si>
    <t>BNLG</t>
  </si>
  <si>
    <t>BNSF LOGISTICS LLC</t>
  </si>
  <si>
    <t>855-476-9364</t>
  </si>
  <si>
    <t>75 REMITTANCE DRIVE CHICAGO,IL60675US</t>
  </si>
  <si>
    <t xml:space="preserve">  </t>
  </si>
  <si>
    <t>BNLS</t>
  </si>
  <si>
    <t>BNOU</t>
  </si>
  <si>
    <t>BARR-NUNN TRANSPORTATION</t>
  </si>
  <si>
    <t>(515) 999-3204</t>
  </si>
  <si>
    <t>1803 BURR OAK BLVD GRANGER,IA50109</t>
  </si>
  <si>
    <t>BNUN</t>
  </si>
  <si>
    <t>CCNI</t>
  </si>
  <si>
    <t>CARDINAL LOGISTICS MGMT</t>
  </si>
  <si>
    <t>(704) 789-2000</t>
  </si>
  <si>
    <t>5333 Davidson Hwy. Concord,NC28027US</t>
  </si>
  <si>
    <t>CELC</t>
  </si>
  <si>
    <t>CELTIC INTERNATIONAL LLC</t>
  </si>
  <si>
    <t>(708) 532-9200</t>
  </si>
  <si>
    <t>8505 W. 183RD ST STE H TINLEY PARK, IL 60487</t>
  </si>
  <si>
    <t>imdl-homedepot@uberfreight.com</t>
  </si>
  <si>
    <t>kaitlyn.ryske@uberfreight.com</t>
  </si>
  <si>
    <t>koren.kelly@uberfreight.com </t>
  </si>
  <si>
    <t>CLLQ</t>
  </si>
  <si>
    <t>COYOTE LOGISTICS LLC</t>
  </si>
  <si>
    <t>(847) 810-4706</t>
  </si>
  <si>
    <t>4400 ALEXANDER DRIVE ALPHARETTA, GA 30022 US</t>
  </si>
  <si>
    <t xml:space="preserve"> </t>
  </si>
  <si>
    <t>COYY</t>
  </si>
  <si>
    <t>CRCR</t>
  </si>
  <si>
    <t>CRETE CARRIER CORPORATION - TL</t>
  </si>
  <si>
    <t>400 NW 56th Street Lincoln, NE 68528 US</t>
  </si>
  <si>
    <t>sgerrity@cretecarrier.com</t>
  </si>
  <si>
    <t>jschnake@cretecarrier.com</t>
  </si>
  <si>
    <t>podrequest@cretecarrier.com</t>
  </si>
  <si>
    <t>CRPS</t>
  </si>
  <si>
    <t>CRST VAN EXPEDITED</t>
  </si>
  <si>
    <t>info@crst.com</t>
  </si>
  <si>
    <t>1332 EDGEWOOD RD SW CEDAR RAPIDS, IA 52404US</t>
  </si>
  <si>
    <t>CSNY</t>
  </si>
  <si>
    <t>CORNERSTONE SYSTEMS INC</t>
  </si>
  <si>
    <t>800-278-7677</t>
  </si>
  <si>
    <t>3250 Players Club Pkwy Memphis, TN 38125 US</t>
  </si>
  <si>
    <t>CTII</t>
  </si>
  <si>
    <t>CENTRAL TRANSPORT</t>
  </si>
  <si>
    <t>586) 467-1900</t>
  </si>
  <si>
    <t>2464 Couchville Pike, Nashville, TN 37217</t>
  </si>
  <si>
    <t>cs.pickup@centraltransport.com</t>
  </si>
  <si>
    <t>psacha@centraltransport.com</t>
  </si>
  <si>
    <t>CTRQ</t>
  </si>
  <si>
    <t>CONTRACT FREIGHTERS INC</t>
  </si>
  <si>
    <t>800-641-4747</t>
  </si>
  <si>
    <t>4701 EAST 32ND JOPLIN, MO 64803 US</t>
  </si>
  <si>
    <t>Home.depot@cfidrive.com</t>
  </si>
  <si>
    <t>meredith.a.mosley@cfidrive.com</t>
  </si>
  <si>
    <t>becky.ward@cfidrive.com</t>
  </si>
  <si>
    <t>Andrea.Rocha@cfidrive.com</t>
  </si>
  <si>
    <t>lance.long@cfidrive.com</t>
  </si>
  <si>
    <t>CYLI</t>
  </si>
  <si>
    <t>CROWLEY HOLDINGS</t>
  </si>
  <si>
    <t>homedepot@crowley.com</t>
  </si>
  <si>
    <t>crowleythd@crowley.com</t>
  </si>
  <si>
    <t>CVEN</t>
  </si>
  <si>
    <t>COVENANT TRANSPORT INC</t>
  </si>
  <si>
    <t>(423) 821-1212</t>
  </si>
  <si>
    <t>400 BIRMINGHAM HIGHWAY CHATTANOOGA, TN 37419 US</t>
  </si>
  <si>
    <t>CThurman@covenantlogistics.com</t>
  </si>
  <si>
    <t>HomeDepot2@covenanttransport.com</t>
  </si>
  <si>
    <t>CVYI</t>
  </si>
  <si>
    <t>CONVOY, INC</t>
  </si>
  <si>
    <t>(425) 214-1769</t>
  </si>
  <si>
    <t>1700 7th Avenue, Suite 116 SEATTLE, WA  98101</t>
  </si>
  <si>
    <t>homedepot@convoy.com</t>
  </si>
  <si>
    <t>DAFG</t>
  </si>
  <si>
    <t>DAYTON FREIGHT - LTL</t>
  </si>
  <si>
    <t>(972) 880-9859</t>
  </si>
  <si>
    <t>6450 Poe Avenue Ste 311 Dayton OH 45414</t>
  </si>
  <si>
    <t>homedepot@daytonfreight.com</t>
  </si>
  <si>
    <t>DART</t>
  </si>
  <si>
    <t>DART TRANSIT COMPANY</t>
  </si>
  <si>
    <t>(651) 683-1305</t>
  </si>
  <si>
    <t>2820 DANIELDALE ROAD LANCASTER, TX 75134 US</t>
  </si>
  <si>
    <t>DEDX</t>
  </si>
  <si>
    <t>CHAINALYTICS</t>
  </si>
  <si>
    <t>770-433-1566</t>
  </si>
  <si>
    <t>2500 Cumberland Pkwy SE #550, Atlanta, GA 30339</t>
  </si>
  <si>
    <t>DTNF</t>
  </si>
  <si>
    <t>DAVIS TRANSFER COMPANY I</t>
  </si>
  <si>
    <t>(706) 384-2030</t>
  </si>
  <si>
    <t>520 BUSHA RD CARNESVILLE, GA 30521 US</t>
  </si>
  <si>
    <t>EETO</t>
  </si>
  <si>
    <t>ENERGY EXPRESS TRUCKING</t>
  </si>
  <si>
    <t>866-312-1314</t>
  </si>
  <si>
    <t>2555 DOLLARD AVE STE 300 LASALLE,QCH8N 3A9CA</t>
  </si>
  <si>
    <t>YES</t>
  </si>
  <si>
    <t>mkhan@shipenergy.com</t>
  </si>
  <si>
    <t>hdtracking@shipenergy.com</t>
  </si>
  <si>
    <t>dmasson@shipenergy.com</t>
  </si>
  <si>
    <t>gcampbell@shipenergy.com</t>
  </si>
  <si>
    <t>jsingh@shipenergy.com</t>
  </si>
  <si>
    <t>EFW</t>
  </si>
  <si>
    <t>ESTES FORWARDIND WORLDWIDE</t>
  </si>
  <si>
    <t>804-205-5907</t>
  </si>
  <si>
    <t>100 Gateway Centre Parkway, Suite 210</t>
  </si>
  <si>
    <t xml:space="preserve">49423  </t>
  </si>
  <si>
    <t>EPES</t>
  </si>
  <si>
    <t>EPES TRANSPORT</t>
  </si>
  <si>
    <t>800-659-1117</t>
  </si>
  <si>
    <t>3400 Edgefield Ct, Greensboro, NC 27409</t>
  </si>
  <si>
    <t>amy.pearson@epestransport.com</t>
  </si>
  <si>
    <t>EPSG</t>
  </si>
  <si>
    <t>EPES LOGISTICS</t>
  </si>
  <si>
    <t>southot@epeslogistics.com</t>
  </si>
  <si>
    <t>nathaniel.betts@epeslogistics.com</t>
  </si>
  <si>
    <t>kayleigh.parks@epeslogistics.com</t>
  </si>
  <si>
    <t>EXLA</t>
  </si>
  <si>
    <t>EXPRESS LINE (ESTES)</t>
  </si>
  <si>
    <t>866-378-3748</t>
  </si>
  <si>
    <t>510 Plaza Dr #1860, Atlanta, GA 30349</t>
  </si>
  <si>
    <t>Steve.Brannen@estes-express.com</t>
  </si>
  <si>
    <t>cdhuntsvilleal@estes-express.com</t>
  </si>
  <si>
    <t>FCLC</t>
  </si>
  <si>
    <t>CARROLL FULMER LOGISTICS</t>
  </si>
  <si>
    <t>(800) 468-9400 x1001</t>
  </si>
  <si>
    <t>8340 AMERICAN WAY GROVELAND, FL 34736 US</t>
  </si>
  <si>
    <t>FLSJ</t>
  </si>
  <si>
    <t>FLS TRANSPORTATION</t>
  </si>
  <si>
    <t>800-739-0939</t>
  </si>
  <si>
    <t>4480 COTE DE LIESSE SUITE 220 MONT-ROYAL, QCH4N2R1CA</t>
  </si>
  <si>
    <t>FRCI</t>
  </si>
  <si>
    <t>FREMONT CONTRACT CARRIER</t>
  </si>
  <si>
    <t>(866) 946-4322 </t>
  </si>
  <si>
    <t>865 SOUTH BUD BLVD FREMONT, NE 68025 US</t>
  </si>
  <si>
    <t>fcchomedepot@fcc-inc.com</t>
  </si>
  <si>
    <t>tammy.spears@fcc-inc.com</t>
  </si>
  <si>
    <t>cathy.kastanek@fcc-inc.com</t>
  </si>
  <si>
    <t>guy.mumford@fcc-inc.com</t>
  </si>
  <si>
    <t>FZAS</t>
  </si>
  <si>
    <t>FORZA TRANSPORTATION SER</t>
  </si>
  <si>
    <t>(956) 517 2341</t>
  </si>
  <si>
    <t>16360 US-83, Laredo, TX 78045</t>
  </si>
  <si>
    <t>uaguilar@forzatrans.com</t>
  </si>
  <si>
    <t>homedepot@forzatrans.com</t>
  </si>
  <si>
    <t>eberttolini@forzatrans.com</t>
  </si>
  <si>
    <t>GELJ</t>
  </si>
  <si>
    <t>GLOBALTRANZ ENTERPRISES</t>
  </si>
  <si>
    <t>866-275-1407</t>
  </si>
  <si>
    <t>7350 North Dobson Rd, Ste 130 Scottsdale, AZ 85256</t>
  </si>
  <si>
    <t>HAEI</t>
  </si>
  <si>
    <t>HEARTLAND EXPRESS SERVIC</t>
  </si>
  <si>
    <t>(319) 626-3600</t>
  </si>
  <si>
    <t>901 North Kansas Avenue North Liberty, IA 52317 US</t>
  </si>
  <si>
    <t>so'brien@heartlandexpress.com</t>
  </si>
  <si>
    <t>atate@heartlandexpress.com</t>
  </si>
  <si>
    <t>sherdliska@heartlandexpress.com</t>
  </si>
  <si>
    <t>HCOH</t>
  </si>
  <si>
    <t>HUB GROUP</t>
  </si>
  <si>
    <t>404-267-2166</t>
  </si>
  <si>
    <t>2987 Clairmont Rd #500, Atlanta, GA 30329</t>
  </si>
  <si>
    <t xml:space="preserve">43887  </t>
  </si>
  <si>
    <t>thdsoutheast@hubgroup.com</t>
  </si>
  <si>
    <t>diedreyoung@hubgroup.com</t>
  </si>
  <si>
    <t>HHWY</t>
  </si>
  <si>
    <t>DIEDREYOUNG@hubgroup.com</t>
  </si>
  <si>
    <t>HJBL</t>
  </si>
  <si>
    <t>JB HUNT</t>
  </si>
  <si>
    <t>800-452-4868</t>
  </si>
  <si>
    <t>615 J B Hunt Corporate Dr, Lowell, AR 72745</t>
  </si>
  <si>
    <t>HJBT</t>
  </si>
  <si>
    <t>43884 </t>
  </si>
  <si>
    <t>thd_jbh_hsappts@jbhunt.com</t>
  </si>
  <si>
    <t>THD_JBH_HsAppts@jbhunt.com</t>
  </si>
  <si>
    <t>HJCS</t>
  </si>
  <si>
    <t xml:space="preserve">Hd_ohio@jbhunt.com  </t>
  </si>
  <si>
    <t>Nathan.McElwee@jbhunt.com</t>
  </si>
  <si>
    <t>Ian.Barton@jbhunt.com</t>
  </si>
  <si>
    <t>justin.smith@jbhunt.com</t>
  </si>
  <si>
    <t>HMES</t>
  </si>
  <si>
    <t>USF HOLLAND</t>
  </si>
  <si>
    <t>866-465-5263</t>
  </si>
  <si>
    <t>700 S Waverly Rd, Holland, MI 49423</t>
  </si>
  <si>
    <t>HRMN</t>
  </si>
  <si>
    <t>Hermann Services Inc</t>
  </si>
  <si>
    <t>800-524-0067</t>
  </si>
  <si>
    <t>83 Stults Road Dayton, NJ 08810</t>
  </si>
  <si>
    <t>HUBO</t>
  </si>
  <si>
    <t>TeamOrange@hubgroup.com</t>
  </si>
  <si>
    <t>ASTIGALL@hubgroup.com</t>
  </si>
  <si>
    <t>(EmilyFerrell@HubGroup.com)</t>
  </si>
  <si>
    <t>IPNS</t>
  </si>
  <si>
    <t>INTERSTATE TRANSPORT</t>
  </si>
  <si>
    <t>866-281-1281</t>
  </si>
  <si>
    <t>324 1st Avenue North</t>
  </si>
  <si>
    <t>48041 </t>
  </si>
  <si>
    <t>KNIG</t>
  </si>
  <si>
    <t>KNIGHT TRANSPORTATION</t>
  </si>
  <si>
    <t>(901) 483-0252</t>
  </si>
  <si>
    <t>23623 COLONIAL PARKWAY KATY, TX 77492 US</t>
  </si>
  <si>
    <t>45999 </t>
  </si>
  <si>
    <t>new</t>
  </si>
  <si>
    <t>HomeDepotAM@knighttrans.com</t>
  </si>
  <si>
    <t>Alex.Dezember@knighttrans.com</t>
  </si>
  <si>
    <t>KTSW</t>
  </si>
  <si>
    <t>KIRSCH TRANSPORTATION SE</t>
  </si>
  <si>
    <t>(712) 396-2117</t>
  </si>
  <si>
    <t>25 Main Place Ste 300 Council Bluffs, IA  51503</t>
  </si>
  <si>
    <t>de</t>
  </si>
  <si>
    <t>grantm@kirschtrans.com</t>
  </si>
  <si>
    <t>homedepot@kirschtrans.com&gt;</t>
  </si>
  <si>
    <t xml:space="preserve"> donnab@kirschtrans.com</t>
  </si>
  <si>
    <t>KYSO</t>
  </si>
  <si>
    <t>KEYSTONE FREIGHT CORP - TL</t>
  </si>
  <si>
    <t>(201) 330-1900</t>
  </si>
  <si>
    <t xml:space="preserve">PO BOX 2697,  SECAUCUS,NJ 07096 </t>
  </si>
  <si>
    <t>KCSCustomer@nrsonline.com</t>
  </si>
  <si>
    <t>Taylor.Sattler@nrsonline.com</t>
  </si>
  <si>
    <t>Tiffany.Hogle@nrsonline.com</t>
  </si>
  <si>
    <t>LIBA</t>
  </si>
  <si>
    <t>LOADSMART INC</t>
  </si>
  <si>
    <t>HOME.DEPOT@LOADSMART.COM</t>
  </si>
  <si>
    <t>150 N Michigan Ave Ste 1900 Chicago, IL 60601</t>
  </si>
  <si>
    <t>LLWL</t>
  </si>
  <si>
    <t>LIPSEY LOGISTICS WORLDWIDE - TL</t>
  </si>
  <si>
    <t>1701 OAKBROOK DRIVE, SUITE D NORCROSS, GA 30093 US</t>
  </si>
  <si>
    <t>LOAA</t>
  </si>
  <si>
    <t>(646) 887-6278</t>
  </si>
  <si>
    <t>39 WOOSTER ST 3RD FL NEW YORK, NY 10013</t>
  </si>
  <si>
    <t>home.depot@loadsmart.com</t>
  </si>
  <si>
    <t>angie.diaz@loadsmart.com</t>
  </si>
  <si>
    <t>LPYK</t>
  </si>
  <si>
    <t>5600 BRAINERD RD STE E-2 CHATTANOOGA, TN 37411 US</t>
  </si>
  <si>
    <t>LRGR - JBX</t>
  </si>
  <si>
    <t>LANDSTAR RANGER</t>
  </si>
  <si>
    <t>anthony.lemay@landstarmail.com</t>
  </si>
  <si>
    <t>HOMEDEPOT.JBX@LANDSTARMAIL.COM</t>
  </si>
  <si>
    <t>LRGR - Shasko</t>
  </si>
  <si>
    <t>(904) 398-9400</t>
  </si>
  <si>
    <t>13410 Sutton Park Dr. South Jacksonville, FL 32224 US</t>
  </si>
  <si>
    <t>Chelsey Beere &lt;chelsey@shasko.com&gt;</t>
  </si>
  <si>
    <t>elizabeth@shasko.com</t>
  </si>
  <si>
    <t>homedepot@shasko.com</t>
  </si>
  <si>
    <t>MOLY</t>
  </si>
  <si>
    <t>MOLO SOLUTIONS - TL</t>
  </si>
  <si>
    <t>847-306-3557</t>
  </si>
  <si>
    <t>120 N RACINE ST CHICAGO, IL 60607</t>
  </si>
  <si>
    <t>HomeDepot@shipmolo.com</t>
  </si>
  <si>
    <t>DJM LOGISTICS, LLC</t>
  </si>
  <si>
    <t>MTLE</t>
  </si>
  <si>
    <t>MODE TRANSPORTATION</t>
  </si>
  <si>
    <t>800-434-8881</t>
  </si>
  <si>
    <t>14785 Preston Road, Suite 850, Dallas, TX 75254</t>
  </si>
  <si>
    <t>thd@modetransportation.com</t>
  </si>
  <si>
    <t>NEMF</t>
  </si>
  <si>
    <t>NEW ENGLAND MOTOR FREIGHT</t>
  </si>
  <si>
    <t>(908) 965-0100 x221</t>
  </si>
  <si>
    <t>1-71 NORTH AVENUE ELIZABETH, NJ  07206</t>
  </si>
  <si>
    <t>NPME</t>
  </si>
  <si>
    <t>NEW PENN</t>
  </si>
  <si>
    <t>(717) 274-2521</t>
  </si>
  <si>
    <t>625 S 5th Ave, Lebanon, PA 17042</t>
  </si>
  <si>
    <t>NTGO</t>
  </si>
  <si>
    <t>NOLAN TRANSPORTATION GRO</t>
  </si>
  <si>
    <t>(770) 509-9611</t>
  </si>
  <si>
    <t>365 NORTHRIDGE RD STE 100 ATLANTA, GA 30350</t>
  </si>
  <si>
    <t>HOMEDEPOT@NTGFREIGHT.COM</t>
  </si>
  <si>
    <t>Andrea.Navarro@ntgfreight.com</t>
  </si>
  <si>
    <t>Amira.Legesse@ntgfreight.com</t>
  </si>
  <si>
    <t>NTVY</t>
  </si>
  <si>
    <t>NORMANDIN TRANSPORTATION</t>
  </si>
  <si>
    <t>(508) 278-6579</t>
  </si>
  <si>
    <t xml:space="preserve"> 148 IRONSTONE ST UXBRIDGE, MA 01569 US</t>
  </si>
  <si>
    <t>PAMT</t>
  </si>
  <si>
    <t>PAM TRANSPORT, INC</t>
  </si>
  <si>
    <t>(800) 283-5113</t>
  </si>
  <si>
    <t>297 West Henri de Tonti Blvd Tontitown, AR 72770</t>
  </si>
  <si>
    <t>homedepot@pamt.com</t>
  </si>
  <si>
    <t>AVERS@pamt.com</t>
  </si>
  <si>
    <t>PASC</t>
  </si>
  <si>
    <t>Paschall Truck line</t>
  </si>
  <si>
    <t>homedepot@ptl-inc.com</t>
  </si>
  <si>
    <t>jordunez@ptl-inc.com</t>
  </si>
  <si>
    <t>kekk</t>
  </si>
  <si>
    <t>PASCHALL TRUCK LINES INC</t>
  </si>
  <si>
    <t>(800) 785-0374</t>
  </si>
  <si>
    <t>3443 H. 641 SOUTH, MURRAY, KY</t>
  </si>
  <si>
    <t>mnavan@ptl-inc.com</t>
  </si>
  <si>
    <t>PAYL</t>
  </si>
  <si>
    <t>PAYSTAR LOGISTICS INC</t>
  </si>
  <si>
    <t>800-393-2902</t>
  </si>
  <si>
    <t>9300 STATESVILLE RD STE 202 CORNELIUS, NC 28031 US</t>
  </si>
  <si>
    <t xml:space="preserve">49967  </t>
  </si>
  <si>
    <t>PESD</t>
  </si>
  <si>
    <t>PANTHER EXPEDITED</t>
  </si>
  <si>
    <t>(678) 836-4209</t>
  </si>
  <si>
    <t>4940 PANTHER PARKWAY SEVILLE, OH 44273 US</t>
  </si>
  <si>
    <t>PITD</t>
  </si>
  <si>
    <t>PITT-OHIO EXPRESS</t>
  </si>
  <si>
    <t>(800) 366-7488</t>
  </si>
  <si>
    <t>15 27th St, Pittsburgh, PA 15222</t>
  </si>
  <si>
    <t>PLCY</t>
  </si>
  <si>
    <t>PEPSI LOGISTICS COMPANY</t>
  </si>
  <si>
    <t>(972) 963-1920</t>
  </si>
  <si>
    <t xml:space="preserve">5600 HEADQUARTERS DR PLANO, TX 75024 </t>
  </si>
  <si>
    <t xml:space="preserve">50366  </t>
  </si>
  <si>
    <t>PTWT</t>
  </si>
  <si>
    <t>4940 PANTHER PARKWAY SEVILLE, OH 44273</t>
  </si>
  <si>
    <t>QPMT</t>
  </si>
  <si>
    <t>jbh_thd_team@jbhunt.com</t>
  </si>
  <si>
    <t>RBCH</t>
  </si>
  <si>
    <t>C.H. ROBINSON</t>
  </si>
  <si>
    <t>(952) 683-2800</t>
  </si>
  <si>
    <t>14701 Charlson Road Eden Prairie, MN 55347</t>
  </si>
  <si>
    <t>HOMEDEPOT@CHROBINSON.COM</t>
  </si>
  <si>
    <t>HomeDepotInbox@chrobinson.com</t>
  </si>
  <si>
    <t>RCXB</t>
  </si>
  <si>
    <t>RED CLASSIC TRANSPORTATION</t>
  </si>
  <si>
    <t>(866) 768-8809</t>
  </si>
  <si>
    <t>1800 CONTINENTAL BLVD STE 400 CHARLOTTE,NC28273U</t>
  </si>
  <si>
    <t xml:space="preserve">49478  </t>
  </si>
  <si>
    <t>ROEV</t>
  </si>
  <si>
    <t>ROEHL TRANSPORT INC</t>
  </si>
  <si>
    <t>866-516-1992</t>
  </si>
  <si>
    <t>1916 East 29th St. MARSHFIELD, WI 54449</t>
  </si>
  <si>
    <t>kim.chaltry@roehl.net</t>
  </si>
  <si>
    <t>Danielle.Zabel@roehl.net</t>
  </si>
  <si>
    <t>HomeDepotReports@Roehl.net</t>
  </si>
  <si>
    <t>SAIA</t>
  </si>
  <si>
    <t>SAIA MOTOR FREIGHT LINE</t>
  </si>
  <si>
    <t>800-765-7242</t>
  </si>
  <si>
    <t>11465 JOHNS CREEK PARKWAY, SUITE 400 JOHNS CREEK, GA 30097 US</t>
  </si>
  <si>
    <t>SCIG</t>
  </si>
  <si>
    <t>Schneider National Carriers</t>
  </si>
  <si>
    <t>800-558-6767</t>
  </si>
  <si>
    <t>2841 Charles City Rd, Henrico, VA 23231</t>
  </si>
  <si>
    <t>SCNN</t>
  </si>
  <si>
    <t>SCHNEIDER NATIONAL CARRIERS</t>
  </si>
  <si>
    <t>csretailresponse@schneider.com</t>
  </si>
  <si>
    <t>SEFL</t>
  </si>
  <si>
    <t>SCHNEIDER NATIONAL</t>
  </si>
  <si>
    <t>954-783-6140</t>
  </si>
  <si>
    <t xml:space="preserve">933 SW 12TH AVENUE POMPANO BEACH, FL 33069   </t>
  </si>
  <si>
    <t>972-579-9955</t>
  </si>
  <si>
    <t>4149 EAST STAMFORD STREET ABILENE, TX 79601</t>
  </si>
  <si>
    <t>800-451-7335</t>
  </si>
  <si>
    <t>420 Davega Road Lexington, SC 29073</t>
  </si>
  <si>
    <t xml:space="preserve">SELJ </t>
  </si>
  <si>
    <t>615.590.8744</t>
  </si>
  <si>
    <t>111 BOLAND ST FORT WORTH, TX 76107</t>
  </si>
  <si>
    <t>homedepot@smitheagle.com</t>
  </si>
  <si>
    <t>SFQL</t>
  </si>
  <si>
    <t>SAFER LOGISTICS, LLC - TL</t>
  </si>
  <si>
    <t>Kelly.White@saferlogistics.com</t>
  </si>
  <si>
    <t>SaferHDAppointments@saferlogistics.com</t>
  </si>
  <si>
    <t>SLCY</t>
  </si>
  <si>
    <t>SMTA</t>
  </si>
  <si>
    <t>(904) 261-5007</t>
  </si>
  <si>
    <t>331 E. Closson Rd. Roaring Spring, PA 16673 US</t>
  </si>
  <si>
    <t>SNCF</t>
  </si>
  <si>
    <t>SNCK</t>
  </si>
  <si>
    <t>SNCY</t>
  </si>
  <si>
    <t>3101 Packerland Dr. Green Bay, Wisconsin 54313-6187.</t>
  </si>
  <si>
    <t>SNNE</t>
  </si>
  <si>
    <t>SRKD</t>
  </si>
  <si>
    <t>STL TRUCKERS</t>
  </si>
  <si>
    <t>(314) 396-6922</t>
  </si>
  <si>
    <t>3088 ELM PT INDUSTRIAL DR SAINT CHARLES, MO 63301</t>
  </si>
  <si>
    <t>HOMEDEPOT@STLTRUCKERS.COM</t>
  </si>
  <si>
    <t>david@stltruckers.com</t>
  </si>
  <si>
    <t>SUSE</t>
  </si>
  <si>
    <t>Super Service</t>
  </si>
  <si>
    <t>800-669-8658</t>
  </si>
  <si>
    <t>2665 Campbell Blvd, Ellenwood, GA 30294</t>
  </si>
  <si>
    <t>SWFC</t>
  </si>
  <si>
    <t>SWIFT TRANSPORTATION CO</t>
  </si>
  <si>
    <t>(901) 355-7186</t>
  </si>
  <si>
    <t>2200 S. 75th AVENUE PHOENIX, AZ 85043 US</t>
  </si>
  <si>
    <t>CSRetailResponse@schneider.com</t>
  </si>
  <si>
    <t>lundt@schneider.com</t>
  </si>
  <si>
    <t>BostedtJ@schneider.com</t>
  </si>
  <si>
    <t>SNYC</t>
  </si>
  <si>
    <t>SCHNEIDER NATIONAL cARRIERS</t>
  </si>
  <si>
    <t xml:space="preserve">SWFT </t>
  </si>
  <si>
    <t xml:space="preserve">SWIFT TRANSPORTATION </t>
  </si>
  <si>
    <t>800-800-2200</t>
  </si>
  <si>
    <t>centralacct5@swifttrans.com</t>
  </si>
  <si>
    <t>HDCSR@swifttrans.com</t>
  </si>
  <si>
    <t>amy_norton@swifttrans.com</t>
  </si>
  <si>
    <t>Erin_Pugh@Swifttrans.com</t>
  </si>
  <si>
    <t>Timothy_Oleson@Swifttrans.com</t>
  </si>
  <si>
    <t>SWIF</t>
  </si>
  <si>
    <t>2200 S. 75TH AVENUE PHOENIX, AZ 85043</t>
  </si>
  <si>
    <t>homedepotimc@swifttrans.com</t>
  </si>
  <si>
    <t>TCWI</t>
  </si>
  <si>
    <t>TCW, INC</t>
  </si>
  <si>
    <t>(615) 742-6126</t>
  </si>
  <si>
    <t>22 STANLEY ST NASHVILLE, TN 37210 US</t>
  </si>
  <si>
    <t>thehomedepot@tcwonline.com</t>
  </si>
  <si>
    <t>nmount@tcwonline.com</t>
  </si>
  <si>
    <t>TDDS</t>
  </si>
  <si>
    <t>TEST DRIVE LLC</t>
  </si>
  <si>
    <t>(616)551-3061</t>
  </si>
  <si>
    <t>6310 FULTON ST E ADA, MI 49301</t>
  </si>
  <si>
    <t>KatieS@tdusa.us</t>
  </si>
  <si>
    <t>HomeDepot@tdusa.us</t>
  </si>
  <si>
    <t>TXOK</t>
  </si>
  <si>
    <t>TRANSPORTATION ONE LLC</t>
  </si>
  <si>
    <t>HOMEDEPOT@TRANSPORTATIONONE.COM</t>
  </si>
  <si>
    <t>212 W SUPERIOR ST STE 204 CHICAGO, IL 60654 US</t>
  </si>
  <si>
    <t>kreader@transportationone.com</t>
  </si>
  <si>
    <t>tmueller@transportationone.com</t>
  </si>
  <si>
    <t>TFXH</t>
  </si>
  <si>
    <t>TRANSFIX, INC - TL</t>
  </si>
  <si>
    <t>(646) 844-2200</t>
  </si>
  <si>
    <t>498 7th AVE 19th FL NEW YORK, NY 10018</t>
  </si>
  <si>
    <t>kevinbrijlall@transfix.io</t>
  </si>
  <si>
    <t>almirabanabana@transfix.io</t>
  </si>
  <si>
    <t>TQYL</t>
  </si>
  <si>
    <t>TOTAL QUALITY LOGISTICS</t>
  </si>
  <si>
    <t>(800) 580-3101</t>
  </si>
  <si>
    <t>4289 IVY POINTE BLVD CINCINNATI, OH 45245 US</t>
  </si>
  <si>
    <t>THDAsset@tql.com</t>
  </si>
  <si>
    <t>BMillette@tql.com</t>
  </si>
  <si>
    <t>TTMS</t>
  </si>
  <si>
    <t xml:space="preserve">TOTAL TRANSPORTATION </t>
  </si>
  <si>
    <t>(800) 942-2104 x7313</t>
  </si>
  <si>
    <t>125 RIVERVIEW DRIVE RICHLAND, MS 39218 US</t>
  </si>
  <si>
    <t>TUBG</t>
  </si>
  <si>
    <t>RXO CAPACITY SOLUTIONS</t>
  </si>
  <si>
    <t>(312) 854-1390</t>
  </si>
  <si>
    <t>27724 NETWORK PLACE CHICAGO, IL 60673 US</t>
  </si>
  <si>
    <t>48105 </t>
  </si>
  <si>
    <t>homedepot@rxo.com</t>
  </si>
  <si>
    <t>christian.winne@rxo.com</t>
  </si>
  <si>
    <t>UFLB</t>
  </si>
  <si>
    <t>UBER FREIGHT LLC</t>
  </si>
  <si>
    <t>(877) 289-8237</t>
  </si>
  <si>
    <t>1455 MARKET ST 4TH FL SAN FRANCISCO,CA 94103</t>
  </si>
  <si>
    <t>homedepot@totalms.com</t>
  </si>
  <si>
    <t>ULIQ</t>
  </si>
  <si>
    <t>UNITEDLINK, INC</t>
  </si>
  <si>
    <t>(972) 200-0606</t>
  </si>
  <si>
    <t>16414 SAN PEDRO AVE # 635 SAN ANTONIO, TX 78232 US</t>
  </si>
  <si>
    <t>homedepot@unilinktransportation.com</t>
  </si>
  <si>
    <t>dcastro@unilinktransportation.com</t>
  </si>
  <si>
    <t>dfw4@unilinktransportation.com</t>
  </si>
  <si>
    <t>isanchez@unilinktransportation.com</t>
  </si>
  <si>
    <t>dduran@unilinktransportation.com</t>
  </si>
  <si>
    <t>UPGF</t>
  </si>
  <si>
    <t>UPS FREIGHT</t>
  </si>
  <si>
    <t>800-333-7400</t>
  </si>
  <si>
    <t>2427 Moreland Ave SE, Atlanta, GA 30315</t>
  </si>
  <si>
    <t>USIL</t>
  </si>
  <si>
    <t>USA Truck</t>
  </si>
  <si>
    <t>800-251-6291</t>
  </si>
  <si>
    <t>4080 Jenkins Road, Chattanooga, TN 37421</t>
  </si>
  <si>
    <t>USIT</t>
  </si>
  <si>
    <t>USA TRUCK</t>
  </si>
  <si>
    <t>USLand.HomeDepot@dbschenker.com</t>
  </si>
  <si>
    <t>lourdes.amaya@usa-truck.com</t>
  </si>
  <si>
    <t>tiffany.nelson@usa-truck.com</t>
  </si>
  <si>
    <t>mark.fergeson@usa-truck.com</t>
  </si>
  <si>
    <t>USXD</t>
  </si>
  <si>
    <t>US Xpress</t>
  </si>
  <si>
    <t>USXF</t>
  </si>
  <si>
    <t>USXI</t>
  </si>
  <si>
    <t>US EXPRESS</t>
  </si>
  <si>
    <t>bhuff@usxpress.com</t>
  </si>
  <si>
    <t>mnewberry@usxpress.com</t>
  </si>
  <si>
    <t>usxischeduling@usxpress.com</t>
  </si>
  <si>
    <t>USXR</t>
  </si>
  <si>
    <t>US XPRESS</t>
  </si>
  <si>
    <t>USXRSCHEDULING@USXPRESS.COM</t>
  </si>
  <si>
    <t>VLLQ</t>
  </si>
  <si>
    <t>VERDE LOGISTICS LLC</t>
  </si>
  <si>
    <t>(915) 791-4034</t>
  </si>
  <si>
    <t>9525 Escobar Drive EL PASO,TX 79907 US</t>
  </si>
  <si>
    <t>MVTVERDE@M-V-T.COM</t>
  </si>
  <si>
    <t>VERDE LOGISTICS</t>
  </si>
  <si>
    <t>ops@verdelogistics.com</t>
  </si>
  <si>
    <t>WRBH</t>
  </si>
  <si>
    <t>WERNER ENTERPRISES</t>
  </si>
  <si>
    <t>HDIntermodal@werner.com</t>
  </si>
  <si>
    <t>WENP</t>
  </si>
  <si>
    <t>(770) 739-3600</t>
  </si>
  <si>
    <t>14507 FRONTIER ROAD OMAHA, NE68138 US</t>
  </si>
  <si>
    <t>sent 2</t>
  </si>
  <si>
    <t>homedepotob@werner.com</t>
  </si>
  <si>
    <t>bbrooks@werner.com</t>
  </si>
  <si>
    <t>KyMorris@werner.com</t>
  </si>
  <si>
    <t>Braulio.Arenas@werner.com</t>
  </si>
  <si>
    <t>WFLY</t>
  </si>
  <si>
    <t>WESTERN FLYER EXPRESS</t>
  </si>
  <si>
    <t>(405) 946-7289</t>
  </si>
  <si>
    <t>4050 W I-40 SERVICE RD OKLAHOMA CITY, OK 73108</t>
  </si>
  <si>
    <t>HOMEDEPOT@WESTERNFLYEREXPRESS.COM</t>
  </si>
  <si>
    <t>gaspeitia@westernflyerexpress.com</t>
  </si>
  <si>
    <t>KEades@westernflyerexpress.com</t>
  </si>
  <si>
    <t>14507 FRONTIER ROAD OMAHA, NE 68138 US</t>
  </si>
  <si>
    <t>WSXI</t>
  </si>
  <si>
    <t xml:space="preserve">WESTERN EXPRESS </t>
  </si>
  <si>
    <t>(615) 720-6170</t>
  </si>
  <si>
    <t>7135 Centennial Place Nashville, TN 37209 US</t>
  </si>
  <si>
    <t>HomeDepot@westernexp.com</t>
  </si>
  <si>
    <t>jramusovic@westernexp.com</t>
  </si>
  <si>
    <t>tvail@westernexp.com</t>
  </si>
  <si>
    <t>XDIR</t>
  </si>
  <si>
    <t>US XPRESS ENTERPRISES IN</t>
  </si>
  <si>
    <t>(423) 510-3202</t>
  </si>
  <si>
    <t>4080 JENKINS ROAD CHATTANOOGA TN 37421</t>
  </si>
  <si>
    <t>xdirscheduling@usxpress.com</t>
  </si>
  <si>
    <t>amcwilliam@usxpress.com</t>
  </si>
  <si>
    <t>XONE</t>
  </si>
  <si>
    <t>(800)-251-6291</t>
  </si>
  <si>
    <t>XPO</t>
  </si>
  <si>
    <t>XPO LOGISTICS</t>
  </si>
  <si>
    <t>(800) 755-2728</t>
  </si>
  <si>
    <t>2211 Old Earhart Road, Ann Arbor, MI 48105-2751</t>
  </si>
  <si>
    <t>XPOG</t>
  </si>
  <si>
    <t>STG INTERMODAL SOLUTIONS</t>
  </si>
  <si>
    <t>(614) 923-1400</t>
  </si>
  <si>
    <t>5165 EMERALD PKWY DUBLIN, OH 43017 US</t>
  </si>
  <si>
    <t>railcustomerservice@stgusa.com</t>
  </si>
  <si>
    <t>Andres.Higuera.EXT@stgusa.com</t>
  </si>
  <si>
    <t>ZUUM</t>
  </si>
  <si>
    <t>ZUUM TRANSPORTATION INC</t>
  </si>
  <si>
    <t>(800) 410-1563</t>
  </si>
  <si>
    <t>18100 VON KARMAN AVE STE 100 IRVINE, CA 92612 US</t>
  </si>
  <si>
    <t>Homedepot@zuumapp.com</t>
  </si>
  <si>
    <t>mmeneses@zuumapp.com</t>
  </si>
  <si>
    <t>acarlos@zuumapp.com</t>
  </si>
  <si>
    <t>nthomas@zummapp.com</t>
  </si>
  <si>
    <t>Revised as of 11/14/25</t>
  </si>
  <si>
    <t>by Jennifer Vanzo</t>
  </si>
  <si>
    <t>DO NOT USE</t>
  </si>
  <si>
    <t>adam@stltruckers.com</t>
  </si>
  <si>
    <t># cartons</t>
  </si>
  <si>
    <t>pallet size</t>
  </si>
  <si>
    <t>pallet #</t>
  </si>
  <si>
    <t>weight</t>
  </si>
  <si>
    <t>12x24</t>
  </si>
  <si>
    <t>Unico and Imp Black</t>
  </si>
  <si>
    <t>F3</t>
  </si>
  <si>
    <t>Impero Black</t>
  </si>
  <si>
    <t>8x40</t>
  </si>
  <si>
    <t>Selva Ash</t>
  </si>
  <si>
    <t>22 pallets</t>
  </si>
  <si>
    <t>21 pallets</t>
  </si>
  <si>
    <t>20 pallets</t>
  </si>
  <si>
    <t>19 pallets</t>
  </si>
  <si>
    <t>18 pallets</t>
  </si>
  <si>
    <t>17 pallets</t>
  </si>
  <si>
    <t>16 pallets</t>
  </si>
  <si>
    <t>Unico Pearl</t>
  </si>
  <si>
    <t>15 pallets</t>
  </si>
  <si>
    <t>Impero White</t>
  </si>
  <si>
    <t>14 pallets</t>
  </si>
  <si>
    <t>85.35 per pallet</t>
  </si>
  <si>
    <t>Sums</t>
  </si>
  <si>
    <t>13 pallets</t>
  </si>
  <si>
    <t>12 pallets</t>
  </si>
  <si>
    <t>Impero Prestige</t>
  </si>
  <si>
    <t>11 pallets</t>
  </si>
  <si>
    <t>2089 lbs.</t>
  </si>
  <si>
    <t>1 pallet</t>
  </si>
  <si>
    <t>120sp</t>
  </si>
  <si>
    <t>10 pallets</t>
  </si>
  <si>
    <t>9 pallets</t>
  </si>
  <si>
    <t>8 pallets</t>
  </si>
  <si>
    <t>7 pallets</t>
  </si>
  <si>
    <t>6 pallets</t>
  </si>
  <si>
    <t>5 pallets</t>
  </si>
  <si>
    <t>4 pallets</t>
  </si>
  <si>
    <t>3 pallets</t>
  </si>
  <si>
    <t>2 pallets</t>
  </si>
  <si>
    <t>66.87 per pallet</t>
  </si>
  <si>
    <t>Delivery #</t>
  </si>
  <si>
    <t>PO#</t>
  </si>
  <si>
    <t>Date of BOL</t>
  </si>
  <si>
    <t>Weight</t>
  </si>
  <si>
    <t>LxWxH (Per Plt)</t>
  </si>
  <si>
    <t>Pallet Count</t>
  </si>
  <si>
    <t>Carrier</t>
  </si>
  <si>
    <t>Date sent</t>
  </si>
  <si>
    <t>PU number</t>
  </si>
  <si>
    <t>41.5"x47"x20"</t>
  </si>
  <si>
    <t>AACT</t>
  </si>
  <si>
    <t>32"x48"x30"</t>
  </si>
  <si>
    <t>RDWY</t>
  </si>
  <si>
    <t>03_80533541</t>
  </si>
  <si>
    <t>03_80533542</t>
  </si>
  <si>
    <t>07932042</t>
  </si>
  <si>
    <t>none</t>
  </si>
  <si>
    <t>sample pc</t>
  </si>
  <si>
    <t>46_26523640</t>
  </si>
  <si>
    <t>46_38505099</t>
  </si>
  <si>
    <t>62_33539261</t>
  </si>
  <si>
    <t>29_07546663</t>
  </si>
  <si>
    <t>09_17502670</t>
  </si>
  <si>
    <t>41_08544714</t>
  </si>
  <si>
    <t>27_21524034</t>
  </si>
  <si>
    <t>09_22511115</t>
  </si>
  <si>
    <t>deleted</t>
  </si>
  <si>
    <t>44_12549524</t>
  </si>
  <si>
    <t>09_27519652</t>
  </si>
  <si>
    <t>34_05533694</t>
  </si>
  <si>
    <t>04_14506707</t>
  </si>
  <si>
    <t>30_27543527</t>
  </si>
  <si>
    <t>cancelled</t>
  </si>
  <si>
    <t>27_37514459</t>
  </si>
  <si>
    <t>16_04518339</t>
  </si>
  <si>
    <t>24_06523815</t>
  </si>
  <si>
    <t>27_44504493</t>
  </si>
  <si>
    <t>CTII states too big, sent email to B&amp;D</t>
  </si>
  <si>
    <t>1222000095 </t>
  </si>
  <si>
    <t>36_48526328</t>
  </si>
  <si>
    <t>27_65533825</t>
  </si>
  <si>
    <t>30_27543916</t>
  </si>
  <si>
    <t>09_40505188</t>
  </si>
  <si>
    <t>1222000099 </t>
  </si>
  <si>
    <t>1222000126 </t>
  </si>
  <si>
    <t>1222000069 </t>
  </si>
  <si>
    <t>24_05518146</t>
  </si>
  <si>
    <t>1222000108 </t>
  </si>
  <si>
    <t>PU-372-0498775</t>
  </si>
  <si>
    <t>PU-372-0598334</t>
  </si>
  <si>
    <t>PU-372-0598500</t>
  </si>
  <si>
    <t>PU-372-0598500 RDC</t>
  </si>
  <si>
    <t>PU-372-0624082</t>
  </si>
  <si>
    <t>PU-372-0606383</t>
  </si>
  <si>
    <t>27_37514960</t>
  </si>
  <si>
    <t>30_01500663</t>
  </si>
  <si>
    <t>PU-372-0709276</t>
  </si>
  <si>
    <t>PU-372-0642942</t>
  </si>
  <si>
    <t>no response</t>
  </si>
  <si>
    <t>PU-372-0709277</t>
  </si>
  <si>
    <t>25_04540807</t>
  </si>
  <si>
    <t>PU-372-0709278</t>
  </si>
  <si>
    <t>25_87513224</t>
  </si>
  <si>
    <t>PU-372-0709279</t>
  </si>
  <si>
    <t>PU-372-0709280</t>
  </si>
  <si>
    <t>PU-372-0709281</t>
  </si>
  <si>
    <t>PU-372-0729029</t>
  </si>
  <si>
    <t>PU-372-0743611</t>
  </si>
  <si>
    <t>PU-372-0759939</t>
  </si>
  <si>
    <t>missed 3x</t>
  </si>
  <si>
    <t>PU-372-0832659</t>
  </si>
  <si>
    <t>PU-372-0812140</t>
  </si>
  <si>
    <t>missed</t>
  </si>
  <si>
    <t>47_08500920</t>
  </si>
  <si>
    <t>PU-372-0842012</t>
  </si>
  <si>
    <t xml:space="preserve">PU-372-0882710 </t>
  </si>
  <si>
    <t>not ready</t>
  </si>
  <si>
    <t>PU-372-0956548</t>
  </si>
  <si>
    <t>PU-372-0979129</t>
  </si>
  <si>
    <t>PU-372-0967120</t>
  </si>
  <si>
    <t>scheduled 2/14</t>
  </si>
  <si>
    <t>04_69537791</t>
  </si>
  <si>
    <t>PU-372-1016063</t>
  </si>
  <si>
    <t>21_09528034</t>
  </si>
  <si>
    <t>PU-372-1023500</t>
  </si>
  <si>
    <t xml:space="preserve">PU-372-1074260 </t>
  </si>
  <si>
    <t>PU-372-1189789</t>
  </si>
  <si>
    <t>3.267.50</t>
  </si>
  <si>
    <t>PU-372-1189896</t>
  </si>
  <si>
    <t>PU-372-1287756</t>
  </si>
  <si>
    <t>PU-372-1288428</t>
  </si>
  <si>
    <t>PU-372-1341604</t>
  </si>
  <si>
    <t>PU-372-1383023</t>
  </si>
  <si>
    <t>PU-372-1399276</t>
  </si>
  <si>
    <t>PU-372-1399892</t>
  </si>
  <si>
    <t>27_40518113</t>
  </si>
  <si>
    <t>PU-372-1440508</t>
  </si>
  <si>
    <t>PU-372-1458544</t>
  </si>
  <si>
    <t>PU-372-1475979</t>
  </si>
  <si>
    <t>PU-372-1556011</t>
  </si>
  <si>
    <t>PU-372-1669500</t>
  </si>
  <si>
    <t>PU-372-2647783</t>
  </si>
  <si>
    <t>PU-372-2727577 - 6/20</t>
  </si>
  <si>
    <t>PU-372-2728248</t>
  </si>
  <si>
    <t>PU-372-2778939</t>
  </si>
  <si>
    <t>PU-372-2865049</t>
  </si>
  <si>
    <t>sent 6/28 for 6/29 PU</t>
  </si>
  <si>
    <t>09_09549719</t>
  </si>
  <si>
    <t>41_01520534</t>
  </si>
  <si>
    <t>47_03523163</t>
  </si>
  <si>
    <t>44_15533450</t>
  </si>
  <si>
    <t>47_02530478</t>
  </si>
  <si>
    <t>resubmitted 6/29</t>
  </si>
  <si>
    <t>PU-372-2883908</t>
  </si>
  <si>
    <t>resubmitted for 7/1</t>
  </si>
  <si>
    <t>04_10517578</t>
  </si>
  <si>
    <t>61_77528742</t>
  </si>
  <si>
    <t>41_18534796</t>
  </si>
  <si>
    <t>PU-372-2897540</t>
  </si>
  <si>
    <t>19_50504338</t>
  </si>
  <si>
    <t>04_10518543</t>
  </si>
  <si>
    <t>84_08539487</t>
  </si>
  <si>
    <t>85_71517583</t>
  </si>
  <si>
    <t>66_52532219</t>
  </si>
  <si>
    <t>06_41542118</t>
  </si>
  <si>
    <t>PU-372-4451262</t>
  </si>
  <si>
    <t>PU-372-4472632</t>
  </si>
  <si>
    <t>PU-372-4330061</t>
  </si>
  <si>
    <t>PU-372-4388131</t>
  </si>
  <si>
    <t>PU-372-4439223</t>
  </si>
  <si>
    <t>PU-372-4369564</t>
  </si>
  <si>
    <t>PU-372-4370172</t>
  </si>
  <si>
    <t>PU-372-4388112</t>
  </si>
  <si>
    <t>47_48547941</t>
  </si>
  <si>
    <t>PU-372-4451863</t>
  </si>
  <si>
    <t>PU-372-4511493</t>
  </si>
  <si>
    <t>PU-372-4472551</t>
  </si>
  <si>
    <t>89_96517890</t>
  </si>
  <si>
    <t>PU-372-4536549</t>
  </si>
  <si>
    <t>PU-372-4554715</t>
  </si>
  <si>
    <t>PU-372-4574249</t>
  </si>
  <si>
    <t>PU-372-4574927</t>
  </si>
  <si>
    <t>PU-372-4598434</t>
  </si>
  <si>
    <t>41_20515857</t>
  </si>
  <si>
    <t>  1222117606</t>
  </si>
  <si>
    <t>  1222117613</t>
  </si>
  <si>
    <t>  1222118130</t>
  </si>
  <si>
    <t>  1222118145</t>
  </si>
  <si>
    <t>  1222118156</t>
  </si>
  <si>
    <t>  1222118158</t>
  </si>
  <si>
    <t>  1222118176</t>
  </si>
  <si>
    <t>  1222118187</t>
  </si>
  <si>
    <t>  1222118194</t>
  </si>
  <si>
    <t>  1222118202</t>
  </si>
  <si>
    <t>27_26513349</t>
  </si>
  <si>
    <t xml:space="preserve">PU-372-4634685. </t>
  </si>
  <si>
    <t>41_25510980</t>
  </si>
  <si>
    <t>41_60533164</t>
  </si>
  <si>
    <t>cancelled order</t>
  </si>
  <si>
    <t>PU-372-4554848</t>
  </si>
  <si>
    <t>HD.com</t>
  </si>
  <si>
    <t>PU-372-4649988</t>
  </si>
  <si>
    <t>PU-372-4660500</t>
  </si>
  <si>
    <t>RDC</t>
  </si>
  <si>
    <t>PU-372-4660501</t>
  </si>
  <si>
    <t>PU-372-4661948</t>
  </si>
  <si>
    <t>PU-372-4670638</t>
  </si>
  <si>
    <t>27_59504866</t>
  </si>
  <si>
    <t>need BOL</t>
  </si>
  <si>
    <t>41_25511239</t>
  </si>
  <si>
    <t>PU-372-4730932</t>
  </si>
  <si>
    <t>27_39523519</t>
  </si>
  <si>
    <t>PU-372-4848740</t>
  </si>
  <si>
    <t>41_10521745</t>
  </si>
  <si>
    <t>PU-372-4861672</t>
  </si>
  <si>
    <t>41_16511791</t>
  </si>
  <si>
    <t>PU-372-4903754</t>
  </si>
  <si>
    <t>PU-372-4946338</t>
  </si>
  <si>
    <t>PU-372-4946930</t>
  </si>
  <si>
    <t>PU-372-5018966</t>
  </si>
  <si>
    <t>27_54549890</t>
  </si>
  <si>
    <t>PU-372-5008964</t>
  </si>
  <si>
    <t>PU-372-5039779</t>
  </si>
  <si>
    <t>41_16512296</t>
  </si>
  <si>
    <t>PU-372-5046468</t>
  </si>
  <si>
    <t>PU-372-5117964</t>
  </si>
  <si>
    <t xml:space="preserve">PU-372-5118320 </t>
  </si>
  <si>
    <t>PU-372-5199823</t>
  </si>
  <si>
    <t>PU-372-5252332</t>
  </si>
  <si>
    <t>PU-372-5252361</t>
  </si>
  <si>
    <t>27_11522071</t>
  </si>
  <si>
    <t>41_80504270</t>
  </si>
  <si>
    <t>PU-372-5283106</t>
  </si>
  <si>
    <t>41_18541395</t>
  </si>
  <si>
    <t>PU-372-5365301</t>
  </si>
  <si>
    <t>27_03512306</t>
  </si>
  <si>
    <t>PU-372-5364917</t>
  </si>
  <si>
    <t>PU-372-5384447</t>
  </si>
  <si>
    <t>PU-372-5403263</t>
  </si>
  <si>
    <t>41_31503357</t>
  </si>
  <si>
    <t>PU-372-5461966</t>
  </si>
  <si>
    <t>PU-372-5462086</t>
  </si>
  <si>
    <t>27_33503107</t>
  </si>
  <si>
    <t>PU-372-5496829</t>
  </si>
  <si>
    <t>07739949</t>
  </si>
  <si>
    <t>PU-372-5533852</t>
  </si>
  <si>
    <t>27_39524286</t>
  </si>
  <si>
    <t>PU-372-5554316</t>
  </si>
  <si>
    <t>PU-372-5553923</t>
  </si>
  <si>
    <t>PU-372-5570720</t>
  </si>
  <si>
    <t>41_78548720</t>
  </si>
  <si>
    <t>PU-372-5589310</t>
  </si>
  <si>
    <t>PU-372-5589415</t>
  </si>
  <si>
    <t>PU-372-5620072</t>
  </si>
  <si>
    <t>PU-372-5620396</t>
  </si>
  <si>
    <t>07913063</t>
  </si>
  <si>
    <t>PU-372-5714512</t>
  </si>
  <si>
    <t>05924193</t>
  </si>
  <si>
    <t>PU-372-5714180</t>
  </si>
  <si>
    <t>PU-372-5714283</t>
  </si>
  <si>
    <t>  1232006122</t>
  </si>
  <si>
    <t>  1232007004</t>
  </si>
  <si>
    <t>  1232007016</t>
  </si>
  <si>
    <t>  1232007025</t>
  </si>
  <si>
    <t>  1232007043</t>
  </si>
  <si>
    <t>  1232007051</t>
  </si>
  <si>
    <t>  1232007071</t>
  </si>
  <si>
    <t>30_26514310</t>
  </si>
  <si>
    <t>39_02511005</t>
  </si>
  <si>
    <t>PU-372-5730908</t>
  </si>
  <si>
    <t>27_59506072</t>
  </si>
  <si>
    <t>08559735</t>
  </si>
  <si>
    <t>PU-372-5767492</t>
  </si>
  <si>
    <t>27_55506647</t>
  </si>
  <si>
    <t>PU-372-5767380</t>
  </si>
  <si>
    <t>PU-372-5823320</t>
  </si>
  <si>
    <t>PU-372-5823674</t>
  </si>
  <si>
    <t>01556341</t>
  </si>
  <si>
    <t>PU-372-5823663</t>
  </si>
  <si>
    <t>89_22526102</t>
  </si>
  <si>
    <t>PU-372-5843841</t>
  </si>
  <si>
    <t>07555219</t>
  </si>
  <si>
    <t xml:space="preserve">PU-372-5880434 </t>
  </si>
  <si>
    <t>41_88539258</t>
  </si>
  <si>
    <t>PU-372-5901763</t>
  </si>
  <si>
    <t>30_12514878</t>
  </si>
  <si>
    <t>PU-372-5902124</t>
  </si>
  <si>
    <t>PU-372-5919682</t>
  </si>
  <si>
    <t>PU-372-5920065</t>
  </si>
  <si>
    <t>PU-372-5939803</t>
  </si>
  <si>
    <t>PU-372-5940423</t>
  </si>
  <si>
    <t>07934547</t>
  </si>
  <si>
    <t>PU-372-5998553</t>
  </si>
  <si>
    <t>38_46546579</t>
  </si>
  <si>
    <t>PU-372-5998586</t>
  </si>
  <si>
    <t>27_55506926</t>
  </si>
  <si>
    <t>PU-372-6017718</t>
  </si>
  <si>
    <t>PU-372-6067309</t>
  </si>
  <si>
    <t>PU-372-6067253</t>
  </si>
  <si>
    <t>PU-372-6143935</t>
  </si>
  <si>
    <t>PU-372-6143947</t>
  </si>
  <si>
    <t>07945408</t>
  </si>
  <si>
    <t>PU-372-6256237</t>
  </si>
  <si>
    <t>PU-372-6254596</t>
  </si>
  <si>
    <t>PU-372-6346865</t>
  </si>
  <si>
    <t>PU-372-6436460</t>
  </si>
  <si>
    <t>PU-372-6436684</t>
  </si>
  <si>
    <t>PU-372-6448662</t>
  </si>
  <si>
    <t>PU-372-6991028</t>
  </si>
  <si>
    <t>PU-372-7001049</t>
  </si>
  <si>
    <t>23_06549338</t>
  </si>
  <si>
    <t>PU-372-7016825</t>
  </si>
  <si>
    <t>PU-372-7229999</t>
  </si>
  <si>
    <t> 1232041414</t>
  </si>
  <si>
    <t>PU-372-7230779</t>
  </si>
  <si>
    <t> 1232041424</t>
  </si>
  <si>
    <t>PU-372-7230798</t>
  </si>
  <si>
    <t>PU-372-7267311</t>
  </si>
  <si>
    <t>PU-372-7267477</t>
  </si>
  <si>
    <t>PU-372-7230731</t>
  </si>
  <si>
    <t>PU-372-7316103</t>
  </si>
  <si>
    <t xml:space="preserve">PU-372-7316340 </t>
  </si>
  <si>
    <t>PU-372-7363273</t>
  </si>
  <si>
    <t>PU-372-7534530</t>
  </si>
  <si>
    <t>PU-372-7692393</t>
  </si>
  <si>
    <t>1232051070 </t>
  </si>
  <si>
    <t>1232051075 </t>
  </si>
  <si>
    <t>1232051089 </t>
  </si>
  <si>
    <t>1232051094 </t>
  </si>
  <si>
    <t>1232051591 </t>
  </si>
  <si>
    <t>1232052466 </t>
  </si>
  <si>
    <t>PU-372-7717750</t>
  </si>
  <si>
    <t xml:space="preserve">PU-372-7788196 </t>
  </si>
  <si>
    <t>PU-372-7952824</t>
  </si>
  <si>
    <t>PU-372-8152940</t>
  </si>
  <si>
    <t>PU-372-8173295</t>
  </si>
  <si>
    <t>PU-372-8172991</t>
  </si>
  <si>
    <t>PU-372-8256777</t>
  </si>
  <si>
    <t>PU-372-8284038</t>
  </si>
  <si>
    <t>PU-372-8329132</t>
  </si>
  <si>
    <t>27_31522955</t>
  </si>
  <si>
    <t>PU-372-8428465</t>
  </si>
  <si>
    <t>PU-372-8483464</t>
  </si>
  <si>
    <t>PU-372-8499233</t>
  </si>
  <si>
    <t>PU-372-8606779</t>
  </si>
  <si>
    <t>PU-372-8629072</t>
  </si>
  <si>
    <t>PU-372-8632195</t>
  </si>
  <si>
    <t>PU-372-8865548</t>
  </si>
  <si>
    <t>PU-372-8887741</t>
  </si>
  <si>
    <t>PU-372-8910855</t>
  </si>
  <si>
    <t>PU-372-8887768</t>
  </si>
  <si>
    <t>PU-372-8997962</t>
  </si>
  <si>
    <t>PU-372-9066498</t>
  </si>
  <si>
    <t>PU-372-9159272</t>
  </si>
  <si>
    <t>PU-372-9193321</t>
  </si>
  <si>
    <t>PU-372-9193322</t>
  </si>
  <si>
    <t>PU-372-9257129</t>
  </si>
  <si>
    <t>PU-372-9257124</t>
  </si>
  <si>
    <t>PU-372-9486091</t>
  </si>
  <si>
    <t>PU-372-9547265</t>
  </si>
  <si>
    <t>PU-372-9563087</t>
  </si>
  <si>
    <t>PU-372-9627118</t>
  </si>
  <si>
    <t>PU-372-9693948</t>
  </si>
  <si>
    <t>PU-372-9723479</t>
  </si>
  <si>
    <t>PU-372-9743242</t>
  </si>
  <si>
    <t>PU-372-9914245</t>
  </si>
  <si>
    <t>PU-372-9946883</t>
  </si>
  <si>
    <t>PU-372-9946898</t>
  </si>
  <si>
    <t>PU-372-9971846</t>
  </si>
  <si>
    <t>PU-372-0002578</t>
  </si>
  <si>
    <t>03943994</t>
  </si>
  <si>
    <t>03943988</t>
  </si>
  <si>
    <t>PU-372-0030272</t>
  </si>
  <si>
    <t>PU-372-0030746</t>
  </si>
  <si>
    <t>03943992</t>
  </si>
  <si>
    <t>PU-372-0057052</t>
  </si>
  <si>
    <t>PU-372-0092641</t>
  </si>
  <si>
    <t>PU-372-0117137</t>
  </si>
  <si>
    <t>PU-372-0154646</t>
  </si>
  <si>
    <t>PU-372-0162168</t>
  </si>
  <si>
    <t>PU-372-0192529</t>
  </si>
  <si>
    <t>PU-372-0268605</t>
  </si>
  <si>
    <t>PU-372-0291818</t>
  </si>
  <si>
    <t>refusing</t>
  </si>
  <si>
    <t>PU-372-0323634</t>
  </si>
  <si>
    <t>01085</t>
  </si>
  <si>
    <t>PU-372-0432606</t>
  </si>
  <si>
    <t>PU-372-0491347</t>
  </si>
  <si>
    <t>PU-372-0520155</t>
  </si>
  <si>
    <t>PU-372-0544345</t>
  </si>
  <si>
    <t>PU-372-0647840</t>
  </si>
  <si>
    <t>PU-372-0672408</t>
  </si>
  <si>
    <t>PU-372-0699345</t>
  </si>
  <si>
    <t>PU-372-0770795</t>
  </si>
  <si>
    <t>resent</t>
  </si>
  <si>
    <t>PU-372-0829926</t>
  </si>
  <si>
    <t>PU-372-0803329</t>
  </si>
  <si>
    <t>PU-372-0896331</t>
  </si>
  <si>
    <t>PU-372-0930192</t>
  </si>
  <si>
    <t>PU-372-0954321</t>
  </si>
  <si>
    <t>PU-372-0953678</t>
  </si>
  <si>
    <t>PU-372-0977198</t>
  </si>
  <si>
    <t>PU-372-1019309</t>
  </si>
  <si>
    <t>PU-372-1169638</t>
  </si>
  <si>
    <t>PU-372-1252858</t>
  </si>
  <si>
    <t>PU-372-1378852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</si>
</sst>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&lt;=9999999]###\-####;\(###\)\ ###\-####"/>
    <numFmt numFmtId="165" formatCode="mm/dd/yy;@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222222"/>
      <name val="Calibri"/>
      <family val="2"/>
      <scheme val="minor"/>
    </font>
    <font>
      <b/>
      <sz val="10"/>
      <color rgb="FF000000"/>
      <name val="Segoe U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9"/>
      <color rgb="FF000000"/>
      <name val="Segoe UI"/>
      <family val="2"/>
    </font>
    <font>
      <sz val="10"/>
      <color rgb="FF000000"/>
      <name val="Segoe UI"/>
      <family val="2"/>
    </font>
    <font>
      <b/>
      <sz val="11"/>
      <color rgb="FFFF0000"/>
      <name val="Calibri"/>
      <family val="2"/>
    </font>
    <font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D1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BF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A3E7FF"/>
        <bgColor indexed="64"/>
      </patternFill>
    </fill>
    <fill>
      <patternFill patternType="solid">
        <fgColor rgb="FFC5F0FF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CC99FF"/>
      </left>
      <right style="medium">
        <color rgb="FFCC99FF"/>
      </right>
      <top style="medium">
        <color rgb="FFCC99FF"/>
      </top>
      <bottom style="medium">
        <color rgb="FFCC99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0">
    <xf numFmtId="0" fontId="0" fillId="0" borderId="0" xfId="0"/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2" borderId="0" xfId="0" applyFill="1"/>
    <xf numFmtId="4" fontId="0" fillId="0" borderId="0" xfId="0" applyNumberFormat="1"/>
    <xf numFmtId="0" fontId="1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4" fontId="3" fillId="0" borderId="1" xfId="0" applyNumberFormat="1" applyFont="1" applyBorder="1" applyAlignment="1">
      <alignment vertical="center"/>
    </xf>
    <xf numFmtId="164" fontId="3" fillId="0" borderId="1" xfId="1" applyNumberFormat="1" applyFont="1" applyFill="1" applyBorder="1" applyAlignment="1">
      <alignment vertical="center"/>
    </xf>
    <xf numFmtId="164" fontId="3" fillId="0" borderId="1" xfId="0" applyNumberFormat="1" applyFont="1" applyBorder="1" applyAlignment="1">
      <alignment vertical="center" wrapText="1"/>
    </xf>
    <xf numFmtId="164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 vertical="center"/>
    </xf>
    <xf numFmtId="0" fontId="0" fillId="3" borderId="1" xfId="0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165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4" fontId="0" fillId="4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left"/>
    </xf>
    <xf numFmtId="0" fontId="8" fillId="4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1" fontId="8" fillId="5" borderId="1" xfId="0" applyNumberFormat="1" applyFont="1" applyFill="1" applyBorder="1" applyAlignment="1">
      <alignment horizontal="left"/>
    </xf>
    <xf numFmtId="1" fontId="0" fillId="5" borderId="1" xfId="0" applyNumberFormat="1" applyFill="1" applyBorder="1" applyAlignment="1">
      <alignment horizontal="left"/>
    </xf>
    <xf numFmtId="1" fontId="0" fillId="5" borderId="0" xfId="0" applyNumberFormat="1" applyFill="1" applyAlignment="1">
      <alignment horizontal="left"/>
    </xf>
    <xf numFmtId="0" fontId="0" fillId="0" borderId="3" xfId="0" applyBorder="1"/>
    <xf numFmtId="4" fontId="0" fillId="0" borderId="3" xfId="0" applyNumberFormat="1" applyBorder="1"/>
    <xf numFmtId="49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0" fontId="0" fillId="7" borderId="0" xfId="0" applyFill="1"/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 applyAlignment="1">
      <alignment horizontal="center"/>
    </xf>
    <xf numFmtId="165" fontId="0" fillId="9" borderId="1" xfId="0" applyNumberFormat="1" applyFill="1" applyBorder="1" applyAlignment="1">
      <alignment horizontal="center"/>
    </xf>
    <xf numFmtId="0" fontId="0" fillId="5" borderId="4" xfId="0" applyFill="1" applyBorder="1" applyAlignment="1">
      <alignment horizontal="left"/>
    </xf>
    <xf numFmtId="0" fontId="0" fillId="9" borderId="4" xfId="0" applyFill="1" applyBorder="1" applyAlignment="1">
      <alignment horizontal="left"/>
    </xf>
    <xf numFmtId="0" fontId="0" fillId="9" borderId="4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5" xfId="0" applyNumberFormat="1" applyFill="1" applyBorder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2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49" fontId="0" fillId="5" borderId="1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1" borderId="7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8" fillId="5" borderId="1" xfId="0" applyFont="1" applyFill="1" applyBorder="1" applyAlignment="1">
      <alignment horizontal="left"/>
    </xf>
    <xf numFmtId="0" fontId="8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13" borderId="1" xfId="0" applyFill="1" applyBorder="1" applyAlignment="1">
      <alignment horizontal="left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3" fontId="0" fillId="0" borderId="0" xfId="0" applyNumberFormat="1"/>
    <xf numFmtId="0" fontId="0" fillId="13" borderId="0" xfId="0" applyFill="1" applyAlignment="1">
      <alignment horizontal="left"/>
    </xf>
    <xf numFmtId="0" fontId="0" fillId="11" borderId="1" xfId="0" applyFill="1" applyBorder="1" applyAlignment="1">
      <alignment horizontal="center"/>
    </xf>
    <xf numFmtId="166" fontId="0" fillId="0" borderId="0" xfId="0" applyNumberFormat="1"/>
    <xf numFmtId="0" fontId="0" fillId="14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4" borderId="1" xfId="0" applyFill="1" applyBorder="1" applyAlignment="1">
      <alignment horizontal="right"/>
    </xf>
    <xf numFmtId="0" fontId="0" fillId="15" borderId="1" xfId="0" applyFill="1" applyBorder="1" applyAlignment="1">
      <alignment horizontal="left"/>
    </xf>
    <xf numFmtId="0" fontId="0" fillId="15" borderId="1" xfId="0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6" borderId="1" xfId="0" applyFill="1" applyBorder="1" applyAlignment="1">
      <alignment horizontal="left"/>
    </xf>
    <xf numFmtId="0" fontId="0" fillId="9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5" borderId="8" xfId="0" applyFill="1" applyBorder="1" applyAlignment="1">
      <alignment horizontal="left"/>
    </xf>
    <xf numFmtId="0" fontId="0" fillId="15" borderId="8" xfId="0" applyFill="1" applyBorder="1" applyAlignment="1">
      <alignment horizontal="center"/>
    </xf>
    <xf numFmtId="165" fontId="0" fillId="15" borderId="8" xfId="0" applyNumberFormat="1" applyFill="1" applyBorder="1" applyAlignment="1">
      <alignment horizontal="center"/>
    </xf>
    <xf numFmtId="0" fontId="1" fillId="17" borderId="1" xfId="0" applyFont="1" applyFill="1" applyBorder="1" applyAlignment="1">
      <alignment horizontal="left" vertical="center"/>
    </xf>
    <xf numFmtId="164" fontId="3" fillId="17" borderId="1" xfId="0" applyNumberFormat="1" applyFont="1" applyFill="1" applyBorder="1" applyAlignment="1">
      <alignment vertical="center"/>
    </xf>
    <xf numFmtId="0" fontId="5" fillId="17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1" fillId="17" borderId="1" xfId="0" applyFont="1" applyFill="1" applyBorder="1"/>
    <xf numFmtId="164" fontId="1" fillId="17" borderId="1" xfId="0" applyNumberFormat="1" applyFont="1" applyFill="1" applyBorder="1"/>
    <xf numFmtId="0" fontId="0" fillId="15" borderId="0" xfId="0" applyFill="1"/>
    <xf numFmtId="0" fontId="0" fillId="18" borderId="1" xfId="0" applyFill="1" applyBorder="1" applyAlignment="1">
      <alignment horizontal="center"/>
    </xf>
    <xf numFmtId="0" fontId="0" fillId="0" borderId="0" xfId="0" applyAlignment="1">
      <alignment horizontal="right"/>
    </xf>
    <xf numFmtId="166" fontId="0" fillId="0" borderId="0" xfId="0" applyNumberFormat="1" applyAlignment="1">
      <alignment horizontal="right"/>
    </xf>
    <xf numFmtId="0" fontId="1" fillId="0" borderId="0" xfId="0" applyFont="1"/>
    <xf numFmtId="0" fontId="1" fillId="0" borderId="1" xfId="0" applyFont="1" applyBorder="1"/>
    <xf numFmtId="0" fontId="0" fillId="14" borderId="4" xfId="0" applyFill="1" applyBorder="1" applyAlignment="1">
      <alignment horizontal="center"/>
    </xf>
    <xf numFmtId="49" fontId="0" fillId="14" borderId="1" xfId="0" applyNumberFormat="1" applyFill="1" applyBorder="1" applyAlignment="1">
      <alignment horizontal="center"/>
    </xf>
    <xf numFmtId="0" fontId="3" fillId="17" borderId="1" xfId="0" applyFont="1" applyFill="1" applyBorder="1" applyAlignment="1">
      <alignment horizontal="left" vertical="center"/>
    </xf>
    <xf numFmtId="2" fontId="0" fillId="0" borderId="0" xfId="0" applyNumberFormat="1"/>
    <xf numFmtId="0" fontId="0" fillId="11" borderId="0" xfId="0" applyFill="1"/>
    <xf numFmtId="1" fontId="0" fillId="0" borderId="0" xfId="0" applyNumberFormat="1"/>
    <xf numFmtId="2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7" fillId="17" borderId="1" xfId="0" applyFont="1" applyFill="1" applyBorder="1"/>
    <xf numFmtId="164" fontId="3" fillId="17" borderId="1" xfId="1" applyNumberFormat="1" applyFont="1" applyFill="1" applyBorder="1" applyAlignment="1">
      <alignment vertical="center" wrapText="1"/>
    </xf>
    <xf numFmtId="0" fontId="5" fillId="0" borderId="0" xfId="0" applyFont="1"/>
    <xf numFmtId="0" fontId="10" fillId="17" borderId="1" xfId="0" applyFont="1" applyFill="1" applyBorder="1"/>
    <xf numFmtId="2" fontId="0" fillId="0" borderId="1" xfId="0" applyNumberFormat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/>
    <xf numFmtId="2" fontId="0" fillId="6" borderId="1" xfId="0" applyNumberFormat="1" applyFill="1" applyBorder="1" applyAlignment="1">
      <alignment horizontal="center"/>
    </xf>
    <xf numFmtId="2" fontId="0" fillId="9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8" fillId="5" borderId="1" xfId="0" applyNumberFormat="1" applyFont="1" applyFill="1" applyBorder="1" applyAlignment="1">
      <alignment horizontal="center"/>
    </xf>
    <xf numFmtId="2" fontId="0" fillId="13" borderId="1" xfId="0" applyNumberForma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2" fontId="0" fillId="15" borderId="8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3" fillId="17" borderId="1" xfId="1" applyNumberFormat="1" applyFont="1" applyFill="1" applyBorder="1" applyAlignment="1">
      <alignment vertical="center"/>
    </xf>
    <xf numFmtId="0" fontId="0" fillId="19" borderId="1" xfId="0" applyFill="1" applyBorder="1" applyAlignment="1">
      <alignment horizontal="center"/>
    </xf>
    <xf numFmtId="165" fontId="8" fillId="5" borderId="0" xfId="0" applyNumberFormat="1" applyFont="1" applyFill="1" applyAlignment="1">
      <alignment horizontal="center"/>
    </xf>
    <xf numFmtId="165" fontId="0" fillId="14" borderId="0" xfId="0" applyNumberFormat="1" applyFill="1" applyAlignment="1">
      <alignment horizontal="center"/>
    </xf>
    <xf numFmtId="0" fontId="0" fillId="20" borderId="0" xfId="0" applyFill="1"/>
    <xf numFmtId="164" fontId="1" fillId="0" borderId="1" xfId="0" applyNumberFormat="1" applyFont="1" applyBorder="1"/>
    <xf numFmtId="0" fontId="7" fillId="0" borderId="1" xfId="0" applyFont="1" applyBorder="1"/>
    <xf numFmtId="166" fontId="0" fillId="11" borderId="0" xfId="0" applyNumberFormat="1" applyFill="1"/>
    <xf numFmtId="0" fontId="0" fillId="11" borderId="6" xfId="0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165" fontId="0" fillId="22" borderId="1" xfId="0" applyNumberFormat="1" applyFill="1" applyBorder="1" applyAlignment="1">
      <alignment horizontal="center"/>
    </xf>
    <xf numFmtId="2" fontId="0" fillId="22" borderId="1" xfId="0" applyNumberFormat="1" applyFill="1" applyBorder="1" applyAlignment="1">
      <alignment horizontal="center"/>
    </xf>
    <xf numFmtId="0" fontId="0" fillId="11" borderId="0" xfId="0" applyFill="1" applyAlignment="1">
      <alignment horizontal="left"/>
    </xf>
    <xf numFmtId="2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0" fillId="20" borderId="0" xfId="0" applyFill="1" applyAlignment="1">
      <alignment horizontal="left"/>
    </xf>
    <xf numFmtId="3" fontId="0" fillId="11" borderId="0" xfId="0" applyNumberFormat="1" applyFill="1"/>
    <xf numFmtId="3" fontId="0" fillId="20" borderId="0" xfId="0" applyNumberFormat="1" applyFill="1"/>
    <xf numFmtId="3" fontId="0" fillId="7" borderId="0" xfId="0" applyNumberFormat="1" applyFill="1"/>
    <xf numFmtId="0" fontId="4" fillId="0" borderId="1" xfId="1" applyBorder="1" applyAlignment="1">
      <alignment horizontal="left" vertical="center"/>
    </xf>
    <xf numFmtId="0" fontId="4" fillId="0" borderId="0" xfId="1"/>
    <xf numFmtId="164" fontId="4" fillId="0" borderId="1" xfId="1" applyNumberFormat="1" applyBorder="1" applyAlignment="1">
      <alignment vertical="center"/>
    </xf>
    <xf numFmtId="0" fontId="4" fillId="0" borderId="0" xfId="1" applyAlignment="1">
      <alignment vertical="center"/>
    </xf>
    <xf numFmtId="0" fontId="7" fillId="0" borderId="0" xfId="0" applyFont="1"/>
    <xf numFmtId="0" fontId="11" fillId="0" borderId="0" xfId="0" applyFont="1"/>
    <xf numFmtId="0" fontId="1" fillId="23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164" fontId="3" fillId="23" borderId="1" xfId="0" applyNumberFormat="1" applyFont="1" applyFill="1" applyBorder="1" applyAlignment="1">
      <alignment vertical="center"/>
    </xf>
    <xf numFmtId="0" fontId="1" fillId="23" borderId="1" xfId="0" applyFont="1" applyFill="1" applyBorder="1" applyAlignment="1">
      <alignment horizontal="center" vertical="center" wrapText="1"/>
    </xf>
    <xf numFmtId="0" fontId="12" fillId="23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164" fontId="3" fillId="16" borderId="1" xfId="0" applyNumberFormat="1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center" vertical="center"/>
    </xf>
    <xf numFmtId="164" fontId="1" fillId="16" borderId="1" xfId="0" applyNumberFormat="1" applyFont="1" applyFill="1" applyBorder="1" applyAlignment="1">
      <alignment vertical="center"/>
    </xf>
    <xf numFmtId="0" fontId="1" fillId="16" borderId="1" xfId="0" applyFont="1" applyFill="1" applyBorder="1" applyAlignment="1">
      <alignment horizontal="center" vertical="center"/>
    </xf>
    <xf numFmtId="0" fontId="13" fillId="16" borderId="1" xfId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23" borderId="1" xfId="0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14" fillId="0" borderId="1" xfId="1" applyFont="1" applyBorder="1" applyAlignment="1">
      <alignment horizontal="left" vertical="center"/>
    </xf>
    <xf numFmtId="0" fontId="14" fillId="0" borderId="0" xfId="1" applyFont="1"/>
    <xf numFmtId="0" fontId="14" fillId="0" borderId="1" xfId="1" applyFont="1" applyBorder="1"/>
    <xf numFmtId="0" fontId="15" fillId="16" borderId="1" xfId="1" applyFont="1" applyFill="1" applyBorder="1" applyAlignment="1">
      <alignment horizontal="left" vertical="center"/>
    </xf>
    <xf numFmtId="0" fontId="4" fillId="23" borderId="0" xfId="1" applyFill="1" applyAlignment="1">
      <alignment vertical="center"/>
    </xf>
    <xf numFmtId="0" fontId="1" fillId="0" borderId="0" xfId="0" applyFont="1" applyAlignment="1">
      <alignment horizontal="left" vertical="center"/>
    </xf>
    <xf numFmtId="0" fontId="4" fillId="0" borderId="0" xfId="1" applyAlignment="1">
      <alignment vertical="center" wrapText="1"/>
    </xf>
    <xf numFmtId="0" fontId="1" fillId="2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5050"/>
      <color rgb="FFFF6699"/>
      <color rgb="FFFFE5FF"/>
      <color rgb="FFC5F0FF"/>
      <color rgb="FFEAF3FA"/>
      <color rgb="FFFFFF99"/>
      <color rgb="FFCCFF99"/>
      <color rgb="FFFFFFCC"/>
      <color rgb="FFA3E7FF"/>
      <color rgb="FFFF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jordunez@ptl-inc.com" TargetMode="External"/><Relationship Id="rId18" Type="http://schemas.openxmlformats.org/officeDocument/2006/relationships/hyperlink" Target="mailto:Erin_Pugh@Swifttrans.com" TargetMode="External"/><Relationship Id="rId26" Type="http://schemas.openxmlformats.org/officeDocument/2006/relationships/hyperlink" Target="mailto:HOMEDEPOT@TRANSPORTATIONONE.COM" TargetMode="External"/><Relationship Id="rId39" Type="http://schemas.openxmlformats.org/officeDocument/2006/relationships/hyperlink" Target="mailto:Danielle.Zabel@roehl.net" TargetMode="External"/><Relationship Id="rId21" Type="http://schemas.openxmlformats.org/officeDocument/2006/relationships/hyperlink" Target="mailto:ASTIGALL@hubgroup.com" TargetMode="External"/><Relationship Id="rId34" Type="http://schemas.openxmlformats.org/officeDocument/2006/relationships/hyperlink" Target="mailto:homedepot@kirschtrans.com" TargetMode="External"/><Relationship Id="rId7" Type="http://schemas.openxmlformats.org/officeDocument/2006/relationships/hyperlink" Target="mailto:hdtracking@shipenergy.com" TargetMode="External"/><Relationship Id="rId12" Type="http://schemas.openxmlformats.org/officeDocument/2006/relationships/hyperlink" Target="mailto:homedepot@ptl-inc.com" TargetMode="External"/><Relationship Id="rId17" Type="http://schemas.openxmlformats.org/officeDocument/2006/relationships/hyperlink" Target="mailto:gaspeitia@westernflyerexpress.com" TargetMode="External"/><Relationship Id="rId25" Type="http://schemas.openxmlformats.org/officeDocument/2006/relationships/hyperlink" Target="mailto:thdsoutheast@hubgroup.com" TargetMode="External"/><Relationship Id="rId33" Type="http://schemas.openxmlformats.org/officeDocument/2006/relationships/hyperlink" Target="mailto:grantm@kirschtrans.com" TargetMode="External"/><Relationship Id="rId38" Type="http://schemas.openxmlformats.org/officeDocument/2006/relationships/hyperlink" Target="mailto:kayleigh.parks@epeslogistics.com" TargetMode="External"/><Relationship Id="rId2" Type="http://schemas.openxmlformats.org/officeDocument/2006/relationships/hyperlink" Target="tel:1-866-312-1314" TargetMode="External"/><Relationship Id="rId16" Type="http://schemas.openxmlformats.org/officeDocument/2006/relationships/hyperlink" Target="mailto:TeamOrange@hubgroup.com" TargetMode="External"/><Relationship Id="rId20" Type="http://schemas.openxmlformats.org/officeDocument/2006/relationships/hyperlink" Target="mailto:BostedtJ@schneider.com" TargetMode="External"/><Relationship Id="rId29" Type="http://schemas.openxmlformats.org/officeDocument/2006/relationships/hyperlink" Target="mailto:HOMEDEPOT@STLTRUCKERS.COM" TargetMode="External"/><Relationship Id="rId1" Type="http://schemas.openxmlformats.org/officeDocument/2006/relationships/hyperlink" Target="https://www.google.com/search?ei=sm-yWs-GFIvSjwStz5SoDw&amp;q=landstar+jacksonville+fl+phone+number&amp;oq=landstar+ranger+phone+number&amp;gs_l=psy-ab.1.1.0i71k1l8.0.0.0.9200.0.0.0.0.0.0.0.0..0.0....0...1c..64.psy-ab..0.0.0....0.WA7KG4T2SWc" TargetMode="External"/><Relationship Id="rId6" Type="http://schemas.openxmlformats.org/officeDocument/2006/relationships/hyperlink" Target="https://www.google.com/search?ei=xSm3XLLmKpGWtQX39oPQAw&amp;q=xpo+logistics++llc+chicago&amp;oq=xpo+logistics++llc+chicago&amp;gs_l=psy-ab.3...1646.2561..3260...0.0..0.100.655.6j1......0....1..gws-wiz.......0i71j0i7i30.JgjAgjMYq5g" TargetMode="External"/><Relationship Id="rId11" Type="http://schemas.openxmlformats.org/officeDocument/2006/relationships/hyperlink" Target="mailto:CSRetailResponse@schneider.com" TargetMode="External"/><Relationship Id="rId24" Type="http://schemas.openxmlformats.org/officeDocument/2006/relationships/hyperlink" Target="mailto:nthomas@zummapp.com" TargetMode="External"/><Relationship Id="rId32" Type="http://schemas.openxmlformats.org/officeDocument/2006/relationships/hyperlink" Target="mailto:kbaldwin@arrivelogistics.com" TargetMode="External"/><Relationship Id="rId37" Type="http://schemas.openxmlformats.org/officeDocument/2006/relationships/hyperlink" Target="mailto:adam@stltruckers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tel:+1-866-281-1281" TargetMode="External"/><Relationship Id="rId15" Type="http://schemas.openxmlformats.org/officeDocument/2006/relationships/hyperlink" Target="mailto:centralacct5@swifttrans.com" TargetMode="External"/><Relationship Id="rId23" Type="http://schemas.openxmlformats.org/officeDocument/2006/relationships/hyperlink" Target="mailto:acarlos@zuumapp.com" TargetMode="External"/><Relationship Id="rId28" Type="http://schemas.openxmlformats.org/officeDocument/2006/relationships/hyperlink" Target="mailto:kreader@transportationone.com" TargetMode="External"/><Relationship Id="rId36" Type="http://schemas.openxmlformats.org/officeDocument/2006/relationships/hyperlink" Target="mailto:Andrea.Rocha@cfidrive.com" TargetMode="External"/><Relationship Id="rId10" Type="http://schemas.openxmlformats.org/officeDocument/2006/relationships/hyperlink" Target="mailto:homedepot@unilinktransportation.com" TargetMode="External"/><Relationship Id="rId19" Type="http://schemas.openxmlformats.org/officeDocument/2006/relationships/hyperlink" Target="mailto:Timothy_Oleson@Swifttrans.com" TargetMode="External"/><Relationship Id="rId31" Type="http://schemas.openxmlformats.org/officeDocument/2006/relationships/hyperlink" Target="mailto:mmaass@arrivelogistics.com" TargetMode="External"/><Relationship Id="rId4" Type="http://schemas.openxmlformats.org/officeDocument/2006/relationships/hyperlink" Target="https://www.google.com/search?ei=PTyVXMnmDsKusAWt-LjgBA&amp;q=new%20penn%20LTL%20LOCATION&amp;oq=new+penn+LTL+LOCATION&amp;gs_l=psy-ab.3..33i299.5970.9152..9506...0.0..0.111.1315.12j3......0....1..gws-wiz.......0i71j33i160j0j0i22i30.9z0J6fso7UI&amp;npsic=0&amp;rflfq=1&amp;rlha=0&amp;rllag=39851326,-78250946,173919&amp;tbm=lcl&amp;rldimm=2487421160854447867&amp;lqi=ChVuZXcgcGVubiBMVEwgTE9DQVRJT04iA4gBAQ&amp;ved=2ahUKEwj33ZPBwpbhAhVRiqwKHU6FAZsQvS4wBHoECAoQFw&amp;rldoc=1&amp;tbs=lrf:!2m1!1e3!3sIAE,lf:1,lf_ui:4" TargetMode="External"/><Relationship Id="rId9" Type="http://schemas.openxmlformats.org/officeDocument/2006/relationships/hyperlink" Target="mailto:centralacct5@swifttrans.com" TargetMode="External"/><Relationship Id="rId14" Type="http://schemas.openxmlformats.org/officeDocument/2006/relationships/hyperlink" Target="mailto:atate@heartlandexpress.com" TargetMode="External"/><Relationship Id="rId22" Type="http://schemas.openxmlformats.org/officeDocument/2006/relationships/hyperlink" Target="mailto:EmilyFerrell@HubGroup.com" TargetMode="External"/><Relationship Id="rId27" Type="http://schemas.openxmlformats.org/officeDocument/2006/relationships/hyperlink" Target="mailto:HOMEDEPOT@TRANSPORTATIONONE.COM" TargetMode="External"/><Relationship Id="rId30" Type="http://schemas.openxmlformats.org/officeDocument/2006/relationships/hyperlink" Target="mailto:david@stltruckers.com" TargetMode="External"/><Relationship Id="rId35" Type="http://schemas.openxmlformats.org/officeDocument/2006/relationships/hyperlink" Target="mailto:donnab@kirschtrans.com" TargetMode="External"/><Relationship Id="rId8" Type="http://schemas.openxmlformats.org/officeDocument/2006/relationships/hyperlink" Target="mailto:homedepotimc@swifttrans.com" TargetMode="External"/><Relationship Id="rId3" Type="http://schemas.openxmlformats.org/officeDocument/2006/relationships/hyperlink" Target="https://www.google.com/search?q=TCW+Nashville&amp;stick=H4sIAAAAAAAAAONgecSYyy3w8sc9YamUSWtOXmOM4-IKzsgvd80rySypFArgYoOyVLgEpXj10_UNDZPMCg2zjbMLNBik-LlQhaQUlLh4A_x6RUXlmLzPaAlx_rRfma-cltIhyD_h9oeP3q-VeQC8m_N9cgAAAA&amp;sa=X&amp;ved=2ahUKEwi3k9rQ2o3dAhUKPa0KHTRNDQQQ6RMwC3oECAYQBA&amp;biw=1920&amp;bih=93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TP142"/>
  <sheetViews>
    <sheetView tabSelected="1" topLeftCell="A89" zoomScaleNormal="100" workbookViewId="0">
      <selection activeCell="E108" sqref="E108"/>
    </sheetView>
  </sheetViews>
  <sheetFormatPr defaultRowHeight="14.4" x14ac:dyDescent="0.3"/>
  <cols>
    <col min="1" max="1" width="10.33203125" style="2" customWidth="1"/>
    <col min="2" max="2" width="28" style="2" customWidth="1"/>
    <col min="3" max="3" width="14.6640625" style="15" hidden="1" customWidth="1"/>
    <col min="4" max="4" width="60.33203125" style="2" hidden="1" customWidth="1"/>
    <col min="5" max="5" width="6.88671875" style="1" customWidth="1"/>
    <col min="6" max="6" width="5.6640625" style="126" bestFit="1" customWidth="1"/>
    <col min="7" max="7" width="43.88671875" style="2" customWidth="1"/>
    <col min="8" max="8" width="34.6640625" style="187" bestFit="1" customWidth="1"/>
    <col min="9" max="9" width="31.5546875" style="2" bestFit="1" customWidth="1"/>
    <col min="10" max="10" width="33.88671875" style="2" customWidth="1"/>
    <col min="11" max="11" width="29.5546875" style="2" bestFit="1" customWidth="1"/>
    <col min="12" max="525" width="8.6640625" style="2" customWidth="1"/>
    <col min="526" max="12282" width="8.6640625" style="2"/>
    <col min="12283" max="16084" width="0" style="2" hidden="1" customWidth="1"/>
    <col min="16085" max="16383" width="8.6640625" style="2"/>
    <col min="16384" max="16384" width="8.6640625" style="2" customWidth="1"/>
  </cols>
  <sheetData>
    <row r="1" spans="1:11" x14ac:dyDescent="0.3">
      <c r="A1" s="2" t="s">
        <v>0</v>
      </c>
      <c r="B1" s="2" t="s">
        <v>1</v>
      </c>
      <c r="C1" s="15" t="s">
        <v>2</v>
      </c>
      <c r="D1" s="2" t="s">
        <v>3</v>
      </c>
      <c r="E1" s="1" t="s">
        <v>4</v>
      </c>
      <c r="F1" s="122" t="s">
        <v>5</v>
      </c>
      <c r="G1" s="2" t="s">
        <v>6</v>
      </c>
      <c r="H1" s="187" t="s">
        <v>7</v>
      </c>
      <c r="I1" s="2" t="s">
        <v>8</v>
      </c>
    </row>
    <row r="2" spans="1:11" x14ac:dyDescent="0.3">
      <c r="A2" s="102" t="s">
        <v>9</v>
      </c>
      <c r="B2" s="102" t="s">
        <v>10</v>
      </c>
      <c r="C2" s="103" t="s">
        <v>11</v>
      </c>
      <c r="D2" s="104" t="s">
        <v>12</v>
      </c>
      <c r="E2" s="105">
        <v>43564</v>
      </c>
      <c r="F2" s="123" t="s">
        <v>13</v>
      </c>
      <c r="G2" s="114" t="s">
        <v>14</v>
      </c>
      <c r="H2" s="188" t="s">
        <v>15</v>
      </c>
    </row>
    <row r="3" spans="1:11" x14ac:dyDescent="0.3">
      <c r="A3" s="102" t="s">
        <v>16</v>
      </c>
      <c r="B3" s="102" t="s">
        <v>17</v>
      </c>
      <c r="C3" s="103" t="s">
        <v>18</v>
      </c>
      <c r="D3" s="102" t="s">
        <v>19</v>
      </c>
      <c r="E3" s="105">
        <v>55153</v>
      </c>
      <c r="F3" s="123" t="s">
        <v>13</v>
      </c>
      <c r="G3" s="2" t="s">
        <v>20</v>
      </c>
    </row>
    <row r="4" spans="1:11" x14ac:dyDescent="0.3">
      <c r="A4" s="2" t="s">
        <v>21</v>
      </c>
      <c r="B4" s="2" t="s">
        <v>22</v>
      </c>
      <c r="C4" s="15" t="s">
        <v>23</v>
      </c>
      <c r="D4" s="2" t="s">
        <v>24</v>
      </c>
      <c r="E4" s="1">
        <v>43559</v>
      </c>
      <c r="F4" s="126" t="s">
        <v>25</v>
      </c>
      <c r="G4" s="113" t="s">
        <v>26</v>
      </c>
    </row>
    <row r="5" spans="1:11" x14ac:dyDescent="0.3">
      <c r="A5" s="2" t="s">
        <v>27</v>
      </c>
      <c r="B5" s="3" t="s">
        <v>28</v>
      </c>
      <c r="C5" s="15" t="s">
        <v>29</v>
      </c>
      <c r="D5" s="3" t="s">
        <v>30</v>
      </c>
      <c r="E5" s="1" t="s">
        <v>31</v>
      </c>
      <c r="F5" s="122"/>
    </row>
    <row r="6" spans="1:11" x14ac:dyDescent="0.3">
      <c r="A6" s="2" t="s">
        <v>32</v>
      </c>
      <c r="B6" s="3" t="s">
        <v>33</v>
      </c>
      <c r="C6" s="15" t="s">
        <v>34</v>
      </c>
      <c r="D6" s="2" t="s">
        <v>35</v>
      </c>
      <c r="E6" s="1">
        <v>49297</v>
      </c>
      <c r="F6" s="122"/>
    </row>
    <row r="7" spans="1:11" hidden="1" x14ac:dyDescent="0.3">
      <c r="A7" s="102" t="s">
        <v>36</v>
      </c>
      <c r="B7" s="102" t="s">
        <v>37</v>
      </c>
      <c r="C7" s="103"/>
      <c r="D7" s="102"/>
      <c r="E7" s="105" t="s">
        <v>38</v>
      </c>
      <c r="F7" s="123" t="s">
        <v>39</v>
      </c>
      <c r="G7" s="114" t="s">
        <v>40</v>
      </c>
      <c r="H7" s="187" t="s">
        <v>41</v>
      </c>
    </row>
    <row r="8" spans="1:11" x14ac:dyDescent="0.3">
      <c r="A8" s="2" t="s">
        <v>42</v>
      </c>
      <c r="B8" s="131" t="s">
        <v>43</v>
      </c>
      <c r="C8" s="15" t="s">
        <v>44</v>
      </c>
      <c r="D8" s="2" t="s">
        <v>45</v>
      </c>
      <c r="E8" s="1">
        <v>53231</v>
      </c>
      <c r="F8" s="122"/>
      <c r="G8" s="114" t="s">
        <v>46</v>
      </c>
      <c r="H8" s="187" t="s">
        <v>47</v>
      </c>
    </row>
    <row r="9" spans="1:11" x14ac:dyDescent="0.3">
      <c r="A9" s="102" t="s">
        <v>48</v>
      </c>
      <c r="B9" s="102" t="s">
        <v>49</v>
      </c>
      <c r="C9" s="103" t="s">
        <v>50</v>
      </c>
      <c r="D9" s="102" t="s">
        <v>51</v>
      </c>
      <c r="E9" s="105" t="s">
        <v>52</v>
      </c>
      <c r="F9" s="123" t="s">
        <v>53</v>
      </c>
      <c r="G9" s="199" t="s">
        <v>40</v>
      </c>
      <c r="H9" s="168" t="s">
        <v>54</v>
      </c>
      <c r="I9" s="168" t="s">
        <v>55</v>
      </c>
      <c r="K9" s="114"/>
    </row>
    <row r="10" spans="1:11" ht="15" x14ac:dyDescent="0.35">
      <c r="A10" s="102" t="s">
        <v>36</v>
      </c>
      <c r="B10" s="102" t="s">
        <v>56</v>
      </c>
      <c r="C10" s="103"/>
      <c r="D10" s="102"/>
      <c r="E10" s="1" t="s">
        <v>38</v>
      </c>
      <c r="F10" s="123"/>
      <c r="G10" s="172" t="s">
        <v>40</v>
      </c>
      <c r="H10" s="188"/>
      <c r="I10" s="168"/>
      <c r="J10" s="168"/>
      <c r="K10" s="114"/>
    </row>
    <row r="11" spans="1:11" ht="20.25" customHeight="1" x14ac:dyDescent="0.35">
      <c r="A11" s="2" t="s">
        <v>57</v>
      </c>
      <c r="B11" s="3" t="s">
        <v>58</v>
      </c>
      <c r="C11" s="15" t="s">
        <v>59</v>
      </c>
      <c r="D11" s="3" t="s">
        <v>60</v>
      </c>
      <c r="E11" s="1">
        <v>44946</v>
      </c>
      <c r="F11" s="122" t="s">
        <v>61</v>
      </c>
      <c r="G11" s="153" t="s">
        <v>62</v>
      </c>
      <c r="H11" s="187" t="s">
        <v>63</v>
      </c>
    </row>
    <row r="12" spans="1:11" x14ac:dyDescent="0.3">
      <c r="A12" s="102" t="s">
        <v>64</v>
      </c>
      <c r="B12" s="103" t="s">
        <v>65</v>
      </c>
      <c r="C12" s="103" t="s">
        <v>66</v>
      </c>
      <c r="D12" s="102" t="s">
        <v>67</v>
      </c>
      <c r="E12" s="105">
        <v>55350</v>
      </c>
      <c r="F12" s="123" t="s">
        <v>53</v>
      </c>
      <c r="G12" s="2" t="s">
        <v>68</v>
      </c>
      <c r="H12" s="169" t="s">
        <v>69</v>
      </c>
    </row>
    <row r="13" spans="1:11" x14ac:dyDescent="0.3">
      <c r="A13" s="2" t="s">
        <v>70</v>
      </c>
      <c r="B13" s="3" t="s">
        <v>71</v>
      </c>
      <c r="C13" s="15" t="s">
        <v>72</v>
      </c>
      <c r="D13" s="3" t="s">
        <v>73</v>
      </c>
      <c r="E13" s="5">
        <v>46759</v>
      </c>
      <c r="F13" s="124"/>
      <c r="I13" s="2" t="s">
        <v>74</v>
      </c>
    </row>
    <row r="14" spans="1:11" x14ac:dyDescent="0.3">
      <c r="A14" s="2" t="s">
        <v>75</v>
      </c>
      <c r="B14" s="3" t="s">
        <v>71</v>
      </c>
      <c r="C14" s="15" t="s">
        <v>72</v>
      </c>
      <c r="D14" s="2" t="s">
        <v>73</v>
      </c>
      <c r="E14" s="1">
        <v>50106</v>
      </c>
      <c r="F14" s="122"/>
    </row>
    <row r="15" spans="1:11" x14ac:dyDescent="0.3">
      <c r="A15" s="2" t="s">
        <v>76</v>
      </c>
      <c r="B15" s="2" t="s">
        <v>77</v>
      </c>
      <c r="C15" s="15" t="s">
        <v>78</v>
      </c>
      <c r="D15" s="2" t="s">
        <v>79</v>
      </c>
      <c r="E15" s="1">
        <v>49327</v>
      </c>
      <c r="F15" s="122"/>
    </row>
    <row r="16" spans="1:11" x14ac:dyDescent="0.3">
      <c r="A16" s="2" t="s">
        <v>80</v>
      </c>
      <c r="B16" s="2" t="s">
        <v>77</v>
      </c>
      <c r="C16" s="15" t="s">
        <v>78</v>
      </c>
      <c r="D16" s="2" t="s">
        <v>79</v>
      </c>
      <c r="E16" s="1">
        <v>52602</v>
      </c>
      <c r="F16" s="122"/>
    </row>
    <row r="17" spans="1:11" x14ac:dyDescent="0.3">
      <c r="A17" s="2" t="s">
        <v>81</v>
      </c>
      <c r="B17" s="3" t="s">
        <v>82</v>
      </c>
      <c r="C17" s="15" t="s">
        <v>83</v>
      </c>
      <c r="D17" s="3" t="s">
        <v>84</v>
      </c>
      <c r="E17" s="1">
        <v>44113</v>
      </c>
      <c r="F17" s="122"/>
    </row>
    <row r="18" spans="1:11" ht="15" x14ac:dyDescent="0.35">
      <c r="A18" s="102" t="s">
        <v>85</v>
      </c>
      <c r="B18" s="132" t="s">
        <v>86</v>
      </c>
      <c r="C18" s="108" t="s">
        <v>87</v>
      </c>
      <c r="D18" s="129" t="s">
        <v>88</v>
      </c>
      <c r="E18" s="105">
        <v>55068</v>
      </c>
      <c r="F18" s="123" t="s">
        <v>39</v>
      </c>
      <c r="G18" s="171" t="s">
        <v>89</v>
      </c>
      <c r="H18" s="187" t="s">
        <v>90</v>
      </c>
      <c r="I18" s="2" t="s">
        <v>91</v>
      </c>
      <c r="K18" s="169"/>
    </row>
    <row r="19" spans="1:11" x14ac:dyDescent="0.3">
      <c r="A19" s="2" t="s">
        <v>92</v>
      </c>
      <c r="B19" s="2" t="s">
        <v>93</v>
      </c>
      <c r="C19" s="15" t="s">
        <v>94</v>
      </c>
      <c r="D19" s="2" t="s">
        <v>95</v>
      </c>
      <c r="E19" s="1">
        <v>43864</v>
      </c>
      <c r="F19" s="122"/>
      <c r="H19" s="187" t="s">
        <v>96</v>
      </c>
    </row>
    <row r="20" spans="1:11" x14ac:dyDescent="0.3">
      <c r="A20" s="2" t="s">
        <v>97</v>
      </c>
      <c r="B20" s="3" t="s">
        <v>93</v>
      </c>
      <c r="D20" s="3" t="s">
        <v>95</v>
      </c>
      <c r="E20" s="1">
        <v>44014</v>
      </c>
      <c r="F20" s="122"/>
    </row>
    <row r="21" spans="1:11" x14ac:dyDescent="0.3">
      <c r="A21" s="3" t="s">
        <v>98</v>
      </c>
      <c r="B21" s="3" t="s">
        <v>99</v>
      </c>
      <c r="D21" s="3" t="s">
        <v>100</v>
      </c>
      <c r="E21" s="1">
        <v>43857</v>
      </c>
      <c r="F21" s="122" t="s">
        <v>39</v>
      </c>
      <c r="G21" s="2" t="s">
        <v>101</v>
      </c>
      <c r="H21" s="187" t="s">
        <v>102</v>
      </c>
      <c r="J21" s="2" t="s">
        <v>103</v>
      </c>
    </row>
    <row r="22" spans="1:11" ht="16.5" customHeight="1" x14ac:dyDescent="0.3">
      <c r="A22" s="2" t="s">
        <v>104</v>
      </c>
      <c r="B22" s="2" t="s">
        <v>105</v>
      </c>
      <c r="C22" s="15" t="s">
        <v>106</v>
      </c>
      <c r="D22" s="2" t="s">
        <v>107</v>
      </c>
      <c r="E22" s="1">
        <v>50950</v>
      </c>
      <c r="F22" s="122"/>
      <c r="G22" s="15" t="s">
        <v>106</v>
      </c>
    </row>
    <row r="23" spans="1:11" ht="14.25" customHeight="1" x14ac:dyDescent="0.3">
      <c r="A23" s="2" t="s">
        <v>108</v>
      </c>
      <c r="B23" s="2" t="s">
        <v>109</v>
      </c>
      <c r="C23" s="15" t="s">
        <v>110</v>
      </c>
      <c r="D23" s="2" t="s">
        <v>111</v>
      </c>
      <c r="E23" s="1">
        <v>50186</v>
      </c>
      <c r="F23" s="122"/>
    </row>
    <row r="24" spans="1:11" x14ac:dyDescent="0.3">
      <c r="A24" s="102" t="s">
        <v>112</v>
      </c>
      <c r="B24" s="102" t="s">
        <v>113</v>
      </c>
      <c r="C24" s="103" t="s">
        <v>114</v>
      </c>
      <c r="D24" s="102" t="s">
        <v>115</v>
      </c>
      <c r="E24" s="105">
        <v>48617</v>
      </c>
      <c r="F24" s="123" t="s">
        <v>13</v>
      </c>
      <c r="G24" s="2" t="s">
        <v>116</v>
      </c>
      <c r="H24" s="187" t="s">
        <v>117</v>
      </c>
    </row>
    <row r="25" spans="1:11" ht="17.25" customHeight="1" x14ac:dyDescent="0.3">
      <c r="A25" s="2" t="s">
        <v>118</v>
      </c>
      <c r="B25" s="3" t="s">
        <v>119</v>
      </c>
      <c r="C25" s="15" t="s">
        <v>120</v>
      </c>
      <c r="D25" s="3" t="s">
        <v>121</v>
      </c>
      <c r="E25" s="5">
        <v>46760</v>
      </c>
      <c r="F25" s="124"/>
      <c r="G25" s="179" t="s">
        <v>122</v>
      </c>
      <c r="H25" s="189" t="s">
        <v>123</v>
      </c>
      <c r="I25" s="2" t="s">
        <v>124</v>
      </c>
      <c r="J25" s="168" t="s">
        <v>125</v>
      </c>
      <c r="K25" s="2" t="s">
        <v>126</v>
      </c>
    </row>
    <row r="26" spans="1:11" s="174" customFormat="1" ht="17.25" customHeight="1" x14ac:dyDescent="0.3">
      <c r="A26" s="174" t="s">
        <v>127</v>
      </c>
      <c r="B26" s="175" t="s">
        <v>128</v>
      </c>
      <c r="C26" s="176"/>
      <c r="D26" s="175"/>
      <c r="E26" s="178">
        <v>58773</v>
      </c>
      <c r="F26" s="177"/>
      <c r="G26" s="174" t="s">
        <v>129</v>
      </c>
      <c r="H26" s="189" t="s">
        <v>130</v>
      </c>
    </row>
    <row r="27" spans="1:11" x14ac:dyDescent="0.3">
      <c r="A27" s="2" t="s">
        <v>131</v>
      </c>
      <c r="B27" s="3" t="s">
        <v>132</v>
      </c>
      <c r="C27" s="15" t="s">
        <v>133</v>
      </c>
      <c r="D27" s="2" t="s">
        <v>134</v>
      </c>
      <c r="E27" s="1">
        <v>49009</v>
      </c>
      <c r="F27" s="122" t="s">
        <v>53</v>
      </c>
      <c r="G27" s="2" t="s">
        <v>135</v>
      </c>
      <c r="H27" s="187" t="s">
        <v>136</v>
      </c>
    </row>
    <row r="28" spans="1:11" hidden="1" x14ac:dyDescent="0.3">
      <c r="A28" s="2" t="s">
        <v>137</v>
      </c>
      <c r="B28" s="2" t="s">
        <v>138</v>
      </c>
      <c r="C28" s="15" t="s">
        <v>139</v>
      </c>
      <c r="D28" s="2" t="s">
        <v>140</v>
      </c>
      <c r="E28" s="1">
        <v>52923</v>
      </c>
      <c r="F28" s="122"/>
      <c r="G28" s="2" t="s">
        <v>141</v>
      </c>
    </row>
    <row r="29" spans="1:11" hidden="1" x14ac:dyDescent="0.3">
      <c r="A29" s="2" t="s">
        <v>142</v>
      </c>
      <c r="B29" s="2" t="s">
        <v>143</v>
      </c>
      <c r="C29" s="15" t="s">
        <v>144</v>
      </c>
      <c r="D29" s="2" t="s">
        <v>145</v>
      </c>
      <c r="E29" s="1">
        <v>52371</v>
      </c>
      <c r="F29" s="122"/>
      <c r="G29" s="2" t="s">
        <v>146</v>
      </c>
    </row>
    <row r="30" spans="1:11" hidden="1" x14ac:dyDescent="0.3">
      <c r="A30" s="2" t="s">
        <v>147</v>
      </c>
      <c r="B30" s="3" t="s">
        <v>148</v>
      </c>
      <c r="C30" s="15" t="s">
        <v>149</v>
      </c>
      <c r="D30" s="3" t="s">
        <v>150</v>
      </c>
      <c r="E30" s="1">
        <v>46319</v>
      </c>
      <c r="F30" s="122"/>
    </row>
    <row r="31" spans="1:11" hidden="1" x14ac:dyDescent="0.3">
      <c r="A31" s="2" t="s">
        <v>151</v>
      </c>
      <c r="B31" s="2" t="s">
        <v>152</v>
      </c>
      <c r="C31" s="15" t="s">
        <v>153</v>
      </c>
      <c r="D31" s="2" t="s">
        <v>154</v>
      </c>
      <c r="E31" s="1">
        <v>51389</v>
      </c>
      <c r="F31" s="122"/>
      <c r="J31" s="2" t="s">
        <v>96</v>
      </c>
    </row>
    <row r="32" spans="1:11" ht="15.75" customHeight="1" x14ac:dyDescent="0.3">
      <c r="A32" s="2" t="s">
        <v>155</v>
      </c>
      <c r="B32" s="2" t="s">
        <v>156</v>
      </c>
      <c r="C32" s="15" t="s">
        <v>157</v>
      </c>
      <c r="D32" s="2" t="s">
        <v>158</v>
      </c>
      <c r="E32" s="1">
        <v>48616</v>
      </c>
      <c r="F32" s="122"/>
    </row>
    <row r="33" spans="1:11" x14ac:dyDescent="0.3">
      <c r="A33" s="102" t="s">
        <v>159</v>
      </c>
      <c r="B33" s="104" t="s">
        <v>160</v>
      </c>
      <c r="C33" s="130" t="s">
        <v>161</v>
      </c>
      <c r="D33" s="104" t="s">
        <v>162</v>
      </c>
      <c r="E33" s="105">
        <v>46641</v>
      </c>
      <c r="F33" s="123" t="s">
        <v>163</v>
      </c>
      <c r="G33" s="2" t="s">
        <v>164</v>
      </c>
      <c r="H33" s="168" t="s">
        <v>165</v>
      </c>
      <c r="I33" s="2" t="s">
        <v>166</v>
      </c>
      <c r="J33" s="2" t="s">
        <v>167</v>
      </c>
      <c r="K33" s="168" t="s">
        <v>168</v>
      </c>
    </row>
    <row r="34" spans="1:11" hidden="1" x14ac:dyDescent="0.3">
      <c r="A34" s="2" t="s">
        <v>169</v>
      </c>
      <c r="B34" s="2" t="s">
        <v>170</v>
      </c>
      <c r="C34" s="15" t="s">
        <v>171</v>
      </c>
      <c r="D34" s="2" t="s">
        <v>172</v>
      </c>
      <c r="E34" s="1" t="s">
        <v>173</v>
      </c>
      <c r="F34" s="122"/>
    </row>
    <row r="35" spans="1:11" ht="13.35" customHeight="1" x14ac:dyDescent="0.3">
      <c r="A35" s="2" t="s">
        <v>174</v>
      </c>
      <c r="B35" s="2" t="s">
        <v>175</v>
      </c>
      <c r="C35" s="15" t="s">
        <v>176</v>
      </c>
      <c r="D35" s="4" t="s">
        <v>177</v>
      </c>
      <c r="E35" s="1">
        <v>43707</v>
      </c>
      <c r="F35" s="122" t="s">
        <v>39</v>
      </c>
      <c r="G35" s="2" t="s">
        <v>178</v>
      </c>
    </row>
    <row r="36" spans="1:11" x14ac:dyDescent="0.3">
      <c r="A36" s="102" t="s">
        <v>179</v>
      </c>
      <c r="B36" s="102" t="s">
        <v>180</v>
      </c>
      <c r="C36" s="103" t="s">
        <v>176</v>
      </c>
      <c r="D36" s="106" t="s">
        <v>177</v>
      </c>
      <c r="E36" s="105">
        <v>43706</v>
      </c>
      <c r="F36" s="123" t="s">
        <v>39</v>
      </c>
      <c r="G36" s="113" t="s">
        <v>181</v>
      </c>
      <c r="H36" s="187" t="s">
        <v>182</v>
      </c>
      <c r="I36" s="169" t="s">
        <v>183</v>
      </c>
    </row>
    <row r="37" spans="1:11" x14ac:dyDescent="0.3">
      <c r="A37" s="102" t="s">
        <v>184</v>
      </c>
      <c r="B37" s="102" t="s">
        <v>185</v>
      </c>
      <c r="C37" s="103" t="s">
        <v>186</v>
      </c>
      <c r="D37" s="106" t="s">
        <v>187</v>
      </c>
      <c r="E37" s="105">
        <v>43558</v>
      </c>
      <c r="F37" s="123" t="s">
        <v>13</v>
      </c>
      <c r="G37" s="2" t="s">
        <v>188</v>
      </c>
      <c r="H37" s="187" t="s">
        <v>189</v>
      </c>
      <c r="J37" s="105"/>
    </row>
    <row r="38" spans="1:11" hidden="1" x14ac:dyDescent="0.3">
      <c r="A38" s="2" t="s">
        <v>190</v>
      </c>
      <c r="B38" s="3" t="s">
        <v>191</v>
      </c>
      <c r="C38" s="15" t="s">
        <v>192</v>
      </c>
      <c r="D38" s="3" t="s">
        <v>193</v>
      </c>
      <c r="E38" s="1">
        <v>44800</v>
      </c>
      <c r="F38" s="122"/>
      <c r="J38" s="105">
        <v>43709</v>
      </c>
    </row>
    <row r="39" spans="1:11" hidden="1" x14ac:dyDescent="0.3">
      <c r="A39" s="6" t="s">
        <v>194</v>
      </c>
      <c r="B39" s="6" t="s">
        <v>195</v>
      </c>
      <c r="C39" s="15" t="s">
        <v>196</v>
      </c>
      <c r="D39" s="6" t="s">
        <v>197</v>
      </c>
      <c r="E39" s="1">
        <v>43849</v>
      </c>
      <c r="F39" s="122"/>
      <c r="J39" s="105">
        <v>43709</v>
      </c>
    </row>
    <row r="40" spans="1:11" ht="15" x14ac:dyDescent="0.35">
      <c r="A40" s="102" t="s">
        <v>198</v>
      </c>
      <c r="B40" s="102" t="s">
        <v>199</v>
      </c>
      <c r="C40" s="103" t="s">
        <v>200</v>
      </c>
      <c r="D40" s="102" t="s">
        <v>201</v>
      </c>
      <c r="E40" s="105">
        <v>50190</v>
      </c>
      <c r="F40" s="123" t="s">
        <v>53</v>
      </c>
      <c r="G40" s="172" t="s">
        <v>202</v>
      </c>
      <c r="H40" s="187" t="s">
        <v>203</v>
      </c>
      <c r="I40" s="2" t="s">
        <v>204</v>
      </c>
      <c r="J40" s="105" t="s">
        <v>205</v>
      </c>
    </row>
    <row r="41" spans="1:11" hidden="1" x14ac:dyDescent="0.3">
      <c r="A41" s="102" t="s">
        <v>206</v>
      </c>
      <c r="B41" s="102" t="s">
        <v>207</v>
      </c>
      <c r="C41" s="103" t="s">
        <v>208</v>
      </c>
      <c r="D41" s="102" t="s">
        <v>209</v>
      </c>
      <c r="E41" s="105">
        <v>55056</v>
      </c>
      <c r="F41" s="123" t="s">
        <v>39</v>
      </c>
      <c r="G41" s="2" t="s">
        <v>210</v>
      </c>
      <c r="H41" s="187" t="s">
        <v>211</v>
      </c>
      <c r="I41" s="2" t="s">
        <v>212</v>
      </c>
    </row>
    <row r="42" spans="1:11" hidden="1" x14ac:dyDescent="0.3">
      <c r="A42" s="2" t="s">
        <v>213</v>
      </c>
      <c r="B42" s="2" t="s">
        <v>214</v>
      </c>
      <c r="C42" s="15" t="s">
        <v>215</v>
      </c>
      <c r="D42" s="2" t="s">
        <v>216</v>
      </c>
      <c r="E42" s="1">
        <v>52061</v>
      </c>
      <c r="F42" s="122"/>
    </row>
    <row r="43" spans="1:11" x14ac:dyDescent="0.3">
      <c r="A43" s="2" t="s">
        <v>217</v>
      </c>
      <c r="B43" s="3" t="s">
        <v>218</v>
      </c>
      <c r="C43" s="15" t="s">
        <v>219</v>
      </c>
      <c r="D43" s="3" t="s">
        <v>220</v>
      </c>
      <c r="E43" s="1">
        <v>44923</v>
      </c>
      <c r="F43" s="122" t="s">
        <v>39</v>
      </c>
      <c r="G43" s="2" t="s">
        <v>221</v>
      </c>
      <c r="H43" s="168" t="s">
        <v>222</v>
      </c>
      <c r="I43" s="2" t="s">
        <v>223</v>
      </c>
    </row>
    <row r="44" spans="1:11" x14ac:dyDescent="0.3">
      <c r="A44" s="2" t="s">
        <v>224</v>
      </c>
      <c r="B44" s="2" t="s">
        <v>225</v>
      </c>
      <c r="C44" s="15" t="s">
        <v>226</v>
      </c>
      <c r="D44" s="2" t="s">
        <v>227</v>
      </c>
      <c r="E44" s="1" t="s">
        <v>228</v>
      </c>
      <c r="F44" s="122" t="s">
        <v>39</v>
      </c>
      <c r="G44" s="2" t="s">
        <v>229</v>
      </c>
      <c r="H44" s="187" t="s">
        <v>230</v>
      </c>
    </row>
    <row r="45" spans="1:11" x14ac:dyDescent="0.3">
      <c r="A45" s="102" t="s">
        <v>231</v>
      </c>
      <c r="B45" s="102" t="s">
        <v>225</v>
      </c>
      <c r="C45" s="103" t="s">
        <v>226</v>
      </c>
      <c r="D45" s="102" t="s">
        <v>227</v>
      </c>
      <c r="E45" s="105">
        <v>43883</v>
      </c>
      <c r="F45" s="123" t="s">
        <v>39</v>
      </c>
      <c r="G45" s="2" t="s">
        <v>229</v>
      </c>
      <c r="H45" s="187" t="s">
        <v>232</v>
      </c>
    </row>
    <row r="46" spans="1:11" hidden="1" x14ac:dyDescent="0.3">
      <c r="A46" s="2" t="s">
        <v>233</v>
      </c>
      <c r="B46" s="2" t="s">
        <v>234</v>
      </c>
      <c r="C46" s="15" t="s">
        <v>235</v>
      </c>
      <c r="D46" s="2" t="s">
        <v>236</v>
      </c>
      <c r="E46" s="1">
        <v>48280</v>
      </c>
      <c r="F46" s="122" t="s">
        <v>39</v>
      </c>
    </row>
    <row r="47" spans="1:11" ht="15" x14ac:dyDescent="0.35">
      <c r="A47" s="102" t="s">
        <v>237</v>
      </c>
      <c r="B47" s="102" t="s">
        <v>234</v>
      </c>
      <c r="C47" s="103" t="s">
        <v>235</v>
      </c>
      <c r="D47" s="102" t="s">
        <v>236</v>
      </c>
      <c r="E47" s="105" t="s">
        <v>238</v>
      </c>
      <c r="F47" s="123" t="s">
        <v>39</v>
      </c>
      <c r="G47" s="2" t="s">
        <v>239</v>
      </c>
      <c r="H47" s="173"/>
    </row>
    <row r="48" spans="1:11" ht="15" x14ac:dyDescent="0.35">
      <c r="A48" s="102" t="s">
        <v>233</v>
      </c>
      <c r="B48" s="102" t="s">
        <v>234</v>
      </c>
      <c r="C48" s="103"/>
      <c r="D48" s="102"/>
      <c r="E48" s="1">
        <v>48280</v>
      </c>
      <c r="F48" s="123"/>
      <c r="G48" s="173" t="s">
        <v>240</v>
      </c>
      <c r="H48" s="173"/>
      <c r="I48" s="197"/>
    </row>
    <row r="49" spans="1:16084" x14ac:dyDescent="0.3">
      <c r="A49" s="2" t="s">
        <v>241</v>
      </c>
      <c r="B49" s="2" t="s">
        <v>234</v>
      </c>
      <c r="C49" s="15" t="s">
        <v>235</v>
      </c>
      <c r="D49" s="2" t="s">
        <v>236</v>
      </c>
      <c r="E49" s="1">
        <v>43710</v>
      </c>
      <c r="F49" s="122" t="s">
        <v>39</v>
      </c>
      <c r="G49" s="2" t="s">
        <v>242</v>
      </c>
      <c r="H49" s="187" t="s">
        <v>243</v>
      </c>
      <c r="I49" s="113" t="s">
        <v>244</v>
      </c>
      <c r="J49" s="2" t="s">
        <v>245</v>
      </c>
    </row>
    <row r="50" spans="1:16084" hidden="1" x14ac:dyDescent="0.3">
      <c r="A50" s="2" t="s">
        <v>246</v>
      </c>
      <c r="B50" s="2" t="s">
        <v>247</v>
      </c>
      <c r="C50" s="15" t="s">
        <v>248</v>
      </c>
      <c r="D50" s="4" t="s">
        <v>249</v>
      </c>
      <c r="E50" s="1">
        <v>43553</v>
      </c>
      <c r="F50" s="122"/>
    </row>
    <row r="51" spans="1:16084" hidden="1" x14ac:dyDescent="0.3">
      <c r="A51" s="2" t="s">
        <v>250</v>
      </c>
      <c r="B51" s="2" t="s">
        <v>251</v>
      </c>
      <c r="C51" s="15" t="s">
        <v>252</v>
      </c>
      <c r="D51" s="4" t="s">
        <v>253</v>
      </c>
      <c r="E51" s="1">
        <v>43705</v>
      </c>
      <c r="F51" s="122"/>
    </row>
    <row r="52" spans="1:16084" x14ac:dyDescent="0.3">
      <c r="A52" s="102" t="s">
        <v>254</v>
      </c>
      <c r="B52" s="102" t="s">
        <v>225</v>
      </c>
      <c r="C52" s="103" t="s">
        <v>226</v>
      </c>
      <c r="D52" s="106" t="s">
        <v>227</v>
      </c>
      <c r="E52" s="105">
        <v>43709</v>
      </c>
      <c r="F52" s="123" t="s">
        <v>39</v>
      </c>
      <c r="G52" s="192" t="s">
        <v>229</v>
      </c>
      <c r="H52" s="187" t="s">
        <v>232</v>
      </c>
      <c r="I52" s="169" t="s">
        <v>255</v>
      </c>
      <c r="K52" s="169" t="s">
        <v>256</v>
      </c>
      <c r="L52" s="169" t="s">
        <v>257</v>
      </c>
    </row>
    <row r="53" spans="1:16084" s="6" customFormat="1" hidden="1" x14ac:dyDescent="0.3">
      <c r="A53" s="2" t="s">
        <v>258</v>
      </c>
      <c r="B53" s="3" t="s">
        <v>259</v>
      </c>
      <c r="C53" s="16" t="s">
        <v>260</v>
      </c>
      <c r="D53" s="2" t="s">
        <v>261</v>
      </c>
      <c r="E53" s="1" t="s">
        <v>262</v>
      </c>
      <c r="F53" s="122"/>
      <c r="G53" s="2"/>
      <c r="H53" s="187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</row>
    <row r="54" spans="1:16084" hidden="1" x14ac:dyDescent="0.3">
      <c r="A54" s="2" t="s">
        <v>263</v>
      </c>
      <c r="B54" s="3" t="s">
        <v>264</v>
      </c>
      <c r="C54" s="15" t="s">
        <v>265</v>
      </c>
      <c r="D54" s="3" t="s">
        <v>266</v>
      </c>
      <c r="E54" s="1" t="s">
        <v>267</v>
      </c>
      <c r="F54" s="122" t="s">
        <v>268</v>
      </c>
      <c r="G54" s="6" t="s">
        <v>269</v>
      </c>
      <c r="H54" s="190" t="s">
        <v>270</v>
      </c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  <c r="IZ54" s="6"/>
      <c r="JA54" s="6"/>
      <c r="JB54" s="6"/>
      <c r="JC54" s="6"/>
      <c r="JD54" s="6"/>
      <c r="JE54" s="6"/>
      <c r="JF54" s="6"/>
      <c r="JG54" s="6"/>
      <c r="JH54" s="6"/>
      <c r="JI54" s="6"/>
      <c r="JJ54" s="6"/>
      <c r="JK54" s="6"/>
      <c r="JL54" s="6"/>
      <c r="JM54" s="6"/>
      <c r="JN54" s="6"/>
      <c r="JO54" s="6"/>
      <c r="JP54" s="6"/>
      <c r="JQ54" s="6"/>
      <c r="JR54" s="6"/>
      <c r="JS54" s="6"/>
      <c r="JT54" s="6"/>
      <c r="JU54" s="6"/>
      <c r="JV54" s="6"/>
      <c r="JW54" s="6"/>
      <c r="JX54" s="6"/>
      <c r="JY54" s="6"/>
      <c r="JZ54" s="6"/>
      <c r="KA54" s="6"/>
      <c r="KB54" s="6"/>
      <c r="KC54" s="6"/>
      <c r="KD54" s="6"/>
      <c r="KE54" s="6"/>
      <c r="KF54" s="6"/>
      <c r="KG54" s="6"/>
      <c r="KH54" s="6"/>
      <c r="KI54" s="6"/>
      <c r="KJ54" s="6"/>
      <c r="KK54" s="6"/>
      <c r="KL54" s="6"/>
      <c r="KM54" s="6"/>
      <c r="KN54" s="6"/>
      <c r="KO54" s="6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6"/>
      <c r="LI54" s="6"/>
      <c r="LJ54" s="6"/>
      <c r="LK54" s="6"/>
      <c r="LL54" s="6"/>
      <c r="LM54" s="6"/>
      <c r="LN54" s="6"/>
      <c r="LO54" s="6"/>
      <c r="LP54" s="6"/>
      <c r="LQ54" s="6"/>
      <c r="LR54" s="6"/>
      <c r="LS54" s="6"/>
      <c r="LT54" s="6"/>
      <c r="LU54" s="6"/>
      <c r="LV54" s="6"/>
      <c r="LW54" s="6"/>
      <c r="LX54" s="6"/>
      <c r="LY54" s="6"/>
      <c r="LZ54" s="6"/>
      <c r="MA54" s="6"/>
      <c r="MB54" s="6"/>
      <c r="MC54" s="6"/>
      <c r="MD54" s="6"/>
      <c r="ME54" s="6"/>
      <c r="MF54" s="6"/>
      <c r="MG54" s="6"/>
      <c r="MH54" s="6"/>
      <c r="MI54" s="6"/>
      <c r="MJ54" s="6"/>
      <c r="MK54" s="6"/>
      <c r="ML54" s="6"/>
      <c r="MM54" s="6"/>
      <c r="MN54" s="6"/>
      <c r="MO54" s="6"/>
      <c r="MP54" s="6"/>
      <c r="MQ54" s="6"/>
      <c r="MR54" s="6"/>
      <c r="MS54" s="6"/>
      <c r="MT54" s="6"/>
      <c r="MU54" s="6"/>
      <c r="MV54" s="6"/>
      <c r="MW54" s="6"/>
      <c r="MX54" s="6"/>
      <c r="MY54" s="6"/>
      <c r="MZ54" s="6"/>
      <c r="NA54" s="6"/>
      <c r="NB54" s="6"/>
      <c r="NC54" s="6"/>
      <c r="ND54" s="6"/>
      <c r="NE54" s="6"/>
      <c r="NF54" s="6"/>
      <c r="NG54" s="6"/>
      <c r="NH54" s="6"/>
      <c r="NI54" s="6"/>
      <c r="NJ54" s="6"/>
      <c r="NK54" s="6"/>
      <c r="NL54" s="6"/>
      <c r="NM54" s="6"/>
      <c r="NN54" s="6"/>
      <c r="NO54" s="6"/>
      <c r="NP54" s="6"/>
      <c r="NQ54" s="6"/>
      <c r="NR54" s="6"/>
      <c r="NS54" s="6"/>
      <c r="NT54" s="6"/>
      <c r="NU54" s="6"/>
      <c r="NV54" s="6"/>
      <c r="NW54" s="6"/>
      <c r="NX54" s="6"/>
      <c r="NY54" s="6"/>
      <c r="NZ54" s="6"/>
      <c r="OA54" s="6"/>
      <c r="OB54" s="6"/>
      <c r="OC54" s="6"/>
      <c r="OD54" s="6"/>
      <c r="OE54" s="6"/>
      <c r="OF54" s="6"/>
      <c r="OG54" s="6"/>
      <c r="OH54" s="6"/>
      <c r="OI54" s="6"/>
      <c r="OJ54" s="6"/>
      <c r="OK54" s="6"/>
      <c r="OL54" s="6"/>
      <c r="OM54" s="6"/>
      <c r="ON54" s="6"/>
      <c r="OO54" s="6"/>
      <c r="OP54" s="6"/>
      <c r="OQ54" s="6"/>
      <c r="OR54" s="6"/>
      <c r="OS54" s="6"/>
      <c r="OT54" s="6"/>
      <c r="OU54" s="6"/>
      <c r="OV54" s="6"/>
      <c r="OW54" s="6"/>
      <c r="OX54" s="6"/>
      <c r="OY54" s="6"/>
      <c r="OZ54" s="6"/>
      <c r="PA54" s="6"/>
      <c r="PB54" s="6"/>
      <c r="PC54" s="6"/>
      <c r="PD54" s="6"/>
      <c r="PE54" s="6"/>
      <c r="PF54" s="6"/>
      <c r="PG54" s="6"/>
      <c r="PH54" s="6"/>
      <c r="PI54" s="6"/>
      <c r="PJ54" s="6"/>
      <c r="PK54" s="6"/>
      <c r="PL54" s="6"/>
      <c r="PM54" s="6"/>
      <c r="PN54" s="6"/>
      <c r="PO54" s="6"/>
      <c r="PP54" s="6"/>
      <c r="PQ54" s="6"/>
      <c r="PR54" s="6"/>
      <c r="PS54" s="6"/>
      <c r="PT54" s="6"/>
      <c r="PU54" s="6"/>
      <c r="PV54" s="6"/>
      <c r="PW54" s="6"/>
      <c r="PX54" s="6"/>
      <c r="PY54" s="6"/>
      <c r="PZ54" s="6"/>
      <c r="QA54" s="6"/>
      <c r="QB54" s="6"/>
      <c r="QC54" s="6"/>
      <c r="QD54" s="6"/>
      <c r="QE54" s="6"/>
      <c r="QF54" s="6"/>
      <c r="QG54" s="6"/>
      <c r="QH54" s="6"/>
      <c r="QI54" s="6"/>
      <c r="QJ54" s="6"/>
      <c r="QK54" s="6"/>
      <c r="QL54" s="6"/>
      <c r="QM54" s="6"/>
      <c r="QN54" s="6"/>
      <c r="QO54" s="6"/>
      <c r="QP54" s="6"/>
      <c r="QQ54" s="6"/>
      <c r="QR54" s="6"/>
      <c r="QS54" s="6"/>
      <c r="QT54" s="6"/>
      <c r="QU54" s="6"/>
      <c r="QV54" s="6"/>
      <c r="QW54" s="6"/>
      <c r="QX54" s="6"/>
      <c r="QY54" s="6"/>
      <c r="QZ54" s="6"/>
      <c r="RA54" s="6"/>
      <c r="RB54" s="6"/>
      <c r="RC54" s="6"/>
      <c r="RD54" s="6"/>
      <c r="RE54" s="6"/>
      <c r="RF54" s="6"/>
      <c r="RG54" s="6"/>
      <c r="RH54" s="6"/>
      <c r="RI54" s="6"/>
      <c r="RJ54" s="6"/>
      <c r="RK54" s="6"/>
      <c r="RL54" s="6"/>
      <c r="RM54" s="6"/>
      <c r="RN54" s="6"/>
      <c r="RO54" s="6"/>
      <c r="RP54" s="6"/>
      <c r="RQ54" s="6"/>
      <c r="RR54" s="6"/>
      <c r="RS54" s="6"/>
      <c r="RT54" s="6"/>
      <c r="RU54" s="6"/>
      <c r="RV54" s="6"/>
      <c r="RW54" s="6"/>
      <c r="RX54" s="6"/>
      <c r="RY54" s="6"/>
      <c r="RZ54" s="6"/>
      <c r="SA54" s="6"/>
      <c r="SB54" s="6"/>
      <c r="SC54" s="6"/>
      <c r="SD54" s="6"/>
      <c r="SE54" s="6"/>
      <c r="SF54" s="6"/>
      <c r="SG54" s="6"/>
      <c r="SH54" s="6"/>
      <c r="SI54" s="6"/>
      <c r="SJ54" s="6"/>
      <c r="SK54" s="6"/>
      <c r="SL54" s="6"/>
      <c r="SM54" s="6"/>
      <c r="SN54" s="6"/>
      <c r="SO54" s="6"/>
      <c r="SP54" s="6"/>
      <c r="SQ54" s="6"/>
      <c r="SR54" s="6"/>
      <c r="SS54" s="6"/>
      <c r="ST54" s="6"/>
      <c r="SU54" s="6"/>
      <c r="SV54" s="6"/>
      <c r="SW54" s="6"/>
      <c r="SX54" s="6"/>
      <c r="SY54" s="6"/>
      <c r="SZ54" s="6"/>
      <c r="TA54" s="6"/>
      <c r="TB54" s="6"/>
      <c r="TC54" s="6"/>
      <c r="TD54" s="6"/>
      <c r="TE54" s="6"/>
      <c r="TF54" s="6"/>
      <c r="TG54" s="6"/>
      <c r="TH54" s="6"/>
      <c r="TI54" s="6"/>
      <c r="TJ54" s="6"/>
      <c r="TK54" s="6"/>
      <c r="TL54" s="6"/>
      <c r="TM54" s="6"/>
      <c r="TN54" s="6"/>
      <c r="TO54" s="6"/>
      <c r="TP54" s="6"/>
      <c r="TQ54" s="6"/>
      <c r="TR54" s="6"/>
      <c r="TS54" s="6"/>
      <c r="TT54" s="6"/>
      <c r="TU54" s="6"/>
      <c r="TV54" s="6"/>
      <c r="TW54" s="6"/>
      <c r="TX54" s="6"/>
      <c r="TY54" s="6"/>
      <c r="TZ54" s="6"/>
      <c r="UA54" s="6"/>
      <c r="UB54" s="6"/>
      <c r="UC54" s="6"/>
      <c r="UD54" s="6"/>
      <c r="UE54" s="6"/>
      <c r="UF54" s="6"/>
      <c r="UG54" s="6"/>
      <c r="UH54" s="6"/>
      <c r="UI54" s="6"/>
      <c r="UJ54" s="6"/>
      <c r="UK54" s="6"/>
      <c r="UL54" s="6"/>
      <c r="UM54" s="6"/>
      <c r="UN54" s="6"/>
      <c r="UO54" s="6"/>
      <c r="UP54" s="6"/>
      <c r="UQ54" s="6"/>
      <c r="UR54" s="6"/>
      <c r="US54" s="6"/>
      <c r="UT54" s="6"/>
      <c r="UU54" s="6"/>
      <c r="UV54" s="6"/>
      <c r="UW54" s="6"/>
      <c r="UX54" s="6"/>
      <c r="UY54" s="6"/>
      <c r="UZ54" s="6"/>
      <c r="VA54" s="6"/>
      <c r="VB54" s="6"/>
      <c r="VC54" s="6"/>
      <c r="VD54" s="6"/>
      <c r="VE54" s="6"/>
      <c r="VF54" s="6"/>
      <c r="VG54" s="6"/>
      <c r="VH54" s="6"/>
      <c r="VI54" s="6"/>
      <c r="VJ54" s="6"/>
      <c r="VK54" s="6"/>
      <c r="VL54" s="6"/>
      <c r="VM54" s="6"/>
      <c r="VN54" s="6"/>
      <c r="VO54" s="6"/>
      <c r="VP54" s="6"/>
      <c r="VQ54" s="6"/>
      <c r="VR54" s="6"/>
      <c r="VS54" s="6"/>
      <c r="VT54" s="6"/>
      <c r="VU54" s="6"/>
      <c r="VV54" s="6"/>
      <c r="VW54" s="6"/>
      <c r="VX54" s="6"/>
      <c r="VY54" s="6"/>
      <c r="VZ54" s="6"/>
      <c r="WA54" s="6"/>
      <c r="WB54" s="6"/>
      <c r="WC54" s="6"/>
      <c r="WD54" s="6"/>
      <c r="WE54" s="6"/>
      <c r="WF54" s="6"/>
      <c r="WG54" s="6"/>
      <c r="WH54" s="6"/>
      <c r="WI54" s="6"/>
      <c r="WJ54" s="6"/>
      <c r="WK54" s="6"/>
      <c r="WL54" s="6"/>
      <c r="WM54" s="6"/>
      <c r="WN54" s="6"/>
      <c r="WO54" s="6"/>
      <c r="WP54" s="6"/>
      <c r="WQ54" s="6"/>
      <c r="WR54" s="6"/>
      <c r="WS54" s="6"/>
      <c r="WT54" s="6"/>
      <c r="WU54" s="6"/>
      <c r="WV54" s="6"/>
      <c r="WW54" s="6"/>
      <c r="WX54" s="6"/>
      <c r="WY54" s="6"/>
      <c r="WZ54" s="6"/>
      <c r="XA54" s="6"/>
      <c r="XB54" s="6"/>
      <c r="XC54" s="6"/>
      <c r="XD54" s="6"/>
      <c r="XE54" s="6"/>
      <c r="XF54" s="6"/>
      <c r="XG54" s="6"/>
      <c r="XH54" s="6"/>
      <c r="XI54" s="6"/>
      <c r="XJ54" s="6"/>
      <c r="XK54" s="6"/>
      <c r="XL54" s="6"/>
      <c r="XM54" s="6"/>
      <c r="XN54" s="6"/>
      <c r="XO54" s="6"/>
      <c r="XP54" s="6"/>
      <c r="XQ54" s="6"/>
      <c r="XR54" s="6"/>
      <c r="XS54" s="6"/>
      <c r="XT54" s="6"/>
      <c r="XU54" s="6"/>
      <c r="XV54" s="6"/>
      <c r="XW54" s="6"/>
      <c r="XX54" s="6"/>
      <c r="XY54" s="6"/>
      <c r="XZ54" s="6"/>
      <c r="YA54" s="6"/>
      <c r="YB54" s="6"/>
      <c r="YC54" s="6"/>
      <c r="YD54" s="6"/>
      <c r="YE54" s="6"/>
      <c r="YF54" s="6"/>
      <c r="YG54" s="6"/>
      <c r="YH54" s="6"/>
      <c r="YI54" s="6"/>
      <c r="YJ54" s="6"/>
      <c r="YK54" s="6"/>
      <c r="YL54" s="6"/>
      <c r="YM54" s="6"/>
      <c r="YN54" s="6"/>
      <c r="YO54" s="6"/>
      <c r="YP54" s="6"/>
      <c r="YQ54" s="6"/>
      <c r="YR54" s="6"/>
      <c r="YS54" s="6"/>
      <c r="YT54" s="6"/>
      <c r="YU54" s="6"/>
      <c r="YV54" s="6"/>
      <c r="YW54" s="6"/>
      <c r="YX54" s="6"/>
      <c r="YY54" s="6"/>
      <c r="YZ54" s="6"/>
      <c r="ZA54" s="6"/>
      <c r="ZB54" s="6"/>
      <c r="ZC54" s="6"/>
      <c r="ZD54" s="6"/>
      <c r="ZE54" s="6"/>
      <c r="ZF54" s="6"/>
      <c r="ZG54" s="6"/>
      <c r="ZH54" s="6"/>
      <c r="ZI54" s="6"/>
      <c r="ZJ54" s="6"/>
      <c r="ZK54" s="6"/>
      <c r="ZL54" s="6"/>
      <c r="ZM54" s="6"/>
      <c r="ZN54" s="6"/>
      <c r="ZO54" s="6"/>
      <c r="ZP54" s="6"/>
      <c r="ZQ54" s="6"/>
      <c r="ZR54" s="6"/>
      <c r="ZS54" s="6"/>
      <c r="ZT54" s="6"/>
      <c r="ZU54" s="6"/>
      <c r="ZV54" s="6"/>
      <c r="ZW54" s="6"/>
      <c r="ZX54" s="6"/>
      <c r="ZY54" s="6"/>
      <c r="ZZ54" s="6"/>
      <c r="AAA54" s="6"/>
      <c r="AAB54" s="6"/>
      <c r="AAC54" s="6"/>
      <c r="AAD54" s="6"/>
      <c r="AAE54" s="6"/>
      <c r="AAF54" s="6"/>
      <c r="AAG54" s="6"/>
      <c r="AAH54" s="6"/>
      <c r="AAI54" s="6"/>
      <c r="AAJ54" s="6"/>
      <c r="AAK54" s="6"/>
      <c r="AAL54" s="6"/>
      <c r="AAM54" s="6"/>
      <c r="AAN54" s="6"/>
      <c r="AAO54" s="6"/>
      <c r="AAP54" s="6"/>
      <c r="AAQ54" s="6"/>
      <c r="AAR54" s="6"/>
      <c r="AAS54" s="6"/>
      <c r="AAT54" s="6"/>
      <c r="AAU54" s="6"/>
      <c r="AAV54" s="6"/>
      <c r="AAW54" s="6"/>
      <c r="AAX54" s="6"/>
      <c r="AAY54" s="6"/>
      <c r="AAZ54" s="6"/>
      <c r="ABA54" s="6"/>
      <c r="ABB54" s="6"/>
      <c r="ABC54" s="6"/>
      <c r="ABD54" s="6"/>
      <c r="ABE54" s="6"/>
      <c r="ABF54" s="6"/>
      <c r="ABG54" s="6"/>
      <c r="ABH54" s="6"/>
      <c r="ABI54" s="6"/>
      <c r="ABJ54" s="6"/>
      <c r="ABK54" s="6"/>
      <c r="ABL54" s="6"/>
      <c r="ABM54" s="6"/>
      <c r="ABN54" s="6"/>
      <c r="ABO54" s="6"/>
      <c r="ABP54" s="6"/>
      <c r="ABQ54" s="6"/>
      <c r="ABR54" s="6"/>
      <c r="ABS54" s="6"/>
      <c r="ABT54" s="6"/>
      <c r="ABU54" s="6"/>
      <c r="ABV54" s="6"/>
      <c r="ABW54" s="6"/>
      <c r="ABX54" s="6"/>
      <c r="ABY54" s="6"/>
      <c r="ABZ54" s="6"/>
      <c r="ACA54" s="6"/>
      <c r="ACB54" s="6"/>
      <c r="ACC54" s="6"/>
      <c r="ACD54" s="6"/>
      <c r="ACE54" s="6"/>
      <c r="ACF54" s="6"/>
      <c r="ACG54" s="6"/>
      <c r="ACH54" s="6"/>
      <c r="ACI54" s="6"/>
      <c r="ACJ54" s="6"/>
      <c r="ACK54" s="6"/>
      <c r="ACL54" s="6"/>
      <c r="ACM54" s="6"/>
      <c r="ACN54" s="6"/>
      <c r="ACO54" s="6"/>
      <c r="ACP54" s="6"/>
      <c r="ACQ54" s="6"/>
      <c r="ACR54" s="6"/>
      <c r="ACS54" s="6"/>
      <c r="ACT54" s="6"/>
      <c r="ACU54" s="6"/>
      <c r="ACV54" s="6"/>
      <c r="ACW54" s="6"/>
      <c r="ACX54" s="6"/>
      <c r="ACY54" s="6"/>
      <c r="ACZ54" s="6"/>
      <c r="ADA54" s="6"/>
      <c r="ADB54" s="6"/>
      <c r="ADC54" s="6"/>
      <c r="ADD54" s="6"/>
      <c r="ADE54" s="6"/>
      <c r="ADF54" s="6"/>
      <c r="ADG54" s="6"/>
      <c r="ADH54" s="6"/>
      <c r="ADI54" s="6"/>
      <c r="ADJ54" s="6"/>
      <c r="ADK54" s="6"/>
      <c r="ADL54" s="6"/>
      <c r="ADM54" s="6"/>
      <c r="ADN54" s="6"/>
      <c r="ADO54" s="6"/>
      <c r="ADP54" s="6"/>
      <c r="ADQ54" s="6"/>
      <c r="ADR54" s="6"/>
      <c r="ADS54" s="6"/>
      <c r="ADT54" s="6"/>
      <c r="ADU54" s="6"/>
      <c r="ADV54" s="6"/>
      <c r="ADW54" s="6"/>
      <c r="ADX54" s="6"/>
      <c r="ADY54" s="6"/>
      <c r="ADZ54" s="6"/>
      <c r="AEA54" s="6"/>
      <c r="AEB54" s="6"/>
      <c r="AEC54" s="6"/>
      <c r="AED54" s="6"/>
      <c r="AEE54" s="6"/>
      <c r="AEF54" s="6"/>
      <c r="AEG54" s="6"/>
      <c r="AEH54" s="6"/>
      <c r="AEI54" s="6"/>
      <c r="AEJ54" s="6"/>
      <c r="AEK54" s="6"/>
      <c r="AEL54" s="6"/>
      <c r="AEM54" s="6"/>
      <c r="AEN54" s="6"/>
      <c r="AEO54" s="6"/>
      <c r="AEP54" s="6"/>
      <c r="AEQ54" s="6"/>
      <c r="AER54" s="6"/>
      <c r="AES54" s="6"/>
      <c r="AET54" s="6"/>
      <c r="AEU54" s="6"/>
      <c r="AEV54" s="6"/>
      <c r="AEW54" s="6"/>
      <c r="AEX54" s="6"/>
      <c r="AEY54" s="6"/>
      <c r="AEZ54" s="6"/>
      <c r="AFA54" s="6"/>
      <c r="AFB54" s="6"/>
      <c r="AFC54" s="6"/>
      <c r="AFD54" s="6"/>
      <c r="AFE54" s="6"/>
      <c r="AFF54" s="6"/>
      <c r="AFG54" s="6"/>
      <c r="AFH54" s="6"/>
      <c r="AFI54" s="6"/>
      <c r="AFJ54" s="6"/>
      <c r="AFK54" s="6"/>
      <c r="AFL54" s="6"/>
      <c r="AFM54" s="6"/>
      <c r="AFN54" s="6"/>
      <c r="AFO54" s="6"/>
      <c r="AFP54" s="6"/>
      <c r="AFQ54" s="6"/>
      <c r="AFR54" s="6"/>
      <c r="AFS54" s="6"/>
      <c r="AFT54" s="6"/>
      <c r="AFU54" s="6"/>
      <c r="AFV54" s="6"/>
      <c r="AFW54" s="6"/>
      <c r="AFX54" s="6"/>
      <c r="AFY54" s="6"/>
      <c r="AFZ54" s="6"/>
      <c r="AGA54" s="6"/>
      <c r="AGB54" s="6"/>
      <c r="AGC54" s="6"/>
      <c r="AGD54" s="6"/>
      <c r="AGE54" s="6"/>
      <c r="AGF54" s="6"/>
      <c r="AGG54" s="6"/>
      <c r="AGH54" s="6"/>
      <c r="AGI54" s="6"/>
      <c r="AGJ54" s="6"/>
      <c r="AGK54" s="6"/>
      <c r="AGL54" s="6"/>
      <c r="AGM54" s="6"/>
      <c r="AGN54" s="6"/>
      <c r="AGO54" s="6"/>
      <c r="AGP54" s="6"/>
      <c r="AGQ54" s="6"/>
      <c r="AGR54" s="6"/>
      <c r="AGS54" s="6"/>
      <c r="AGT54" s="6"/>
      <c r="AGU54" s="6"/>
      <c r="AGV54" s="6"/>
      <c r="AGW54" s="6"/>
      <c r="AGX54" s="6"/>
      <c r="AGY54" s="6"/>
      <c r="AGZ54" s="6"/>
      <c r="AHA54" s="6"/>
      <c r="AHB54" s="6"/>
      <c r="AHC54" s="6"/>
      <c r="AHD54" s="6"/>
      <c r="AHE54" s="6"/>
      <c r="AHF54" s="6"/>
      <c r="AHG54" s="6"/>
      <c r="AHH54" s="6"/>
      <c r="AHI54" s="6"/>
      <c r="AHJ54" s="6"/>
      <c r="AHK54" s="6"/>
      <c r="AHL54" s="6"/>
      <c r="AHM54" s="6"/>
      <c r="AHN54" s="6"/>
      <c r="AHO54" s="6"/>
      <c r="AHP54" s="6"/>
      <c r="AHQ54" s="6"/>
      <c r="AHR54" s="6"/>
      <c r="AHS54" s="6"/>
      <c r="AHT54" s="6"/>
      <c r="AHU54" s="6"/>
      <c r="AHV54" s="6"/>
      <c r="AHW54" s="6"/>
      <c r="AHX54" s="6"/>
      <c r="AHY54" s="6"/>
      <c r="AHZ54" s="6"/>
      <c r="AIA54" s="6"/>
      <c r="AIB54" s="6"/>
      <c r="AIC54" s="6"/>
      <c r="AID54" s="6"/>
      <c r="AIE54" s="6"/>
      <c r="AIF54" s="6"/>
      <c r="AIG54" s="6"/>
      <c r="AIH54" s="6"/>
      <c r="AII54" s="6"/>
      <c r="AIJ54" s="6"/>
      <c r="AIK54" s="6"/>
      <c r="AIL54" s="6"/>
      <c r="AIM54" s="6"/>
      <c r="AIN54" s="6"/>
      <c r="AIO54" s="6"/>
      <c r="AIP54" s="6"/>
      <c r="AIQ54" s="6"/>
      <c r="AIR54" s="6"/>
      <c r="AIS54" s="6"/>
      <c r="AIT54" s="6"/>
      <c r="AIU54" s="6"/>
      <c r="AIV54" s="6"/>
      <c r="AIW54" s="6"/>
      <c r="AIX54" s="6"/>
      <c r="AIY54" s="6"/>
      <c r="AIZ54" s="6"/>
      <c r="AJA54" s="6"/>
      <c r="AJB54" s="6"/>
      <c r="AJC54" s="6"/>
      <c r="AJD54" s="6"/>
      <c r="AJE54" s="6"/>
      <c r="AJF54" s="6"/>
      <c r="AJG54" s="6"/>
      <c r="AJH54" s="6"/>
      <c r="AJI54" s="6"/>
      <c r="AJJ54" s="6"/>
      <c r="AJK54" s="6"/>
      <c r="AJL54" s="6"/>
      <c r="AJM54" s="6"/>
      <c r="AJN54" s="6"/>
      <c r="AJO54" s="6"/>
      <c r="AJP54" s="6"/>
      <c r="AJQ54" s="6"/>
      <c r="AJR54" s="6"/>
      <c r="AJS54" s="6"/>
      <c r="AJT54" s="6"/>
      <c r="AJU54" s="6"/>
      <c r="AJV54" s="6"/>
      <c r="AJW54" s="6"/>
      <c r="AJX54" s="6"/>
      <c r="AJY54" s="6"/>
      <c r="AJZ54" s="6"/>
      <c r="AKA54" s="6"/>
      <c r="AKB54" s="6"/>
      <c r="AKC54" s="6"/>
      <c r="AKD54" s="6"/>
      <c r="AKE54" s="6"/>
      <c r="AKF54" s="6"/>
      <c r="AKG54" s="6"/>
      <c r="AKH54" s="6"/>
      <c r="AKI54" s="6"/>
      <c r="AKJ54" s="6"/>
      <c r="AKK54" s="6"/>
      <c r="AKL54" s="6"/>
      <c r="AKM54" s="6"/>
      <c r="AKN54" s="6"/>
      <c r="AKO54" s="6"/>
      <c r="AKP54" s="6"/>
      <c r="AKQ54" s="6"/>
      <c r="AKR54" s="6"/>
      <c r="AKS54" s="6"/>
      <c r="AKT54" s="6"/>
      <c r="AKU54" s="6"/>
      <c r="AKV54" s="6"/>
      <c r="AKW54" s="6"/>
      <c r="AKX54" s="6"/>
      <c r="AKY54" s="6"/>
      <c r="AKZ54" s="6"/>
      <c r="ALA54" s="6"/>
      <c r="ALB54" s="6"/>
      <c r="ALC54" s="6"/>
      <c r="ALD54" s="6"/>
      <c r="ALE54" s="6"/>
      <c r="ALF54" s="6"/>
      <c r="ALG54" s="6"/>
      <c r="ALH54" s="6"/>
      <c r="ALI54" s="6"/>
      <c r="ALJ54" s="6"/>
      <c r="ALK54" s="6"/>
      <c r="ALL54" s="6"/>
      <c r="ALM54" s="6"/>
      <c r="ALN54" s="6"/>
      <c r="ALO54" s="6"/>
      <c r="ALP54" s="6"/>
      <c r="ALQ54" s="6"/>
      <c r="ALR54" s="6"/>
      <c r="ALS54" s="6"/>
      <c r="ALT54" s="6"/>
      <c r="ALU54" s="6"/>
      <c r="ALV54" s="6"/>
      <c r="ALW54" s="6"/>
      <c r="ALX54" s="6"/>
      <c r="ALY54" s="6"/>
      <c r="ALZ54" s="6"/>
      <c r="AMA54" s="6"/>
      <c r="AMB54" s="6"/>
      <c r="AMC54" s="6"/>
      <c r="AMD54" s="6"/>
      <c r="AME54" s="6"/>
      <c r="AMF54" s="6"/>
      <c r="AMG54" s="6"/>
      <c r="AMH54" s="6"/>
      <c r="AMI54" s="6"/>
      <c r="AMJ54" s="6"/>
      <c r="AMK54" s="6"/>
      <c r="AML54" s="6"/>
      <c r="AMM54" s="6"/>
      <c r="AMN54" s="6"/>
      <c r="AMO54" s="6"/>
      <c r="AMP54" s="6"/>
      <c r="AMQ54" s="6"/>
      <c r="AMR54" s="6"/>
      <c r="AMS54" s="6"/>
      <c r="AMT54" s="6"/>
      <c r="AMU54" s="6"/>
      <c r="AMV54" s="6"/>
      <c r="AMW54" s="6"/>
      <c r="AMX54" s="6"/>
      <c r="AMY54" s="6"/>
      <c r="AMZ54" s="6"/>
      <c r="ANA54" s="6"/>
      <c r="ANB54" s="6"/>
      <c r="ANC54" s="6"/>
      <c r="AND54" s="6"/>
      <c r="ANE54" s="6"/>
      <c r="ANF54" s="6"/>
      <c r="ANG54" s="6"/>
      <c r="ANH54" s="6"/>
      <c r="ANI54" s="6"/>
      <c r="ANJ54" s="6"/>
      <c r="ANK54" s="6"/>
      <c r="ANL54" s="6"/>
      <c r="ANM54" s="6"/>
      <c r="ANN54" s="6"/>
      <c r="ANO54" s="6"/>
      <c r="ANP54" s="6"/>
      <c r="ANQ54" s="6"/>
      <c r="ANR54" s="6"/>
      <c r="ANS54" s="6"/>
      <c r="ANT54" s="6"/>
      <c r="ANU54" s="6"/>
      <c r="ANV54" s="6"/>
      <c r="ANW54" s="6"/>
      <c r="ANX54" s="6"/>
      <c r="ANY54" s="6"/>
      <c r="ANZ54" s="6"/>
      <c r="AOA54" s="6"/>
      <c r="AOB54" s="6"/>
      <c r="AOC54" s="6"/>
      <c r="AOD54" s="6"/>
      <c r="AOE54" s="6"/>
      <c r="AOF54" s="6"/>
      <c r="AOG54" s="6"/>
      <c r="AOH54" s="6"/>
      <c r="AOI54" s="6"/>
      <c r="AOJ54" s="6"/>
      <c r="AOK54" s="6"/>
      <c r="AOL54" s="6"/>
      <c r="AOM54" s="6"/>
      <c r="AON54" s="6"/>
      <c r="AOO54" s="6"/>
      <c r="AOP54" s="6"/>
      <c r="AOQ54" s="6"/>
      <c r="AOR54" s="6"/>
      <c r="AOS54" s="6"/>
      <c r="AOT54" s="6"/>
      <c r="AOU54" s="6"/>
      <c r="AOV54" s="6"/>
      <c r="AOW54" s="6"/>
      <c r="AOX54" s="6"/>
      <c r="AOY54" s="6"/>
      <c r="AOZ54" s="6"/>
      <c r="APA54" s="6"/>
      <c r="APB54" s="6"/>
      <c r="APC54" s="6"/>
      <c r="APD54" s="6"/>
      <c r="APE54" s="6"/>
      <c r="APF54" s="6"/>
      <c r="APG54" s="6"/>
      <c r="APH54" s="6"/>
      <c r="API54" s="6"/>
      <c r="APJ54" s="6"/>
      <c r="APK54" s="6"/>
      <c r="APL54" s="6"/>
      <c r="APM54" s="6"/>
      <c r="APN54" s="6"/>
      <c r="APO54" s="6"/>
      <c r="APP54" s="6"/>
      <c r="APQ54" s="6"/>
      <c r="APR54" s="6"/>
      <c r="APS54" s="6"/>
      <c r="APT54" s="6"/>
      <c r="APU54" s="6"/>
      <c r="APV54" s="6"/>
      <c r="APW54" s="6"/>
      <c r="APX54" s="6"/>
      <c r="APY54" s="6"/>
      <c r="APZ54" s="6"/>
      <c r="AQA54" s="6"/>
      <c r="AQB54" s="6"/>
      <c r="AQC54" s="6"/>
      <c r="AQD54" s="6"/>
      <c r="AQE54" s="6"/>
      <c r="AQF54" s="6"/>
      <c r="AQG54" s="6"/>
      <c r="AQH54" s="6"/>
      <c r="AQI54" s="6"/>
      <c r="AQJ54" s="6"/>
      <c r="AQK54" s="6"/>
      <c r="AQL54" s="6"/>
      <c r="AQM54" s="6"/>
      <c r="AQN54" s="6"/>
      <c r="AQO54" s="6"/>
      <c r="AQP54" s="6"/>
      <c r="AQQ54" s="6"/>
      <c r="AQR54" s="6"/>
      <c r="AQS54" s="6"/>
      <c r="AQT54" s="6"/>
      <c r="AQU54" s="6"/>
      <c r="AQV54" s="6"/>
      <c r="AQW54" s="6"/>
      <c r="AQX54" s="6"/>
      <c r="AQY54" s="6"/>
      <c r="AQZ54" s="6"/>
      <c r="ARA54" s="6"/>
      <c r="ARB54" s="6"/>
      <c r="ARC54" s="6"/>
      <c r="ARD54" s="6"/>
      <c r="ARE54" s="6"/>
      <c r="ARF54" s="6"/>
      <c r="ARG54" s="6"/>
      <c r="ARH54" s="6"/>
      <c r="ARI54" s="6"/>
      <c r="ARJ54" s="6"/>
      <c r="ARK54" s="6"/>
      <c r="ARL54" s="6"/>
      <c r="ARM54" s="6"/>
      <c r="ARN54" s="6"/>
      <c r="ARO54" s="6"/>
      <c r="ARP54" s="6"/>
      <c r="ARQ54" s="6"/>
      <c r="ARR54" s="6"/>
      <c r="ARS54" s="6"/>
      <c r="ART54" s="6"/>
      <c r="ARU54" s="6"/>
      <c r="ARV54" s="6"/>
      <c r="ARW54" s="6"/>
      <c r="ARX54" s="6"/>
      <c r="ARY54" s="6"/>
      <c r="ARZ54" s="6"/>
      <c r="ASA54" s="6"/>
      <c r="ASB54" s="6"/>
      <c r="ASC54" s="6"/>
      <c r="ASD54" s="6"/>
      <c r="ASE54" s="6"/>
      <c r="ASF54" s="6"/>
      <c r="ASG54" s="6"/>
      <c r="ASH54" s="6"/>
      <c r="ASI54" s="6"/>
      <c r="ASJ54" s="6"/>
      <c r="ASK54" s="6"/>
      <c r="ASL54" s="6"/>
      <c r="ASM54" s="6"/>
      <c r="ASN54" s="6"/>
      <c r="ASO54" s="6"/>
      <c r="ASP54" s="6"/>
      <c r="ASQ54" s="6"/>
      <c r="ASR54" s="6"/>
      <c r="ASS54" s="6"/>
      <c r="AST54" s="6"/>
      <c r="ASU54" s="6"/>
      <c r="ASV54" s="6"/>
      <c r="ASW54" s="6"/>
      <c r="ASX54" s="6"/>
      <c r="ASY54" s="6"/>
      <c r="ASZ54" s="6"/>
      <c r="ATA54" s="6"/>
      <c r="ATB54" s="6"/>
      <c r="ATC54" s="6"/>
      <c r="ATD54" s="6"/>
      <c r="ATE54" s="6"/>
      <c r="ATF54" s="6"/>
      <c r="ATG54" s="6"/>
      <c r="ATH54" s="6"/>
      <c r="ATI54" s="6"/>
      <c r="ATJ54" s="6"/>
      <c r="ATK54" s="6"/>
      <c r="ATL54" s="6"/>
      <c r="ATM54" s="6"/>
      <c r="ATN54" s="6"/>
      <c r="ATO54" s="6"/>
      <c r="ATP54" s="6"/>
      <c r="ATQ54" s="6"/>
      <c r="ATR54" s="6"/>
      <c r="ATS54" s="6"/>
      <c r="ATT54" s="6"/>
      <c r="ATU54" s="6"/>
      <c r="ATV54" s="6"/>
      <c r="ATW54" s="6"/>
      <c r="ATX54" s="6"/>
      <c r="ATY54" s="6"/>
      <c r="ATZ54" s="6"/>
      <c r="AUA54" s="6"/>
      <c r="AUB54" s="6"/>
      <c r="AUC54" s="6"/>
      <c r="AUD54" s="6"/>
      <c r="AUE54" s="6"/>
      <c r="AUF54" s="6"/>
      <c r="AUG54" s="6"/>
      <c r="AUH54" s="6"/>
      <c r="AUI54" s="6"/>
      <c r="AUJ54" s="6"/>
      <c r="AUK54" s="6"/>
      <c r="AUL54" s="6"/>
      <c r="AUM54" s="6"/>
      <c r="AUN54" s="6"/>
      <c r="AUO54" s="6"/>
      <c r="AUP54" s="6"/>
      <c r="AUQ54" s="6"/>
      <c r="AUR54" s="6"/>
      <c r="AUS54" s="6"/>
      <c r="AUT54" s="6"/>
      <c r="AUU54" s="6"/>
      <c r="AUV54" s="6"/>
      <c r="AUW54" s="6"/>
      <c r="AUX54" s="6"/>
      <c r="AUY54" s="6"/>
      <c r="AUZ54" s="6"/>
      <c r="AVA54" s="6"/>
      <c r="AVB54" s="6"/>
      <c r="AVC54" s="6"/>
      <c r="AVD54" s="6"/>
      <c r="AVE54" s="6"/>
      <c r="AVF54" s="6"/>
      <c r="AVG54" s="6"/>
      <c r="AVH54" s="6"/>
      <c r="AVI54" s="6"/>
      <c r="AVJ54" s="6"/>
      <c r="AVK54" s="6"/>
      <c r="AVL54" s="6"/>
      <c r="AVM54" s="6"/>
      <c r="AVN54" s="6"/>
      <c r="AVO54" s="6"/>
      <c r="AVP54" s="6"/>
      <c r="AVQ54" s="6"/>
      <c r="AVR54" s="6"/>
      <c r="AVS54" s="6"/>
      <c r="AVT54" s="6"/>
      <c r="AVU54" s="6"/>
      <c r="AVV54" s="6"/>
      <c r="AVW54" s="6"/>
      <c r="AVX54" s="6"/>
      <c r="AVY54" s="6"/>
      <c r="AVZ54" s="6"/>
      <c r="AWA54" s="6"/>
      <c r="AWB54" s="6"/>
      <c r="AWC54" s="6"/>
      <c r="AWD54" s="6"/>
      <c r="AWE54" s="6"/>
      <c r="AWF54" s="6"/>
      <c r="AWG54" s="6"/>
      <c r="AWH54" s="6"/>
      <c r="AWI54" s="6"/>
      <c r="AWJ54" s="6"/>
      <c r="AWK54" s="6"/>
      <c r="AWL54" s="6"/>
      <c r="AWM54" s="6"/>
      <c r="AWN54" s="6"/>
      <c r="AWO54" s="6"/>
      <c r="AWP54" s="6"/>
      <c r="AWQ54" s="6"/>
      <c r="AWR54" s="6"/>
      <c r="AWS54" s="6"/>
      <c r="AWT54" s="6"/>
      <c r="AWU54" s="6"/>
      <c r="AWV54" s="6"/>
      <c r="AWW54" s="6"/>
      <c r="AWX54" s="6"/>
      <c r="AWY54" s="6"/>
      <c r="AWZ54" s="6"/>
      <c r="AXA54" s="6"/>
      <c r="AXB54" s="6"/>
      <c r="AXC54" s="6"/>
      <c r="AXD54" s="6"/>
      <c r="AXE54" s="6"/>
      <c r="AXF54" s="6"/>
      <c r="AXG54" s="6"/>
      <c r="AXH54" s="6"/>
      <c r="AXI54" s="6"/>
      <c r="AXJ54" s="6"/>
      <c r="AXK54" s="6"/>
      <c r="AXL54" s="6"/>
      <c r="AXM54" s="6"/>
      <c r="AXN54" s="6"/>
      <c r="AXO54" s="6"/>
      <c r="AXP54" s="6"/>
      <c r="AXQ54" s="6"/>
      <c r="AXR54" s="6"/>
      <c r="AXS54" s="6"/>
      <c r="AXT54" s="6"/>
      <c r="AXU54" s="6"/>
      <c r="AXV54" s="6"/>
      <c r="AXW54" s="6"/>
      <c r="AXX54" s="6"/>
      <c r="AXY54" s="6"/>
      <c r="AXZ54" s="6"/>
      <c r="AYA54" s="6"/>
      <c r="AYB54" s="6"/>
      <c r="AYC54" s="6"/>
      <c r="AYD54" s="6"/>
      <c r="AYE54" s="6"/>
      <c r="AYF54" s="6"/>
      <c r="AYG54" s="6"/>
      <c r="AYH54" s="6"/>
      <c r="AYI54" s="6"/>
      <c r="AYJ54" s="6"/>
      <c r="AYK54" s="6"/>
      <c r="AYL54" s="6"/>
      <c r="AYM54" s="6"/>
      <c r="AYN54" s="6"/>
      <c r="AYO54" s="6"/>
      <c r="AYP54" s="6"/>
      <c r="AYQ54" s="6"/>
      <c r="AYR54" s="6"/>
      <c r="AYS54" s="6"/>
      <c r="AYT54" s="6"/>
      <c r="AYU54" s="6"/>
      <c r="AYV54" s="6"/>
      <c r="AYW54" s="6"/>
      <c r="AYX54" s="6"/>
      <c r="AYY54" s="6"/>
      <c r="AYZ54" s="6"/>
      <c r="AZA54" s="6"/>
      <c r="AZB54" s="6"/>
      <c r="AZC54" s="6"/>
      <c r="AZD54" s="6"/>
      <c r="AZE54" s="6"/>
      <c r="AZF54" s="6"/>
      <c r="AZG54" s="6"/>
      <c r="AZH54" s="6"/>
      <c r="AZI54" s="6"/>
      <c r="AZJ54" s="6"/>
      <c r="AZK54" s="6"/>
      <c r="AZL54" s="6"/>
      <c r="AZM54" s="6"/>
      <c r="AZN54" s="6"/>
      <c r="AZO54" s="6"/>
      <c r="AZP54" s="6"/>
      <c r="AZQ54" s="6"/>
      <c r="AZR54" s="6"/>
      <c r="AZS54" s="6"/>
      <c r="AZT54" s="6"/>
      <c r="AZU54" s="6"/>
      <c r="AZV54" s="6"/>
      <c r="AZW54" s="6"/>
      <c r="AZX54" s="6"/>
      <c r="AZY54" s="6"/>
      <c r="AZZ54" s="6"/>
      <c r="BAA54" s="6"/>
      <c r="BAB54" s="6"/>
      <c r="BAC54" s="6"/>
      <c r="BAD54" s="6"/>
      <c r="BAE54" s="6"/>
      <c r="BAF54" s="6"/>
      <c r="BAG54" s="6"/>
      <c r="BAH54" s="6"/>
      <c r="BAI54" s="6"/>
      <c r="BAJ54" s="6"/>
      <c r="BAK54" s="6"/>
      <c r="BAL54" s="6"/>
      <c r="BAM54" s="6"/>
      <c r="BAN54" s="6"/>
      <c r="BAO54" s="6"/>
      <c r="BAP54" s="6"/>
      <c r="BAQ54" s="6"/>
      <c r="BAR54" s="6"/>
      <c r="BAS54" s="6"/>
      <c r="BAT54" s="6"/>
      <c r="BAU54" s="6"/>
      <c r="BAV54" s="6"/>
      <c r="BAW54" s="6"/>
      <c r="BAX54" s="6"/>
      <c r="BAY54" s="6"/>
      <c r="BAZ54" s="6"/>
      <c r="BBA54" s="6"/>
      <c r="BBB54" s="6"/>
      <c r="BBC54" s="6"/>
      <c r="BBD54" s="6"/>
      <c r="BBE54" s="6"/>
      <c r="BBF54" s="6"/>
      <c r="BBG54" s="6"/>
      <c r="BBH54" s="6"/>
      <c r="BBI54" s="6"/>
      <c r="BBJ54" s="6"/>
      <c r="BBK54" s="6"/>
      <c r="BBL54" s="6"/>
      <c r="BBM54" s="6"/>
      <c r="BBN54" s="6"/>
      <c r="BBO54" s="6"/>
      <c r="BBP54" s="6"/>
      <c r="BBQ54" s="6"/>
      <c r="BBR54" s="6"/>
      <c r="BBS54" s="6"/>
      <c r="BBT54" s="6"/>
      <c r="BBU54" s="6"/>
      <c r="BBV54" s="6"/>
      <c r="BBW54" s="6"/>
      <c r="BBX54" s="6"/>
      <c r="BBY54" s="6"/>
      <c r="BBZ54" s="6"/>
      <c r="BCA54" s="6"/>
      <c r="BCB54" s="6"/>
      <c r="BCC54" s="6"/>
      <c r="BCD54" s="6"/>
      <c r="BCE54" s="6"/>
      <c r="BCF54" s="6"/>
      <c r="BCG54" s="6"/>
      <c r="BCH54" s="6"/>
      <c r="BCI54" s="6"/>
      <c r="BCJ54" s="6"/>
      <c r="BCK54" s="6"/>
      <c r="BCL54" s="6"/>
      <c r="BCM54" s="6"/>
      <c r="BCN54" s="6"/>
      <c r="BCO54" s="6"/>
      <c r="BCP54" s="6"/>
      <c r="BCQ54" s="6"/>
      <c r="BCR54" s="6"/>
      <c r="BCS54" s="6"/>
      <c r="BCT54" s="6"/>
      <c r="BCU54" s="6"/>
      <c r="BCV54" s="6"/>
      <c r="BCW54" s="6"/>
      <c r="BCX54" s="6"/>
      <c r="BCY54" s="6"/>
      <c r="BCZ54" s="6"/>
      <c r="BDA54" s="6"/>
      <c r="BDB54" s="6"/>
      <c r="BDC54" s="6"/>
      <c r="BDD54" s="6"/>
      <c r="BDE54" s="6"/>
      <c r="BDF54" s="6"/>
      <c r="BDG54" s="6"/>
      <c r="BDH54" s="6"/>
      <c r="BDI54" s="6"/>
      <c r="BDJ54" s="6"/>
      <c r="BDK54" s="6"/>
      <c r="BDL54" s="6"/>
      <c r="BDM54" s="6"/>
      <c r="BDN54" s="6"/>
      <c r="BDO54" s="6"/>
      <c r="BDP54" s="6"/>
      <c r="BDQ54" s="6"/>
      <c r="BDR54" s="6"/>
      <c r="BDS54" s="6"/>
      <c r="BDT54" s="6"/>
      <c r="BDU54" s="6"/>
      <c r="BDV54" s="6"/>
      <c r="BDW54" s="6"/>
      <c r="BDX54" s="6"/>
      <c r="BDY54" s="6"/>
      <c r="BDZ54" s="6"/>
      <c r="BEA54" s="6"/>
      <c r="BEB54" s="6"/>
      <c r="BEC54" s="6"/>
      <c r="BED54" s="6"/>
      <c r="BEE54" s="6"/>
      <c r="BEF54" s="6"/>
      <c r="BEG54" s="6"/>
      <c r="BEH54" s="6"/>
      <c r="BEI54" s="6"/>
      <c r="BEJ54" s="6"/>
      <c r="BEK54" s="6"/>
      <c r="BEL54" s="6"/>
      <c r="BEM54" s="6"/>
      <c r="BEN54" s="6"/>
      <c r="BEO54" s="6"/>
      <c r="BEP54" s="6"/>
      <c r="BEQ54" s="6"/>
      <c r="BER54" s="6"/>
      <c r="BES54" s="6"/>
      <c r="BET54" s="6"/>
      <c r="BEU54" s="6"/>
      <c r="BEV54" s="6"/>
      <c r="BEW54" s="6"/>
      <c r="BEX54" s="6"/>
      <c r="BEY54" s="6"/>
      <c r="BEZ54" s="6"/>
      <c r="BFA54" s="6"/>
      <c r="BFB54" s="6"/>
      <c r="BFC54" s="6"/>
      <c r="BFD54" s="6"/>
      <c r="BFE54" s="6"/>
      <c r="BFF54" s="6"/>
      <c r="BFG54" s="6"/>
      <c r="BFH54" s="6"/>
      <c r="BFI54" s="6"/>
      <c r="BFJ54" s="6"/>
      <c r="BFK54" s="6"/>
      <c r="BFL54" s="6"/>
      <c r="BFM54" s="6"/>
      <c r="BFN54" s="6"/>
      <c r="BFO54" s="6"/>
      <c r="BFP54" s="6"/>
      <c r="BFQ54" s="6"/>
      <c r="BFR54" s="6"/>
      <c r="BFS54" s="6"/>
      <c r="BFT54" s="6"/>
      <c r="BFU54" s="6"/>
      <c r="BFV54" s="6"/>
      <c r="BFW54" s="6"/>
      <c r="BFX54" s="6"/>
      <c r="BFY54" s="6"/>
      <c r="BFZ54" s="6"/>
      <c r="BGA54" s="6"/>
      <c r="BGB54" s="6"/>
      <c r="BGC54" s="6"/>
      <c r="BGD54" s="6"/>
      <c r="BGE54" s="6"/>
      <c r="BGF54" s="6"/>
      <c r="BGG54" s="6"/>
      <c r="BGH54" s="6"/>
      <c r="BGI54" s="6"/>
      <c r="BGJ54" s="6"/>
      <c r="BGK54" s="6"/>
      <c r="BGL54" s="6"/>
      <c r="BGM54" s="6"/>
      <c r="BGN54" s="6"/>
      <c r="BGO54" s="6"/>
      <c r="BGP54" s="6"/>
      <c r="BGQ54" s="6"/>
      <c r="BGR54" s="6"/>
      <c r="BGS54" s="6"/>
      <c r="BGT54" s="6"/>
      <c r="BGU54" s="6"/>
      <c r="BGV54" s="6"/>
      <c r="BGW54" s="6"/>
      <c r="BGX54" s="6"/>
      <c r="BGY54" s="6"/>
      <c r="BGZ54" s="6"/>
      <c r="BHA54" s="6"/>
      <c r="BHB54" s="6"/>
      <c r="BHC54" s="6"/>
      <c r="BHD54" s="6"/>
      <c r="BHE54" s="6"/>
      <c r="BHF54" s="6"/>
      <c r="BHG54" s="6"/>
      <c r="BHH54" s="6"/>
      <c r="BHI54" s="6"/>
      <c r="BHJ54" s="6"/>
      <c r="BHK54" s="6"/>
      <c r="BHL54" s="6"/>
      <c r="BHM54" s="6"/>
      <c r="BHN54" s="6"/>
      <c r="BHO54" s="6"/>
      <c r="BHP54" s="6"/>
      <c r="BHQ54" s="6"/>
      <c r="BHR54" s="6"/>
      <c r="BHS54" s="6"/>
      <c r="BHT54" s="6"/>
      <c r="BHU54" s="6"/>
      <c r="BHV54" s="6"/>
      <c r="BHW54" s="6"/>
      <c r="BHX54" s="6"/>
      <c r="BHY54" s="6"/>
      <c r="BHZ54" s="6"/>
      <c r="BIA54" s="6"/>
      <c r="BIB54" s="6"/>
      <c r="BIC54" s="6"/>
      <c r="BID54" s="6"/>
      <c r="BIE54" s="6"/>
      <c r="BIF54" s="6"/>
      <c r="BIG54" s="6"/>
      <c r="BIH54" s="6"/>
      <c r="BII54" s="6"/>
      <c r="BIJ54" s="6"/>
      <c r="BIK54" s="6"/>
      <c r="BIL54" s="6"/>
      <c r="BIM54" s="6"/>
      <c r="BIN54" s="6"/>
      <c r="BIO54" s="6"/>
      <c r="BIP54" s="6"/>
      <c r="BIQ54" s="6"/>
      <c r="BIR54" s="6"/>
      <c r="BIS54" s="6"/>
      <c r="BIT54" s="6"/>
      <c r="BIU54" s="6"/>
      <c r="BIV54" s="6"/>
      <c r="BIW54" s="6"/>
      <c r="BIX54" s="6"/>
      <c r="BIY54" s="6"/>
      <c r="BIZ54" s="6"/>
      <c r="BJA54" s="6"/>
      <c r="BJB54" s="6"/>
      <c r="BJC54" s="6"/>
      <c r="BJD54" s="6"/>
      <c r="BJE54" s="6"/>
      <c r="BJF54" s="6"/>
      <c r="BJG54" s="6"/>
      <c r="BJH54" s="6"/>
      <c r="BJI54" s="6"/>
      <c r="BJJ54" s="6"/>
      <c r="BJK54" s="6"/>
      <c r="BJL54" s="6"/>
      <c r="BJM54" s="6"/>
      <c r="BJN54" s="6"/>
      <c r="BJO54" s="6"/>
      <c r="BJP54" s="6"/>
      <c r="BJQ54" s="6"/>
      <c r="BJR54" s="6"/>
      <c r="BJS54" s="6"/>
      <c r="BJT54" s="6"/>
      <c r="BJU54" s="6"/>
      <c r="BJV54" s="6"/>
      <c r="BJW54" s="6"/>
      <c r="BJX54" s="6"/>
      <c r="BJY54" s="6"/>
      <c r="BJZ54" s="6"/>
      <c r="BKA54" s="6"/>
      <c r="BKB54" s="6"/>
      <c r="BKC54" s="6"/>
      <c r="BKD54" s="6"/>
      <c r="BKE54" s="6"/>
      <c r="BKF54" s="6"/>
      <c r="BKG54" s="6"/>
      <c r="BKH54" s="6"/>
      <c r="BKI54" s="6"/>
      <c r="BKJ54" s="6"/>
      <c r="BKK54" s="6"/>
      <c r="BKL54" s="6"/>
      <c r="BKM54" s="6"/>
      <c r="BKN54" s="6"/>
      <c r="BKO54" s="6"/>
      <c r="BKP54" s="6"/>
      <c r="BKQ54" s="6"/>
      <c r="BKR54" s="6"/>
      <c r="BKS54" s="6"/>
      <c r="BKT54" s="6"/>
      <c r="BKU54" s="6"/>
      <c r="BKV54" s="6"/>
      <c r="BKW54" s="6"/>
      <c r="BKX54" s="6"/>
      <c r="BKY54" s="6"/>
      <c r="BKZ54" s="6"/>
      <c r="BLA54" s="6"/>
      <c r="BLB54" s="6"/>
      <c r="BLC54" s="6"/>
      <c r="BLD54" s="6"/>
      <c r="BLE54" s="6"/>
      <c r="BLF54" s="6"/>
      <c r="BLG54" s="6"/>
      <c r="BLH54" s="6"/>
      <c r="BLI54" s="6"/>
      <c r="BLJ54" s="6"/>
      <c r="BLK54" s="6"/>
      <c r="BLL54" s="6"/>
      <c r="BLM54" s="6"/>
      <c r="BLN54" s="6"/>
      <c r="BLO54" s="6"/>
      <c r="BLP54" s="6"/>
      <c r="BLQ54" s="6"/>
      <c r="BLR54" s="6"/>
      <c r="BLS54" s="6"/>
      <c r="BLT54" s="6"/>
      <c r="BLU54" s="6"/>
      <c r="BLV54" s="6"/>
      <c r="BLW54" s="6"/>
      <c r="BLX54" s="6"/>
      <c r="BLY54" s="6"/>
      <c r="BLZ54" s="6"/>
      <c r="BMA54" s="6"/>
      <c r="BMB54" s="6"/>
      <c r="BMC54" s="6"/>
      <c r="BMD54" s="6"/>
      <c r="BME54" s="6"/>
      <c r="BMF54" s="6"/>
      <c r="BMG54" s="6"/>
      <c r="BMH54" s="6"/>
      <c r="BMI54" s="6"/>
      <c r="BMJ54" s="6"/>
      <c r="BMK54" s="6"/>
      <c r="BML54" s="6"/>
      <c r="BMM54" s="6"/>
      <c r="BMN54" s="6"/>
      <c r="BMO54" s="6"/>
      <c r="BMP54" s="6"/>
      <c r="BMQ54" s="6"/>
      <c r="BMR54" s="6"/>
      <c r="BMS54" s="6"/>
      <c r="BMT54" s="6"/>
      <c r="BMU54" s="6"/>
      <c r="BMV54" s="6"/>
      <c r="BMW54" s="6"/>
      <c r="BMX54" s="6"/>
      <c r="BMY54" s="6"/>
      <c r="BMZ54" s="6"/>
      <c r="BNA54" s="6"/>
      <c r="BNB54" s="6"/>
      <c r="BNC54" s="6"/>
      <c r="BND54" s="6"/>
      <c r="BNE54" s="6"/>
      <c r="BNF54" s="6"/>
      <c r="BNG54" s="6"/>
      <c r="BNH54" s="6"/>
      <c r="BNI54" s="6"/>
      <c r="BNJ54" s="6"/>
      <c r="BNK54" s="6"/>
      <c r="BNL54" s="6"/>
      <c r="BNM54" s="6"/>
      <c r="BNN54" s="6"/>
      <c r="BNO54" s="6"/>
      <c r="BNP54" s="6"/>
      <c r="BNQ54" s="6"/>
      <c r="BNR54" s="6"/>
      <c r="BNS54" s="6"/>
      <c r="BNT54" s="6"/>
      <c r="BNU54" s="6"/>
      <c r="BNV54" s="6"/>
      <c r="BNW54" s="6"/>
      <c r="BNX54" s="6"/>
      <c r="BNY54" s="6"/>
      <c r="BNZ54" s="6"/>
      <c r="BOA54" s="6"/>
      <c r="BOB54" s="6"/>
      <c r="BOC54" s="6"/>
      <c r="BOD54" s="6"/>
      <c r="BOE54" s="6"/>
      <c r="BOF54" s="6"/>
      <c r="BOG54" s="6"/>
      <c r="BOH54" s="6"/>
      <c r="BOI54" s="6"/>
      <c r="BOJ54" s="6"/>
      <c r="BOK54" s="6"/>
      <c r="BOL54" s="6"/>
      <c r="BOM54" s="6"/>
      <c r="BON54" s="6"/>
      <c r="BOO54" s="6"/>
      <c r="BOP54" s="6"/>
      <c r="BOQ54" s="6"/>
      <c r="BOR54" s="6"/>
      <c r="BOS54" s="6"/>
      <c r="BOT54" s="6"/>
      <c r="BOU54" s="6"/>
      <c r="BOV54" s="6"/>
      <c r="BOW54" s="6"/>
      <c r="BOX54" s="6"/>
      <c r="BOY54" s="6"/>
      <c r="BOZ54" s="6"/>
      <c r="BPA54" s="6"/>
      <c r="BPB54" s="6"/>
      <c r="BPC54" s="6"/>
      <c r="BPD54" s="6"/>
      <c r="BPE54" s="6"/>
      <c r="BPF54" s="6"/>
      <c r="BPG54" s="6"/>
      <c r="BPH54" s="6"/>
      <c r="BPI54" s="6"/>
      <c r="BPJ54" s="6"/>
      <c r="BPK54" s="6"/>
      <c r="BPL54" s="6"/>
      <c r="BPM54" s="6"/>
      <c r="BPN54" s="6"/>
      <c r="BPO54" s="6"/>
      <c r="BPP54" s="6"/>
      <c r="BPQ54" s="6"/>
      <c r="BPR54" s="6"/>
      <c r="BPS54" s="6"/>
      <c r="BPT54" s="6"/>
      <c r="BPU54" s="6"/>
      <c r="BPV54" s="6"/>
      <c r="BPW54" s="6"/>
      <c r="BPX54" s="6"/>
      <c r="BPY54" s="6"/>
      <c r="BPZ54" s="6"/>
      <c r="BQA54" s="6"/>
      <c r="BQB54" s="6"/>
      <c r="BQC54" s="6"/>
      <c r="BQD54" s="6"/>
      <c r="BQE54" s="6"/>
      <c r="BQF54" s="6"/>
      <c r="BQG54" s="6"/>
      <c r="BQH54" s="6"/>
      <c r="BQI54" s="6"/>
      <c r="BQJ54" s="6"/>
      <c r="BQK54" s="6"/>
      <c r="BQL54" s="6"/>
      <c r="BQM54" s="6"/>
      <c r="BQN54" s="6"/>
      <c r="BQO54" s="6"/>
      <c r="BQP54" s="6"/>
      <c r="BQQ54" s="6"/>
      <c r="BQR54" s="6"/>
      <c r="BQS54" s="6"/>
      <c r="BQT54" s="6"/>
      <c r="BQU54" s="6"/>
      <c r="BQV54" s="6"/>
      <c r="BQW54" s="6"/>
      <c r="BQX54" s="6"/>
      <c r="BQY54" s="6"/>
      <c r="BQZ54" s="6"/>
      <c r="BRA54" s="6"/>
      <c r="BRB54" s="6"/>
      <c r="BRC54" s="6"/>
      <c r="BRD54" s="6"/>
      <c r="BRE54" s="6"/>
      <c r="BRF54" s="6"/>
      <c r="BRG54" s="6"/>
      <c r="BRH54" s="6"/>
      <c r="BRI54" s="6"/>
      <c r="BRJ54" s="6"/>
      <c r="BRK54" s="6"/>
      <c r="BRL54" s="6"/>
      <c r="BRM54" s="6"/>
      <c r="BRN54" s="6"/>
      <c r="BRO54" s="6"/>
      <c r="BRP54" s="6"/>
      <c r="BRQ54" s="6"/>
      <c r="BRR54" s="6"/>
      <c r="BRS54" s="6"/>
      <c r="BRT54" s="6"/>
      <c r="BRU54" s="6"/>
      <c r="BRV54" s="6"/>
      <c r="BRW54" s="6"/>
      <c r="BRX54" s="6"/>
      <c r="BRY54" s="6"/>
      <c r="BRZ54" s="6"/>
      <c r="BSA54" s="6"/>
      <c r="BSB54" s="6"/>
      <c r="BSC54" s="6"/>
      <c r="BSD54" s="6"/>
      <c r="BSE54" s="6"/>
      <c r="BSF54" s="6"/>
      <c r="BSG54" s="6"/>
      <c r="BSH54" s="6"/>
      <c r="BSI54" s="6"/>
      <c r="BSJ54" s="6"/>
      <c r="BSK54" s="6"/>
      <c r="BSL54" s="6"/>
      <c r="BSM54" s="6"/>
      <c r="BSN54" s="6"/>
      <c r="BSO54" s="6"/>
      <c r="BSP54" s="6"/>
      <c r="BSQ54" s="6"/>
      <c r="BSR54" s="6"/>
      <c r="BSS54" s="6"/>
      <c r="BST54" s="6"/>
      <c r="BSU54" s="6"/>
      <c r="BSV54" s="6"/>
      <c r="BSW54" s="6"/>
      <c r="BSX54" s="6"/>
      <c r="BSY54" s="6"/>
      <c r="BSZ54" s="6"/>
      <c r="BTA54" s="6"/>
      <c r="BTB54" s="6"/>
      <c r="BTC54" s="6"/>
      <c r="BTD54" s="6"/>
      <c r="BTE54" s="6"/>
      <c r="BTF54" s="6"/>
      <c r="BTG54" s="6"/>
      <c r="BTH54" s="6"/>
      <c r="BTI54" s="6"/>
      <c r="BTJ54" s="6"/>
      <c r="BTK54" s="6"/>
      <c r="BTL54" s="6"/>
      <c r="BTM54" s="6"/>
      <c r="BTN54" s="6"/>
      <c r="BTO54" s="6"/>
      <c r="BTP54" s="6"/>
      <c r="BTQ54" s="6"/>
      <c r="BTR54" s="6"/>
      <c r="BTS54" s="6"/>
      <c r="BTT54" s="6"/>
      <c r="BTU54" s="6"/>
      <c r="BTV54" s="6"/>
      <c r="BTW54" s="6"/>
      <c r="BTX54" s="6"/>
      <c r="BTY54" s="6"/>
      <c r="BTZ54" s="6"/>
      <c r="BUA54" s="6"/>
      <c r="BUB54" s="6"/>
      <c r="BUC54" s="6"/>
      <c r="BUD54" s="6"/>
      <c r="BUE54" s="6"/>
      <c r="BUF54" s="6"/>
      <c r="BUG54" s="6"/>
      <c r="BUH54" s="6"/>
      <c r="BUI54" s="6"/>
      <c r="BUJ54" s="6"/>
      <c r="BUK54" s="6"/>
      <c r="BUL54" s="6"/>
      <c r="BUM54" s="6"/>
      <c r="BUN54" s="6"/>
      <c r="BUO54" s="6"/>
      <c r="BUP54" s="6"/>
      <c r="BUQ54" s="6"/>
      <c r="BUR54" s="6"/>
      <c r="BUS54" s="6"/>
      <c r="BUT54" s="6"/>
      <c r="BUU54" s="6"/>
      <c r="BUV54" s="6"/>
      <c r="BUW54" s="6"/>
      <c r="BUX54" s="6"/>
      <c r="BUY54" s="6"/>
      <c r="BUZ54" s="6"/>
      <c r="BVA54" s="6"/>
      <c r="BVB54" s="6"/>
      <c r="BVC54" s="6"/>
      <c r="BVD54" s="6"/>
      <c r="BVE54" s="6"/>
      <c r="BVF54" s="6"/>
      <c r="BVG54" s="6"/>
      <c r="BVH54" s="6"/>
      <c r="BVI54" s="6"/>
      <c r="BVJ54" s="6"/>
      <c r="BVK54" s="6"/>
      <c r="BVL54" s="6"/>
      <c r="BVM54" s="6"/>
      <c r="BVN54" s="6"/>
      <c r="BVO54" s="6"/>
      <c r="BVP54" s="6"/>
      <c r="BVQ54" s="6"/>
      <c r="BVR54" s="6"/>
      <c r="BVS54" s="6"/>
      <c r="BVT54" s="6"/>
      <c r="BVU54" s="6"/>
      <c r="BVV54" s="6"/>
      <c r="BVW54" s="6"/>
      <c r="BVX54" s="6"/>
      <c r="BVY54" s="6"/>
      <c r="BVZ54" s="6"/>
      <c r="BWA54" s="6"/>
      <c r="BWB54" s="6"/>
      <c r="BWC54" s="6"/>
      <c r="BWD54" s="6"/>
      <c r="BWE54" s="6"/>
      <c r="BWF54" s="6"/>
      <c r="BWG54" s="6"/>
      <c r="BWH54" s="6"/>
      <c r="BWI54" s="6"/>
      <c r="BWJ54" s="6"/>
      <c r="BWK54" s="6"/>
      <c r="BWL54" s="6"/>
      <c r="BWM54" s="6"/>
      <c r="BWN54" s="6"/>
      <c r="BWO54" s="6"/>
      <c r="BWP54" s="6"/>
      <c r="BWQ54" s="6"/>
      <c r="BWR54" s="6"/>
      <c r="BWS54" s="6"/>
      <c r="BWT54" s="6"/>
      <c r="BWU54" s="6"/>
      <c r="BWV54" s="6"/>
      <c r="BWW54" s="6"/>
      <c r="BWX54" s="6"/>
      <c r="BWY54" s="6"/>
      <c r="BWZ54" s="6"/>
      <c r="BXA54" s="6"/>
      <c r="BXB54" s="6"/>
      <c r="BXC54" s="6"/>
      <c r="BXD54" s="6"/>
      <c r="BXE54" s="6"/>
      <c r="BXF54" s="6"/>
      <c r="BXG54" s="6"/>
      <c r="BXH54" s="6"/>
      <c r="BXI54" s="6"/>
      <c r="BXJ54" s="6"/>
      <c r="BXK54" s="6"/>
      <c r="BXL54" s="6"/>
      <c r="BXM54" s="6"/>
      <c r="BXN54" s="6"/>
      <c r="BXO54" s="6"/>
      <c r="BXP54" s="6"/>
      <c r="BXQ54" s="6"/>
      <c r="BXR54" s="6"/>
      <c r="BXS54" s="6"/>
      <c r="BXT54" s="6"/>
      <c r="BXU54" s="6"/>
      <c r="BXV54" s="6"/>
      <c r="BXW54" s="6"/>
      <c r="BXX54" s="6"/>
      <c r="BXY54" s="6"/>
      <c r="BXZ54" s="6"/>
      <c r="BYA54" s="6"/>
      <c r="BYB54" s="6"/>
      <c r="BYC54" s="6"/>
      <c r="BYD54" s="6"/>
      <c r="BYE54" s="6"/>
      <c r="BYF54" s="6"/>
      <c r="BYG54" s="6"/>
      <c r="BYH54" s="6"/>
      <c r="BYI54" s="6"/>
      <c r="BYJ54" s="6"/>
      <c r="BYK54" s="6"/>
      <c r="BYL54" s="6"/>
      <c r="BYM54" s="6"/>
      <c r="BYN54" s="6"/>
      <c r="BYO54" s="6"/>
      <c r="BYP54" s="6"/>
      <c r="BYQ54" s="6"/>
      <c r="BYR54" s="6"/>
      <c r="BYS54" s="6"/>
      <c r="BYT54" s="6"/>
      <c r="BYU54" s="6"/>
      <c r="BYV54" s="6"/>
      <c r="BYW54" s="6"/>
      <c r="BYX54" s="6"/>
      <c r="BYY54" s="6"/>
      <c r="BYZ54" s="6"/>
      <c r="BZA54" s="6"/>
      <c r="BZB54" s="6"/>
      <c r="BZC54" s="6"/>
      <c r="BZD54" s="6"/>
      <c r="BZE54" s="6"/>
      <c r="BZF54" s="6"/>
      <c r="BZG54" s="6"/>
      <c r="BZH54" s="6"/>
      <c r="BZI54" s="6"/>
      <c r="BZJ54" s="6"/>
      <c r="BZK54" s="6"/>
      <c r="BZL54" s="6"/>
      <c r="BZM54" s="6"/>
      <c r="BZN54" s="6"/>
      <c r="BZO54" s="6"/>
      <c r="BZP54" s="6"/>
      <c r="BZQ54" s="6"/>
      <c r="BZR54" s="6"/>
      <c r="BZS54" s="6"/>
      <c r="BZT54" s="6"/>
      <c r="BZU54" s="6"/>
      <c r="BZV54" s="6"/>
      <c r="BZW54" s="6"/>
      <c r="BZX54" s="6"/>
      <c r="BZY54" s="6"/>
      <c r="BZZ54" s="6"/>
      <c r="CAA54" s="6"/>
      <c r="CAB54" s="6"/>
      <c r="CAC54" s="6"/>
      <c r="CAD54" s="6"/>
      <c r="CAE54" s="6"/>
      <c r="CAF54" s="6"/>
      <c r="CAG54" s="6"/>
      <c r="CAH54" s="6"/>
      <c r="CAI54" s="6"/>
      <c r="CAJ54" s="6"/>
      <c r="CAK54" s="6"/>
      <c r="CAL54" s="6"/>
      <c r="CAM54" s="6"/>
      <c r="CAN54" s="6"/>
      <c r="CAO54" s="6"/>
      <c r="CAP54" s="6"/>
      <c r="CAQ54" s="6"/>
      <c r="CAR54" s="6"/>
      <c r="CAS54" s="6"/>
      <c r="CAT54" s="6"/>
      <c r="CAU54" s="6"/>
      <c r="CAV54" s="6"/>
      <c r="CAW54" s="6"/>
      <c r="CAX54" s="6"/>
      <c r="CAY54" s="6"/>
      <c r="CAZ54" s="6"/>
      <c r="CBA54" s="6"/>
      <c r="CBB54" s="6"/>
      <c r="CBC54" s="6"/>
      <c r="CBD54" s="6"/>
      <c r="CBE54" s="6"/>
      <c r="CBF54" s="6"/>
      <c r="CBG54" s="6"/>
      <c r="CBH54" s="6"/>
      <c r="CBI54" s="6"/>
      <c r="CBJ54" s="6"/>
      <c r="CBK54" s="6"/>
      <c r="CBL54" s="6"/>
      <c r="CBM54" s="6"/>
      <c r="CBN54" s="6"/>
      <c r="CBO54" s="6"/>
      <c r="CBP54" s="6"/>
      <c r="CBQ54" s="6"/>
      <c r="CBR54" s="6"/>
      <c r="CBS54" s="6"/>
      <c r="CBT54" s="6"/>
      <c r="CBU54" s="6"/>
      <c r="CBV54" s="6"/>
      <c r="CBW54" s="6"/>
      <c r="CBX54" s="6"/>
      <c r="CBY54" s="6"/>
      <c r="CBZ54" s="6"/>
      <c r="CCA54" s="6"/>
      <c r="CCB54" s="6"/>
      <c r="CCC54" s="6"/>
      <c r="CCD54" s="6"/>
      <c r="CCE54" s="6"/>
      <c r="CCF54" s="6"/>
      <c r="CCG54" s="6"/>
      <c r="CCH54" s="6"/>
      <c r="CCI54" s="6"/>
      <c r="CCJ54" s="6"/>
      <c r="CCK54" s="6"/>
      <c r="CCL54" s="6"/>
      <c r="CCM54" s="6"/>
      <c r="CCN54" s="6"/>
      <c r="CCO54" s="6"/>
      <c r="CCP54" s="6"/>
      <c r="CCQ54" s="6"/>
      <c r="CCR54" s="6"/>
      <c r="CCS54" s="6"/>
      <c r="CCT54" s="6"/>
      <c r="CCU54" s="6"/>
      <c r="CCV54" s="6"/>
      <c r="CCW54" s="6"/>
      <c r="CCX54" s="6"/>
      <c r="CCY54" s="6"/>
      <c r="CCZ54" s="6"/>
      <c r="CDA54" s="6"/>
      <c r="CDB54" s="6"/>
      <c r="CDC54" s="6"/>
      <c r="CDD54" s="6"/>
      <c r="CDE54" s="6"/>
      <c r="CDF54" s="6"/>
      <c r="CDG54" s="6"/>
      <c r="CDH54" s="6"/>
      <c r="CDI54" s="6"/>
      <c r="CDJ54" s="6"/>
      <c r="CDK54" s="6"/>
      <c r="CDL54" s="6"/>
      <c r="CDM54" s="6"/>
      <c r="CDN54" s="6"/>
      <c r="CDO54" s="6"/>
      <c r="CDP54" s="6"/>
      <c r="CDQ54" s="6"/>
      <c r="CDR54" s="6"/>
      <c r="CDS54" s="6"/>
      <c r="CDT54" s="6"/>
      <c r="CDU54" s="6"/>
      <c r="CDV54" s="6"/>
      <c r="CDW54" s="6"/>
      <c r="CDX54" s="6"/>
      <c r="CDY54" s="6"/>
      <c r="CDZ54" s="6"/>
      <c r="CEA54" s="6"/>
      <c r="CEB54" s="6"/>
      <c r="CEC54" s="6"/>
      <c r="CED54" s="6"/>
      <c r="CEE54" s="6"/>
      <c r="CEF54" s="6"/>
      <c r="CEG54" s="6"/>
      <c r="CEH54" s="6"/>
      <c r="CEI54" s="6"/>
      <c r="CEJ54" s="6"/>
      <c r="CEK54" s="6"/>
      <c r="CEL54" s="6"/>
      <c r="CEM54" s="6"/>
      <c r="CEN54" s="6"/>
      <c r="CEO54" s="6"/>
      <c r="CEP54" s="6"/>
      <c r="CEQ54" s="6"/>
      <c r="CER54" s="6"/>
      <c r="CES54" s="6"/>
      <c r="CET54" s="6"/>
      <c r="CEU54" s="6"/>
      <c r="CEV54" s="6"/>
      <c r="CEW54" s="6"/>
      <c r="CEX54" s="6"/>
      <c r="CEY54" s="6"/>
      <c r="CEZ54" s="6"/>
      <c r="CFA54" s="6"/>
      <c r="CFB54" s="6"/>
      <c r="CFC54" s="6"/>
      <c r="CFD54" s="6"/>
      <c r="CFE54" s="6"/>
      <c r="CFF54" s="6"/>
      <c r="CFG54" s="6"/>
      <c r="CFH54" s="6"/>
      <c r="CFI54" s="6"/>
      <c r="CFJ54" s="6"/>
      <c r="CFK54" s="6"/>
      <c r="CFL54" s="6"/>
      <c r="CFM54" s="6"/>
      <c r="CFN54" s="6"/>
      <c r="CFO54" s="6"/>
      <c r="CFP54" s="6"/>
      <c r="CFQ54" s="6"/>
      <c r="CFR54" s="6"/>
      <c r="CFS54" s="6"/>
      <c r="CFT54" s="6"/>
      <c r="CFU54" s="6"/>
      <c r="CFV54" s="6"/>
      <c r="CFW54" s="6"/>
      <c r="CFX54" s="6"/>
      <c r="CFY54" s="6"/>
      <c r="CFZ54" s="6"/>
      <c r="CGA54" s="6"/>
      <c r="CGB54" s="6"/>
      <c r="CGC54" s="6"/>
      <c r="CGD54" s="6"/>
      <c r="CGE54" s="6"/>
      <c r="CGF54" s="6"/>
      <c r="CGG54" s="6"/>
      <c r="CGH54" s="6"/>
      <c r="CGI54" s="6"/>
      <c r="CGJ54" s="6"/>
      <c r="CGK54" s="6"/>
      <c r="CGL54" s="6"/>
      <c r="CGM54" s="6"/>
      <c r="CGN54" s="6"/>
      <c r="CGO54" s="6"/>
      <c r="CGP54" s="6"/>
      <c r="CGQ54" s="6"/>
      <c r="CGR54" s="6"/>
      <c r="CGS54" s="6"/>
      <c r="CGT54" s="6"/>
      <c r="CGU54" s="6"/>
      <c r="CGV54" s="6"/>
      <c r="CGW54" s="6"/>
      <c r="CGX54" s="6"/>
      <c r="CGY54" s="6"/>
      <c r="CGZ54" s="6"/>
      <c r="CHA54" s="6"/>
      <c r="CHB54" s="6"/>
      <c r="CHC54" s="6"/>
      <c r="CHD54" s="6"/>
      <c r="CHE54" s="6"/>
      <c r="CHF54" s="6"/>
      <c r="CHG54" s="6"/>
      <c r="CHH54" s="6"/>
      <c r="CHI54" s="6"/>
      <c r="CHJ54" s="6"/>
      <c r="CHK54" s="6"/>
      <c r="CHL54" s="6"/>
      <c r="CHM54" s="6"/>
      <c r="CHN54" s="6"/>
      <c r="CHO54" s="6"/>
      <c r="CHP54" s="6"/>
      <c r="CHQ54" s="6"/>
      <c r="CHR54" s="6"/>
      <c r="CHS54" s="6"/>
      <c r="CHT54" s="6"/>
      <c r="CHU54" s="6"/>
      <c r="CHV54" s="6"/>
      <c r="CHW54" s="6"/>
      <c r="CHX54" s="6"/>
      <c r="CHY54" s="6"/>
      <c r="CHZ54" s="6"/>
      <c r="CIA54" s="6"/>
      <c r="CIB54" s="6"/>
      <c r="CIC54" s="6"/>
      <c r="CID54" s="6"/>
      <c r="CIE54" s="6"/>
      <c r="CIF54" s="6"/>
      <c r="CIG54" s="6"/>
      <c r="CIH54" s="6"/>
      <c r="CII54" s="6"/>
      <c r="CIJ54" s="6"/>
      <c r="CIK54" s="6"/>
      <c r="CIL54" s="6"/>
      <c r="CIM54" s="6"/>
      <c r="CIN54" s="6"/>
      <c r="CIO54" s="6"/>
      <c r="CIP54" s="6"/>
      <c r="CIQ54" s="6"/>
      <c r="CIR54" s="6"/>
      <c r="CIS54" s="6"/>
      <c r="CIT54" s="6"/>
      <c r="CIU54" s="6"/>
      <c r="CIV54" s="6"/>
      <c r="CIW54" s="6"/>
      <c r="CIX54" s="6"/>
      <c r="CIY54" s="6"/>
      <c r="CIZ54" s="6"/>
      <c r="CJA54" s="6"/>
      <c r="CJB54" s="6"/>
      <c r="CJC54" s="6"/>
      <c r="CJD54" s="6"/>
      <c r="CJE54" s="6"/>
      <c r="CJF54" s="6"/>
      <c r="CJG54" s="6"/>
      <c r="CJH54" s="6"/>
      <c r="CJI54" s="6"/>
      <c r="CJJ54" s="6"/>
      <c r="CJK54" s="6"/>
      <c r="CJL54" s="6"/>
      <c r="CJM54" s="6"/>
      <c r="CJN54" s="6"/>
      <c r="CJO54" s="6"/>
      <c r="CJP54" s="6"/>
      <c r="CJQ54" s="6"/>
      <c r="CJR54" s="6"/>
      <c r="CJS54" s="6"/>
      <c r="CJT54" s="6"/>
      <c r="CJU54" s="6"/>
      <c r="CJV54" s="6"/>
      <c r="CJW54" s="6"/>
      <c r="CJX54" s="6"/>
      <c r="CJY54" s="6"/>
      <c r="CJZ54" s="6"/>
      <c r="CKA54" s="6"/>
      <c r="CKB54" s="6"/>
      <c r="CKC54" s="6"/>
      <c r="CKD54" s="6"/>
      <c r="CKE54" s="6"/>
      <c r="CKF54" s="6"/>
      <c r="CKG54" s="6"/>
      <c r="CKH54" s="6"/>
      <c r="CKI54" s="6"/>
      <c r="CKJ54" s="6"/>
      <c r="CKK54" s="6"/>
      <c r="CKL54" s="6"/>
      <c r="CKM54" s="6"/>
      <c r="CKN54" s="6"/>
      <c r="CKO54" s="6"/>
      <c r="CKP54" s="6"/>
      <c r="CKQ54" s="6"/>
      <c r="CKR54" s="6"/>
      <c r="CKS54" s="6"/>
      <c r="CKT54" s="6"/>
      <c r="CKU54" s="6"/>
      <c r="CKV54" s="6"/>
      <c r="CKW54" s="6"/>
      <c r="CKX54" s="6"/>
      <c r="CKY54" s="6"/>
      <c r="CKZ54" s="6"/>
      <c r="CLA54" s="6"/>
      <c r="CLB54" s="6"/>
      <c r="CLC54" s="6"/>
      <c r="CLD54" s="6"/>
      <c r="CLE54" s="6"/>
      <c r="CLF54" s="6"/>
      <c r="CLG54" s="6"/>
      <c r="CLH54" s="6"/>
      <c r="CLI54" s="6"/>
      <c r="CLJ54" s="6"/>
      <c r="CLK54" s="6"/>
      <c r="CLL54" s="6"/>
      <c r="CLM54" s="6"/>
      <c r="CLN54" s="6"/>
      <c r="CLO54" s="6"/>
      <c r="CLP54" s="6"/>
      <c r="CLQ54" s="6"/>
      <c r="CLR54" s="6"/>
      <c r="CLS54" s="6"/>
      <c r="CLT54" s="6"/>
      <c r="CLU54" s="6"/>
      <c r="CLV54" s="6"/>
      <c r="CLW54" s="6"/>
      <c r="CLX54" s="6"/>
      <c r="CLY54" s="6"/>
      <c r="CLZ54" s="6"/>
      <c r="CMA54" s="6"/>
      <c r="CMB54" s="6"/>
      <c r="CMC54" s="6"/>
      <c r="CMD54" s="6"/>
      <c r="CME54" s="6"/>
      <c r="CMF54" s="6"/>
      <c r="CMG54" s="6"/>
      <c r="CMH54" s="6"/>
      <c r="CMI54" s="6"/>
      <c r="CMJ54" s="6"/>
      <c r="CMK54" s="6"/>
      <c r="CML54" s="6"/>
      <c r="CMM54" s="6"/>
      <c r="CMN54" s="6"/>
      <c r="CMO54" s="6"/>
      <c r="CMP54" s="6"/>
      <c r="CMQ54" s="6"/>
      <c r="CMR54" s="6"/>
      <c r="CMS54" s="6"/>
      <c r="CMT54" s="6"/>
      <c r="CMU54" s="6"/>
      <c r="CMV54" s="6"/>
      <c r="CMW54" s="6"/>
      <c r="CMX54" s="6"/>
      <c r="CMY54" s="6"/>
      <c r="CMZ54" s="6"/>
      <c r="CNA54" s="6"/>
      <c r="CNB54" s="6"/>
      <c r="CNC54" s="6"/>
      <c r="CND54" s="6"/>
      <c r="CNE54" s="6"/>
      <c r="CNF54" s="6"/>
      <c r="CNG54" s="6"/>
      <c r="CNH54" s="6"/>
      <c r="CNI54" s="6"/>
      <c r="CNJ54" s="6"/>
      <c r="CNK54" s="6"/>
      <c r="CNL54" s="6"/>
      <c r="CNM54" s="6"/>
      <c r="CNN54" s="6"/>
      <c r="CNO54" s="6"/>
      <c r="CNP54" s="6"/>
      <c r="CNQ54" s="6"/>
      <c r="CNR54" s="6"/>
      <c r="CNS54" s="6"/>
      <c r="CNT54" s="6"/>
      <c r="CNU54" s="6"/>
      <c r="CNV54" s="6"/>
      <c r="CNW54" s="6"/>
      <c r="CNX54" s="6"/>
      <c r="CNY54" s="6"/>
      <c r="CNZ54" s="6"/>
      <c r="COA54" s="6"/>
      <c r="COB54" s="6"/>
      <c r="COC54" s="6"/>
      <c r="COD54" s="6"/>
      <c r="COE54" s="6"/>
      <c r="COF54" s="6"/>
      <c r="COG54" s="6"/>
      <c r="COH54" s="6"/>
      <c r="COI54" s="6"/>
      <c r="COJ54" s="6"/>
      <c r="COK54" s="6"/>
      <c r="COL54" s="6"/>
      <c r="COM54" s="6"/>
      <c r="CON54" s="6"/>
      <c r="COO54" s="6"/>
      <c r="COP54" s="6"/>
      <c r="COQ54" s="6"/>
      <c r="COR54" s="6"/>
      <c r="COS54" s="6"/>
      <c r="COT54" s="6"/>
      <c r="COU54" s="6"/>
      <c r="COV54" s="6"/>
      <c r="COW54" s="6"/>
      <c r="COX54" s="6"/>
      <c r="COY54" s="6"/>
      <c r="COZ54" s="6"/>
      <c r="CPA54" s="6"/>
      <c r="CPB54" s="6"/>
      <c r="CPC54" s="6"/>
      <c r="CPD54" s="6"/>
      <c r="CPE54" s="6"/>
      <c r="CPF54" s="6"/>
      <c r="CPG54" s="6"/>
      <c r="CPH54" s="6"/>
      <c r="CPI54" s="6"/>
      <c r="CPJ54" s="6"/>
      <c r="CPK54" s="6"/>
      <c r="CPL54" s="6"/>
      <c r="CPM54" s="6"/>
      <c r="CPN54" s="6"/>
      <c r="CPO54" s="6"/>
      <c r="CPP54" s="6"/>
      <c r="CPQ54" s="6"/>
      <c r="CPR54" s="6"/>
      <c r="CPS54" s="6"/>
      <c r="CPT54" s="6"/>
      <c r="CPU54" s="6"/>
      <c r="CPV54" s="6"/>
      <c r="CPW54" s="6"/>
      <c r="CPX54" s="6"/>
      <c r="CPY54" s="6"/>
      <c r="CPZ54" s="6"/>
      <c r="CQA54" s="6"/>
      <c r="CQB54" s="6"/>
      <c r="CQC54" s="6"/>
      <c r="CQD54" s="6"/>
      <c r="CQE54" s="6"/>
      <c r="CQF54" s="6"/>
      <c r="CQG54" s="6"/>
      <c r="CQH54" s="6"/>
      <c r="CQI54" s="6"/>
      <c r="CQJ54" s="6"/>
      <c r="CQK54" s="6"/>
      <c r="CQL54" s="6"/>
      <c r="CQM54" s="6"/>
      <c r="CQN54" s="6"/>
      <c r="CQO54" s="6"/>
      <c r="CQP54" s="6"/>
      <c r="CQQ54" s="6"/>
      <c r="CQR54" s="6"/>
      <c r="CQS54" s="6"/>
      <c r="CQT54" s="6"/>
      <c r="CQU54" s="6"/>
      <c r="CQV54" s="6"/>
      <c r="CQW54" s="6"/>
      <c r="CQX54" s="6"/>
      <c r="CQY54" s="6"/>
      <c r="CQZ54" s="6"/>
      <c r="CRA54" s="6"/>
      <c r="CRB54" s="6"/>
      <c r="CRC54" s="6"/>
      <c r="CRD54" s="6"/>
      <c r="CRE54" s="6"/>
      <c r="CRF54" s="6"/>
      <c r="CRG54" s="6"/>
      <c r="CRH54" s="6"/>
      <c r="CRI54" s="6"/>
      <c r="CRJ54" s="6"/>
      <c r="CRK54" s="6"/>
      <c r="CRL54" s="6"/>
      <c r="CRM54" s="6"/>
      <c r="CRN54" s="6"/>
      <c r="CRO54" s="6"/>
      <c r="CRP54" s="6"/>
      <c r="CRQ54" s="6"/>
      <c r="CRR54" s="6"/>
      <c r="CRS54" s="6"/>
      <c r="CRT54" s="6"/>
      <c r="CRU54" s="6"/>
      <c r="CRV54" s="6"/>
      <c r="CRW54" s="6"/>
      <c r="CRX54" s="6"/>
      <c r="CRY54" s="6"/>
      <c r="CRZ54" s="6"/>
      <c r="CSA54" s="6"/>
      <c r="CSB54" s="6"/>
      <c r="CSC54" s="6"/>
      <c r="CSD54" s="6"/>
      <c r="CSE54" s="6"/>
      <c r="CSF54" s="6"/>
      <c r="CSG54" s="6"/>
      <c r="CSH54" s="6"/>
      <c r="CSI54" s="6"/>
      <c r="CSJ54" s="6"/>
      <c r="CSK54" s="6"/>
      <c r="CSL54" s="6"/>
      <c r="CSM54" s="6"/>
      <c r="CSN54" s="6"/>
      <c r="CSO54" s="6"/>
      <c r="CSP54" s="6"/>
      <c r="CSQ54" s="6"/>
      <c r="CSR54" s="6"/>
      <c r="CSS54" s="6"/>
      <c r="CST54" s="6"/>
      <c r="CSU54" s="6"/>
      <c r="CSV54" s="6"/>
      <c r="CSW54" s="6"/>
      <c r="CSX54" s="6"/>
      <c r="CSY54" s="6"/>
      <c r="CSZ54" s="6"/>
      <c r="CTA54" s="6"/>
      <c r="CTB54" s="6"/>
      <c r="CTC54" s="6"/>
      <c r="CTD54" s="6"/>
      <c r="CTE54" s="6"/>
      <c r="CTF54" s="6"/>
      <c r="CTG54" s="6"/>
      <c r="CTH54" s="6"/>
      <c r="CTI54" s="6"/>
      <c r="CTJ54" s="6"/>
      <c r="CTK54" s="6"/>
      <c r="CTL54" s="6"/>
      <c r="CTM54" s="6"/>
      <c r="CTN54" s="6"/>
      <c r="CTO54" s="6"/>
      <c r="CTP54" s="6"/>
      <c r="CTQ54" s="6"/>
      <c r="CTR54" s="6"/>
      <c r="CTS54" s="6"/>
      <c r="CTT54" s="6"/>
      <c r="CTU54" s="6"/>
      <c r="CTV54" s="6"/>
      <c r="CTW54" s="6"/>
      <c r="CTX54" s="6"/>
      <c r="CTY54" s="6"/>
      <c r="CTZ54" s="6"/>
      <c r="CUA54" s="6"/>
      <c r="CUB54" s="6"/>
      <c r="CUC54" s="6"/>
      <c r="CUD54" s="6"/>
      <c r="CUE54" s="6"/>
      <c r="CUF54" s="6"/>
      <c r="CUG54" s="6"/>
      <c r="CUH54" s="6"/>
      <c r="CUI54" s="6"/>
      <c r="CUJ54" s="6"/>
      <c r="CUK54" s="6"/>
      <c r="CUL54" s="6"/>
      <c r="CUM54" s="6"/>
      <c r="CUN54" s="6"/>
      <c r="CUO54" s="6"/>
      <c r="CUP54" s="6"/>
      <c r="CUQ54" s="6"/>
      <c r="CUR54" s="6"/>
      <c r="CUS54" s="6"/>
      <c r="CUT54" s="6"/>
      <c r="CUU54" s="6"/>
      <c r="CUV54" s="6"/>
      <c r="CUW54" s="6"/>
      <c r="CUX54" s="6"/>
      <c r="CUY54" s="6"/>
      <c r="CUZ54" s="6"/>
      <c r="CVA54" s="6"/>
      <c r="CVB54" s="6"/>
      <c r="CVC54" s="6"/>
      <c r="CVD54" s="6"/>
      <c r="CVE54" s="6"/>
      <c r="CVF54" s="6"/>
      <c r="CVG54" s="6"/>
      <c r="CVH54" s="6"/>
      <c r="CVI54" s="6"/>
      <c r="CVJ54" s="6"/>
      <c r="CVK54" s="6"/>
      <c r="CVL54" s="6"/>
      <c r="CVM54" s="6"/>
      <c r="CVN54" s="6"/>
      <c r="CVO54" s="6"/>
      <c r="CVP54" s="6"/>
      <c r="CVQ54" s="6"/>
      <c r="CVR54" s="6"/>
      <c r="CVS54" s="6"/>
      <c r="CVT54" s="6"/>
      <c r="CVU54" s="6"/>
      <c r="CVV54" s="6"/>
      <c r="CVW54" s="6"/>
      <c r="CVX54" s="6"/>
      <c r="CVY54" s="6"/>
      <c r="CVZ54" s="6"/>
      <c r="CWA54" s="6"/>
      <c r="CWB54" s="6"/>
      <c r="CWC54" s="6"/>
      <c r="CWD54" s="6"/>
      <c r="CWE54" s="6"/>
      <c r="CWF54" s="6"/>
      <c r="CWG54" s="6"/>
      <c r="CWH54" s="6"/>
      <c r="CWI54" s="6"/>
      <c r="CWJ54" s="6"/>
      <c r="CWK54" s="6"/>
      <c r="CWL54" s="6"/>
      <c r="CWM54" s="6"/>
      <c r="CWN54" s="6"/>
      <c r="CWO54" s="6"/>
      <c r="CWP54" s="6"/>
      <c r="CWQ54" s="6"/>
      <c r="CWR54" s="6"/>
      <c r="CWS54" s="6"/>
      <c r="CWT54" s="6"/>
      <c r="CWU54" s="6"/>
      <c r="CWV54" s="6"/>
      <c r="CWW54" s="6"/>
      <c r="CWX54" s="6"/>
      <c r="CWY54" s="6"/>
      <c r="CWZ54" s="6"/>
      <c r="CXA54" s="6"/>
      <c r="CXB54" s="6"/>
      <c r="CXC54" s="6"/>
      <c r="CXD54" s="6"/>
      <c r="CXE54" s="6"/>
      <c r="CXF54" s="6"/>
      <c r="CXG54" s="6"/>
      <c r="CXH54" s="6"/>
      <c r="CXI54" s="6"/>
      <c r="CXJ54" s="6"/>
      <c r="CXK54" s="6"/>
      <c r="CXL54" s="6"/>
      <c r="CXM54" s="6"/>
      <c r="CXN54" s="6"/>
      <c r="CXO54" s="6"/>
      <c r="CXP54" s="6"/>
      <c r="CXQ54" s="6"/>
      <c r="CXR54" s="6"/>
      <c r="CXS54" s="6"/>
      <c r="CXT54" s="6"/>
      <c r="CXU54" s="6"/>
      <c r="CXV54" s="6"/>
      <c r="CXW54" s="6"/>
      <c r="CXX54" s="6"/>
      <c r="CXY54" s="6"/>
      <c r="CXZ54" s="6"/>
      <c r="CYA54" s="6"/>
      <c r="CYB54" s="6"/>
      <c r="CYC54" s="6"/>
      <c r="CYD54" s="6"/>
      <c r="CYE54" s="6"/>
      <c r="CYF54" s="6"/>
      <c r="CYG54" s="6"/>
      <c r="CYH54" s="6"/>
      <c r="CYI54" s="6"/>
      <c r="CYJ54" s="6"/>
      <c r="CYK54" s="6"/>
      <c r="CYL54" s="6"/>
      <c r="CYM54" s="6"/>
      <c r="CYN54" s="6"/>
      <c r="CYO54" s="6"/>
      <c r="CYP54" s="6"/>
      <c r="CYQ54" s="6"/>
      <c r="CYR54" s="6"/>
      <c r="CYS54" s="6"/>
      <c r="CYT54" s="6"/>
      <c r="CYU54" s="6"/>
      <c r="CYV54" s="6"/>
      <c r="CYW54" s="6"/>
      <c r="CYX54" s="6"/>
      <c r="CYY54" s="6"/>
      <c r="CYZ54" s="6"/>
      <c r="CZA54" s="6"/>
      <c r="CZB54" s="6"/>
      <c r="CZC54" s="6"/>
      <c r="CZD54" s="6"/>
      <c r="CZE54" s="6"/>
      <c r="CZF54" s="6"/>
      <c r="CZG54" s="6"/>
      <c r="CZH54" s="6"/>
      <c r="CZI54" s="6"/>
      <c r="CZJ54" s="6"/>
      <c r="CZK54" s="6"/>
      <c r="CZL54" s="6"/>
      <c r="CZM54" s="6"/>
      <c r="CZN54" s="6"/>
      <c r="CZO54" s="6"/>
      <c r="CZP54" s="6"/>
      <c r="CZQ54" s="6"/>
      <c r="CZR54" s="6"/>
      <c r="CZS54" s="6"/>
      <c r="CZT54" s="6"/>
      <c r="CZU54" s="6"/>
      <c r="CZV54" s="6"/>
      <c r="CZW54" s="6"/>
      <c r="CZX54" s="6"/>
      <c r="CZY54" s="6"/>
      <c r="CZZ54" s="6"/>
      <c r="DAA54" s="6"/>
      <c r="DAB54" s="6"/>
      <c r="DAC54" s="6"/>
      <c r="DAD54" s="6"/>
      <c r="DAE54" s="6"/>
      <c r="DAF54" s="6"/>
      <c r="DAG54" s="6"/>
      <c r="DAH54" s="6"/>
      <c r="DAI54" s="6"/>
      <c r="DAJ54" s="6"/>
      <c r="DAK54" s="6"/>
      <c r="DAL54" s="6"/>
      <c r="DAM54" s="6"/>
      <c r="DAN54" s="6"/>
      <c r="DAO54" s="6"/>
      <c r="DAP54" s="6"/>
      <c r="DAQ54" s="6"/>
      <c r="DAR54" s="6"/>
      <c r="DAS54" s="6"/>
      <c r="DAT54" s="6"/>
      <c r="DAU54" s="6"/>
      <c r="DAV54" s="6"/>
      <c r="DAW54" s="6"/>
      <c r="DAX54" s="6"/>
      <c r="DAY54" s="6"/>
      <c r="DAZ54" s="6"/>
      <c r="DBA54" s="6"/>
      <c r="DBB54" s="6"/>
      <c r="DBC54" s="6"/>
      <c r="DBD54" s="6"/>
      <c r="DBE54" s="6"/>
      <c r="DBF54" s="6"/>
      <c r="DBG54" s="6"/>
      <c r="DBH54" s="6"/>
      <c r="DBI54" s="6"/>
      <c r="DBJ54" s="6"/>
      <c r="DBK54" s="6"/>
      <c r="DBL54" s="6"/>
      <c r="DBM54" s="6"/>
      <c r="DBN54" s="6"/>
      <c r="DBO54" s="6"/>
      <c r="DBP54" s="6"/>
      <c r="DBQ54" s="6"/>
      <c r="DBR54" s="6"/>
      <c r="DBS54" s="6"/>
      <c r="DBT54" s="6"/>
      <c r="DBU54" s="6"/>
      <c r="DBV54" s="6"/>
      <c r="DBW54" s="6"/>
      <c r="DBX54" s="6"/>
      <c r="DBY54" s="6"/>
      <c r="DBZ54" s="6"/>
      <c r="DCA54" s="6"/>
      <c r="DCB54" s="6"/>
      <c r="DCC54" s="6"/>
      <c r="DCD54" s="6"/>
      <c r="DCE54" s="6"/>
      <c r="DCF54" s="6"/>
      <c r="DCG54" s="6"/>
      <c r="DCH54" s="6"/>
      <c r="DCI54" s="6"/>
      <c r="DCJ54" s="6"/>
      <c r="DCK54" s="6"/>
      <c r="DCL54" s="6"/>
      <c r="DCM54" s="6"/>
      <c r="DCN54" s="6"/>
      <c r="DCO54" s="6"/>
      <c r="DCP54" s="6"/>
      <c r="DCQ54" s="6"/>
      <c r="DCR54" s="6"/>
      <c r="DCS54" s="6"/>
      <c r="DCT54" s="6"/>
      <c r="DCU54" s="6"/>
      <c r="DCV54" s="6"/>
      <c r="DCW54" s="6"/>
      <c r="DCX54" s="6"/>
      <c r="DCY54" s="6"/>
      <c r="DCZ54" s="6"/>
      <c r="DDA54" s="6"/>
      <c r="DDB54" s="6"/>
      <c r="DDC54" s="6"/>
      <c r="DDD54" s="6"/>
      <c r="DDE54" s="6"/>
      <c r="DDF54" s="6"/>
      <c r="DDG54" s="6"/>
      <c r="DDH54" s="6"/>
      <c r="DDI54" s="6"/>
      <c r="DDJ54" s="6"/>
      <c r="DDK54" s="6"/>
      <c r="DDL54" s="6"/>
      <c r="DDM54" s="6"/>
      <c r="DDN54" s="6"/>
      <c r="DDO54" s="6"/>
      <c r="DDP54" s="6"/>
      <c r="DDQ54" s="6"/>
      <c r="DDR54" s="6"/>
      <c r="DDS54" s="6"/>
      <c r="DDT54" s="6"/>
      <c r="DDU54" s="6"/>
      <c r="DDV54" s="6"/>
      <c r="DDW54" s="6"/>
      <c r="DDX54" s="6"/>
      <c r="DDY54" s="6"/>
      <c r="DDZ54" s="6"/>
      <c r="DEA54" s="6"/>
      <c r="DEB54" s="6"/>
      <c r="DEC54" s="6"/>
      <c r="DED54" s="6"/>
      <c r="DEE54" s="6"/>
      <c r="DEF54" s="6"/>
      <c r="DEG54" s="6"/>
      <c r="DEH54" s="6"/>
      <c r="DEI54" s="6"/>
      <c r="DEJ54" s="6"/>
      <c r="DEK54" s="6"/>
      <c r="DEL54" s="6"/>
      <c r="DEM54" s="6"/>
      <c r="DEN54" s="6"/>
      <c r="DEO54" s="6"/>
      <c r="DEP54" s="6"/>
      <c r="DEQ54" s="6"/>
      <c r="DER54" s="6"/>
      <c r="DES54" s="6"/>
      <c r="DET54" s="6"/>
      <c r="DEU54" s="6"/>
      <c r="DEV54" s="6"/>
      <c r="DEW54" s="6"/>
      <c r="DEX54" s="6"/>
      <c r="DEY54" s="6"/>
      <c r="DEZ54" s="6"/>
      <c r="DFA54" s="6"/>
      <c r="DFB54" s="6"/>
      <c r="DFC54" s="6"/>
      <c r="DFD54" s="6"/>
      <c r="DFE54" s="6"/>
      <c r="DFF54" s="6"/>
      <c r="DFG54" s="6"/>
      <c r="DFH54" s="6"/>
      <c r="DFI54" s="6"/>
      <c r="DFJ54" s="6"/>
      <c r="DFK54" s="6"/>
      <c r="DFL54" s="6"/>
      <c r="DFM54" s="6"/>
      <c r="DFN54" s="6"/>
      <c r="DFO54" s="6"/>
      <c r="DFP54" s="6"/>
      <c r="DFQ54" s="6"/>
      <c r="DFR54" s="6"/>
      <c r="DFS54" s="6"/>
      <c r="DFT54" s="6"/>
      <c r="DFU54" s="6"/>
      <c r="DFV54" s="6"/>
      <c r="DFW54" s="6"/>
      <c r="DFX54" s="6"/>
      <c r="DFY54" s="6"/>
      <c r="DFZ54" s="6"/>
      <c r="DGA54" s="6"/>
      <c r="DGB54" s="6"/>
      <c r="DGC54" s="6"/>
      <c r="DGD54" s="6"/>
      <c r="DGE54" s="6"/>
      <c r="DGF54" s="6"/>
      <c r="DGG54" s="6"/>
      <c r="DGH54" s="6"/>
      <c r="DGI54" s="6"/>
      <c r="DGJ54" s="6"/>
      <c r="DGK54" s="6"/>
      <c r="DGL54" s="6"/>
      <c r="DGM54" s="6"/>
      <c r="DGN54" s="6"/>
      <c r="DGO54" s="6"/>
      <c r="DGP54" s="6"/>
      <c r="DGQ54" s="6"/>
      <c r="DGR54" s="6"/>
      <c r="DGS54" s="6"/>
      <c r="DGT54" s="6"/>
      <c r="DGU54" s="6"/>
      <c r="DGV54" s="6"/>
      <c r="DGW54" s="6"/>
      <c r="DGX54" s="6"/>
      <c r="DGY54" s="6"/>
      <c r="DGZ54" s="6"/>
      <c r="DHA54" s="6"/>
      <c r="DHB54" s="6"/>
      <c r="DHC54" s="6"/>
      <c r="DHD54" s="6"/>
      <c r="DHE54" s="6"/>
      <c r="DHF54" s="6"/>
      <c r="DHG54" s="6"/>
      <c r="DHH54" s="6"/>
      <c r="DHI54" s="6"/>
      <c r="DHJ54" s="6"/>
      <c r="DHK54" s="6"/>
      <c r="DHL54" s="6"/>
      <c r="DHM54" s="6"/>
      <c r="DHN54" s="6"/>
      <c r="DHO54" s="6"/>
      <c r="DHP54" s="6"/>
      <c r="DHQ54" s="6"/>
      <c r="DHR54" s="6"/>
      <c r="DHS54" s="6"/>
      <c r="DHT54" s="6"/>
      <c r="DHU54" s="6"/>
      <c r="DHV54" s="6"/>
      <c r="DHW54" s="6"/>
      <c r="DHX54" s="6"/>
      <c r="DHY54" s="6"/>
      <c r="DHZ54" s="6"/>
      <c r="DIA54" s="6"/>
      <c r="DIB54" s="6"/>
      <c r="DIC54" s="6"/>
      <c r="DID54" s="6"/>
      <c r="DIE54" s="6"/>
      <c r="DIF54" s="6"/>
      <c r="DIG54" s="6"/>
      <c r="DIH54" s="6"/>
      <c r="DII54" s="6"/>
      <c r="DIJ54" s="6"/>
      <c r="DIK54" s="6"/>
      <c r="DIL54" s="6"/>
      <c r="DIM54" s="6"/>
      <c r="DIN54" s="6"/>
      <c r="DIO54" s="6"/>
      <c r="DIP54" s="6"/>
      <c r="DIQ54" s="6"/>
      <c r="DIR54" s="6"/>
      <c r="DIS54" s="6"/>
      <c r="DIT54" s="6"/>
      <c r="DIU54" s="6"/>
      <c r="DIV54" s="6"/>
      <c r="DIW54" s="6"/>
      <c r="DIX54" s="6"/>
      <c r="DIY54" s="6"/>
      <c r="DIZ54" s="6"/>
      <c r="DJA54" s="6"/>
      <c r="DJB54" s="6"/>
      <c r="DJC54" s="6"/>
      <c r="DJD54" s="6"/>
      <c r="DJE54" s="6"/>
      <c r="DJF54" s="6"/>
      <c r="DJG54" s="6"/>
      <c r="DJH54" s="6"/>
      <c r="DJI54" s="6"/>
      <c r="DJJ54" s="6"/>
      <c r="DJK54" s="6"/>
      <c r="DJL54" s="6"/>
      <c r="DJM54" s="6"/>
      <c r="DJN54" s="6"/>
      <c r="DJO54" s="6"/>
      <c r="DJP54" s="6"/>
      <c r="DJQ54" s="6"/>
      <c r="DJR54" s="6"/>
      <c r="DJS54" s="6"/>
      <c r="DJT54" s="6"/>
      <c r="DJU54" s="6"/>
      <c r="DJV54" s="6"/>
      <c r="DJW54" s="6"/>
      <c r="DJX54" s="6"/>
      <c r="DJY54" s="6"/>
      <c r="DJZ54" s="6"/>
      <c r="DKA54" s="6"/>
      <c r="DKB54" s="6"/>
      <c r="DKC54" s="6"/>
      <c r="DKD54" s="6"/>
      <c r="DKE54" s="6"/>
      <c r="DKF54" s="6"/>
      <c r="DKG54" s="6"/>
      <c r="DKH54" s="6"/>
      <c r="DKI54" s="6"/>
      <c r="DKJ54" s="6"/>
      <c r="DKK54" s="6"/>
      <c r="DKL54" s="6"/>
      <c r="DKM54" s="6"/>
      <c r="DKN54" s="6"/>
      <c r="DKO54" s="6"/>
      <c r="DKP54" s="6"/>
      <c r="DKQ54" s="6"/>
      <c r="DKR54" s="6"/>
      <c r="DKS54" s="6"/>
      <c r="DKT54" s="6"/>
      <c r="DKU54" s="6"/>
      <c r="DKV54" s="6"/>
      <c r="DKW54" s="6"/>
      <c r="DKX54" s="6"/>
      <c r="DKY54" s="6"/>
      <c r="DKZ54" s="6"/>
      <c r="DLA54" s="6"/>
      <c r="DLB54" s="6"/>
      <c r="DLC54" s="6"/>
      <c r="DLD54" s="6"/>
      <c r="DLE54" s="6"/>
      <c r="DLF54" s="6"/>
      <c r="DLG54" s="6"/>
      <c r="DLH54" s="6"/>
      <c r="DLI54" s="6"/>
      <c r="DLJ54" s="6"/>
      <c r="DLK54" s="6"/>
      <c r="DLL54" s="6"/>
      <c r="DLM54" s="6"/>
      <c r="DLN54" s="6"/>
      <c r="DLO54" s="6"/>
      <c r="DLP54" s="6"/>
      <c r="DLQ54" s="6"/>
      <c r="DLR54" s="6"/>
      <c r="DLS54" s="6"/>
      <c r="DLT54" s="6"/>
      <c r="DLU54" s="6"/>
      <c r="DLV54" s="6"/>
      <c r="DLW54" s="6"/>
      <c r="DLX54" s="6"/>
      <c r="DLY54" s="6"/>
      <c r="DLZ54" s="6"/>
      <c r="DMA54" s="6"/>
      <c r="DMB54" s="6"/>
      <c r="DMC54" s="6"/>
      <c r="DMD54" s="6"/>
      <c r="DME54" s="6"/>
      <c r="DMF54" s="6"/>
      <c r="DMG54" s="6"/>
      <c r="DMH54" s="6"/>
      <c r="DMI54" s="6"/>
      <c r="DMJ54" s="6"/>
      <c r="DMK54" s="6"/>
      <c r="DML54" s="6"/>
      <c r="DMM54" s="6"/>
      <c r="DMN54" s="6"/>
      <c r="DMO54" s="6"/>
      <c r="DMP54" s="6"/>
      <c r="DMQ54" s="6"/>
      <c r="DMR54" s="6"/>
      <c r="DMS54" s="6"/>
      <c r="DMT54" s="6"/>
      <c r="DMU54" s="6"/>
      <c r="DMV54" s="6"/>
      <c r="DMW54" s="6"/>
      <c r="DMX54" s="6"/>
      <c r="DMY54" s="6"/>
      <c r="DMZ54" s="6"/>
      <c r="DNA54" s="6"/>
      <c r="DNB54" s="6"/>
      <c r="DNC54" s="6"/>
      <c r="DND54" s="6"/>
      <c r="DNE54" s="6"/>
      <c r="DNF54" s="6"/>
      <c r="DNG54" s="6"/>
      <c r="DNH54" s="6"/>
      <c r="DNI54" s="6"/>
      <c r="DNJ54" s="6"/>
      <c r="DNK54" s="6"/>
      <c r="DNL54" s="6"/>
      <c r="DNM54" s="6"/>
      <c r="DNN54" s="6"/>
      <c r="DNO54" s="6"/>
      <c r="DNP54" s="6"/>
      <c r="DNQ54" s="6"/>
      <c r="DNR54" s="6"/>
      <c r="DNS54" s="6"/>
      <c r="DNT54" s="6"/>
      <c r="DNU54" s="6"/>
      <c r="DNV54" s="6"/>
      <c r="DNW54" s="6"/>
      <c r="DNX54" s="6"/>
      <c r="DNY54" s="6"/>
      <c r="DNZ54" s="6"/>
      <c r="DOA54" s="6"/>
      <c r="DOB54" s="6"/>
      <c r="DOC54" s="6"/>
      <c r="DOD54" s="6"/>
      <c r="DOE54" s="6"/>
      <c r="DOF54" s="6"/>
      <c r="DOG54" s="6"/>
      <c r="DOH54" s="6"/>
      <c r="DOI54" s="6"/>
      <c r="DOJ54" s="6"/>
      <c r="DOK54" s="6"/>
      <c r="DOL54" s="6"/>
      <c r="DOM54" s="6"/>
      <c r="DON54" s="6"/>
      <c r="DOO54" s="6"/>
      <c r="DOP54" s="6"/>
      <c r="DOQ54" s="6"/>
      <c r="DOR54" s="6"/>
      <c r="DOS54" s="6"/>
      <c r="DOT54" s="6"/>
      <c r="DOU54" s="6"/>
      <c r="DOV54" s="6"/>
      <c r="DOW54" s="6"/>
      <c r="DOX54" s="6"/>
      <c r="DOY54" s="6"/>
      <c r="DOZ54" s="6"/>
      <c r="DPA54" s="6"/>
      <c r="DPB54" s="6"/>
      <c r="DPC54" s="6"/>
      <c r="DPD54" s="6"/>
      <c r="DPE54" s="6"/>
      <c r="DPF54" s="6"/>
      <c r="DPG54" s="6"/>
      <c r="DPH54" s="6"/>
      <c r="DPI54" s="6"/>
      <c r="DPJ54" s="6"/>
      <c r="DPK54" s="6"/>
      <c r="DPL54" s="6"/>
      <c r="DPM54" s="6"/>
      <c r="DPN54" s="6"/>
      <c r="DPO54" s="6"/>
      <c r="DPP54" s="6"/>
      <c r="DPQ54" s="6"/>
      <c r="DPR54" s="6"/>
      <c r="DPS54" s="6"/>
      <c r="DPT54" s="6"/>
      <c r="DPU54" s="6"/>
      <c r="DPV54" s="6"/>
      <c r="DPW54" s="6"/>
      <c r="DPX54" s="6"/>
      <c r="DPY54" s="6"/>
      <c r="DPZ54" s="6"/>
      <c r="DQA54" s="6"/>
      <c r="DQB54" s="6"/>
      <c r="DQC54" s="6"/>
      <c r="DQD54" s="6"/>
      <c r="DQE54" s="6"/>
      <c r="DQF54" s="6"/>
      <c r="DQG54" s="6"/>
      <c r="DQH54" s="6"/>
      <c r="DQI54" s="6"/>
      <c r="DQJ54" s="6"/>
      <c r="DQK54" s="6"/>
      <c r="DQL54" s="6"/>
      <c r="DQM54" s="6"/>
      <c r="DQN54" s="6"/>
      <c r="DQO54" s="6"/>
      <c r="DQP54" s="6"/>
      <c r="DQQ54" s="6"/>
      <c r="DQR54" s="6"/>
      <c r="DQS54" s="6"/>
      <c r="DQT54" s="6"/>
      <c r="DQU54" s="6"/>
      <c r="DQV54" s="6"/>
      <c r="DQW54" s="6"/>
      <c r="DQX54" s="6"/>
      <c r="DQY54" s="6"/>
      <c r="DQZ54" s="6"/>
      <c r="DRA54" s="6"/>
      <c r="DRB54" s="6"/>
      <c r="DRC54" s="6"/>
      <c r="DRD54" s="6"/>
      <c r="DRE54" s="6"/>
      <c r="DRF54" s="6"/>
      <c r="DRG54" s="6"/>
      <c r="DRH54" s="6"/>
      <c r="DRI54" s="6"/>
      <c r="DRJ54" s="6"/>
      <c r="DRK54" s="6"/>
      <c r="DRL54" s="6"/>
      <c r="DRM54" s="6"/>
      <c r="DRN54" s="6"/>
      <c r="DRO54" s="6"/>
      <c r="DRP54" s="6"/>
      <c r="DRQ54" s="6"/>
      <c r="DRR54" s="6"/>
      <c r="DRS54" s="6"/>
      <c r="DRT54" s="6"/>
      <c r="DRU54" s="6"/>
      <c r="DRV54" s="6"/>
      <c r="DRW54" s="6"/>
      <c r="DRX54" s="6"/>
      <c r="DRY54" s="6"/>
      <c r="DRZ54" s="6"/>
      <c r="DSA54" s="6"/>
      <c r="DSB54" s="6"/>
      <c r="DSC54" s="6"/>
      <c r="DSD54" s="6"/>
      <c r="DSE54" s="6"/>
      <c r="DSF54" s="6"/>
      <c r="DSG54" s="6"/>
      <c r="DSH54" s="6"/>
      <c r="DSI54" s="6"/>
      <c r="DSJ54" s="6"/>
      <c r="DSK54" s="6"/>
      <c r="DSL54" s="6"/>
      <c r="DSM54" s="6"/>
      <c r="DSN54" s="6"/>
      <c r="DSO54" s="6"/>
      <c r="DSP54" s="6"/>
      <c r="DSQ54" s="6"/>
      <c r="DSR54" s="6"/>
      <c r="DSS54" s="6"/>
      <c r="DST54" s="6"/>
      <c r="DSU54" s="6"/>
      <c r="DSV54" s="6"/>
      <c r="DSW54" s="6"/>
      <c r="DSX54" s="6"/>
      <c r="DSY54" s="6"/>
      <c r="DSZ54" s="6"/>
      <c r="DTA54" s="6"/>
      <c r="DTB54" s="6"/>
      <c r="DTC54" s="6"/>
      <c r="DTD54" s="6"/>
      <c r="DTE54" s="6"/>
      <c r="DTF54" s="6"/>
      <c r="DTG54" s="6"/>
      <c r="DTH54" s="6"/>
      <c r="DTI54" s="6"/>
      <c r="DTJ54" s="6"/>
      <c r="DTK54" s="6"/>
      <c r="DTL54" s="6"/>
      <c r="DTM54" s="6"/>
      <c r="DTN54" s="6"/>
      <c r="DTO54" s="6"/>
      <c r="DTP54" s="6"/>
      <c r="DTQ54" s="6"/>
      <c r="DTR54" s="6"/>
      <c r="DTS54" s="6"/>
      <c r="DTT54" s="6"/>
      <c r="DTU54" s="6"/>
      <c r="DTV54" s="6"/>
      <c r="DTW54" s="6"/>
      <c r="DTX54" s="6"/>
      <c r="DTY54" s="6"/>
      <c r="DTZ54" s="6"/>
      <c r="DUA54" s="6"/>
      <c r="DUB54" s="6"/>
      <c r="DUC54" s="6"/>
      <c r="DUD54" s="6"/>
      <c r="DUE54" s="6"/>
      <c r="DUF54" s="6"/>
      <c r="DUG54" s="6"/>
      <c r="DUH54" s="6"/>
      <c r="DUI54" s="6"/>
      <c r="DUJ54" s="6"/>
      <c r="DUK54" s="6"/>
      <c r="DUL54" s="6"/>
      <c r="DUM54" s="6"/>
      <c r="DUN54" s="6"/>
      <c r="DUO54" s="6"/>
      <c r="DUP54" s="6"/>
      <c r="DUQ54" s="6"/>
      <c r="DUR54" s="6"/>
      <c r="DUS54" s="6"/>
      <c r="DUT54" s="6"/>
      <c r="DUU54" s="6"/>
      <c r="DUV54" s="6"/>
      <c r="DUW54" s="6"/>
      <c r="DUX54" s="6"/>
      <c r="DUY54" s="6"/>
      <c r="DUZ54" s="6"/>
      <c r="DVA54" s="6"/>
      <c r="DVB54" s="6"/>
      <c r="DVC54" s="6"/>
      <c r="DVD54" s="6"/>
      <c r="DVE54" s="6"/>
      <c r="DVF54" s="6"/>
      <c r="DVG54" s="6"/>
      <c r="DVH54" s="6"/>
      <c r="DVI54" s="6"/>
      <c r="DVJ54" s="6"/>
      <c r="DVK54" s="6"/>
      <c r="DVL54" s="6"/>
      <c r="DVM54" s="6"/>
      <c r="DVN54" s="6"/>
      <c r="DVO54" s="6"/>
      <c r="DVP54" s="6"/>
      <c r="DVQ54" s="6"/>
      <c r="DVR54" s="6"/>
      <c r="DVS54" s="6"/>
      <c r="DVT54" s="6"/>
      <c r="DVU54" s="6"/>
      <c r="DVV54" s="6"/>
      <c r="DVW54" s="6"/>
      <c r="DVX54" s="6"/>
      <c r="DVY54" s="6"/>
      <c r="DVZ54" s="6"/>
      <c r="DWA54" s="6"/>
      <c r="DWB54" s="6"/>
      <c r="DWC54" s="6"/>
      <c r="DWD54" s="6"/>
      <c r="DWE54" s="6"/>
      <c r="DWF54" s="6"/>
      <c r="DWG54" s="6"/>
      <c r="DWH54" s="6"/>
      <c r="DWI54" s="6"/>
      <c r="DWJ54" s="6"/>
      <c r="DWK54" s="6"/>
      <c r="DWL54" s="6"/>
      <c r="DWM54" s="6"/>
      <c r="DWN54" s="6"/>
      <c r="DWO54" s="6"/>
      <c r="DWP54" s="6"/>
      <c r="DWQ54" s="6"/>
      <c r="DWR54" s="6"/>
      <c r="DWS54" s="6"/>
      <c r="DWT54" s="6"/>
      <c r="DWU54" s="6"/>
      <c r="DWV54" s="6"/>
      <c r="DWW54" s="6"/>
      <c r="DWX54" s="6"/>
      <c r="DWY54" s="6"/>
      <c r="DWZ54" s="6"/>
      <c r="DXA54" s="6"/>
      <c r="DXB54" s="6"/>
      <c r="DXC54" s="6"/>
      <c r="DXD54" s="6"/>
      <c r="DXE54" s="6"/>
      <c r="DXF54" s="6"/>
      <c r="DXG54" s="6"/>
      <c r="DXH54" s="6"/>
      <c r="DXI54" s="6"/>
      <c r="DXJ54" s="6"/>
      <c r="DXK54" s="6"/>
      <c r="DXL54" s="6"/>
      <c r="DXM54" s="6"/>
      <c r="DXN54" s="6"/>
      <c r="DXO54" s="6"/>
      <c r="DXP54" s="6"/>
      <c r="DXQ54" s="6"/>
      <c r="DXR54" s="6"/>
      <c r="DXS54" s="6"/>
      <c r="DXT54" s="6"/>
      <c r="DXU54" s="6"/>
      <c r="DXV54" s="6"/>
      <c r="DXW54" s="6"/>
      <c r="DXX54" s="6"/>
      <c r="DXY54" s="6"/>
      <c r="DXZ54" s="6"/>
      <c r="DYA54" s="6"/>
      <c r="DYB54" s="6"/>
      <c r="DYC54" s="6"/>
      <c r="DYD54" s="6"/>
      <c r="DYE54" s="6"/>
      <c r="DYF54" s="6"/>
      <c r="DYG54" s="6"/>
      <c r="DYH54" s="6"/>
      <c r="DYI54" s="6"/>
      <c r="DYJ54" s="6"/>
      <c r="DYK54" s="6"/>
      <c r="DYL54" s="6"/>
      <c r="DYM54" s="6"/>
      <c r="DYN54" s="6"/>
      <c r="DYO54" s="6"/>
      <c r="DYP54" s="6"/>
      <c r="DYQ54" s="6"/>
      <c r="DYR54" s="6"/>
      <c r="DYS54" s="6"/>
      <c r="DYT54" s="6"/>
      <c r="DYU54" s="6"/>
      <c r="DYV54" s="6"/>
      <c r="DYW54" s="6"/>
      <c r="DYX54" s="6"/>
      <c r="DYY54" s="6"/>
      <c r="DYZ54" s="6"/>
      <c r="DZA54" s="6"/>
      <c r="DZB54" s="6"/>
      <c r="DZC54" s="6"/>
      <c r="DZD54" s="6"/>
      <c r="DZE54" s="6"/>
      <c r="DZF54" s="6"/>
      <c r="DZG54" s="6"/>
      <c r="DZH54" s="6"/>
      <c r="DZI54" s="6"/>
      <c r="DZJ54" s="6"/>
      <c r="DZK54" s="6"/>
      <c r="DZL54" s="6"/>
      <c r="DZM54" s="6"/>
      <c r="DZN54" s="6"/>
      <c r="DZO54" s="6"/>
      <c r="DZP54" s="6"/>
      <c r="DZQ54" s="6"/>
      <c r="DZR54" s="6"/>
      <c r="DZS54" s="6"/>
      <c r="DZT54" s="6"/>
      <c r="DZU54" s="6"/>
      <c r="DZV54" s="6"/>
      <c r="DZW54" s="6"/>
      <c r="DZX54" s="6"/>
      <c r="DZY54" s="6"/>
      <c r="DZZ54" s="6"/>
      <c r="EAA54" s="6"/>
      <c r="EAB54" s="6"/>
      <c r="EAC54" s="6"/>
      <c r="EAD54" s="6"/>
      <c r="EAE54" s="6"/>
      <c r="EAF54" s="6"/>
      <c r="EAG54" s="6"/>
      <c r="EAH54" s="6"/>
      <c r="EAI54" s="6"/>
      <c r="EAJ54" s="6"/>
      <c r="EAK54" s="6"/>
      <c r="EAL54" s="6"/>
      <c r="EAM54" s="6"/>
      <c r="EAN54" s="6"/>
      <c r="EAO54" s="6"/>
      <c r="EAP54" s="6"/>
      <c r="EAQ54" s="6"/>
      <c r="EAR54" s="6"/>
      <c r="EAS54" s="6"/>
      <c r="EAT54" s="6"/>
      <c r="EAU54" s="6"/>
      <c r="EAV54" s="6"/>
      <c r="EAW54" s="6"/>
      <c r="EAX54" s="6"/>
      <c r="EAY54" s="6"/>
      <c r="EAZ54" s="6"/>
      <c r="EBA54" s="6"/>
      <c r="EBB54" s="6"/>
      <c r="EBC54" s="6"/>
      <c r="EBD54" s="6"/>
      <c r="EBE54" s="6"/>
      <c r="EBF54" s="6"/>
      <c r="EBG54" s="6"/>
      <c r="EBH54" s="6"/>
      <c r="EBI54" s="6"/>
      <c r="EBJ54" s="6"/>
      <c r="EBK54" s="6"/>
      <c r="EBL54" s="6"/>
      <c r="EBM54" s="6"/>
      <c r="EBN54" s="6"/>
      <c r="EBO54" s="6"/>
      <c r="EBP54" s="6"/>
      <c r="EBQ54" s="6"/>
      <c r="EBR54" s="6"/>
      <c r="EBS54" s="6"/>
      <c r="EBT54" s="6"/>
      <c r="EBU54" s="6"/>
      <c r="EBV54" s="6"/>
      <c r="EBW54" s="6"/>
      <c r="EBX54" s="6"/>
      <c r="EBY54" s="6"/>
      <c r="EBZ54" s="6"/>
      <c r="ECA54" s="6"/>
      <c r="ECB54" s="6"/>
      <c r="ECC54" s="6"/>
      <c r="ECD54" s="6"/>
      <c r="ECE54" s="6"/>
      <c r="ECF54" s="6"/>
      <c r="ECG54" s="6"/>
      <c r="ECH54" s="6"/>
      <c r="ECI54" s="6"/>
      <c r="ECJ54" s="6"/>
      <c r="ECK54" s="6"/>
      <c r="ECL54" s="6"/>
      <c r="ECM54" s="6"/>
      <c r="ECN54" s="6"/>
      <c r="ECO54" s="6"/>
      <c r="ECP54" s="6"/>
      <c r="ECQ54" s="6"/>
      <c r="ECR54" s="6"/>
      <c r="ECS54" s="6"/>
      <c r="ECT54" s="6"/>
      <c r="ECU54" s="6"/>
      <c r="ECV54" s="6"/>
      <c r="ECW54" s="6"/>
      <c r="ECX54" s="6"/>
      <c r="ECY54" s="6"/>
      <c r="ECZ54" s="6"/>
      <c r="EDA54" s="6"/>
      <c r="EDB54" s="6"/>
      <c r="EDC54" s="6"/>
      <c r="EDD54" s="6"/>
      <c r="EDE54" s="6"/>
      <c r="EDF54" s="6"/>
      <c r="EDG54" s="6"/>
      <c r="EDH54" s="6"/>
      <c r="EDI54" s="6"/>
      <c r="EDJ54" s="6"/>
      <c r="EDK54" s="6"/>
      <c r="EDL54" s="6"/>
      <c r="EDM54" s="6"/>
      <c r="EDN54" s="6"/>
      <c r="EDO54" s="6"/>
      <c r="EDP54" s="6"/>
      <c r="EDQ54" s="6"/>
      <c r="EDR54" s="6"/>
      <c r="EDS54" s="6"/>
      <c r="EDT54" s="6"/>
      <c r="EDU54" s="6"/>
      <c r="EDV54" s="6"/>
      <c r="EDW54" s="6"/>
      <c r="EDX54" s="6"/>
      <c r="EDY54" s="6"/>
      <c r="EDZ54" s="6"/>
      <c r="EEA54" s="6"/>
      <c r="EEB54" s="6"/>
      <c r="EEC54" s="6"/>
      <c r="EED54" s="6"/>
      <c r="EEE54" s="6"/>
      <c r="EEF54" s="6"/>
      <c r="EEG54" s="6"/>
      <c r="EEH54" s="6"/>
      <c r="EEI54" s="6"/>
      <c r="EEJ54" s="6"/>
      <c r="EEK54" s="6"/>
      <c r="EEL54" s="6"/>
      <c r="EEM54" s="6"/>
      <c r="EEN54" s="6"/>
      <c r="EEO54" s="6"/>
      <c r="EEP54" s="6"/>
      <c r="EEQ54" s="6"/>
      <c r="EER54" s="6"/>
      <c r="EES54" s="6"/>
      <c r="EET54" s="6"/>
      <c r="EEU54" s="6"/>
      <c r="EEV54" s="6"/>
      <c r="EEW54" s="6"/>
      <c r="EEX54" s="6"/>
      <c r="EEY54" s="6"/>
      <c r="EEZ54" s="6"/>
      <c r="EFA54" s="6"/>
      <c r="EFB54" s="6"/>
      <c r="EFC54" s="6"/>
      <c r="EFD54" s="6"/>
      <c r="EFE54" s="6"/>
      <c r="EFF54" s="6"/>
      <c r="EFG54" s="6"/>
      <c r="EFH54" s="6"/>
      <c r="EFI54" s="6"/>
      <c r="EFJ54" s="6"/>
      <c r="EFK54" s="6"/>
      <c r="EFL54" s="6"/>
      <c r="EFM54" s="6"/>
      <c r="EFN54" s="6"/>
      <c r="EFO54" s="6"/>
      <c r="EFP54" s="6"/>
      <c r="EFQ54" s="6"/>
      <c r="EFR54" s="6"/>
      <c r="EFS54" s="6"/>
      <c r="EFT54" s="6"/>
      <c r="EFU54" s="6"/>
      <c r="EFV54" s="6"/>
      <c r="EFW54" s="6"/>
      <c r="EFX54" s="6"/>
      <c r="EFY54" s="6"/>
      <c r="EFZ54" s="6"/>
      <c r="EGA54" s="6"/>
      <c r="EGB54" s="6"/>
      <c r="EGC54" s="6"/>
      <c r="EGD54" s="6"/>
      <c r="EGE54" s="6"/>
      <c r="EGF54" s="6"/>
      <c r="EGG54" s="6"/>
      <c r="EGH54" s="6"/>
      <c r="EGI54" s="6"/>
      <c r="EGJ54" s="6"/>
      <c r="EGK54" s="6"/>
      <c r="EGL54" s="6"/>
      <c r="EGM54" s="6"/>
      <c r="EGN54" s="6"/>
      <c r="EGO54" s="6"/>
      <c r="EGP54" s="6"/>
      <c r="EGQ54" s="6"/>
      <c r="EGR54" s="6"/>
      <c r="EGS54" s="6"/>
      <c r="EGT54" s="6"/>
      <c r="EGU54" s="6"/>
      <c r="EGV54" s="6"/>
      <c r="EGW54" s="6"/>
      <c r="EGX54" s="6"/>
      <c r="EGY54" s="6"/>
      <c r="EGZ54" s="6"/>
      <c r="EHA54" s="6"/>
      <c r="EHB54" s="6"/>
      <c r="EHC54" s="6"/>
      <c r="EHD54" s="6"/>
      <c r="EHE54" s="6"/>
      <c r="EHF54" s="6"/>
      <c r="EHG54" s="6"/>
      <c r="EHH54" s="6"/>
      <c r="EHI54" s="6"/>
      <c r="EHJ54" s="6"/>
      <c r="EHK54" s="6"/>
      <c r="EHL54" s="6"/>
      <c r="EHM54" s="6"/>
      <c r="EHN54" s="6"/>
      <c r="EHO54" s="6"/>
      <c r="EHP54" s="6"/>
      <c r="EHQ54" s="6"/>
      <c r="EHR54" s="6"/>
      <c r="EHS54" s="6"/>
      <c r="EHT54" s="6"/>
      <c r="EHU54" s="6"/>
      <c r="EHV54" s="6"/>
      <c r="EHW54" s="6"/>
      <c r="EHX54" s="6"/>
      <c r="EHY54" s="6"/>
      <c r="EHZ54" s="6"/>
      <c r="EIA54" s="6"/>
      <c r="EIB54" s="6"/>
      <c r="EIC54" s="6"/>
      <c r="EID54" s="6"/>
      <c r="EIE54" s="6"/>
      <c r="EIF54" s="6"/>
      <c r="EIG54" s="6"/>
      <c r="EIH54" s="6"/>
      <c r="EII54" s="6"/>
      <c r="EIJ54" s="6"/>
      <c r="EIK54" s="6"/>
      <c r="EIL54" s="6"/>
      <c r="EIM54" s="6"/>
      <c r="EIN54" s="6"/>
      <c r="EIO54" s="6"/>
      <c r="EIP54" s="6"/>
      <c r="EIQ54" s="6"/>
      <c r="EIR54" s="6"/>
      <c r="EIS54" s="6"/>
      <c r="EIT54" s="6"/>
      <c r="EIU54" s="6"/>
      <c r="EIV54" s="6"/>
      <c r="EIW54" s="6"/>
      <c r="EIX54" s="6"/>
      <c r="EIY54" s="6"/>
      <c r="EIZ54" s="6"/>
      <c r="EJA54" s="6"/>
      <c r="EJB54" s="6"/>
      <c r="EJC54" s="6"/>
      <c r="EJD54" s="6"/>
      <c r="EJE54" s="6"/>
      <c r="EJF54" s="6"/>
      <c r="EJG54" s="6"/>
      <c r="EJH54" s="6"/>
      <c r="EJI54" s="6"/>
      <c r="EJJ54" s="6"/>
      <c r="EJK54" s="6"/>
      <c r="EJL54" s="6"/>
      <c r="EJM54" s="6"/>
      <c r="EJN54" s="6"/>
      <c r="EJO54" s="6"/>
      <c r="EJP54" s="6"/>
      <c r="EJQ54" s="6"/>
      <c r="EJR54" s="6"/>
      <c r="EJS54" s="6"/>
      <c r="EJT54" s="6"/>
      <c r="EJU54" s="6"/>
      <c r="EJV54" s="6"/>
      <c r="EJW54" s="6"/>
      <c r="EJX54" s="6"/>
      <c r="EJY54" s="6"/>
      <c r="EJZ54" s="6"/>
      <c r="EKA54" s="6"/>
      <c r="EKB54" s="6"/>
      <c r="EKC54" s="6"/>
      <c r="EKD54" s="6"/>
      <c r="EKE54" s="6"/>
      <c r="EKF54" s="6"/>
      <c r="EKG54" s="6"/>
      <c r="EKH54" s="6"/>
      <c r="EKI54" s="6"/>
      <c r="EKJ54" s="6"/>
      <c r="EKK54" s="6"/>
      <c r="EKL54" s="6"/>
      <c r="EKM54" s="6"/>
      <c r="EKN54" s="6"/>
      <c r="EKO54" s="6"/>
      <c r="EKP54" s="6"/>
      <c r="EKQ54" s="6"/>
      <c r="EKR54" s="6"/>
      <c r="EKS54" s="6"/>
      <c r="EKT54" s="6"/>
      <c r="EKU54" s="6"/>
      <c r="EKV54" s="6"/>
      <c r="EKW54" s="6"/>
      <c r="EKX54" s="6"/>
      <c r="EKY54" s="6"/>
      <c r="EKZ54" s="6"/>
      <c r="ELA54" s="6"/>
      <c r="ELB54" s="6"/>
      <c r="ELC54" s="6"/>
      <c r="ELD54" s="6"/>
      <c r="ELE54" s="6"/>
      <c r="ELF54" s="6"/>
      <c r="ELG54" s="6"/>
      <c r="ELH54" s="6"/>
      <c r="ELI54" s="6"/>
      <c r="ELJ54" s="6"/>
      <c r="ELK54" s="6"/>
      <c r="ELL54" s="6"/>
      <c r="ELM54" s="6"/>
      <c r="ELN54" s="6"/>
      <c r="ELO54" s="6"/>
      <c r="ELP54" s="6"/>
      <c r="ELQ54" s="6"/>
      <c r="ELR54" s="6"/>
      <c r="ELS54" s="6"/>
      <c r="ELT54" s="6"/>
      <c r="ELU54" s="6"/>
      <c r="ELV54" s="6"/>
      <c r="ELW54" s="6"/>
      <c r="ELX54" s="6"/>
      <c r="ELY54" s="6"/>
      <c r="ELZ54" s="6"/>
      <c r="EMA54" s="6"/>
      <c r="EMB54" s="6"/>
      <c r="EMC54" s="6"/>
      <c r="EMD54" s="6"/>
      <c r="EME54" s="6"/>
      <c r="EMF54" s="6"/>
      <c r="EMG54" s="6"/>
      <c r="EMH54" s="6"/>
      <c r="EMI54" s="6"/>
      <c r="EMJ54" s="6"/>
      <c r="EMK54" s="6"/>
      <c r="EML54" s="6"/>
      <c r="EMM54" s="6"/>
      <c r="EMN54" s="6"/>
      <c r="EMO54" s="6"/>
      <c r="EMP54" s="6"/>
      <c r="EMQ54" s="6"/>
      <c r="EMR54" s="6"/>
      <c r="EMS54" s="6"/>
      <c r="EMT54" s="6"/>
      <c r="EMU54" s="6"/>
      <c r="EMV54" s="6"/>
      <c r="EMW54" s="6"/>
      <c r="EMX54" s="6"/>
      <c r="EMY54" s="6"/>
      <c r="EMZ54" s="6"/>
      <c r="ENA54" s="6"/>
      <c r="ENB54" s="6"/>
      <c r="ENC54" s="6"/>
      <c r="END54" s="6"/>
      <c r="ENE54" s="6"/>
      <c r="ENF54" s="6"/>
      <c r="ENG54" s="6"/>
      <c r="ENH54" s="6"/>
      <c r="ENI54" s="6"/>
      <c r="ENJ54" s="6"/>
      <c r="ENK54" s="6"/>
      <c r="ENL54" s="6"/>
      <c r="ENM54" s="6"/>
      <c r="ENN54" s="6"/>
      <c r="ENO54" s="6"/>
      <c r="ENP54" s="6"/>
      <c r="ENQ54" s="6"/>
      <c r="ENR54" s="6"/>
      <c r="ENS54" s="6"/>
      <c r="ENT54" s="6"/>
      <c r="ENU54" s="6"/>
      <c r="ENV54" s="6"/>
      <c r="ENW54" s="6"/>
      <c r="ENX54" s="6"/>
      <c r="ENY54" s="6"/>
      <c r="ENZ54" s="6"/>
      <c r="EOA54" s="6"/>
      <c r="EOB54" s="6"/>
      <c r="EOC54" s="6"/>
      <c r="EOD54" s="6"/>
      <c r="EOE54" s="6"/>
      <c r="EOF54" s="6"/>
      <c r="EOG54" s="6"/>
      <c r="EOH54" s="6"/>
      <c r="EOI54" s="6"/>
      <c r="EOJ54" s="6"/>
      <c r="EOK54" s="6"/>
      <c r="EOL54" s="6"/>
      <c r="EOM54" s="6"/>
      <c r="EON54" s="6"/>
      <c r="EOO54" s="6"/>
      <c r="EOP54" s="6"/>
      <c r="EOQ54" s="6"/>
      <c r="EOR54" s="6"/>
      <c r="EOS54" s="6"/>
      <c r="EOT54" s="6"/>
      <c r="EOU54" s="6"/>
      <c r="EOV54" s="6"/>
      <c r="EOW54" s="6"/>
      <c r="EOX54" s="6"/>
      <c r="EOY54" s="6"/>
      <c r="EOZ54" s="6"/>
      <c r="EPA54" s="6"/>
      <c r="EPB54" s="6"/>
      <c r="EPC54" s="6"/>
      <c r="EPD54" s="6"/>
      <c r="EPE54" s="6"/>
      <c r="EPF54" s="6"/>
      <c r="EPG54" s="6"/>
      <c r="EPH54" s="6"/>
      <c r="EPI54" s="6"/>
      <c r="EPJ54" s="6"/>
      <c r="EPK54" s="6"/>
      <c r="EPL54" s="6"/>
      <c r="EPM54" s="6"/>
      <c r="EPN54" s="6"/>
      <c r="EPO54" s="6"/>
      <c r="EPP54" s="6"/>
      <c r="EPQ54" s="6"/>
      <c r="EPR54" s="6"/>
      <c r="EPS54" s="6"/>
      <c r="EPT54" s="6"/>
      <c r="EPU54" s="6"/>
      <c r="EPV54" s="6"/>
      <c r="EPW54" s="6"/>
      <c r="EPX54" s="6"/>
      <c r="EPY54" s="6"/>
      <c r="EPZ54" s="6"/>
      <c r="EQA54" s="6"/>
      <c r="EQB54" s="6"/>
      <c r="EQC54" s="6"/>
      <c r="EQD54" s="6"/>
      <c r="EQE54" s="6"/>
      <c r="EQF54" s="6"/>
      <c r="EQG54" s="6"/>
      <c r="EQH54" s="6"/>
      <c r="EQI54" s="6"/>
      <c r="EQJ54" s="6"/>
      <c r="EQK54" s="6"/>
      <c r="EQL54" s="6"/>
      <c r="EQM54" s="6"/>
      <c r="EQN54" s="6"/>
      <c r="EQO54" s="6"/>
      <c r="EQP54" s="6"/>
      <c r="EQQ54" s="6"/>
      <c r="EQR54" s="6"/>
      <c r="EQS54" s="6"/>
      <c r="EQT54" s="6"/>
      <c r="EQU54" s="6"/>
      <c r="EQV54" s="6"/>
      <c r="EQW54" s="6"/>
      <c r="EQX54" s="6"/>
      <c r="EQY54" s="6"/>
      <c r="EQZ54" s="6"/>
      <c r="ERA54" s="6"/>
      <c r="ERB54" s="6"/>
      <c r="ERC54" s="6"/>
      <c r="ERD54" s="6"/>
      <c r="ERE54" s="6"/>
      <c r="ERF54" s="6"/>
      <c r="ERG54" s="6"/>
      <c r="ERH54" s="6"/>
      <c r="ERI54" s="6"/>
      <c r="ERJ54" s="6"/>
      <c r="ERK54" s="6"/>
      <c r="ERL54" s="6"/>
      <c r="ERM54" s="6"/>
      <c r="ERN54" s="6"/>
      <c r="ERO54" s="6"/>
      <c r="ERP54" s="6"/>
      <c r="ERQ54" s="6"/>
      <c r="ERR54" s="6"/>
      <c r="ERS54" s="6"/>
      <c r="ERT54" s="6"/>
      <c r="ERU54" s="6"/>
      <c r="ERV54" s="6"/>
      <c r="ERW54" s="6"/>
      <c r="ERX54" s="6"/>
      <c r="ERY54" s="6"/>
      <c r="ERZ54" s="6"/>
      <c r="ESA54" s="6"/>
      <c r="ESB54" s="6"/>
      <c r="ESC54" s="6"/>
      <c r="ESD54" s="6"/>
      <c r="ESE54" s="6"/>
      <c r="ESF54" s="6"/>
      <c r="ESG54" s="6"/>
      <c r="ESH54" s="6"/>
      <c r="ESI54" s="6"/>
      <c r="ESJ54" s="6"/>
      <c r="ESK54" s="6"/>
      <c r="ESL54" s="6"/>
      <c r="ESM54" s="6"/>
      <c r="ESN54" s="6"/>
      <c r="ESO54" s="6"/>
      <c r="ESP54" s="6"/>
      <c r="ESQ54" s="6"/>
      <c r="ESR54" s="6"/>
      <c r="ESS54" s="6"/>
      <c r="EST54" s="6"/>
      <c r="ESU54" s="6"/>
      <c r="ESV54" s="6"/>
      <c r="ESW54" s="6"/>
      <c r="ESX54" s="6"/>
      <c r="ESY54" s="6"/>
      <c r="ESZ54" s="6"/>
      <c r="ETA54" s="6"/>
      <c r="ETB54" s="6"/>
      <c r="ETC54" s="6"/>
      <c r="ETD54" s="6"/>
      <c r="ETE54" s="6"/>
      <c r="ETF54" s="6"/>
      <c r="ETG54" s="6"/>
      <c r="ETH54" s="6"/>
      <c r="ETI54" s="6"/>
      <c r="ETJ54" s="6"/>
      <c r="ETK54" s="6"/>
      <c r="ETL54" s="6"/>
      <c r="ETM54" s="6"/>
      <c r="ETN54" s="6"/>
      <c r="ETO54" s="6"/>
      <c r="ETP54" s="6"/>
      <c r="ETQ54" s="6"/>
      <c r="ETR54" s="6"/>
      <c r="ETS54" s="6"/>
      <c r="ETT54" s="6"/>
      <c r="ETU54" s="6"/>
      <c r="ETV54" s="6"/>
      <c r="ETW54" s="6"/>
      <c r="ETX54" s="6"/>
      <c r="ETY54" s="6"/>
      <c r="ETZ54" s="6"/>
      <c r="EUA54" s="6"/>
      <c r="EUB54" s="6"/>
      <c r="EUC54" s="6"/>
      <c r="EUD54" s="6"/>
      <c r="EUE54" s="6"/>
      <c r="EUF54" s="6"/>
      <c r="EUG54" s="6"/>
      <c r="EUH54" s="6"/>
      <c r="EUI54" s="6"/>
      <c r="EUJ54" s="6"/>
      <c r="EUK54" s="6"/>
      <c r="EUL54" s="6"/>
      <c r="EUM54" s="6"/>
      <c r="EUN54" s="6"/>
      <c r="EUO54" s="6"/>
      <c r="EUP54" s="6"/>
      <c r="EUQ54" s="6"/>
      <c r="EUR54" s="6"/>
      <c r="EUS54" s="6"/>
      <c r="EUT54" s="6"/>
      <c r="EUU54" s="6"/>
      <c r="EUV54" s="6"/>
      <c r="EUW54" s="6"/>
      <c r="EUX54" s="6"/>
      <c r="EUY54" s="6"/>
      <c r="EUZ54" s="6"/>
      <c r="EVA54" s="6"/>
      <c r="EVB54" s="6"/>
      <c r="EVC54" s="6"/>
      <c r="EVD54" s="6"/>
      <c r="EVE54" s="6"/>
      <c r="EVF54" s="6"/>
      <c r="EVG54" s="6"/>
      <c r="EVH54" s="6"/>
      <c r="EVI54" s="6"/>
      <c r="EVJ54" s="6"/>
      <c r="EVK54" s="6"/>
      <c r="EVL54" s="6"/>
      <c r="EVM54" s="6"/>
      <c r="EVN54" s="6"/>
      <c r="EVO54" s="6"/>
      <c r="EVP54" s="6"/>
      <c r="EVQ54" s="6"/>
      <c r="EVR54" s="6"/>
      <c r="EVS54" s="6"/>
      <c r="EVT54" s="6"/>
      <c r="EVU54" s="6"/>
      <c r="EVV54" s="6"/>
      <c r="EVW54" s="6"/>
      <c r="EVX54" s="6"/>
      <c r="EVY54" s="6"/>
      <c r="EVZ54" s="6"/>
      <c r="EWA54" s="6"/>
      <c r="EWB54" s="6"/>
      <c r="EWC54" s="6"/>
      <c r="EWD54" s="6"/>
      <c r="EWE54" s="6"/>
      <c r="EWF54" s="6"/>
      <c r="EWG54" s="6"/>
      <c r="EWH54" s="6"/>
      <c r="EWI54" s="6"/>
      <c r="EWJ54" s="6"/>
      <c r="EWK54" s="6"/>
      <c r="EWL54" s="6"/>
      <c r="EWM54" s="6"/>
      <c r="EWN54" s="6"/>
      <c r="EWO54" s="6"/>
      <c r="EWP54" s="6"/>
      <c r="EWQ54" s="6"/>
      <c r="EWR54" s="6"/>
      <c r="EWS54" s="6"/>
      <c r="EWT54" s="6"/>
      <c r="EWU54" s="6"/>
      <c r="EWV54" s="6"/>
      <c r="EWW54" s="6"/>
      <c r="EWX54" s="6"/>
      <c r="EWY54" s="6"/>
      <c r="EWZ54" s="6"/>
      <c r="EXA54" s="6"/>
      <c r="EXB54" s="6"/>
      <c r="EXC54" s="6"/>
      <c r="EXD54" s="6"/>
      <c r="EXE54" s="6"/>
      <c r="EXF54" s="6"/>
      <c r="EXG54" s="6"/>
      <c r="EXH54" s="6"/>
      <c r="EXI54" s="6"/>
      <c r="EXJ54" s="6"/>
      <c r="EXK54" s="6"/>
      <c r="EXL54" s="6"/>
      <c r="EXM54" s="6"/>
      <c r="EXN54" s="6"/>
      <c r="EXO54" s="6"/>
      <c r="EXP54" s="6"/>
      <c r="EXQ54" s="6"/>
      <c r="EXR54" s="6"/>
      <c r="EXS54" s="6"/>
      <c r="EXT54" s="6"/>
      <c r="EXU54" s="6"/>
      <c r="EXV54" s="6"/>
      <c r="EXW54" s="6"/>
      <c r="EXX54" s="6"/>
      <c r="EXY54" s="6"/>
      <c r="EXZ54" s="6"/>
      <c r="EYA54" s="6"/>
      <c r="EYB54" s="6"/>
      <c r="EYC54" s="6"/>
      <c r="EYD54" s="6"/>
      <c r="EYE54" s="6"/>
      <c r="EYF54" s="6"/>
      <c r="EYG54" s="6"/>
      <c r="EYH54" s="6"/>
      <c r="EYI54" s="6"/>
      <c r="EYJ54" s="6"/>
      <c r="EYK54" s="6"/>
      <c r="EYL54" s="6"/>
      <c r="EYM54" s="6"/>
      <c r="EYN54" s="6"/>
      <c r="EYO54" s="6"/>
      <c r="EYP54" s="6"/>
      <c r="EYQ54" s="6"/>
      <c r="EYR54" s="6"/>
      <c r="EYS54" s="6"/>
      <c r="EYT54" s="6"/>
      <c r="EYU54" s="6"/>
      <c r="EYV54" s="6"/>
      <c r="EYW54" s="6"/>
      <c r="EYX54" s="6"/>
      <c r="EYY54" s="6"/>
      <c r="EYZ54" s="6"/>
      <c r="EZA54" s="6"/>
      <c r="EZB54" s="6"/>
      <c r="EZC54" s="6"/>
      <c r="EZD54" s="6"/>
      <c r="EZE54" s="6"/>
      <c r="EZF54" s="6"/>
      <c r="EZG54" s="6"/>
      <c r="EZH54" s="6"/>
      <c r="EZI54" s="6"/>
      <c r="EZJ54" s="6"/>
      <c r="EZK54" s="6"/>
      <c r="EZL54" s="6"/>
      <c r="EZM54" s="6"/>
      <c r="EZN54" s="6"/>
      <c r="EZO54" s="6"/>
      <c r="EZP54" s="6"/>
      <c r="EZQ54" s="6"/>
      <c r="EZR54" s="6"/>
      <c r="EZS54" s="6"/>
      <c r="EZT54" s="6"/>
      <c r="EZU54" s="6"/>
      <c r="EZV54" s="6"/>
      <c r="EZW54" s="6"/>
      <c r="EZX54" s="6"/>
      <c r="EZY54" s="6"/>
      <c r="EZZ54" s="6"/>
      <c r="FAA54" s="6"/>
      <c r="FAB54" s="6"/>
      <c r="FAC54" s="6"/>
      <c r="FAD54" s="6"/>
      <c r="FAE54" s="6"/>
      <c r="FAF54" s="6"/>
      <c r="FAG54" s="6"/>
      <c r="FAH54" s="6"/>
      <c r="FAI54" s="6"/>
      <c r="FAJ54" s="6"/>
      <c r="FAK54" s="6"/>
      <c r="FAL54" s="6"/>
      <c r="FAM54" s="6"/>
      <c r="FAN54" s="6"/>
      <c r="FAO54" s="6"/>
      <c r="FAP54" s="6"/>
      <c r="FAQ54" s="6"/>
      <c r="FAR54" s="6"/>
      <c r="FAS54" s="6"/>
      <c r="FAT54" s="6"/>
      <c r="FAU54" s="6"/>
      <c r="FAV54" s="6"/>
      <c r="FAW54" s="6"/>
      <c r="FAX54" s="6"/>
      <c r="FAY54" s="6"/>
      <c r="FAZ54" s="6"/>
      <c r="FBA54" s="6"/>
      <c r="FBB54" s="6"/>
      <c r="FBC54" s="6"/>
      <c r="FBD54" s="6"/>
      <c r="FBE54" s="6"/>
      <c r="FBF54" s="6"/>
      <c r="FBG54" s="6"/>
      <c r="FBH54" s="6"/>
      <c r="FBI54" s="6"/>
      <c r="FBJ54" s="6"/>
      <c r="FBK54" s="6"/>
      <c r="FBL54" s="6"/>
      <c r="FBM54" s="6"/>
      <c r="FBN54" s="6"/>
      <c r="FBO54" s="6"/>
      <c r="FBP54" s="6"/>
      <c r="FBQ54" s="6"/>
      <c r="FBR54" s="6"/>
      <c r="FBS54" s="6"/>
      <c r="FBT54" s="6"/>
      <c r="FBU54" s="6"/>
      <c r="FBV54" s="6"/>
      <c r="FBW54" s="6"/>
      <c r="FBX54" s="6"/>
      <c r="FBY54" s="6"/>
      <c r="FBZ54" s="6"/>
      <c r="FCA54" s="6"/>
      <c r="FCB54" s="6"/>
      <c r="FCC54" s="6"/>
      <c r="FCD54" s="6"/>
      <c r="FCE54" s="6"/>
      <c r="FCF54" s="6"/>
      <c r="FCG54" s="6"/>
      <c r="FCH54" s="6"/>
      <c r="FCI54" s="6"/>
      <c r="FCJ54" s="6"/>
      <c r="FCK54" s="6"/>
      <c r="FCL54" s="6"/>
      <c r="FCM54" s="6"/>
      <c r="FCN54" s="6"/>
      <c r="FCO54" s="6"/>
      <c r="FCP54" s="6"/>
      <c r="FCQ54" s="6"/>
      <c r="FCR54" s="6"/>
      <c r="FCS54" s="6"/>
      <c r="FCT54" s="6"/>
      <c r="FCU54" s="6"/>
      <c r="FCV54" s="6"/>
      <c r="FCW54" s="6"/>
      <c r="FCX54" s="6"/>
      <c r="FCY54" s="6"/>
      <c r="FCZ54" s="6"/>
      <c r="FDA54" s="6"/>
      <c r="FDB54" s="6"/>
      <c r="FDC54" s="6"/>
      <c r="FDD54" s="6"/>
      <c r="FDE54" s="6"/>
      <c r="FDF54" s="6"/>
      <c r="FDG54" s="6"/>
      <c r="FDH54" s="6"/>
      <c r="FDI54" s="6"/>
      <c r="FDJ54" s="6"/>
      <c r="FDK54" s="6"/>
      <c r="FDL54" s="6"/>
      <c r="FDM54" s="6"/>
      <c r="FDN54" s="6"/>
      <c r="FDO54" s="6"/>
      <c r="FDP54" s="6"/>
      <c r="FDQ54" s="6"/>
      <c r="FDR54" s="6"/>
      <c r="FDS54" s="6"/>
      <c r="FDT54" s="6"/>
      <c r="FDU54" s="6"/>
      <c r="FDV54" s="6"/>
      <c r="FDW54" s="6"/>
      <c r="FDX54" s="6"/>
      <c r="FDY54" s="6"/>
      <c r="FDZ54" s="6"/>
      <c r="FEA54" s="6"/>
      <c r="FEB54" s="6"/>
      <c r="FEC54" s="6"/>
      <c r="FED54" s="6"/>
      <c r="FEE54" s="6"/>
      <c r="FEF54" s="6"/>
      <c r="FEG54" s="6"/>
      <c r="FEH54" s="6"/>
      <c r="FEI54" s="6"/>
      <c r="FEJ54" s="6"/>
      <c r="FEK54" s="6"/>
      <c r="FEL54" s="6"/>
      <c r="FEM54" s="6"/>
      <c r="FEN54" s="6"/>
      <c r="FEO54" s="6"/>
      <c r="FEP54" s="6"/>
      <c r="FEQ54" s="6"/>
      <c r="FER54" s="6"/>
      <c r="FES54" s="6"/>
      <c r="FET54" s="6"/>
      <c r="FEU54" s="6"/>
      <c r="FEV54" s="6"/>
      <c r="FEW54" s="6"/>
      <c r="FEX54" s="6"/>
      <c r="FEY54" s="6"/>
      <c r="FEZ54" s="6"/>
      <c r="FFA54" s="6"/>
      <c r="FFB54" s="6"/>
      <c r="FFC54" s="6"/>
      <c r="FFD54" s="6"/>
      <c r="FFE54" s="6"/>
      <c r="FFF54" s="6"/>
      <c r="FFG54" s="6"/>
      <c r="FFH54" s="6"/>
      <c r="FFI54" s="6"/>
      <c r="FFJ54" s="6"/>
      <c r="FFK54" s="6"/>
      <c r="FFL54" s="6"/>
      <c r="FFM54" s="6"/>
      <c r="FFN54" s="6"/>
      <c r="FFO54" s="6"/>
      <c r="FFP54" s="6"/>
      <c r="FFQ54" s="6"/>
      <c r="FFR54" s="6"/>
      <c r="FFS54" s="6"/>
      <c r="FFT54" s="6"/>
      <c r="FFU54" s="6"/>
      <c r="FFV54" s="6"/>
      <c r="FFW54" s="6"/>
      <c r="FFX54" s="6"/>
      <c r="FFY54" s="6"/>
      <c r="FFZ54" s="6"/>
      <c r="FGA54" s="6"/>
      <c r="FGB54" s="6"/>
      <c r="FGC54" s="6"/>
      <c r="FGD54" s="6"/>
      <c r="FGE54" s="6"/>
      <c r="FGF54" s="6"/>
      <c r="FGG54" s="6"/>
      <c r="FGH54" s="6"/>
      <c r="FGI54" s="6"/>
      <c r="FGJ54" s="6"/>
      <c r="FGK54" s="6"/>
      <c r="FGL54" s="6"/>
      <c r="FGM54" s="6"/>
      <c r="FGN54" s="6"/>
      <c r="FGO54" s="6"/>
      <c r="FGP54" s="6"/>
      <c r="FGQ54" s="6"/>
      <c r="FGR54" s="6"/>
      <c r="FGS54" s="6"/>
      <c r="FGT54" s="6"/>
      <c r="FGU54" s="6"/>
      <c r="FGV54" s="6"/>
      <c r="FGW54" s="6"/>
      <c r="FGX54" s="6"/>
      <c r="FGY54" s="6"/>
      <c r="FGZ54" s="6"/>
      <c r="FHA54" s="6"/>
      <c r="FHB54" s="6"/>
      <c r="FHC54" s="6"/>
      <c r="FHD54" s="6"/>
      <c r="FHE54" s="6"/>
      <c r="FHF54" s="6"/>
      <c r="FHG54" s="6"/>
      <c r="FHH54" s="6"/>
      <c r="FHI54" s="6"/>
      <c r="FHJ54" s="6"/>
      <c r="FHK54" s="6"/>
      <c r="FHL54" s="6"/>
      <c r="FHM54" s="6"/>
      <c r="FHN54" s="6"/>
      <c r="FHO54" s="6"/>
      <c r="FHP54" s="6"/>
      <c r="FHQ54" s="6"/>
      <c r="FHR54" s="6"/>
      <c r="FHS54" s="6"/>
      <c r="FHT54" s="6"/>
      <c r="FHU54" s="6"/>
      <c r="FHV54" s="6"/>
      <c r="FHW54" s="6"/>
      <c r="FHX54" s="6"/>
      <c r="FHY54" s="6"/>
      <c r="FHZ54" s="6"/>
      <c r="FIA54" s="6"/>
      <c r="FIB54" s="6"/>
      <c r="FIC54" s="6"/>
      <c r="FID54" s="6"/>
      <c r="FIE54" s="6"/>
      <c r="FIF54" s="6"/>
      <c r="FIG54" s="6"/>
      <c r="FIH54" s="6"/>
      <c r="FII54" s="6"/>
      <c r="FIJ54" s="6"/>
      <c r="FIK54" s="6"/>
      <c r="FIL54" s="6"/>
      <c r="FIM54" s="6"/>
      <c r="FIN54" s="6"/>
      <c r="FIO54" s="6"/>
      <c r="FIP54" s="6"/>
      <c r="FIQ54" s="6"/>
      <c r="FIR54" s="6"/>
      <c r="FIS54" s="6"/>
      <c r="FIT54" s="6"/>
      <c r="FIU54" s="6"/>
      <c r="FIV54" s="6"/>
      <c r="FIW54" s="6"/>
      <c r="FIX54" s="6"/>
      <c r="FIY54" s="6"/>
      <c r="FIZ54" s="6"/>
      <c r="FJA54" s="6"/>
      <c r="FJB54" s="6"/>
      <c r="FJC54" s="6"/>
      <c r="FJD54" s="6"/>
      <c r="FJE54" s="6"/>
      <c r="FJF54" s="6"/>
      <c r="FJG54" s="6"/>
      <c r="FJH54" s="6"/>
      <c r="FJI54" s="6"/>
      <c r="FJJ54" s="6"/>
      <c r="FJK54" s="6"/>
      <c r="FJL54" s="6"/>
      <c r="FJM54" s="6"/>
      <c r="FJN54" s="6"/>
      <c r="FJO54" s="6"/>
      <c r="FJP54" s="6"/>
      <c r="FJQ54" s="6"/>
      <c r="FJR54" s="6"/>
      <c r="FJS54" s="6"/>
      <c r="FJT54" s="6"/>
      <c r="FJU54" s="6"/>
      <c r="FJV54" s="6"/>
      <c r="FJW54" s="6"/>
      <c r="FJX54" s="6"/>
      <c r="FJY54" s="6"/>
      <c r="FJZ54" s="6"/>
      <c r="FKA54" s="6"/>
      <c r="FKB54" s="6"/>
      <c r="FKC54" s="6"/>
      <c r="FKD54" s="6"/>
      <c r="FKE54" s="6"/>
      <c r="FKF54" s="6"/>
      <c r="FKG54" s="6"/>
      <c r="FKH54" s="6"/>
      <c r="FKI54" s="6"/>
      <c r="FKJ54" s="6"/>
      <c r="FKK54" s="6"/>
      <c r="FKL54" s="6"/>
      <c r="FKM54" s="6"/>
      <c r="FKN54" s="6"/>
      <c r="FKO54" s="6"/>
      <c r="FKP54" s="6"/>
      <c r="FKQ54" s="6"/>
      <c r="FKR54" s="6"/>
      <c r="FKS54" s="6"/>
      <c r="FKT54" s="6"/>
      <c r="FKU54" s="6"/>
      <c r="FKV54" s="6"/>
      <c r="FKW54" s="6"/>
      <c r="FKX54" s="6"/>
      <c r="FKY54" s="6"/>
      <c r="FKZ54" s="6"/>
      <c r="FLA54" s="6"/>
      <c r="FLB54" s="6"/>
      <c r="FLC54" s="6"/>
      <c r="FLD54" s="6"/>
      <c r="FLE54" s="6"/>
      <c r="FLF54" s="6"/>
      <c r="FLG54" s="6"/>
      <c r="FLH54" s="6"/>
      <c r="FLI54" s="6"/>
      <c r="FLJ54" s="6"/>
      <c r="FLK54" s="6"/>
      <c r="FLL54" s="6"/>
      <c r="FLM54" s="6"/>
      <c r="FLN54" s="6"/>
      <c r="FLO54" s="6"/>
      <c r="FLP54" s="6"/>
      <c r="FLQ54" s="6"/>
      <c r="FLR54" s="6"/>
      <c r="FLS54" s="6"/>
      <c r="FLT54" s="6"/>
      <c r="FLU54" s="6"/>
      <c r="FLV54" s="6"/>
      <c r="FLW54" s="6"/>
      <c r="FLX54" s="6"/>
      <c r="FLY54" s="6"/>
      <c r="FLZ54" s="6"/>
      <c r="FMA54" s="6"/>
      <c r="FMB54" s="6"/>
      <c r="FMC54" s="6"/>
      <c r="FMD54" s="6"/>
      <c r="FME54" s="6"/>
      <c r="FMF54" s="6"/>
      <c r="FMG54" s="6"/>
      <c r="FMH54" s="6"/>
      <c r="FMI54" s="6"/>
      <c r="FMJ54" s="6"/>
      <c r="FMK54" s="6"/>
      <c r="FML54" s="6"/>
      <c r="FMM54" s="6"/>
      <c r="FMN54" s="6"/>
      <c r="FMO54" s="6"/>
      <c r="FMP54" s="6"/>
      <c r="FMQ54" s="6"/>
      <c r="FMR54" s="6"/>
      <c r="FMS54" s="6"/>
      <c r="FMT54" s="6"/>
      <c r="FMU54" s="6"/>
      <c r="FMV54" s="6"/>
      <c r="FMW54" s="6"/>
      <c r="FMX54" s="6"/>
      <c r="FMY54" s="6"/>
      <c r="FMZ54" s="6"/>
      <c r="FNA54" s="6"/>
      <c r="FNB54" s="6"/>
      <c r="FNC54" s="6"/>
      <c r="FND54" s="6"/>
      <c r="FNE54" s="6"/>
      <c r="FNF54" s="6"/>
      <c r="FNG54" s="6"/>
      <c r="FNH54" s="6"/>
      <c r="FNI54" s="6"/>
      <c r="FNJ54" s="6"/>
      <c r="FNK54" s="6"/>
      <c r="FNL54" s="6"/>
      <c r="FNM54" s="6"/>
      <c r="FNN54" s="6"/>
      <c r="FNO54" s="6"/>
      <c r="FNP54" s="6"/>
      <c r="FNQ54" s="6"/>
      <c r="FNR54" s="6"/>
      <c r="FNS54" s="6"/>
      <c r="FNT54" s="6"/>
      <c r="FNU54" s="6"/>
      <c r="FNV54" s="6"/>
      <c r="FNW54" s="6"/>
      <c r="FNX54" s="6"/>
      <c r="FNY54" s="6"/>
      <c r="FNZ54" s="6"/>
      <c r="FOA54" s="6"/>
      <c r="FOB54" s="6"/>
      <c r="FOC54" s="6"/>
      <c r="FOD54" s="6"/>
      <c r="FOE54" s="6"/>
      <c r="FOF54" s="6"/>
      <c r="FOG54" s="6"/>
      <c r="FOH54" s="6"/>
      <c r="FOI54" s="6"/>
      <c r="FOJ54" s="6"/>
      <c r="FOK54" s="6"/>
      <c r="FOL54" s="6"/>
      <c r="FOM54" s="6"/>
      <c r="FON54" s="6"/>
      <c r="FOO54" s="6"/>
      <c r="FOP54" s="6"/>
      <c r="FOQ54" s="6"/>
      <c r="FOR54" s="6"/>
      <c r="FOS54" s="6"/>
      <c r="FOT54" s="6"/>
      <c r="FOU54" s="6"/>
      <c r="FOV54" s="6"/>
      <c r="FOW54" s="6"/>
      <c r="FOX54" s="6"/>
      <c r="FOY54" s="6"/>
      <c r="FOZ54" s="6"/>
      <c r="FPA54" s="6"/>
      <c r="FPB54" s="6"/>
      <c r="FPC54" s="6"/>
      <c r="FPD54" s="6"/>
      <c r="FPE54" s="6"/>
      <c r="FPF54" s="6"/>
      <c r="FPG54" s="6"/>
      <c r="FPH54" s="6"/>
      <c r="FPI54" s="6"/>
      <c r="FPJ54" s="6"/>
      <c r="FPK54" s="6"/>
      <c r="FPL54" s="6"/>
      <c r="FPM54" s="6"/>
      <c r="FPN54" s="6"/>
      <c r="FPO54" s="6"/>
      <c r="FPP54" s="6"/>
      <c r="FPQ54" s="6"/>
      <c r="FPR54" s="6"/>
      <c r="FPS54" s="6"/>
      <c r="FPT54" s="6"/>
      <c r="FPU54" s="6"/>
      <c r="FPV54" s="6"/>
      <c r="FPW54" s="6"/>
      <c r="FPX54" s="6"/>
      <c r="FPY54" s="6"/>
      <c r="FPZ54" s="6"/>
      <c r="FQA54" s="6"/>
      <c r="FQB54" s="6"/>
      <c r="FQC54" s="6"/>
      <c r="FQD54" s="6"/>
      <c r="FQE54" s="6"/>
      <c r="FQF54" s="6"/>
      <c r="FQG54" s="6"/>
      <c r="FQH54" s="6"/>
      <c r="FQI54" s="6"/>
      <c r="FQJ54" s="6"/>
      <c r="FQK54" s="6"/>
      <c r="FQL54" s="6"/>
      <c r="FQM54" s="6"/>
      <c r="FQN54" s="6"/>
      <c r="FQO54" s="6"/>
      <c r="FQP54" s="6"/>
      <c r="FQQ54" s="6"/>
      <c r="FQR54" s="6"/>
      <c r="FQS54" s="6"/>
      <c r="FQT54" s="6"/>
      <c r="FQU54" s="6"/>
      <c r="FQV54" s="6"/>
      <c r="FQW54" s="6"/>
      <c r="FQX54" s="6"/>
      <c r="FQY54" s="6"/>
      <c r="FQZ54" s="6"/>
      <c r="FRA54" s="6"/>
      <c r="FRB54" s="6"/>
      <c r="FRC54" s="6"/>
      <c r="FRD54" s="6"/>
      <c r="FRE54" s="6"/>
      <c r="FRF54" s="6"/>
      <c r="FRG54" s="6"/>
      <c r="FRH54" s="6"/>
      <c r="FRI54" s="6"/>
      <c r="FRJ54" s="6"/>
      <c r="FRK54" s="6"/>
      <c r="FRL54" s="6"/>
      <c r="FRM54" s="6"/>
      <c r="FRN54" s="6"/>
      <c r="FRO54" s="6"/>
      <c r="FRP54" s="6"/>
      <c r="FRQ54" s="6"/>
      <c r="FRR54" s="6"/>
      <c r="FRS54" s="6"/>
      <c r="FRT54" s="6"/>
      <c r="FRU54" s="6"/>
      <c r="FRV54" s="6"/>
      <c r="FRW54" s="6"/>
      <c r="FRX54" s="6"/>
      <c r="FRY54" s="6"/>
      <c r="FRZ54" s="6"/>
      <c r="FSA54" s="6"/>
      <c r="FSB54" s="6"/>
      <c r="FSC54" s="6"/>
      <c r="FSD54" s="6"/>
      <c r="FSE54" s="6"/>
      <c r="FSF54" s="6"/>
      <c r="FSG54" s="6"/>
      <c r="FSH54" s="6"/>
      <c r="FSI54" s="6"/>
      <c r="FSJ54" s="6"/>
      <c r="FSK54" s="6"/>
      <c r="FSL54" s="6"/>
      <c r="FSM54" s="6"/>
      <c r="FSN54" s="6"/>
      <c r="FSO54" s="6"/>
      <c r="FSP54" s="6"/>
      <c r="FSQ54" s="6"/>
      <c r="FSR54" s="6"/>
      <c r="FSS54" s="6"/>
      <c r="FST54" s="6"/>
      <c r="FSU54" s="6"/>
      <c r="FSV54" s="6"/>
      <c r="FSW54" s="6"/>
      <c r="FSX54" s="6"/>
      <c r="FSY54" s="6"/>
      <c r="FSZ54" s="6"/>
      <c r="FTA54" s="6"/>
      <c r="FTB54" s="6"/>
      <c r="FTC54" s="6"/>
      <c r="FTD54" s="6"/>
      <c r="FTE54" s="6"/>
      <c r="FTF54" s="6"/>
      <c r="FTG54" s="6"/>
      <c r="FTH54" s="6"/>
      <c r="FTI54" s="6"/>
      <c r="FTJ54" s="6"/>
      <c r="FTK54" s="6"/>
      <c r="FTL54" s="6"/>
      <c r="FTM54" s="6"/>
      <c r="FTN54" s="6"/>
      <c r="FTO54" s="6"/>
      <c r="FTP54" s="6"/>
      <c r="FTQ54" s="6"/>
      <c r="FTR54" s="6"/>
      <c r="FTS54" s="6"/>
      <c r="FTT54" s="6"/>
      <c r="FTU54" s="6"/>
      <c r="FTV54" s="6"/>
      <c r="FTW54" s="6"/>
      <c r="FTX54" s="6"/>
      <c r="FTY54" s="6"/>
      <c r="FTZ54" s="6"/>
      <c r="FUA54" s="6"/>
      <c r="FUB54" s="6"/>
      <c r="FUC54" s="6"/>
      <c r="FUD54" s="6"/>
      <c r="FUE54" s="6"/>
      <c r="FUF54" s="6"/>
      <c r="FUG54" s="6"/>
      <c r="FUH54" s="6"/>
      <c r="FUI54" s="6"/>
      <c r="FUJ54" s="6"/>
      <c r="FUK54" s="6"/>
      <c r="FUL54" s="6"/>
      <c r="FUM54" s="6"/>
      <c r="FUN54" s="6"/>
      <c r="FUO54" s="6"/>
      <c r="FUP54" s="6"/>
      <c r="FUQ54" s="6"/>
      <c r="FUR54" s="6"/>
      <c r="FUS54" s="6"/>
      <c r="FUT54" s="6"/>
      <c r="FUU54" s="6"/>
      <c r="FUV54" s="6"/>
      <c r="FUW54" s="6"/>
      <c r="FUX54" s="6"/>
      <c r="FUY54" s="6"/>
      <c r="FUZ54" s="6"/>
      <c r="FVA54" s="6"/>
      <c r="FVB54" s="6"/>
      <c r="FVC54" s="6"/>
      <c r="FVD54" s="6"/>
      <c r="FVE54" s="6"/>
      <c r="FVF54" s="6"/>
      <c r="FVG54" s="6"/>
      <c r="FVH54" s="6"/>
      <c r="FVI54" s="6"/>
      <c r="FVJ54" s="6"/>
      <c r="FVK54" s="6"/>
      <c r="FVL54" s="6"/>
      <c r="FVM54" s="6"/>
      <c r="FVN54" s="6"/>
      <c r="FVO54" s="6"/>
      <c r="FVP54" s="6"/>
      <c r="FVQ54" s="6"/>
      <c r="FVR54" s="6"/>
      <c r="FVS54" s="6"/>
      <c r="FVT54" s="6"/>
      <c r="FVU54" s="6"/>
      <c r="FVV54" s="6"/>
      <c r="FVW54" s="6"/>
      <c r="FVX54" s="6"/>
      <c r="FVY54" s="6"/>
      <c r="FVZ54" s="6"/>
      <c r="FWA54" s="6"/>
      <c r="FWB54" s="6"/>
      <c r="FWC54" s="6"/>
      <c r="FWD54" s="6"/>
      <c r="FWE54" s="6"/>
      <c r="FWF54" s="6"/>
      <c r="FWG54" s="6"/>
      <c r="FWH54" s="6"/>
      <c r="FWI54" s="6"/>
      <c r="FWJ54" s="6"/>
      <c r="FWK54" s="6"/>
      <c r="FWL54" s="6"/>
      <c r="FWM54" s="6"/>
      <c r="FWN54" s="6"/>
      <c r="FWO54" s="6"/>
      <c r="FWP54" s="6"/>
      <c r="FWQ54" s="6"/>
      <c r="FWR54" s="6"/>
      <c r="FWS54" s="6"/>
      <c r="FWT54" s="6"/>
      <c r="FWU54" s="6"/>
      <c r="FWV54" s="6"/>
      <c r="FWW54" s="6"/>
      <c r="FWX54" s="6"/>
      <c r="FWY54" s="6"/>
      <c r="FWZ54" s="6"/>
      <c r="FXA54" s="6"/>
      <c r="FXB54" s="6"/>
      <c r="FXC54" s="6"/>
      <c r="FXD54" s="6"/>
      <c r="FXE54" s="6"/>
      <c r="FXF54" s="6"/>
      <c r="FXG54" s="6"/>
      <c r="FXH54" s="6"/>
      <c r="FXI54" s="6"/>
      <c r="FXJ54" s="6"/>
      <c r="FXK54" s="6"/>
      <c r="FXL54" s="6"/>
      <c r="FXM54" s="6"/>
      <c r="FXN54" s="6"/>
      <c r="FXO54" s="6"/>
      <c r="FXP54" s="6"/>
      <c r="FXQ54" s="6"/>
      <c r="FXR54" s="6"/>
      <c r="FXS54" s="6"/>
      <c r="FXT54" s="6"/>
      <c r="FXU54" s="6"/>
      <c r="FXV54" s="6"/>
      <c r="FXW54" s="6"/>
      <c r="FXX54" s="6"/>
      <c r="FXY54" s="6"/>
      <c r="FXZ54" s="6"/>
      <c r="FYA54" s="6"/>
      <c r="FYB54" s="6"/>
      <c r="FYC54" s="6"/>
      <c r="FYD54" s="6"/>
      <c r="FYE54" s="6"/>
      <c r="FYF54" s="6"/>
      <c r="FYG54" s="6"/>
      <c r="FYH54" s="6"/>
      <c r="FYI54" s="6"/>
      <c r="FYJ54" s="6"/>
      <c r="FYK54" s="6"/>
      <c r="FYL54" s="6"/>
      <c r="FYM54" s="6"/>
      <c r="FYN54" s="6"/>
      <c r="FYO54" s="6"/>
      <c r="FYP54" s="6"/>
      <c r="FYQ54" s="6"/>
      <c r="FYR54" s="6"/>
      <c r="FYS54" s="6"/>
      <c r="FYT54" s="6"/>
      <c r="FYU54" s="6"/>
      <c r="FYV54" s="6"/>
      <c r="FYW54" s="6"/>
      <c r="FYX54" s="6"/>
      <c r="FYY54" s="6"/>
      <c r="FYZ54" s="6"/>
      <c r="FZA54" s="6"/>
      <c r="FZB54" s="6"/>
      <c r="FZC54" s="6"/>
      <c r="FZD54" s="6"/>
      <c r="FZE54" s="6"/>
      <c r="FZF54" s="6"/>
      <c r="FZG54" s="6"/>
      <c r="FZH54" s="6"/>
      <c r="FZI54" s="6"/>
      <c r="FZJ54" s="6"/>
      <c r="FZK54" s="6"/>
      <c r="FZL54" s="6"/>
      <c r="FZM54" s="6"/>
      <c r="FZN54" s="6"/>
      <c r="FZO54" s="6"/>
      <c r="FZP54" s="6"/>
      <c r="FZQ54" s="6"/>
      <c r="FZR54" s="6"/>
      <c r="FZS54" s="6"/>
      <c r="FZT54" s="6"/>
      <c r="FZU54" s="6"/>
      <c r="FZV54" s="6"/>
      <c r="FZW54" s="6"/>
      <c r="FZX54" s="6"/>
      <c r="FZY54" s="6"/>
      <c r="FZZ54" s="6"/>
      <c r="GAA54" s="6"/>
      <c r="GAB54" s="6"/>
      <c r="GAC54" s="6"/>
      <c r="GAD54" s="6"/>
      <c r="GAE54" s="6"/>
      <c r="GAF54" s="6"/>
      <c r="GAG54" s="6"/>
      <c r="GAH54" s="6"/>
      <c r="GAI54" s="6"/>
      <c r="GAJ54" s="6"/>
      <c r="GAK54" s="6"/>
      <c r="GAL54" s="6"/>
      <c r="GAM54" s="6"/>
      <c r="GAN54" s="6"/>
      <c r="GAO54" s="6"/>
      <c r="GAP54" s="6"/>
      <c r="GAQ54" s="6"/>
      <c r="GAR54" s="6"/>
      <c r="GAS54" s="6"/>
      <c r="GAT54" s="6"/>
      <c r="GAU54" s="6"/>
      <c r="GAV54" s="6"/>
      <c r="GAW54" s="6"/>
      <c r="GAX54" s="6"/>
      <c r="GAY54" s="6"/>
      <c r="GAZ54" s="6"/>
      <c r="GBA54" s="6"/>
      <c r="GBB54" s="6"/>
      <c r="GBC54" s="6"/>
      <c r="GBD54" s="6"/>
      <c r="GBE54" s="6"/>
      <c r="GBF54" s="6"/>
      <c r="GBG54" s="6"/>
      <c r="GBH54" s="6"/>
      <c r="GBI54" s="6"/>
      <c r="GBJ54" s="6"/>
      <c r="GBK54" s="6"/>
      <c r="GBL54" s="6"/>
      <c r="GBM54" s="6"/>
      <c r="GBN54" s="6"/>
      <c r="GBO54" s="6"/>
      <c r="GBP54" s="6"/>
      <c r="GBQ54" s="6"/>
      <c r="GBR54" s="6"/>
      <c r="GBS54" s="6"/>
      <c r="GBT54" s="6"/>
      <c r="GBU54" s="6"/>
      <c r="GBV54" s="6"/>
      <c r="GBW54" s="6"/>
      <c r="GBX54" s="6"/>
      <c r="GBY54" s="6"/>
      <c r="GBZ54" s="6"/>
      <c r="GCA54" s="6"/>
      <c r="GCB54" s="6"/>
      <c r="GCC54" s="6"/>
      <c r="GCD54" s="6"/>
      <c r="GCE54" s="6"/>
      <c r="GCF54" s="6"/>
      <c r="GCG54" s="6"/>
      <c r="GCH54" s="6"/>
      <c r="GCI54" s="6"/>
      <c r="GCJ54" s="6"/>
      <c r="GCK54" s="6"/>
      <c r="GCL54" s="6"/>
      <c r="GCM54" s="6"/>
      <c r="GCN54" s="6"/>
      <c r="GCO54" s="6"/>
      <c r="GCP54" s="6"/>
      <c r="GCQ54" s="6"/>
      <c r="GCR54" s="6"/>
      <c r="GCS54" s="6"/>
      <c r="GCT54" s="6"/>
      <c r="GCU54" s="6"/>
      <c r="GCV54" s="6"/>
      <c r="GCW54" s="6"/>
      <c r="GCX54" s="6"/>
      <c r="GCY54" s="6"/>
      <c r="GCZ54" s="6"/>
      <c r="GDA54" s="6"/>
      <c r="GDB54" s="6"/>
      <c r="GDC54" s="6"/>
      <c r="GDD54" s="6"/>
      <c r="GDE54" s="6"/>
      <c r="GDF54" s="6"/>
      <c r="GDG54" s="6"/>
      <c r="GDH54" s="6"/>
      <c r="GDI54" s="6"/>
      <c r="GDJ54" s="6"/>
      <c r="GDK54" s="6"/>
      <c r="GDL54" s="6"/>
      <c r="GDM54" s="6"/>
      <c r="GDN54" s="6"/>
      <c r="GDO54" s="6"/>
      <c r="GDP54" s="6"/>
      <c r="GDQ54" s="6"/>
      <c r="GDR54" s="6"/>
      <c r="GDS54" s="6"/>
      <c r="GDT54" s="6"/>
      <c r="GDU54" s="6"/>
      <c r="GDV54" s="6"/>
      <c r="GDW54" s="6"/>
      <c r="GDX54" s="6"/>
      <c r="GDY54" s="6"/>
      <c r="GDZ54" s="6"/>
      <c r="GEA54" s="6"/>
      <c r="GEB54" s="6"/>
      <c r="GEC54" s="6"/>
      <c r="GED54" s="6"/>
      <c r="GEE54" s="6"/>
      <c r="GEF54" s="6"/>
      <c r="GEG54" s="6"/>
      <c r="GEH54" s="6"/>
      <c r="GEI54" s="6"/>
      <c r="GEJ54" s="6"/>
      <c r="GEK54" s="6"/>
      <c r="GEL54" s="6"/>
      <c r="GEM54" s="6"/>
      <c r="GEN54" s="6"/>
      <c r="GEO54" s="6"/>
      <c r="GEP54" s="6"/>
      <c r="GEQ54" s="6"/>
      <c r="GER54" s="6"/>
      <c r="GES54" s="6"/>
      <c r="GET54" s="6"/>
      <c r="GEU54" s="6"/>
      <c r="GEV54" s="6"/>
      <c r="GEW54" s="6"/>
      <c r="GEX54" s="6"/>
      <c r="GEY54" s="6"/>
      <c r="GEZ54" s="6"/>
      <c r="GFA54" s="6"/>
      <c r="GFB54" s="6"/>
      <c r="GFC54" s="6"/>
      <c r="GFD54" s="6"/>
      <c r="GFE54" s="6"/>
      <c r="GFF54" s="6"/>
      <c r="GFG54" s="6"/>
      <c r="GFH54" s="6"/>
      <c r="GFI54" s="6"/>
      <c r="GFJ54" s="6"/>
      <c r="GFK54" s="6"/>
      <c r="GFL54" s="6"/>
      <c r="GFM54" s="6"/>
      <c r="GFN54" s="6"/>
      <c r="GFO54" s="6"/>
      <c r="GFP54" s="6"/>
      <c r="GFQ54" s="6"/>
      <c r="GFR54" s="6"/>
      <c r="GFS54" s="6"/>
      <c r="GFT54" s="6"/>
      <c r="GFU54" s="6"/>
      <c r="GFV54" s="6"/>
      <c r="GFW54" s="6"/>
      <c r="GFX54" s="6"/>
      <c r="GFY54" s="6"/>
      <c r="GFZ54" s="6"/>
      <c r="GGA54" s="6"/>
      <c r="GGB54" s="6"/>
      <c r="GGC54" s="6"/>
      <c r="GGD54" s="6"/>
      <c r="GGE54" s="6"/>
      <c r="GGF54" s="6"/>
      <c r="GGG54" s="6"/>
      <c r="GGH54" s="6"/>
      <c r="GGI54" s="6"/>
      <c r="GGJ54" s="6"/>
      <c r="GGK54" s="6"/>
      <c r="GGL54" s="6"/>
      <c r="GGM54" s="6"/>
      <c r="GGN54" s="6"/>
      <c r="GGO54" s="6"/>
      <c r="GGP54" s="6"/>
      <c r="GGQ54" s="6"/>
      <c r="GGR54" s="6"/>
      <c r="GGS54" s="6"/>
      <c r="GGT54" s="6"/>
      <c r="GGU54" s="6"/>
      <c r="GGV54" s="6"/>
      <c r="GGW54" s="6"/>
      <c r="GGX54" s="6"/>
      <c r="GGY54" s="6"/>
      <c r="GGZ54" s="6"/>
      <c r="GHA54" s="6"/>
      <c r="GHB54" s="6"/>
      <c r="GHC54" s="6"/>
      <c r="GHD54" s="6"/>
      <c r="GHE54" s="6"/>
      <c r="GHF54" s="6"/>
      <c r="GHG54" s="6"/>
      <c r="GHH54" s="6"/>
      <c r="GHI54" s="6"/>
      <c r="GHJ54" s="6"/>
      <c r="GHK54" s="6"/>
      <c r="GHL54" s="6"/>
      <c r="GHM54" s="6"/>
      <c r="GHN54" s="6"/>
      <c r="GHO54" s="6"/>
      <c r="GHP54" s="6"/>
      <c r="GHQ54" s="6"/>
      <c r="GHR54" s="6"/>
      <c r="GHS54" s="6"/>
      <c r="GHT54" s="6"/>
      <c r="GHU54" s="6"/>
      <c r="GHV54" s="6"/>
      <c r="GHW54" s="6"/>
      <c r="GHX54" s="6"/>
      <c r="GHY54" s="6"/>
      <c r="GHZ54" s="6"/>
      <c r="GIA54" s="6"/>
      <c r="GIB54" s="6"/>
      <c r="GIC54" s="6"/>
      <c r="GID54" s="6"/>
      <c r="GIE54" s="6"/>
      <c r="GIF54" s="6"/>
      <c r="GIG54" s="6"/>
      <c r="GIH54" s="6"/>
      <c r="GII54" s="6"/>
      <c r="GIJ54" s="6"/>
      <c r="GIK54" s="6"/>
      <c r="GIL54" s="6"/>
      <c r="GIM54" s="6"/>
      <c r="GIN54" s="6"/>
      <c r="GIO54" s="6"/>
      <c r="GIP54" s="6"/>
      <c r="GIQ54" s="6"/>
      <c r="GIR54" s="6"/>
      <c r="GIS54" s="6"/>
      <c r="GIT54" s="6"/>
      <c r="GIU54" s="6"/>
      <c r="GIV54" s="6"/>
      <c r="GIW54" s="6"/>
      <c r="GIX54" s="6"/>
      <c r="GIY54" s="6"/>
      <c r="GIZ54" s="6"/>
      <c r="GJA54" s="6"/>
      <c r="GJB54" s="6"/>
      <c r="GJC54" s="6"/>
      <c r="GJD54" s="6"/>
      <c r="GJE54" s="6"/>
      <c r="GJF54" s="6"/>
      <c r="GJG54" s="6"/>
      <c r="GJH54" s="6"/>
      <c r="GJI54" s="6"/>
      <c r="GJJ54" s="6"/>
      <c r="GJK54" s="6"/>
      <c r="GJL54" s="6"/>
      <c r="GJM54" s="6"/>
      <c r="GJN54" s="6"/>
      <c r="GJO54" s="6"/>
      <c r="GJP54" s="6"/>
      <c r="GJQ54" s="6"/>
      <c r="GJR54" s="6"/>
      <c r="GJS54" s="6"/>
      <c r="GJT54" s="6"/>
      <c r="GJU54" s="6"/>
      <c r="GJV54" s="6"/>
      <c r="GJW54" s="6"/>
      <c r="GJX54" s="6"/>
      <c r="GJY54" s="6"/>
      <c r="GJZ54" s="6"/>
      <c r="GKA54" s="6"/>
      <c r="GKB54" s="6"/>
      <c r="GKC54" s="6"/>
      <c r="GKD54" s="6"/>
      <c r="GKE54" s="6"/>
      <c r="GKF54" s="6"/>
      <c r="GKG54" s="6"/>
      <c r="GKH54" s="6"/>
      <c r="GKI54" s="6"/>
      <c r="GKJ54" s="6"/>
      <c r="GKK54" s="6"/>
      <c r="GKL54" s="6"/>
      <c r="GKM54" s="6"/>
      <c r="GKN54" s="6"/>
      <c r="GKO54" s="6"/>
      <c r="GKP54" s="6"/>
      <c r="GKQ54" s="6"/>
      <c r="GKR54" s="6"/>
      <c r="GKS54" s="6"/>
      <c r="GKT54" s="6"/>
      <c r="GKU54" s="6"/>
      <c r="GKV54" s="6"/>
      <c r="GKW54" s="6"/>
      <c r="GKX54" s="6"/>
      <c r="GKY54" s="6"/>
      <c r="GKZ54" s="6"/>
      <c r="GLA54" s="6"/>
      <c r="GLB54" s="6"/>
      <c r="GLC54" s="6"/>
      <c r="GLD54" s="6"/>
      <c r="GLE54" s="6"/>
      <c r="GLF54" s="6"/>
      <c r="GLG54" s="6"/>
      <c r="GLH54" s="6"/>
      <c r="GLI54" s="6"/>
      <c r="GLJ54" s="6"/>
      <c r="GLK54" s="6"/>
      <c r="GLL54" s="6"/>
      <c r="GLM54" s="6"/>
      <c r="GLN54" s="6"/>
      <c r="GLO54" s="6"/>
      <c r="GLP54" s="6"/>
      <c r="GLQ54" s="6"/>
      <c r="GLR54" s="6"/>
      <c r="GLS54" s="6"/>
      <c r="GLT54" s="6"/>
      <c r="GLU54" s="6"/>
      <c r="GLV54" s="6"/>
      <c r="GLW54" s="6"/>
      <c r="GLX54" s="6"/>
      <c r="GLY54" s="6"/>
      <c r="GLZ54" s="6"/>
      <c r="GMA54" s="6"/>
      <c r="GMB54" s="6"/>
      <c r="GMC54" s="6"/>
      <c r="GMD54" s="6"/>
      <c r="GME54" s="6"/>
      <c r="GMF54" s="6"/>
      <c r="GMG54" s="6"/>
      <c r="GMH54" s="6"/>
      <c r="GMI54" s="6"/>
      <c r="GMJ54" s="6"/>
      <c r="GMK54" s="6"/>
      <c r="GML54" s="6"/>
      <c r="GMM54" s="6"/>
      <c r="GMN54" s="6"/>
      <c r="GMO54" s="6"/>
      <c r="GMP54" s="6"/>
      <c r="GMQ54" s="6"/>
      <c r="GMR54" s="6"/>
      <c r="GMS54" s="6"/>
      <c r="GMT54" s="6"/>
      <c r="GMU54" s="6"/>
      <c r="GMV54" s="6"/>
      <c r="GMW54" s="6"/>
      <c r="GMX54" s="6"/>
      <c r="GMY54" s="6"/>
      <c r="GMZ54" s="6"/>
      <c r="GNA54" s="6"/>
      <c r="GNB54" s="6"/>
      <c r="GNC54" s="6"/>
      <c r="GND54" s="6"/>
      <c r="GNE54" s="6"/>
      <c r="GNF54" s="6"/>
      <c r="GNG54" s="6"/>
      <c r="GNH54" s="6"/>
      <c r="GNI54" s="6"/>
      <c r="GNJ54" s="6"/>
      <c r="GNK54" s="6"/>
      <c r="GNL54" s="6"/>
      <c r="GNM54" s="6"/>
      <c r="GNN54" s="6"/>
      <c r="GNO54" s="6"/>
      <c r="GNP54" s="6"/>
      <c r="GNQ54" s="6"/>
      <c r="GNR54" s="6"/>
      <c r="GNS54" s="6"/>
      <c r="GNT54" s="6"/>
      <c r="GNU54" s="6"/>
      <c r="GNV54" s="6"/>
      <c r="GNW54" s="6"/>
      <c r="GNX54" s="6"/>
      <c r="GNY54" s="6"/>
      <c r="GNZ54" s="6"/>
      <c r="GOA54" s="6"/>
      <c r="GOB54" s="6"/>
      <c r="GOC54" s="6"/>
      <c r="GOD54" s="6"/>
      <c r="GOE54" s="6"/>
      <c r="GOF54" s="6"/>
      <c r="GOG54" s="6"/>
      <c r="GOH54" s="6"/>
      <c r="GOI54" s="6"/>
      <c r="GOJ54" s="6"/>
      <c r="GOK54" s="6"/>
      <c r="GOL54" s="6"/>
      <c r="GOM54" s="6"/>
      <c r="GON54" s="6"/>
      <c r="GOO54" s="6"/>
      <c r="GOP54" s="6"/>
      <c r="GOQ54" s="6"/>
      <c r="GOR54" s="6"/>
      <c r="GOS54" s="6"/>
      <c r="GOT54" s="6"/>
      <c r="GOU54" s="6"/>
      <c r="GOV54" s="6"/>
      <c r="GOW54" s="6"/>
      <c r="GOX54" s="6"/>
      <c r="GOY54" s="6"/>
      <c r="GOZ54" s="6"/>
      <c r="GPA54" s="6"/>
      <c r="GPB54" s="6"/>
      <c r="GPC54" s="6"/>
      <c r="GPD54" s="6"/>
      <c r="GPE54" s="6"/>
      <c r="GPF54" s="6"/>
      <c r="GPG54" s="6"/>
      <c r="GPH54" s="6"/>
      <c r="GPI54" s="6"/>
      <c r="GPJ54" s="6"/>
      <c r="GPK54" s="6"/>
      <c r="GPL54" s="6"/>
      <c r="GPM54" s="6"/>
      <c r="GPN54" s="6"/>
      <c r="GPO54" s="6"/>
      <c r="GPP54" s="6"/>
      <c r="GPQ54" s="6"/>
      <c r="GPR54" s="6"/>
      <c r="GPS54" s="6"/>
      <c r="GPT54" s="6"/>
      <c r="GPU54" s="6"/>
      <c r="GPV54" s="6"/>
      <c r="GPW54" s="6"/>
      <c r="GPX54" s="6"/>
      <c r="GPY54" s="6"/>
      <c r="GPZ54" s="6"/>
      <c r="GQA54" s="6"/>
      <c r="GQB54" s="6"/>
      <c r="GQC54" s="6"/>
      <c r="GQD54" s="6"/>
      <c r="GQE54" s="6"/>
      <c r="GQF54" s="6"/>
      <c r="GQG54" s="6"/>
      <c r="GQH54" s="6"/>
      <c r="GQI54" s="6"/>
      <c r="GQJ54" s="6"/>
      <c r="GQK54" s="6"/>
      <c r="GQL54" s="6"/>
      <c r="GQM54" s="6"/>
      <c r="GQN54" s="6"/>
      <c r="GQO54" s="6"/>
      <c r="GQP54" s="6"/>
      <c r="GQQ54" s="6"/>
      <c r="GQR54" s="6"/>
      <c r="GQS54" s="6"/>
      <c r="GQT54" s="6"/>
      <c r="GQU54" s="6"/>
      <c r="GQV54" s="6"/>
      <c r="GQW54" s="6"/>
      <c r="GQX54" s="6"/>
      <c r="GQY54" s="6"/>
      <c r="GQZ54" s="6"/>
      <c r="GRA54" s="6"/>
      <c r="GRB54" s="6"/>
      <c r="GRC54" s="6"/>
      <c r="GRD54" s="6"/>
      <c r="GRE54" s="6"/>
      <c r="GRF54" s="6"/>
      <c r="GRG54" s="6"/>
      <c r="GRH54" s="6"/>
      <c r="GRI54" s="6"/>
      <c r="GRJ54" s="6"/>
      <c r="GRK54" s="6"/>
      <c r="GRL54" s="6"/>
      <c r="GRM54" s="6"/>
      <c r="GRN54" s="6"/>
      <c r="GRO54" s="6"/>
      <c r="GRP54" s="6"/>
      <c r="GRQ54" s="6"/>
      <c r="GRR54" s="6"/>
      <c r="GRS54" s="6"/>
      <c r="GRT54" s="6"/>
      <c r="GRU54" s="6"/>
      <c r="GRV54" s="6"/>
      <c r="GRW54" s="6"/>
      <c r="GRX54" s="6"/>
      <c r="GRY54" s="6"/>
      <c r="GRZ54" s="6"/>
      <c r="GSA54" s="6"/>
      <c r="GSB54" s="6"/>
      <c r="GSC54" s="6"/>
      <c r="GSD54" s="6"/>
      <c r="GSE54" s="6"/>
      <c r="GSF54" s="6"/>
      <c r="GSG54" s="6"/>
      <c r="GSH54" s="6"/>
      <c r="GSI54" s="6"/>
      <c r="GSJ54" s="6"/>
      <c r="GSK54" s="6"/>
      <c r="GSL54" s="6"/>
      <c r="GSM54" s="6"/>
      <c r="GSN54" s="6"/>
      <c r="GSO54" s="6"/>
      <c r="GSP54" s="6"/>
      <c r="GSQ54" s="6"/>
      <c r="GSR54" s="6"/>
      <c r="GSS54" s="6"/>
      <c r="GST54" s="6"/>
      <c r="GSU54" s="6"/>
      <c r="GSV54" s="6"/>
      <c r="GSW54" s="6"/>
      <c r="GSX54" s="6"/>
      <c r="GSY54" s="6"/>
      <c r="GSZ54" s="6"/>
      <c r="GTA54" s="6"/>
      <c r="GTB54" s="6"/>
      <c r="GTC54" s="6"/>
      <c r="GTD54" s="6"/>
      <c r="GTE54" s="6"/>
      <c r="GTF54" s="6"/>
      <c r="GTG54" s="6"/>
      <c r="GTH54" s="6"/>
      <c r="GTI54" s="6"/>
      <c r="GTJ54" s="6"/>
      <c r="GTK54" s="6"/>
      <c r="GTL54" s="6"/>
      <c r="GTM54" s="6"/>
      <c r="GTN54" s="6"/>
      <c r="GTO54" s="6"/>
      <c r="GTP54" s="6"/>
      <c r="GTQ54" s="6"/>
      <c r="GTR54" s="6"/>
      <c r="GTS54" s="6"/>
      <c r="GTT54" s="6"/>
      <c r="GTU54" s="6"/>
      <c r="GTV54" s="6"/>
      <c r="GTW54" s="6"/>
      <c r="GTX54" s="6"/>
      <c r="GTY54" s="6"/>
      <c r="GTZ54" s="6"/>
      <c r="GUA54" s="6"/>
      <c r="GUB54" s="6"/>
      <c r="GUC54" s="6"/>
      <c r="GUD54" s="6"/>
      <c r="GUE54" s="6"/>
      <c r="GUF54" s="6"/>
      <c r="GUG54" s="6"/>
      <c r="GUH54" s="6"/>
      <c r="GUI54" s="6"/>
      <c r="GUJ54" s="6"/>
      <c r="GUK54" s="6"/>
      <c r="GUL54" s="6"/>
      <c r="GUM54" s="6"/>
      <c r="GUN54" s="6"/>
      <c r="GUO54" s="6"/>
      <c r="GUP54" s="6"/>
      <c r="GUQ54" s="6"/>
      <c r="GUR54" s="6"/>
      <c r="GUS54" s="6"/>
      <c r="GUT54" s="6"/>
      <c r="GUU54" s="6"/>
      <c r="GUV54" s="6"/>
      <c r="GUW54" s="6"/>
      <c r="GUX54" s="6"/>
      <c r="GUY54" s="6"/>
      <c r="GUZ54" s="6"/>
      <c r="GVA54" s="6"/>
      <c r="GVB54" s="6"/>
      <c r="GVC54" s="6"/>
      <c r="GVD54" s="6"/>
      <c r="GVE54" s="6"/>
      <c r="GVF54" s="6"/>
      <c r="GVG54" s="6"/>
      <c r="GVH54" s="6"/>
      <c r="GVI54" s="6"/>
      <c r="GVJ54" s="6"/>
      <c r="GVK54" s="6"/>
      <c r="GVL54" s="6"/>
      <c r="GVM54" s="6"/>
      <c r="GVN54" s="6"/>
      <c r="GVO54" s="6"/>
      <c r="GVP54" s="6"/>
      <c r="GVQ54" s="6"/>
      <c r="GVR54" s="6"/>
      <c r="GVS54" s="6"/>
      <c r="GVT54" s="6"/>
      <c r="GVU54" s="6"/>
      <c r="GVV54" s="6"/>
      <c r="GVW54" s="6"/>
      <c r="GVX54" s="6"/>
      <c r="GVY54" s="6"/>
      <c r="GVZ54" s="6"/>
      <c r="GWA54" s="6"/>
      <c r="GWB54" s="6"/>
      <c r="GWC54" s="6"/>
      <c r="GWD54" s="6"/>
      <c r="GWE54" s="6"/>
      <c r="GWF54" s="6"/>
      <c r="GWG54" s="6"/>
      <c r="GWH54" s="6"/>
      <c r="GWI54" s="6"/>
      <c r="GWJ54" s="6"/>
      <c r="GWK54" s="6"/>
      <c r="GWL54" s="6"/>
      <c r="GWM54" s="6"/>
      <c r="GWN54" s="6"/>
      <c r="GWO54" s="6"/>
      <c r="GWP54" s="6"/>
      <c r="GWQ54" s="6"/>
      <c r="GWR54" s="6"/>
      <c r="GWS54" s="6"/>
      <c r="GWT54" s="6"/>
      <c r="GWU54" s="6"/>
      <c r="GWV54" s="6"/>
      <c r="GWW54" s="6"/>
      <c r="GWX54" s="6"/>
      <c r="GWY54" s="6"/>
      <c r="GWZ54" s="6"/>
      <c r="GXA54" s="6"/>
      <c r="GXB54" s="6"/>
      <c r="GXC54" s="6"/>
      <c r="GXD54" s="6"/>
      <c r="GXE54" s="6"/>
      <c r="GXF54" s="6"/>
      <c r="GXG54" s="6"/>
      <c r="GXH54" s="6"/>
      <c r="GXI54" s="6"/>
      <c r="GXJ54" s="6"/>
      <c r="GXK54" s="6"/>
      <c r="GXL54" s="6"/>
      <c r="GXM54" s="6"/>
      <c r="GXN54" s="6"/>
      <c r="GXO54" s="6"/>
      <c r="GXP54" s="6"/>
      <c r="GXQ54" s="6"/>
      <c r="GXR54" s="6"/>
      <c r="GXS54" s="6"/>
      <c r="GXT54" s="6"/>
      <c r="GXU54" s="6"/>
      <c r="GXV54" s="6"/>
      <c r="GXW54" s="6"/>
      <c r="GXX54" s="6"/>
      <c r="GXY54" s="6"/>
      <c r="GXZ54" s="6"/>
      <c r="GYA54" s="6"/>
      <c r="GYB54" s="6"/>
      <c r="GYC54" s="6"/>
      <c r="GYD54" s="6"/>
      <c r="GYE54" s="6"/>
      <c r="GYF54" s="6"/>
      <c r="GYG54" s="6"/>
      <c r="GYH54" s="6"/>
      <c r="GYI54" s="6"/>
      <c r="GYJ54" s="6"/>
      <c r="GYK54" s="6"/>
      <c r="GYL54" s="6"/>
      <c r="GYM54" s="6"/>
      <c r="GYN54" s="6"/>
      <c r="GYO54" s="6"/>
      <c r="GYP54" s="6"/>
      <c r="GYQ54" s="6"/>
      <c r="GYR54" s="6"/>
      <c r="GYS54" s="6"/>
      <c r="GYT54" s="6"/>
      <c r="GYU54" s="6"/>
      <c r="GYV54" s="6"/>
      <c r="GYW54" s="6"/>
      <c r="GYX54" s="6"/>
      <c r="GYY54" s="6"/>
      <c r="GYZ54" s="6"/>
      <c r="GZA54" s="6"/>
      <c r="GZB54" s="6"/>
      <c r="GZC54" s="6"/>
      <c r="GZD54" s="6"/>
      <c r="GZE54" s="6"/>
      <c r="GZF54" s="6"/>
      <c r="GZG54" s="6"/>
      <c r="GZH54" s="6"/>
      <c r="GZI54" s="6"/>
      <c r="GZJ54" s="6"/>
      <c r="GZK54" s="6"/>
      <c r="GZL54" s="6"/>
      <c r="GZM54" s="6"/>
      <c r="GZN54" s="6"/>
      <c r="GZO54" s="6"/>
      <c r="GZP54" s="6"/>
      <c r="GZQ54" s="6"/>
      <c r="GZR54" s="6"/>
      <c r="GZS54" s="6"/>
      <c r="GZT54" s="6"/>
      <c r="GZU54" s="6"/>
      <c r="GZV54" s="6"/>
      <c r="GZW54" s="6"/>
      <c r="GZX54" s="6"/>
      <c r="GZY54" s="6"/>
      <c r="GZZ54" s="6"/>
      <c r="HAA54" s="6"/>
      <c r="HAB54" s="6"/>
      <c r="HAC54" s="6"/>
      <c r="HAD54" s="6"/>
      <c r="HAE54" s="6"/>
      <c r="HAF54" s="6"/>
      <c r="HAG54" s="6"/>
      <c r="HAH54" s="6"/>
      <c r="HAI54" s="6"/>
      <c r="HAJ54" s="6"/>
      <c r="HAK54" s="6"/>
      <c r="HAL54" s="6"/>
      <c r="HAM54" s="6"/>
      <c r="HAN54" s="6"/>
      <c r="HAO54" s="6"/>
      <c r="HAP54" s="6"/>
      <c r="HAQ54" s="6"/>
      <c r="HAR54" s="6"/>
      <c r="HAS54" s="6"/>
      <c r="HAT54" s="6"/>
      <c r="HAU54" s="6"/>
      <c r="HAV54" s="6"/>
      <c r="HAW54" s="6"/>
      <c r="HAX54" s="6"/>
      <c r="HAY54" s="6"/>
      <c r="HAZ54" s="6"/>
      <c r="HBA54" s="6"/>
      <c r="HBB54" s="6"/>
      <c r="HBC54" s="6"/>
      <c r="HBD54" s="6"/>
      <c r="HBE54" s="6"/>
      <c r="HBF54" s="6"/>
      <c r="HBG54" s="6"/>
      <c r="HBH54" s="6"/>
      <c r="HBI54" s="6"/>
      <c r="HBJ54" s="6"/>
      <c r="HBK54" s="6"/>
      <c r="HBL54" s="6"/>
      <c r="HBM54" s="6"/>
      <c r="HBN54" s="6"/>
      <c r="HBO54" s="6"/>
      <c r="HBP54" s="6"/>
      <c r="HBQ54" s="6"/>
      <c r="HBR54" s="6"/>
      <c r="HBS54" s="6"/>
      <c r="HBT54" s="6"/>
      <c r="HBU54" s="6"/>
      <c r="HBV54" s="6"/>
      <c r="HBW54" s="6"/>
      <c r="HBX54" s="6"/>
      <c r="HBY54" s="6"/>
      <c r="HBZ54" s="6"/>
      <c r="HCA54" s="6"/>
      <c r="HCB54" s="6"/>
      <c r="HCC54" s="6"/>
      <c r="HCD54" s="6"/>
      <c r="HCE54" s="6"/>
      <c r="HCF54" s="6"/>
      <c r="HCG54" s="6"/>
      <c r="HCH54" s="6"/>
      <c r="HCI54" s="6"/>
      <c r="HCJ54" s="6"/>
      <c r="HCK54" s="6"/>
      <c r="HCL54" s="6"/>
      <c r="HCM54" s="6"/>
      <c r="HCN54" s="6"/>
      <c r="HCO54" s="6"/>
      <c r="HCP54" s="6"/>
      <c r="HCQ54" s="6"/>
      <c r="HCR54" s="6"/>
      <c r="HCS54" s="6"/>
      <c r="HCT54" s="6"/>
      <c r="HCU54" s="6"/>
      <c r="HCV54" s="6"/>
      <c r="HCW54" s="6"/>
      <c r="HCX54" s="6"/>
      <c r="HCY54" s="6"/>
      <c r="HCZ54" s="6"/>
      <c r="HDA54" s="6"/>
      <c r="HDB54" s="6"/>
      <c r="HDC54" s="6"/>
      <c r="HDD54" s="6"/>
      <c r="HDE54" s="6"/>
      <c r="HDF54" s="6"/>
      <c r="HDG54" s="6"/>
      <c r="HDH54" s="6"/>
      <c r="HDI54" s="6"/>
      <c r="HDJ54" s="6"/>
      <c r="HDK54" s="6"/>
      <c r="HDL54" s="6"/>
      <c r="HDM54" s="6"/>
      <c r="HDN54" s="6"/>
      <c r="HDO54" s="6"/>
      <c r="HDP54" s="6"/>
      <c r="HDQ54" s="6"/>
      <c r="HDR54" s="6"/>
      <c r="HDS54" s="6"/>
      <c r="HDT54" s="6"/>
      <c r="HDU54" s="6"/>
      <c r="HDV54" s="6"/>
      <c r="HDW54" s="6"/>
      <c r="HDX54" s="6"/>
      <c r="HDY54" s="6"/>
      <c r="HDZ54" s="6"/>
      <c r="HEA54" s="6"/>
      <c r="HEB54" s="6"/>
      <c r="HEC54" s="6"/>
      <c r="HED54" s="6"/>
      <c r="HEE54" s="6"/>
      <c r="HEF54" s="6"/>
      <c r="HEG54" s="6"/>
      <c r="HEH54" s="6"/>
      <c r="HEI54" s="6"/>
      <c r="HEJ54" s="6"/>
      <c r="HEK54" s="6"/>
      <c r="HEL54" s="6"/>
      <c r="HEM54" s="6"/>
      <c r="HEN54" s="6"/>
      <c r="HEO54" s="6"/>
      <c r="HEP54" s="6"/>
      <c r="HEQ54" s="6"/>
      <c r="HER54" s="6"/>
      <c r="HES54" s="6"/>
      <c r="HET54" s="6"/>
      <c r="HEU54" s="6"/>
      <c r="HEV54" s="6"/>
      <c r="HEW54" s="6"/>
      <c r="HEX54" s="6"/>
      <c r="HEY54" s="6"/>
      <c r="HEZ54" s="6"/>
      <c r="HFA54" s="6"/>
      <c r="HFB54" s="6"/>
      <c r="HFC54" s="6"/>
      <c r="HFD54" s="6"/>
      <c r="HFE54" s="6"/>
      <c r="HFF54" s="6"/>
      <c r="HFG54" s="6"/>
      <c r="HFH54" s="6"/>
      <c r="HFI54" s="6"/>
      <c r="HFJ54" s="6"/>
      <c r="HFK54" s="6"/>
      <c r="HFL54" s="6"/>
      <c r="HFM54" s="6"/>
      <c r="HFN54" s="6"/>
      <c r="HFO54" s="6"/>
      <c r="HFP54" s="6"/>
      <c r="HFQ54" s="6"/>
      <c r="HFR54" s="6"/>
      <c r="HFS54" s="6"/>
      <c r="HFT54" s="6"/>
      <c r="HFU54" s="6"/>
      <c r="HFV54" s="6"/>
      <c r="HFW54" s="6"/>
      <c r="HFX54" s="6"/>
      <c r="HFY54" s="6"/>
      <c r="HFZ54" s="6"/>
      <c r="HGA54" s="6"/>
      <c r="HGB54" s="6"/>
      <c r="HGC54" s="6"/>
      <c r="HGD54" s="6"/>
      <c r="HGE54" s="6"/>
      <c r="HGF54" s="6"/>
      <c r="HGG54" s="6"/>
      <c r="HGH54" s="6"/>
      <c r="HGI54" s="6"/>
      <c r="HGJ54" s="6"/>
      <c r="HGK54" s="6"/>
      <c r="HGL54" s="6"/>
      <c r="HGM54" s="6"/>
      <c r="HGN54" s="6"/>
      <c r="HGO54" s="6"/>
      <c r="HGP54" s="6"/>
      <c r="HGQ54" s="6"/>
      <c r="HGR54" s="6"/>
      <c r="HGS54" s="6"/>
      <c r="HGT54" s="6"/>
      <c r="HGU54" s="6"/>
      <c r="HGV54" s="6"/>
      <c r="HGW54" s="6"/>
      <c r="HGX54" s="6"/>
      <c r="HGY54" s="6"/>
      <c r="HGZ54" s="6"/>
      <c r="HHA54" s="6"/>
      <c r="HHB54" s="6"/>
      <c r="HHC54" s="6"/>
      <c r="HHD54" s="6"/>
      <c r="HHE54" s="6"/>
      <c r="HHF54" s="6"/>
      <c r="HHG54" s="6"/>
      <c r="HHH54" s="6"/>
      <c r="HHI54" s="6"/>
      <c r="HHJ54" s="6"/>
      <c r="HHK54" s="6"/>
      <c r="HHL54" s="6"/>
      <c r="HHM54" s="6"/>
      <c r="HHN54" s="6"/>
      <c r="HHO54" s="6"/>
      <c r="HHP54" s="6"/>
      <c r="HHQ54" s="6"/>
      <c r="HHR54" s="6"/>
      <c r="HHS54" s="6"/>
      <c r="HHT54" s="6"/>
      <c r="HHU54" s="6"/>
      <c r="HHV54" s="6"/>
      <c r="HHW54" s="6"/>
      <c r="HHX54" s="6"/>
      <c r="HHY54" s="6"/>
      <c r="HHZ54" s="6"/>
      <c r="HIA54" s="6"/>
      <c r="HIB54" s="6"/>
      <c r="HIC54" s="6"/>
      <c r="HID54" s="6"/>
      <c r="HIE54" s="6"/>
      <c r="HIF54" s="6"/>
      <c r="HIG54" s="6"/>
      <c r="HIH54" s="6"/>
      <c r="HII54" s="6"/>
      <c r="HIJ54" s="6"/>
      <c r="HIK54" s="6"/>
      <c r="HIL54" s="6"/>
      <c r="HIM54" s="6"/>
      <c r="HIN54" s="6"/>
      <c r="HIO54" s="6"/>
      <c r="HIP54" s="6"/>
      <c r="HIQ54" s="6"/>
      <c r="HIR54" s="6"/>
      <c r="HIS54" s="6"/>
      <c r="HIT54" s="6"/>
      <c r="HIU54" s="6"/>
      <c r="HIV54" s="6"/>
      <c r="HIW54" s="6"/>
      <c r="HIX54" s="6"/>
      <c r="HIY54" s="6"/>
      <c r="HIZ54" s="6"/>
      <c r="HJA54" s="6"/>
      <c r="HJB54" s="6"/>
      <c r="HJC54" s="6"/>
      <c r="HJD54" s="6"/>
      <c r="HJE54" s="6"/>
      <c r="HJF54" s="6"/>
      <c r="HJG54" s="6"/>
      <c r="HJH54" s="6"/>
      <c r="HJI54" s="6"/>
      <c r="HJJ54" s="6"/>
      <c r="HJK54" s="6"/>
      <c r="HJL54" s="6"/>
      <c r="HJM54" s="6"/>
      <c r="HJN54" s="6"/>
      <c r="HJO54" s="6"/>
      <c r="HJP54" s="6"/>
      <c r="HJQ54" s="6"/>
      <c r="HJR54" s="6"/>
      <c r="HJS54" s="6"/>
      <c r="HJT54" s="6"/>
      <c r="HJU54" s="6"/>
      <c r="HJV54" s="6"/>
      <c r="HJW54" s="6"/>
      <c r="HJX54" s="6"/>
      <c r="HJY54" s="6"/>
      <c r="HJZ54" s="6"/>
      <c r="HKA54" s="6"/>
      <c r="HKB54" s="6"/>
      <c r="HKC54" s="6"/>
      <c r="HKD54" s="6"/>
      <c r="HKE54" s="6"/>
      <c r="HKF54" s="6"/>
      <c r="HKG54" s="6"/>
      <c r="HKH54" s="6"/>
      <c r="HKI54" s="6"/>
      <c r="HKJ54" s="6"/>
      <c r="HKK54" s="6"/>
      <c r="HKL54" s="6"/>
      <c r="HKM54" s="6"/>
      <c r="HKN54" s="6"/>
      <c r="HKO54" s="6"/>
      <c r="HKP54" s="6"/>
      <c r="HKQ54" s="6"/>
      <c r="HKR54" s="6"/>
      <c r="HKS54" s="6"/>
      <c r="HKT54" s="6"/>
      <c r="HKU54" s="6"/>
      <c r="HKV54" s="6"/>
      <c r="HKW54" s="6"/>
      <c r="HKX54" s="6"/>
      <c r="HKY54" s="6"/>
      <c r="HKZ54" s="6"/>
      <c r="HLA54" s="6"/>
      <c r="HLB54" s="6"/>
      <c r="HLC54" s="6"/>
      <c r="HLD54" s="6"/>
      <c r="HLE54" s="6"/>
      <c r="HLF54" s="6"/>
      <c r="HLG54" s="6"/>
      <c r="HLH54" s="6"/>
      <c r="HLI54" s="6"/>
      <c r="HLJ54" s="6"/>
      <c r="HLK54" s="6"/>
      <c r="HLL54" s="6"/>
      <c r="HLM54" s="6"/>
      <c r="HLN54" s="6"/>
      <c r="HLO54" s="6"/>
      <c r="HLP54" s="6"/>
      <c r="HLQ54" s="6"/>
      <c r="HLR54" s="6"/>
      <c r="HLS54" s="6"/>
      <c r="HLT54" s="6"/>
      <c r="HLU54" s="6"/>
      <c r="HLV54" s="6"/>
      <c r="HLW54" s="6"/>
      <c r="HLX54" s="6"/>
      <c r="HLY54" s="6"/>
      <c r="HLZ54" s="6"/>
      <c r="HMA54" s="6"/>
      <c r="HMB54" s="6"/>
      <c r="HMC54" s="6"/>
      <c r="HMD54" s="6"/>
      <c r="HME54" s="6"/>
      <c r="HMF54" s="6"/>
      <c r="HMG54" s="6"/>
      <c r="HMH54" s="6"/>
      <c r="HMI54" s="6"/>
      <c r="HMJ54" s="6"/>
      <c r="HMK54" s="6"/>
      <c r="HML54" s="6"/>
      <c r="HMM54" s="6"/>
      <c r="HMN54" s="6"/>
      <c r="HMO54" s="6"/>
      <c r="HMP54" s="6"/>
      <c r="HMQ54" s="6"/>
      <c r="HMR54" s="6"/>
      <c r="HMS54" s="6"/>
      <c r="HMT54" s="6"/>
      <c r="HMU54" s="6"/>
      <c r="HMV54" s="6"/>
      <c r="HMW54" s="6"/>
      <c r="HMX54" s="6"/>
      <c r="HMY54" s="6"/>
      <c r="HMZ54" s="6"/>
      <c r="HNA54" s="6"/>
      <c r="HNB54" s="6"/>
      <c r="HNC54" s="6"/>
      <c r="HND54" s="6"/>
      <c r="HNE54" s="6"/>
      <c r="HNF54" s="6"/>
      <c r="HNG54" s="6"/>
      <c r="HNH54" s="6"/>
      <c r="HNI54" s="6"/>
      <c r="HNJ54" s="6"/>
      <c r="HNK54" s="6"/>
      <c r="HNL54" s="6"/>
      <c r="HNM54" s="6"/>
      <c r="HNN54" s="6"/>
      <c r="HNO54" s="6"/>
      <c r="HNP54" s="6"/>
      <c r="HNQ54" s="6"/>
      <c r="HNR54" s="6"/>
      <c r="HNS54" s="6"/>
      <c r="HNT54" s="6"/>
      <c r="HNU54" s="6"/>
      <c r="HNV54" s="6"/>
      <c r="HNW54" s="6"/>
      <c r="HNX54" s="6"/>
      <c r="HNY54" s="6"/>
      <c r="HNZ54" s="6"/>
      <c r="HOA54" s="6"/>
      <c r="HOB54" s="6"/>
      <c r="HOC54" s="6"/>
      <c r="HOD54" s="6"/>
      <c r="HOE54" s="6"/>
      <c r="HOF54" s="6"/>
      <c r="HOG54" s="6"/>
      <c r="HOH54" s="6"/>
      <c r="HOI54" s="6"/>
      <c r="HOJ54" s="6"/>
      <c r="HOK54" s="6"/>
      <c r="HOL54" s="6"/>
      <c r="HOM54" s="6"/>
      <c r="HON54" s="6"/>
      <c r="HOO54" s="6"/>
      <c r="HOP54" s="6"/>
      <c r="HOQ54" s="6"/>
      <c r="HOR54" s="6"/>
      <c r="HOS54" s="6"/>
      <c r="HOT54" s="6"/>
      <c r="HOU54" s="6"/>
      <c r="HOV54" s="6"/>
      <c r="HOW54" s="6"/>
      <c r="HOX54" s="6"/>
      <c r="HOY54" s="6"/>
      <c r="HOZ54" s="6"/>
      <c r="HPA54" s="6"/>
      <c r="HPB54" s="6"/>
      <c r="HPC54" s="6"/>
      <c r="HPD54" s="6"/>
      <c r="HPE54" s="6"/>
      <c r="HPF54" s="6"/>
      <c r="HPG54" s="6"/>
      <c r="HPH54" s="6"/>
      <c r="HPI54" s="6"/>
      <c r="HPJ54" s="6"/>
      <c r="HPK54" s="6"/>
      <c r="HPL54" s="6"/>
      <c r="HPM54" s="6"/>
      <c r="HPN54" s="6"/>
      <c r="HPO54" s="6"/>
      <c r="HPP54" s="6"/>
      <c r="HPQ54" s="6"/>
      <c r="HPR54" s="6"/>
      <c r="HPS54" s="6"/>
      <c r="HPT54" s="6"/>
      <c r="HPU54" s="6"/>
      <c r="HPV54" s="6"/>
      <c r="HPW54" s="6"/>
      <c r="HPX54" s="6"/>
      <c r="HPY54" s="6"/>
      <c r="HPZ54" s="6"/>
      <c r="HQA54" s="6"/>
      <c r="HQB54" s="6"/>
      <c r="HQC54" s="6"/>
      <c r="HQD54" s="6"/>
      <c r="HQE54" s="6"/>
      <c r="HQF54" s="6"/>
      <c r="HQG54" s="6"/>
      <c r="HQH54" s="6"/>
      <c r="HQI54" s="6"/>
      <c r="HQJ54" s="6"/>
      <c r="HQK54" s="6"/>
      <c r="HQL54" s="6"/>
      <c r="HQM54" s="6"/>
      <c r="HQN54" s="6"/>
      <c r="HQO54" s="6"/>
      <c r="HQP54" s="6"/>
      <c r="HQQ54" s="6"/>
      <c r="HQR54" s="6"/>
      <c r="HQS54" s="6"/>
      <c r="HQT54" s="6"/>
      <c r="HQU54" s="6"/>
      <c r="HQV54" s="6"/>
      <c r="HQW54" s="6"/>
      <c r="HQX54" s="6"/>
      <c r="HQY54" s="6"/>
      <c r="HQZ54" s="6"/>
      <c r="HRA54" s="6"/>
      <c r="HRB54" s="6"/>
      <c r="HRC54" s="6"/>
      <c r="HRD54" s="6"/>
      <c r="HRE54" s="6"/>
      <c r="HRF54" s="6"/>
      <c r="HRG54" s="6"/>
      <c r="HRH54" s="6"/>
      <c r="HRI54" s="6"/>
      <c r="HRJ54" s="6"/>
      <c r="HRK54" s="6"/>
      <c r="HRL54" s="6"/>
      <c r="HRM54" s="6"/>
      <c r="HRN54" s="6"/>
      <c r="HRO54" s="6"/>
      <c r="HRP54" s="6"/>
      <c r="HRQ54" s="6"/>
      <c r="HRR54" s="6"/>
      <c r="HRS54" s="6"/>
      <c r="HRT54" s="6"/>
      <c r="HRU54" s="6"/>
      <c r="HRV54" s="6"/>
      <c r="HRW54" s="6"/>
      <c r="HRX54" s="6"/>
      <c r="HRY54" s="6"/>
      <c r="HRZ54" s="6"/>
      <c r="HSA54" s="6"/>
      <c r="HSB54" s="6"/>
      <c r="HSC54" s="6"/>
      <c r="HSD54" s="6"/>
      <c r="HSE54" s="6"/>
      <c r="HSF54" s="6"/>
      <c r="HSG54" s="6"/>
      <c r="HSH54" s="6"/>
      <c r="HSI54" s="6"/>
      <c r="HSJ54" s="6"/>
      <c r="HSK54" s="6"/>
      <c r="HSL54" s="6"/>
      <c r="HSM54" s="6"/>
      <c r="HSN54" s="6"/>
      <c r="HSO54" s="6"/>
      <c r="HSP54" s="6"/>
      <c r="HSQ54" s="6"/>
      <c r="HSR54" s="6"/>
      <c r="HSS54" s="6"/>
      <c r="HST54" s="6"/>
      <c r="HSU54" s="6"/>
      <c r="HSV54" s="6"/>
      <c r="HSW54" s="6"/>
      <c r="HSX54" s="6"/>
      <c r="HSY54" s="6"/>
      <c r="HSZ54" s="6"/>
      <c r="HTA54" s="6"/>
      <c r="HTB54" s="6"/>
      <c r="HTC54" s="6"/>
      <c r="HTD54" s="6"/>
      <c r="HTE54" s="6"/>
      <c r="HTF54" s="6"/>
      <c r="HTG54" s="6"/>
      <c r="HTH54" s="6"/>
      <c r="HTI54" s="6"/>
      <c r="HTJ54" s="6"/>
      <c r="HTK54" s="6"/>
      <c r="HTL54" s="6"/>
      <c r="HTM54" s="6"/>
      <c r="HTN54" s="6"/>
      <c r="HTO54" s="6"/>
      <c r="HTP54" s="6"/>
      <c r="HTQ54" s="6"/>
      <c r="HTR54" s="6"/>
      <c r="HTS54" s="6"/>
      <c r="HTT54" s="6"/>
      <c r="HTU54" s="6"/>
      <c r="HTV54" s="6"/>
      <c r="HTW54" s="6"/>
      <c r="HTX54" s="6"/>
      <c r="HTY54" s="6"/>
      <c r="HTZ54" s="6"/>
      <c r="HUA54" s="6"/>
      <c r="HUB54" s="6"/>
      <c r="HUC54" s="6"/>
      <c r="HUD54" s="6"/>
      <c r="HUE54" s="6"/>
      <c r="HUF54" s="6"/>
      <c r="HUG54" s="6"/>
      <c r="HUH54" s="6"/>
      <c r="HUI54" s="6"/>
      <c r="HUJ54" s="6"/>
      <c r="HUK54" s="6"/>
      <c r="HUL54" s="6"/>
      <c r="HUM54" s="6"/>
      <c r="HUN54" s="6"/>
      <c r="HUO54" s="6"/>
      <c r="HUP54" s="6"/>
      <c r="HUQ54" s="6"/>
      <c r="HUR54" s="6"/>
      <c r="HUS54" s="6"/>
      <c r="HUT54" s="6"/>
      <c r="HUU54" s="6"/>
      <c r="HUV54" s="6"/>
      <c r="HUW54" s="6"/>
      <c r="HUX54" s="6"/>
      <c r="HUY54" s="6"/>
      <c r="HUZ54" s="6"/>
      <c r="HVA54" s="6"/>
      <c r="HVB54" s="6"/>
      <c r="HVC54" s="6"/>
      <c r="HVD54" s="6"/>
      <c r="HVE54" s="6"/>
      <c r="HVF54" s="6"/>
      <c r="HVG54" s="6"/>
      <c r="HVH54" s="6"/>
      <c r="HVI54" s="6"/>
      <c r="HVJ54" s="6"/>
      <c r="HVK54" s="6"/>
      <c r="HVL54" s="6"/>
      <c r="HVM54" s="6"/>
      <c r="HVN54" s="6"/>
      <c r="HVO54" s="6"/>
      <c r="HVP54" s="6"/>
      <c r="HVQ54" s="6"/>
      <c r="HVR54" s="6"/>
      <c r="HVS54" s="6"/>
      <c r="HVT54" s="6"/>
      <c r="HVU54" s="6"/>
      <c r="HVV54" s="6"/>
      <c r="HVW54" s="6"/>
      <c r="HVX54" s="6"/>
      <c r="HVY54" s="6"/>
      <c r="HVZ54" s="6"/>
      <c r="HWA54" s="6"/>
      <c r="HWB54" s="6"/>
      <c r="HWC54" s="6"/>
      <c r="HWD54" s="6"/>
      <c r="HWE54" s="6"/>
      <c r="HWF54" s="6"/>
      <c r="HWG54" s="6"/>
      <c r="HWH54" s="6"/>
      <c r="HWI54" s="6"/>
      <c r="HWJ54" s="6"/>
      <c r="HWK54" s="6"/>
      <c r="HWL54" s="6"/>
      <c r="HWM54" s="6"/>
      <c r="HWN54" s="6"/>
      <c r="HWO54" s="6"/>
      <c r="HWP54" s="6"/>
      <c r="HWQ54" s="6"/>
      <c r="HWR54" s="6"/>
      <c r="HWS54" s="6"/>
      <c r="HWT54" s="6"/>
      <c r="HWU54" s="6"/>
      <c r="HWV54" s="6"/>
      <c r="HWW54" s="6"/>
      <c r="HWX54" s="6"/>
      <c r="HWY54" s="6"/>
      <c r="HWZ54" s="6"/>
      <c r="HXA54" s="6"/>
      <c r="HXB54" s="6"/>
      <c r="HXC54" s="6"/>
      <c r="HXD54" s="6"/>
      <c r="HXE54" s="6"/>
      <c r="HXF54" s="6"/>
      <c r="HXG54" s="6"/>
      <c r="HXH54" s="6"/>
      <c r="HXI54" s="6"/>
      <c r="HXJ54" s="6"/>
      <c r="HXK54" s="6"/>
      <c r="HXL54" s="6"/>
      <c r="HXM54" s="6"/>
      <c r="HXN54" s="6"/>
      <c r="HXO54" s="6"/>
      <c r="HXP54" s="6"/>
      <c r="HXQ54" s="6"/>
      <c r="HXR54" s="6"/>
      <c r="HXS54" s="6"/>
      <c r="HXT54" s="6"/>
      <c r="HXU54" s="6"/>
      <c r="HXV54" s="6"/>
      <c r="HXW54" s="6"/>
      <c r="HXX54" s="6"/>
      <c r="HXY54" s="6"/>
      <c r="HXZ54" s="6"/>
      <c r="HYA54" s="6"/>
      <c r="HYB54" s="6"/>
      <c r="HYC54" s="6"/>
      <c r="HYD54" s="6"/>
      <c r="HYE54" s="6"/>
      <c r="HYF54" s="6"/>
      <c r="HYG54" s="6"/>
      <c r="HYH54" s="6"/>
      <c r="HYI54" s="6"/>
      <c r="HYJ54" s="6"/>
      <c r="HYK54" s="6"/>
      <c r="HYL54" s="6"/>
      <c r="HYM54" s="6"/>
      <c r="HYN54" s="6"/>
      <c r="HYO54" s="6"/>
      <c r="HYP54" s="6"/>
      <c r="HYQ54" s="6"/>
      <c r="HYR54" s="6"/>
      <c r="HYS54" s="6"/>
      <c r="HYT54" s="6"/>
      <c r="HYU54" s="6"/>
      <c r="HYV54" s="6"/>
      <c r="HYW54" s="6"/>
      <c r="HYX54" s="6"/>
      <c r="HYY54" s="6"/>
      <c r="HYZ54" s="6"/>
      <c r="HZA54" s="6"/>
      <c r="HZB54" s="6"/>
      <c r="HZC54" s="6"/>
      <c r="HZD54" s="6"/>
      <c r="HZE54" s="6"/>
      <c r="HZF54" s="6"/>
      <c r="HZG54" s="6"/>
      <c r="HZH54" s="6"/>
      <c r="HZI54" s="6"/>
      <c r="HZJ54" s="6"/>
      <c r="HZK54" s="6"/>
      <c r="HZL54" s="6"/>
      <c r="HZM54" s="6"/>
      <c r="HZN54" s="6"/>
      <c r="HZO54" s="6"/>
      <c r="HZP54" s="6"/>
      <c r="HZQ54" s="6"/>
      <c r="HZR54" s="6"/>
      <c r="HZS54" s="6"/>
      <c r="HZT54" s="6"/>
      <c r="HZU54" s="6"/>
      <c r="HZV54" s="6"/>
      <c r="HZW54" s="6"/>
      <c r="HZX54" s="6"/>
      <c r="HZY54" s="6"/>
      <c r="HZZ54" s="6"/>
      <c r="IAA54" s="6"/>
      <c r="IAB54" s="6"/>
      <c r="IAC54" s="6"/>
      <c r="IAD54" s="6"/>
      <c r="IAE54" s="6"/>
      <c r="IAF54" s="6"/>
      <c r="IAG54" s="6"/>
      <c r="IAH54" s="6"/>
      <c r="IAI54" s="6"/>
      <c r="IAJ54" s="6"/>
      <c r="IAK54" s="6"/>
      <c r="IAL54" s="6"/>
      <c r="IAM54" s="6"/>
      <c r="IAN54" s="6"/>
      <c r="IAO54" s="6"/>
      <c r="IAP54" s="6"/>
      <c r="IAQ54" s="6"/>
      <c r="IAR54" s="6"/>
      <c r="IAS54" s="6"/>
      <c r="IAT54" s="6"/>
      <c r="IAU54" s="6"/>
      <c r="IAV54" s="6"/>
      <c r="IAW54" s="6"/>
      <c r="IAX54" s="6"/>
      <c r="IAY54" s="6"/>
      <c r="IAZ54" s="6"/>
      <c r="IBA54" s="6"/>
      <c r="IBB54" s="6"/>
      <c r="IBC54" s="6"/>
      <c r="IBD54" s="6"/>
      <c r="IBE54" s="6"/>
      <c r="IBF54" s="6"/>
      <c r="IBG54" s="6"/>
      <c r="IBH54" s="6"/>
      <c r="IBI54" s="6"/>
      <c r="IBJ54" s="6"/>
      <c r="IBK54" s="6"/>
      <c r="IBL54" s="6"/>
      <c r="IBM54" s="6"/>
      <c r="IBN54" s="6"/>
      <c r="IBO54" s="6"/>
      <c r="IBP54" s="6"/>
      <c r="IBQ54" s="6"/>
      <c r="IBR54" s="6"/>
      <c r="IBS54" s="6"/>
      <c r="IBT54" s="6"/>
      <c r="IBU54" s="6"/>
      <c r="IBV54" s="6"/>
      <c r="IBW54" s="6"/>
      <c r="IBX54" s="6"/>
      <c r="IBY54" s="6"/>
      <c r="IBZ54" s="6"/>
      <c r="ICA54" s="6"/>
      <c r="ICB54" s="6"/>
      <c r="ICC54" s="6"/>
      <c r="ICD54" s="6"/>
      <c r="ICE54" s="6"/>
      <c r="ICF54" s="6"/>
      <c r="ICG54" s="6"/>
      <c r="ICH54" s="6"/>
      <c r="ICI54" s="6"/>
      <c r="ICJ54" s="6"/>
      <c r="ICK54" s="6"/>
      <c r="ICL54" s="6"/>
      <c r="ICM54" s="6"/>
      <c r="ICN54" s="6"/>
      <c r="ICO54" s="6"/>
      <c r="ICP54" s="6"/>
      <c r="ICQ54" s="6"/>
      <c r="ICR54" s="6"/>
      <c r="ICS54" s="6"/>
      <c r="ICT54" s="6"/>
      <c r="ICU54" s="6"/>
      <c r="ICV54" s="6"/>
      <c r="ICW54" s="6"/>
      <c r="ICX54" s="6"/>
      <c r="ICY54" s="6"/>
      <c r="ICZ54" s="6"/>
      <c r="IDA54" s="6"/>
      <c r="IDB54" s="6"/>
      <c r="IDC54" s="6"/>
      <c r="IDD54" s="6"/>
      <c r="IDE54" s="6"/>
      <c r="IDF54" s="6"/>
      <c r="IDG54" s="6"/>
      <c r="IDH54" s="6"/>
      <c r="IDI54" s="6"/>
      <c r="IDJ54" s="6"/>
      <c r="IDK54" s="6"/>
      <c r="IDL54" s="6"/>
      <c r="IDM54" s="6"/>
      <c r="IDN54" s="6"/>
      <c r="IDO54" s="6"/>
      <c r="IDP54" s="6"/>
      <c r="IDQ54" s="6"/>
      <c r="IDR54" s="6"/>
      <c r="IDS54" s="6"/>
      <c r="IDT54" s="6"/>
      <c r="IDU54" s="6"/>
      <c r="IDV54" s="6"/>
      <c r="IDW54" s="6"/>
      <c r="IDX54" s="6"/>
      <c r="IDY54" s="6"/>
      <c r="IDZ54" s="6"/>
      <c r="IEA54" s="6"/>
      <c r="IEB54" s="6"/>
      <c r="IEC54" s="6"/>
      <c r="IED54" s="6"/>
      <c r="IEE54" s="6"/>
      <c r="IEF54" s="6"/>
      <c r="IEG54" s="6"/>
      <c r="IEH54" s="6"/>
      <c r="IEI54" s="6"/>
      <c r="IEJ54" s="6"/>
      <c r="IEK54" s="6"/>
      <c r="IEL54" s="6"/>
      <c r="IEM54" s="6"/>
      <c r="IEN54" s="6"/>
      <c r="IEO54" s="6"/>
      <c r="IEP54" s="6"/>
      <c r="IEQ54" s="6"/>
      <c r="IER54" s="6"/>
      <c r="IES54" s="6"/>
      <c r="IET54" s="6"/>
      <c r="IEU54" s="6"/>
      <c r="IEV54" s="6"/>
      <c r="IEW54" s="6"/>
      <c r="IEX54" s="6"/>
      <c r="IEY54" s="6"/>
      <c r="IEZ54" s="6"/>
      <c r="IFA54" s="6"/>
      <c r="IFB54" s="6"/>
      <c r="IFC54" s="6"/>
      <c r="IFD54" s="6"/>
      <c r="IFE54" s="6"/>
      <c r="IFF54" s="6"/>
      <c r="IFG54" s="6"/>
      <c r="IFH54" s="6"/>
      <c r="IFI54" s="6"/>
      <c r="IFJ54" s="6"/>
      <c r="IFK54" s="6"/>
      <c r="IFL54" s="6"/>
      <c r="IFM54" s="6"/>
      <c r="IFN54" s="6"/>
      <c r="IFO54" s="6"/>
      <c r="IFP54" s="6"/>
      <c r="IFQ54" s="6"/>
      <c r="IFR54" s="6"/>
      <c r="IFS54" s="6"/>
      <c r="IFT54" s="6"/>
      <c r="IFU54" s="6"/>
      <c r="IFV54" s="6"/>
      <c r="IFW54" s="6"/>
      <c r="IFX54" s="6"/>
      <c r="IFY54" s="6"/>
      <c r="IFZ54" s="6"/>
      <c r="IGA54" s="6"/>
      <c r="IGB54" s="6"/>
      <c r="IGC54" s="6"/>
      <c r="IGD54" s="6"/>
      <c r="IGE54" s="6"/>
      <c r="IGF54" s="6"/>
      <c r="IGG54" s="6"/>
      <c r="IGH54" s="6"/>
      <c r="IGI54" s="6"/>
      <c r="IGJ54" s="6"/>
      <c r="IGK54" s="6"/>
      <c r="IGL54" s="6"/>
      <c r="IGM54" s="6"/>
      <c r="IGN54" s="6"/>
      <c r="IGO54" s="6"/>
      <c r="IGP54" s="6"/>
      <c r="IGQ54" s="6"/>
      <c r="IGR54" s="6"/>
      <c r="IGS54" s="6"/>
      <c r="IGT54" s="6"/>
      <c r="IGU54" s="6"/>
      <c r="IGV54" s="6"/>
      <c r="IGW54" s="6"/>
      <c r="IGX54" s="6"/>
      <c r="IGY54" s="6"/>
      <c r="IGZ54" s="6"/>
      <c r="IHA54" s="6"/>
      <c r="IHB54" s="6"/>
      <c r="IHC54" s="6"/>
      <c r="IHD54" s="6"/>
      <c r="IHE54" s="6"/>
      <c r="IHF54" s="6"/>
      <c r="IHG54" s="6"/>
      <c r="IHH54" s="6"/>
      <c r="IHI54" s="6"/>
      <c r="IHJ54" s="6"/>
      <c r="IHK54" s="6"/>
      <c r="IHL54" s="6"/>
      <c r="IHM54" s="6"/>
      <c r="IHN54" s="6"/>
      <c r="IHO54" s="6"/>
      <c r="IHP54" s="6"/>
      <c r="IHQ54" s="6"/>
      <c r="IHR54" s="6"/>
      <c r="IHS54" s="6"/>
      <c r="IHT54" s="6"/>
      <c r="IHU54" s="6"/>
      <c r="IHV54" s="6"/>
      <c r="IHW54" s="6"/>
      <c r="IHX54" s="6"/>
      <c r="IHY54" s="6"/>
      <c r="IHZ54" s="6"/>
      <c r="IIA54" s="6"/>
      <c r="IIB54" s="6"/>
      <c r="IIC54" s="6"/>
      <c r="IID54" s="6"/>
      <c r="IIE54" s="6"/>
      <c r="IIF54" s="6"/>
      <c r="IIG54" s="6"/>
      <c r="IIH54" s="6"/>
      <c r="III54" s="6"/>
      <c r="IIJ54" s="6"/>
      <c r="IIK54" s="6"/>
      <c r="IIL54" s="6"/>
      <c r="IIM54" s="6"/>
      <c r="IIN54" s="6"/>
      <c r="IIO54" s="6"/>
      <c r="IIP54" s="6"/>
      <c r="IIQ54" s="6"/>
      <c r="IIR54" s="6"/>
      <c r="IIS54" s="6"/>
      <c r="IIT54" s="6"/>
      <c r="IIU54" s="6"/>
      <c r="IIV54" s="6"/>
      <c r="IIW54" s="6"/>
      <c r="IIX54" s="6"/>
      <c r="IIY54" s="6"/>
      <c r="IIZ54" s="6"/>
      <c r="IJA54" s="6"/>
      <c r="IJB54" s="6"/>
      <c r="IJC54" s="6"/>
      <c r="IJD54" s="6"/>
      <c r="IJE54" s="6"/>
      <c r="IJF54" s="6"/>
      <c r="IJG54" s="6"/>
      <c r="IJH54" s="6"/>
      <c r="IJI54" s="6"/>
      <c r="IJJ54" s="6"/>
      <c r="IJK54" s="6"/>
      <c r="IJL54" s="6"/>
      <c r="IJM54" s="6"/>
      <c r="IJN54" s="6"/>
      <c r="IJO54" s="6"/>
      <c r="IJP54" s="6"/>
      <c r="IJQ54" s="6"/>
      <c r="IJR54" s="6"/>
      <c r="IJS54" s="6"/>
      <c r="IJT54" s="6"/>
      <c r="IJU54" s="6"/>
      <c r="IJV54" s="6"/>
      <c r="IJW54" s="6"/>
      <c r="IJX54" s="6"/>
      <c r="IJY54" s="6"/>
      <c r="IJZ54" s="6"/>
      <c r="IKA54" s="6"/>
      <c r="IKB54" s="6"/>
      <c r="IKC54" s="6"/>
      <c r="IKD54" s="6"/>
      <c r="IKE54" s="6"/>
      <c r="IKF54" s="6"/>
      <c r="IKG54" s="6"/>
      <c r="IKH54" s="6"/>
      <c r="IKI54" s="6"/>
      <c r="IKJ54" s="6"/>
      <c r="IKK54" s="6"/>
      <c r="IKL54" s="6"/>
      <c r="IKM54" s="6"/>
      <c r="IKN54" s="6"/>
      <c r="IKO54" s="6"/>
      <c r="IKP54" s="6"/>
      <c r="IKQ54" s="6"/>
      <c r="IKR54" s="6"/>
      <c r="IKS54" s="6"/>
      <c r="IKT54" s="6"/>
      <c r="IKU54" s="6"/>
      <c r="IKV54" s="6"/>
      <c r="IKW54" s="6"/>
      <c r="IKX54" s="6"/>
      <c r="IKY54" s="6"/>
      <c r="IKZ54" s="6"/>
      <c r="ILA54" s="6"/>
      <c r="ILB54" s="6"/>
      <c r="ILC54" s="6"/>
      <c r="ILD54" s="6"/>
      <c r="ILE54" s="6"/>
      <c r="ILF54" s="6"/>
      <c r="ILG54" s="6"/>
      <c r="ILH54" s="6"/>
      <c r="ILI54" s="6"/>
      <c r="ILJ54" s="6"/>
      <c r="ILK54" s="6"/>
      <c r="ILL54" s="6"/>
      <c r="ILM54" s="6"/>
      <c r="ILN54" s="6"/>
      <c r="ILO54" s="6"/>
      <c r="ILP54" s="6"/>
      <c r="ILQ54" s="6"/>
      <c r="ILR54" s="6"/>
      <c r="ILS54" s="6"/>
      <c r="ILT54" s="6"/>
      <c r="ILU54" s="6"/>
      <c r="ILV54" s="6"/>
      <c r="ILW54" s="6"/>
      <c r="ILX54" s="6"/>
      <c r="ILY54" s="6"/>
      <c r="ILZ54" s="6"/>
      <c r="IMA54" s="6"/>
      <c r="IMB54" s="6"/>
      <c r="IMC54" s="6"/>
      <c r="IMD54" s="6"/>
      <c r="IME54" s="6"/>
      <c r="IMF54" s="6"/>
      <c r="IMG54" s="6"/>
      <c r="IMH54" s="6"/>
      <c r="IMI54" s="6"/>
      <c r="IMJ54" s="6"/>
      <c r="IMK54" s="6"/>
      <c r="IML54" s="6"/>
      <c r="IMM54" s="6"/>
      <c r="IMN54" s="6"/>
      <c r="IMO54" s="6"/>
      <c r="IMP54" s="6"/>
      <c r="IMQ54" s="6"/>
      <c r="IMR54" s="6"/>
      <c r="IMS54" s="6"/>
      <c r="IMT54" s="6"/>
      <c r="IMU54" s="6"/>
      <c r="IMV54" s="6"/>
      <c r="IMW54" s="6"/>
      <c r="IMX54" s="6"/>
      <c r="IMY54" s="6"/>
      <c r="IMZ54" s="6"/>
      <c r="INA54" s="6"/>
      <c r="INB54" s="6"/>
      <c r="INC54" s="6"/>
      <c r="IND54" s="6"/>
      <c r="INE54" s="6"/>
      <c r="INF54" s="6"/>
      <c r="ING54" s="6"/>
      <c r="INH54" s="6"/>
      <c r="INI54" s="6"/>
      <c r="INJ54" s="6"/>
      <c r="INK54" s="6"/>
      <c r="INL54" s="6"/>
      <c r="INM54" s="6"/>
      <c r="INN54" s="6"/>
      <c r="INO54" s="6"/>
      <c r="INP54" s="6"/>
      <c r="INQ54" s="6"/>
      <c r="INR54" s="6"/>
      <c r="INS54" s="6"/>
      <c r="INT54" s="6"/>
      <c r="INU54" s="6"/>
      <c r="INV54" s="6"/>
      <c r="INW54" s="6"/>
      <c r="INX54" s="6"/>
      <c r="INY54" s="6"/>
      <c r="INZ54" s="6"/>
      <c r="IOA54" s="6"/>
      <c r="IOB54" s="6"/>
      <c r="IOC54" s="6"/>
      <c r="IOD54" s="6"/>
      <c r="IOE54" s="6"/>
      <c r="IOF54" s="6"/>
      <c r="IOG54" s="6"/>
      <c r="IOH54" s="6"/>
      <c r="IOI54" s="6"/>
      <c r="IOJ54" s="6"/>
      <c r="IOK54" s="6"/>
      <c r="IOL54" s="6"/>
      <c r="IOM54" s="6"/>
      <c r="ION54" s="6"/>
      <c r="IOO54" s="6"/>
      <c r="IOP54" s="6"/>
      <c r="IOQ54" s="6"/>
      <c r="IOR54" s="6"/>
      <c r="IOS54" s="6"/>
      <c r="IOT54" s="6"/>
      <c r="IOU54" s="6"/>
      <c r="IOV54" s="6"/>
      <c r="IOW54" s="6"/>
      <c r="IOX54" s="6"/>
      <c r="IOY54" s="6"/>
      <c r="IOZ54" s="6"/>
      <c r="IPA54" s="6"/>
      <c r="IPB54" s="6"/>
      <c r="IPC54" s="6"/>
      <c r="IPD54" s="6"/>
      <c r="IPE54" s="6"/>
      <c r="IPF54" s="6"/>
      <c r="IPG54" s="6"/>
      <c r="IPH54" s="6"/>
      <c r="IPI54" s="6"/>
      <c r="IPJ54" s="6"/>
      <c r="IPK54" s="6"/>
      <c r="IPL54" s="6"/>
      <c r="IPM54" s="6"/>
      <c r="IPN54" s="6"/>
      <c r="IPO54" s="6"/>
      <c r="IPP54" s="6"/>
      <c r="IPQ54" s="6"/>
      <c r="IPR54" s="6"/>
      <c r="IPS54" s="6"/>
      <c r="IPT54" s="6"/>
      <c r="IPU54" s="6"/>
      <c r="IPV54" s="6"/>
      <c r="IPW54" s="6"/>
      <c r="IPX54" s="6"/>
      <c r="IPY54" s="6"/>
      <c r="IPZ54" s="6"/>
      <c r="IQA54" s="6"/>
      <c r="IQB54" s="6"/>
      <c r="IQC54" s="6"/>
      <c r="IQD54" s="6"/>
      <c r="IQE54" s="6"/>
      <c r="IQF54" s="6"/>
      <c r="IQG54" s="6"/>
      <c r="IQH54" s="6"/>
      <c r="IQI54" s="6"/>
      <c r="IQJ54" s="6"/>
      <c r="IQK54" s="6"/>
      <c r="IQL54" s="6"/>
      <c r="IQM54" s="6"/>
      <c r="IQN54" s="6"/>
      <c r="IQO54" s="6"/>
      <c r="IQP54" s="6"/>
      <c r="IQQ54" s="6"/>
      <c r="IQR54" s="6"/>
      <c r="IQS54" s="6"/>
      <c r="IQT54" s="6"/>
      <c r="IQU54" s="6"/>
      <c r="IQV54" s="6"/>
      <c r="IQW54" s="6"/>
      <c r="IQX54" s="6"/>
      <c r="IQY54" s="6"/>
      <c r="IQZ54" s="6"/>
      <c r="IRA54" s="6"/>
      <c r="IRB54" s="6"/>
      <c r="IRC54" s="6"/>
      <c r="IRD54" s="6"/>
      <c r="IRE54" s="6"/>
      <c r="IRF54" s="6"/>
      <c r="IRG54" s="6"/>
      <c r="IRH54" s="6"/>
      <c r="IRI54" s="6"/>
      <c r="IRJ54" s="6"/>
      <c r="IRK54" s="6"/>
      <c r="IRL54" s="6"/>
      <c r="IRM54" s="6"/>
      <c r="IRN54" s="6"/>
      <c r="IRO54" s="6"/>
      <c r="IRP54" s="6"/>
      <c r="IRQ54" s="6"/>
      <c r="IRR54" s="6"/>
      <c r="IRS54" s="6"/>
      <c r="IRT54" s="6"/>
      <c r="IRU54" s="6"/>
      <c r="IRV54" s="6"/>
      <c r="IRW54" s="6"/>
      <c r="IRX54" s="6"/>
      <c r="IRY54" s="6"/>
      <c r="IRZ54" s="6"/>
      <c r="ISA54" s="6"/>
      <c r="ISB54" s="6"/>
      <c r="ISC54" s="6"/>
      <c r="ISD54" s="6"/>
      <c r="ISE54" s="6"/>
      <c r="ISF54" s="6"/>
      <c r="ISG54" s="6"/>
      <c r="ISH54" s="6"/>
      <c r="ISI54" s="6"/>
      <c r="ISJ54" s="6"/>
      <c r="ISK54" s="6"/>
      <c r="ISL54" s="6"/>
      <c r="ISM54" s="6"/>
      <c r="ISN54" s="6"/>
      <c r="ISO54" s="6"/>
      <c r="ISP54" s="6"/>
      <c r="ISQ54" s="6"/>
      <c r="ISR54" s="6"/>
      <c r="ISS54" s="6"/>
      <c r="IST54" s="6"/>
      <c r="ISU54" s="6"/>
      <c r="ISV54" s="6"/>
      <c r="ISW54" s="6"/>
      <c r="ISX54" s="6"/>
      <c r="ISY54" s="6"/>
      <c r="ISZ54" s="6"/>
      <c r="ITA54" s="6"/>
      <c r="ITB54" s="6"/>
      <c r="ITC54" s="6"/>
      <c r="ITD54" s="6"/>
      <c r="ITE54" s="6"/>
      <c r="ITF54" s="6"/>
      <c r="ITG54" s="6"/>
      <c r="ITH54" s="6"/>
      <c r="ITI54" s="6"/>
      <c r="ITJ54" s="6"/>
      <c r="ITK54" s="6"/>
      <c r="ITL54" s="6"/>
      <c r="ITM54" s="6"/>
      <c r="ITN54" s="6"/>
      <c r="ITO54" s="6"/>
      <c r="ITP54" s="6"/>
      <c r="ITQ54" s="6"/>
      <c r="ITR54" s="6"/>
      <c r="ITS54" s="6"/>
      <c r="ITT54" s="6"/>
      <c r="ITU54" s="6"/>
      <c r="ITV54" s="6"/>
      <c r="ITW54" s="6"/>
      <c r="ITX54" s="6"/>
      <c r="ITY54" s="6"/>
      <c r="ITZ54" s="6"/>
      <c r="IUA54" s="6"/>
      <c r="IUB54" s="6"/>
      <c r="IUC54" s="6"/>
      <c r="IUD54" s="6"/>
      <c r="IUE54" s="6"/>
      <c r="IUF54" s="6"/>
      <c r="IUG54" s="6"/>
      <c r="IUH54" s="6"/>
      <c r="IUI54" s="6"/>
      <c r="IUJ54" s="6"/>
      <c r="IUK54" s="6"/>
      <c r="IUL54" s="6"/>
      <c r="IUM54" s="6"/>
      <c r="IUN54" s="6"/>
      <c r="IUO54" s="6"/>
      <c r="IUP54" s="6"/>
      <c r="IUQ54" s="6"/>
      <c r="IUR54" s="6"/>
      <c r="IUS54" s="6"/>
      <c r="IUT54" s="6"/>
      <c r="IUU54" s="6"/>
      <c r="IUV54" s="6"/>
      <c r="IUW54" s="6"/>
      <c r="IUX54" s="6"/>
      <c r="IUY54" s="6"/>
      <c r="IUZ54" s="6"/>
      <c r="IVA54" s="6"/>
      <c r="IVB54" s="6"/>
      <c r="IVC54" s="6"/>
      <c r="IVD54" s="6"/>
      <c r="IVE54" s="6"/>
      <c r="IVF54" s="6"/>
      <c r="IVG54" s="6"/>
      <c r="IVH54" s="6"/>
      <c r="IVI54" s="6"/>
      <c r="IVJ54" s="6"/>
      <c r="IVK54" s="6"/>
      <c r="IVL54" s="6"/>
      <c r="IVM54" s="6"/>
      <c r="IVN54" s="6"/>
      <c r="IVO54" s="6"/>
      <c r="IVP54" s="6"/>
      <c r="IVQ54" s="6"/>
      <c r="IVR54" s="6"/>
      <c r="IVS54" s="6"/>
      <c r="IVT54" s="6"/>
      <c r="IVU54" s="6"/>
      <c r="IVV54" s="6"/>
      <c r="IVW54" s="6"/>
      <c r="IVX54" s="6"/>
      <c r="IVY54" s="6"/>
      <c r="IVZ54" s="6"/>
      <c r="IWA54" s="6"/>
      <c r="IWB54" s="6"/>
      <c r="IWC54" s="6"/>
      <c r="IWD54" s="6"/>
      <c r="IWE54" s="6"/>
      <c r="IWF54" s="6"/>
      <c r="IWG54" s="6"/>
      <c r="IWH54" s="6"/>
      <c r="IWI54" s="6"/>
      <c r="IWJ54" s="6"/>
      <c r="IWK54" s="6"/>
      <c r="IWL54" s="6"/>
      <c r="IWM54" s="6"/>
      <c r="IWN54" s="6"/>
      <c r="IWO54" s="6"/>
      <c r="IWP54" s="6"/>
      <c r="IWQ54" s="6"/>
      <c r="IWR54" s="6"/>
      <c r="IWS54" s="6"/>
      <c r="IWT54" s="6"/>
      <c r="IWU54" s="6"/>
      <c r="IWV54" s="6"/>
      <c r="IWW54" s="6"/>
      <c r="IWX54" s="6"/>
      <c r="IWY54" s="6"/>
      <c r="IWZ54" s="6"/>
      <c r="IXA54" s="6"/>
      <c r="IXB54" s="6"/>
      <c r="IXC54" s="6"/>
      <c r="IXD54" s="6"/>
      <c r="IXE54" s="6"/>
      <c r="IXF54" s="6"/>
      <c r="IXG54" s="6"/>
      <c r="IXH54" s="6"/>
      <c r="IXI54" s="6"/>
      <c r="IXJ54" s="6"/>
      <c r="IXK54" s="6"/>
      <c r="IXL54" s="6"/>
      <c r="IXM54" s="6"/>
      <c r="IXN54" s="6"/>
      <c r="IXO54" s="6"/>
      <c r="IXP54" s="6"/>
      <c r="IXQ54" s="6"/>
      <c r="IXR54" s="6"/>
      <c r="IXS54" s="6"/>
      <c r="IXT54" s="6"/>
      <c r="IXU54" s="6"/>
      <c r="IXV54" s="6"/>
      <c r="IXW54" s="6"/>
      <c r="IXX54" s="6"/>
      <c r="IXY54" s="6"/>
      <c r="IXZ54" s="6"/>
      <c r="IYA54" s="6"/>
      <c r="IYB54" s="6"/>
      <c r="IYC54" s="6"/>
      <c r="IYD54" s="6"/>
      <c r="IYE54" s="6"/>
      <c r="IYF54" s="6"/>
      <c r="IYG54" s="6"/>
      <c r="IYH54" s="6"/>
      <c r="IYI54" s="6"/>
      <c r="IYJ54" s="6"/>
      <c r="IYK54" s="6"/>
      <c r="IYL54" s="6"/>
      <c r="IYM54" s="6"/>
      <c r="IYN54" s="6"/>
      <c r="IYO54" s="6"/>
      <c r="IYP54" s="6"/>
      <c r="IYQ54" s="6"/>
      <c r="IYR54" s="6"/>
      <c r="IYS54" s="6"/>
      <c r="IYT54" s="6"/>
      <c r="IYU54" s="6"/>
      <c r="IYV54" s="6"/>
      <c r="IYW54" s="6"/>
      <c r="IYX54" s="6"/>
      <c r="IYY54" s="6"/>
      <c r="IYZ54" s="6"/>
      <c r="IZA54" s="6"/>
      <c r="IZB54" s="6"/>
      <c r="IZC54" s="6"/>
      <c r="IZD54" s="6"/>
      <c r="IZE54" s="6"/>
      <c r="IZF54" s="6"/>
      <c r="IZG54" s="6"/>
      <c r="IZH54" s="6"/>
      <c r="IZI54" s="6"/>
      <c r="IZJ54" s="6"/>
      <c r="IZK54" s="6"/>
      <c r="IZL54" s="6"/>
      <c r="IZM54" s="6"/>
      <c r="IZN54" s="6"/>
      <c r="IZO54" s="6"/>
      <c r="IZP54" s="6"/>
      <c r="IZQ54" s="6"/>
      <c r="IZR54" s="6"/>
      <c r="IZS54" s="6"/>
      <c r="IZT54" s="6"/>
      <c r="IZU54" s="6"/>
      <c r="IZV54" s="6"/>
      <c r="IZW54" s="6"/>
      <c r="IZX54" s="6"/>
      <c r="IZY54" s="6"/>
      <c r="IZZ54" s="6"/>
      <c r="JAA54" s="6"/>
      <c r="JAB54" s="6"/>
      <c r="JAC54" s="6"/>
      <c r="JAD54" s="6"/>
      <c r="JAE54" s="6"/>
      <c r="JAF54" s="6"/>
      <c r="JAG54" s="6"/>
      <c r="JAH54" s="6"/>
      <c r="JAI54" s="6"/>
      <c r="JAJ54" s="6"/>
      <c r="JAK54" s="6"/>
      <c r="JAL54" s="6"/>
      <c r="JAM54" s="6"/>
      <c r="JAN54" s="6"/>
      <c r="JAO54" s="6"/>
      <c r="JAP54" s="6"/>
      <c r="JAQ54" s="6"/>
      <c r="JAR54" s="6"/>
      <c r="JAS54" s="6"/>
      <c r="JAT54" s="6"/>
      <c r="JAU54" s="6"/>
      <c r="JAV54" s="6"/>
      <c r="JAW54" s="6"/>
      <c r="JAX54" s="6"/>
      <c r="JAY54" s="6"/>
      <c r="JAZ54" s="6"/>
      <c r="JBA54" s="6"/>
      <c r="JBB54" s="6"/>
      <c r="JBC54" s="6"/>
      <c r="JBD54" s="6"/>
      <c r="JBE54" s="6"/>
      <c r="JBF54" s="6"/>
      <c r="JBG54" s="6"/>
      <c r="JBH54" s="6"/>
      <c r="JBI54" s="6"/>
      <c r="JBJ54" s="6"/>
      <c r="JBK54" s="6"/>
      <c r="JBL54" s="6"/>
      <c r="JBM54" s="6"/>
      <c r="JBN54" s="6"/>
      <c r="JBO54" s="6"/>
      <c r="JBP54" s="6"/>
      <c r="JBQ54" s="6"/>
      <c r="JBR54" s="6"/>
      <c r="JBS54" s="6"/>
      <c r="JBT54" s="6"/>
      <c r="JBU54" s="6"/>
      <c r="JBV54" s="6"/>
      <c r="JBW54" s="6"/>
      <c r="JBX54" s="6"/>
      <c r="JBY54" s="6"/>
      <c r="JBZ54" s="6"/>
      <c r="JCA54" s="6"/>
      <c r="JCB54" s="6"/>
      <c r="JCC54" s="6"/>
      <c r="JCD54" s="6"/>
      <c r="JCE54" s="6"/>
      <c r="JCF54" s="6"/>
      <c r="JCG54" s="6"/>
      <c r="JCH54" s="6"/>
      <c r="JCI54" s="6"/>
      <c r="JCJ54" s="6"/>
      <c r="JCK54" s="6"/>
      <c r="JCL54" s="6"/>
      <c r="JCM54" s="6"/>
      <c r="JCN54" s="6"/>
      <c r="JCO54" s="6"/>
      <c r="JCP54" s="6"/>
      <c r="JCQ54" s="6"/>
      <c r="JCR54" s="6"/>
      <c r="JCS54" s="6"/>
      <c r="JCT54" s="6"/>
      <c r="JCU54" s="6"/>
      <c r="JCV54" s="6"/>
      <c r="JCW54" s="6"/>
      <c r="JCX54" s="6"/>
      <c r="JCY54" s="6"/>
      <c r="JCZ54" s="6"/>
      <c r="JDA54" s="6"/>
      <c r="JDB54" s="6"/>
      <c r="JDC54" s="6"/>
      <c r="JDD54" s="6"/>
      <c r="JDE54" s="6"/>
      <c r="JDF54" s="6"/>
      <c r="JDG54" s="6"/>
      <c r="JDH54" s="6"/>
      <c r="JDI54" s="6"/>
      <c r="JDJ54" s="6"/>
      <c r="JDK54" s="6"/>
      <c r="JDL54" s="6"/>
      <c r="JDM54" s="6"/>
      <c r="JDN54" s="6"/>
      <c r="JDO54" s="6"/>
      <c r="JDP54" s="6"/>
      <c r="JDQ54" s="6"/>
      <c r="JDR54" s="6"/>
      <c r="JDS54" s="6"/>
      <c r="JDT54" s="6"/>
      <c r="JDU54" s="6"/>
      <c r="JDV54" s="6"/>
      <c r="JDW54" s="6"/>
      <c r="JDX54" s="6"/>
      <c r="JDY54" s="6"/>
      <c r="JDZ54" s="6"/>
      <c r="JEA54" s="6"/>
      <c r="JEB54" s="6"/>
      <c r="JEC54" s="6"/>
      <c r="JED54" s="6"/>
      <c r="JEE54" s="6"/>
      <c r="JEF54" s="6"/>
      <c r="JEG54" s="6"/>
      <c r="JEH54" s="6"/>
      <c r="JEI54" s="6"/>
      <c r="JEJ54" s="6"/>
      <c r="JEK54" s="6"/>
      <c r="JEL54" s="6"/>
      <c r="JEM54" s="6"/>
      <c r="JEN54" s="6"/>
      <c r="JEO54" s="6"/>
      <c r="JEP54" s="6"/>
      <c r="JEQ54" s="6"/>
      <c r="JER54" s="6"/>
      <c r="JES54" s="6"/>
      <c r="JET54" s="6"/>
      <c r="JEU54" s="6"/>
      <c r="JEV54" s="6"/>
      <c r="JEW54" s="6"/>
      <c r="JEX54" s="6"/>
      <c r="JEY54" s="6"/>
      <c r="JEZ54" s="6"/>
      <c r="JFA54" s="6"/>
      <c r="JFB54" s="6"/>
      <c r="JFC54" s="6"/>
      <c r="JFD54" s="6"/>
      <c r="JFE54" s="6"/>
      <c r="JFF54" s="6"/>
      <c r="JFG54" s="6"/>
      <c r="JFH54" s="6"/>
      <c r="JFI54" s="6"/>
      <c r="JFJ54" s="6"/>
      <c r="JFK54" s="6"/>
      <c r="JFL54" s="6"/>
      <c r="JFM54" s="6"/>
      <c r="JFN54" s="6"/>
      <c r="JFO54" s="6"/>
      <c r="JFP54" s="6"/>
      <c r="JFQ54" s="6"/>
      <c r="JFR54" s="6"/>
      <c r="JFS54" s="6"/>
      <c r="JFT54" s="6"/>
      <c r="JFU54" s="6"/>
      <c r="JFV54" s="6"/>
      <c r="JFW54" s="6"/>
      <c r="JFX54" s="6"/>
      <c r="JFY54" s="6"/>
      <c r="JFZ54" s="6"/>
      <c r="JGA54" s="6"/>
      <c r="JGB54" s="6"/>
      <c r="JGC54" s="6"/>
      <c r="JGD54" s="6"/>
      <c r="JGE54" s="6"/>
      <c r="JGF54" s="6"/>
      <c r="JGG54" s="6"/>
      <c r="JGH54" s="6"/>
      <c r="JGI54" s="6"/>
      <c r="JGJ54" s="6"/>
      <c r="JGK54" s="6"/>
      <c r="JGL54" s="6"/>
      <c r="JGM54" s="6"/>
      <c r="JGN54" s="6"/>
      <c r="JGO54" s="6"/>
      <c r="JGP54" s="6"/>
      <c r="JGQ54" s="6"/>
      <c r="JGR54" s="6"/>
      <c r="JGS54" s="6"/>
      <c r="JGT54" s="6"/>
      <c r="JGU54" s="6"/>
      <c r="JGV54" s="6"/>
      <c r="JGW54" s="6"/>
      <c r="JGX54" s="6"/>
      <c r="JGY54" s="6"/>
      <c r="JGZ54" s="6"/>
      <c r="JHA54" s="6"/>
      <c r="JHB54" s="6"/>
      <c r="JHC54" s="6"/>
      <c r="JHD54" s="6"/>
      <c r="JHE54" s="6"/>
      <c r="JHF54" s="6"/>
      <c r="JHG54" s="6"/>
      <c r="JHH54" s="6"/>
      <c r="JHI54" s="6"/>
      <c r="JHJ54" s="6"/>
      <c r="JHK54" s="6"/>
      <c r="JHL54" s="6"/>
      <c r="JHM54" s="6"/>
      <c r="JHN54" s="6"/>
      <c r="JHO54" s="6"/>
      <c r="JHP54" s="6"/>
      <c r="JHQ54" s="6"/>
      <c r="JHR54" s="6"/>
      <c r="JHS54" s="6"/>
      <c r="JHT54" s="6"/>
      <c r="JHU54" s="6"/>
      <c r="JHV54" s="6"/>
      <c r="JHW54" s="6"/>
      <c r="JHX54" s="6"/>
      <c r="JHY54" s="6"/>
      <c r="JHZ54" s="6"/>
      <c r="JIA54" s="6"/>
      <c r="JIB54" s="6"/>
      <c r="JIC54" s="6"/>
      <c r="JID54" s="6"/>
      <c r="JIE54" s="6"/>
      <c r="JIF54" s="6"/>
      <c r="JIG54" s="6"/>
      <c r="JIH54" s="6"/>
      <c r="JII54" s="6"/>
      <c r="JIJ54" s="6"/>
      <c r="JIK54" s="6"/>
      <c r="JIL54" s="6"/>
      <c r="JIM54" s="6"/>
      <c r="JIN54" s="6"/>
      <c r="JIO54" s="6"/>
      <c r="JIP54" s="6"/>
      <c r="JIQ54" s="6"/>
      <c r="JIR54" s="6"/>
      <c r="JIS54" s="6"/>
      <c r="JIT54" s="6"/>
      <c r="JIU54" s="6"/>
      <c r="JIV54" s="6"/>
      <c r="JIW54" s="6"/>
      <c r="JIX54" s="6"/>
      <c r="JIY54" s="6"/>
      <c r="JIZ54" s="6"/>
      <c r="JJA54" s="6"/>
      <c r="JJB54" s="6"/>
      <c r="JJC54" s="6"/>
      <c r="JJD54" s="6"/>
      <c r="JJE54" s="6"/>
      <c r="JJF54" s="6"/>
      <c r="JJG54" s="6"/>
      <c r="JJH54" s="6"/>
      <c r="JJI54" s="6"/>
      <c r="JJJ54" s="6"/>
      <c r="JJK54" s="6"/>
      <c r="JJL54" s="6"/>
      <c r="JJM54" s="6"/>
      <c r="JJN54" s="6"/>
      <c r="JJO54" s="6"/>
      <c r="JJP54" s="6"/>
      <c r="JJQ54" s="6"/>
      <c r="JJR54" s="6"/>
      <c r="JJS54" s="6"/>
      <c r="JJT54" s="6"/>
      <c r="JJU54" s="6"/>
      <c r="JJV54" s="6"/>
      <c r="JJW54" s="6"/>
      <c r="JJX54" s="6"/>
      <c r="JJY54" s="6"/>
      <c r="JJZ54" s="6"/>
      <c r="JKA54" s="6"/>
      <c r="JKB54" s="6"/>
      <c r="JKC54" s="6"/>
      <c r="JKD54" s="6"/>
      <c r="JKE54" s="6"/>
      <c r="JKF54" s="6"/>
      <c r="JKG54" s="6"/>
      <c r="JKH54" s="6"/>
      <c r="JKI54" s="6"/>
      <c r="JKJ54" s="6"/>
      <c r="JKK54" s="6"/>
      <c r="JKL54" s="6"/>
      <c r="JKM54" s="6"/>
      <c r="JKN54" s="6"/>
      <c r="JKO54" s="6"/>
      <c r="JKP54" s="6"/>
      <c r="JKQ54" s="6"/>
      <c r="JKR54" s="6"/>
      <c r="JKS54" s="6"/>
      <c r="JKT54" s="6"/>
      <c r="JKU54" s="6"/>
      <c r="JKV54" s="6"/>
      <c r="JKW54" s="6"/>
      <c r="JKX54" s="6"/>
      <c r="JKY54" s="6"/>
      <c r="JKZ54" s="6"/>
      <c r="JLA54" s="6"/>
      <c r="JLB54" s="6"/>
      <c r="JLC54" s="6"/>
      <c r="JLD54" s="6"/>
      <c r="JLE54" s="6"/>
      <c r="JLF54" s="6"/>
      <c r="JLG54" s="6"/>
      <c r="JLH54" s="6"/>
      <c r="JLI54" s="6"/>
      <c r="JLJ54" s="6"/>
      <c r="JLK54" s="6"/>
      <c r="JLL54" s="6"/>
      <c r="JLM54" s="6"/>
      <c r="JLN54" s="6"/>
      <c r="JLO54" s="6"/>
      <c r="JLP54" s="6"/>
      <c r="JLQ54" s="6"/>
      <c r="JLR54" s="6"/>
      <c r="JLS54" s="6"/>
      <c r="JLT54" s="6"/>
      <c r="JLU54" s="6"/>
      <c r="JLV54" s="6"/>
      <c r="JLW54" s="6"/>
      <c r="JLX54" s="6"/>
      <c r="JLY54" s="6"/>
      <c r="JLZ54" s="6"/>
      <c r="JMA54" s="6"/>
      <c r="JMB54" s="6"/>
      <c r="JMC54" s="6"/>
      <c r="JMD54" s="6"/>
      <c r="JME54" s="6"/>
      <c r="JMF54" s="6"/>
      <c r="JMG54" s="6"/>
      <c r="JMH54" s="6"/>
      <c r="JMI54" s="6"/>
      <c r="JMJ54" s="6"/>
      <c r="JMK54" s="6"/>
      <c r="JML54" s="6"/>
      <c r="JMM54" s="6"/>
      <c r="JMN54" s="6"/>
      <c r="JMO54" s="6"/>
      <c r="JMP54" s="6"/>
      <c r="JMQ54" s="6"/>
      <c r="JMR54" s="6"/>
      <c r="JMS54" s="6"/>
      <c r="JMT54" s="6"/>
      <c r="JMU54" s="6"/>
      <c r="JMV54" s="6"/>
      <c r="JMW54" s="6"/>
      <c r="JMX54" s="6"/>
      <c r="JMY54" s="6"/>
      <c r="JMZ54" s="6"/>
      <c r="JNA54" s="6"/>
      <c r="JNB54" s="6"/>
      <c r="JNC54" s="6"/>
      <c r="JND54" s="6"/>
      <c r="JNE54" s="6"/>
      <c r="JNF54" s="6"/>
      <c r="JNG54" s="6"/>
      <c r="JNH54" s="6"/>
      <c r="JNI54" s="6"/>
      <c r="JNJ54" s="6"/>
      <c r="JNK54" s="6"/>
      <c r="JNL54" s="6"/>
      <c r="JNM54" s="6"/>
      <c r="JNN54" s="6"/>
      <c r="JNO54" s="6"/>
      <c r="JNP54" s="6"/>
      <c r="JNQ54" s="6"/>
      <c r="JNR54" s="6"/>
      <c r="JNS54" s="6"/>
      <c r="JNT54" s="6"/>
      <c r="JNU54" s="6"/>
      <c r="JNV54" s="6"/>
      <c r="JNW54" s="6"/>
      <c r="JNX54" s="6"/>
      <c r="JNY54" s="6"/>
      <c r="JNZ54" s="6"/>
      <c r="JOA54" s="6"/>
      <c r="JOB54" s="6"/>
      <c r="JOC54" s="6"/>
      <c r="JOD54" s="6"/>
      <c r="JOE54" s="6"/>
      <c r="JOF54" s="6"/>
      <c r="JOG54" s="6"/>
      <c r="JOH54" s="6"/>
      <c r="JOI54" s="6"/>
      <c r="JOJ54" s="6"/>
      <c r="JOK54" s="6"/>
      <c r="JOL54" s="6"/>
      <c r="JOM54" s="6"/>
      <c r="JON54" s="6"/>
      <c r="JOO54" s="6"/>
      <c r="JOP54" s="6"/>
      <c r="JOQ54" s="6"/>
      <c r="JOR54" s="6"/>
      <c r="JOS54" s="6"/>
      <c r="JOT54" s="6"/>
      <c r="JOU54" s="6"/>
      <c r="JOV54" s="6"/>
      <c r="JOW54" s="6"/>
      <c r="JOX54" s="6"/>
      <c r="JOY54" s="6"/>
      <c r="JOZ54" s="6"/>
      <c r="JPA54" s="6"/>
      <c r="JPB54" s="6"/>
      <c r="JPC54" s="6"/>
      <c r="JPD54" s="6"/>
      <c r="JPE54" s="6"/>
      <c r="JPF54" s="6"/>
      <c r="JPG54" s="6"/>
      <c r="JPH54" s="6"/>
      <c r="JPI54" s="6"/>
      <c r="JPJ54" s="6"/>
      <c r="JPK54" s="6"/>
      <c r="JPL54" s="6"/>
      <c r="JPM54" s="6"/>
      <c r="JPN54" s="6"/>
      <c r="JPO54" s="6"/>
      <c r="JPP54" s="6"/>
      <c r="JPQ54" s="6"/>
      <c r="JPR54" s="6"/>
      <c r="JPS54" s="6"/>
      <c r="JPT54" s="6"/>
      <c r="JPU54" s="6"/>
      <c r="JPV54" s="6"/>
      <c r="JPW54" s="6"/>
      <c r="JPX54" s="6"/>
      <c r="JPY54" s="6"/>
      <c r="JPZ54" s="6"/>
      <c r="JQA54" s="6"/>
      <c r="JQB54" s="6"/>
      <c r="JQC54" s="6"/>
      <c r="JQD54" s="6"/>
      <c r="JQE54" s="6"/>
      <c r="JQF54" s="6"/>
      <c r="JQG54" s="6"/>
      <c r="JQH54" s="6"/>
      <c r="JQI54" s="6"/>
      <c r="JQJ54" s="6"/>
      <c r="JQK54" s="6"/>
      <c r="JQL54" s="6"/>
      <c r="JQM54" s="6"/>
      <c r="JQN54" s="6"/>
      <c r="JQO54" s="6"/>
      <c r="JQP54" s="6"/>
      <c r="JQQ54" s="6"/>
      <c r="JQR54" s="6"/>
      <c r="JQS54" s="6"/>
      <c r="JQT54" s="6"/>
      <c r="JQU54" s="6"/>
      <c r="JQV54" s="6"/>
      <c r="JQW54" s="6"/>
      <c r="JQX54" s="6"/>
      <c r="JQY54" s="6"/>
      <c r="JQZ54" s="6"/>
      <c r="JRA54" s="6"/>
      <c r="JRB54" s="6"/>
      <c r="JRC54" s="6"/>
      <c r="JRD54" s="6"/>
      <c r="JRE54" s="6"/>
      <c r="JRF54" s="6"/>
      <c r="JRG54" s="6"/>
      <c r="JRH54" s="6"/>
      <c r="JRI54" s="6"/>
      <c r="JRJ54" s="6"/>
      <c r="JRK54" s="6"/>
      <c r="JRL54" s="6"/>
      <c r="JRM54" s="6"/>
      <c r="JRN54" s="6"/>
      <c r="JRO54" s="6"/>
      <c r="JRP54" s="6"/>
      <c r="JRQ54" s="6"/>
      <c r="JRR54" s="6"/>
      <c r="JRS54" s="6"/>
      <c r="JRT54" s="6"/>
      <c r="JRU54" s="6"/>
      <c r="JRV54" s="6"/>
      <c r="JRW54" s="6"/>
      <c r="JRX54" s="6"/>
      <c r="JRY54" s="6"/>
      <c r="JRZ54" s="6"/>
      <c r="JSA54" s="6"/>
      <c r="JSB54" s="6"/>
      <c r="JSC54" s="6"/>
      <c r="JSD54" s="6"/>
      <c r="JSE54" s="6"/>
      <c r="JSF54" s="6"/>
      <c r="JSG54" s="6"/>
      <c r="JSH54" s="6"/>
      <c r="JSI54" s="6"/>
      <c r="JSJ54" s="6"/>
      <c r="JSK54" s="6"/>
      <c r="JSL54" s="6"/>
      <c r="JSM54" s="6"/>
      <c r="JSN54" s="6"/>
      <c r="JSO54" s="6"/>
      <c r="JSP54" s="6"/>
      <c r="JSQ54" s="6"/>
      <c r="JSR54" s="6"/>
      <c r="JSS54" s="6"/>
      <c r="JST54" s="6"/>
      <c r="JSU54" s="6"/>
      <c r="JSV54" s="6"/>
      <c r="JSW54" s="6"/>
      <c r="JSX54" s="6"/>
      <c r="JSY54" s="6"/>
      <c r="JSZ54" s="6"/>
      <c r="JTA54" s="6"/>
      <c r="JTB54" s="6"/>
      <c r="JTC54" s="6"/>
      <c r="JTD54" s="6"/>
      <c r="JTE54" s="6"/>
      <c r="JTF54" s="6"/>
      <c r="JTG54" s="6"/>
      <c r="JTH54" s="6"/>
      <c r="JTI54" s="6"/>
      <c r="JTJ54" s="6"/>
      <c r="JTK54" s="6"/>
      <c r="JTL54" s="6"/>
      <c r="JTM54" s="6"/>
      <c r="JTN54" s="6"/>
      <c r="JTO54" s="6"/>
      <c r="JTP54" s="6"/>
      <c r="JTQ54" s="6"/>
      <c r="JTR54" s="6"/>
      <c r="JTS54" s="6"/>
      <c r="JTT54" s="6"/>
      <c r="JTU54" s="6"/>
      <c r="JTV54" s="6"/>
      <c r="JTW54" s="6"/>
      <c r="JTX54" s="6"/>
      <c r="JTY54" s="6"/>
      <c r="JTZ54" s="6"/>
      <c r="JUA54" s="6"/>
      <c r="JUB54" s="6"/>
      <c r="JUC54" s="6"/>
      <c r="JUD54" s="6"/>
      <c r="JUE54" s="6"/>
      <c r="JUF54" s="6"/>
      <c r="JUG54" s="6"/>
      <c r="JUH54" s="6"/>
      <c r="JUI54" s="6"/>
      <c r="JUJ54" s="6"/>
      <c r="JUK54" s="6"/>
      <c r="JUL54" s="6"/>
      <c r="JUM54" s="6"/>
      <c r="JUN54" s="6"/>
      <c r="JUO54" s="6"/>
      <c r="JUP54" s="6"/>
      <c r="JUQ54" s="6"/>
      <c r="JUR54" s="6"/>
      <c r="JUS54" s="6"/>
      <c r="JUT54" s="6"/>
      <c r="JUU54" s="6"/>
      <c r="JUV54" s="6"/>
      <c r="JUW54" s="6"/>
      <c r="JUX54" s="6"/>
      <c r="JUY54" s="6"/>
      <c r="JUZ54" s="6"/>
      <c r="JVA54" s="6"/>
      <c r="JVB54" s="6"/>
      <c r="JVC54" s="6"/>
      <c r="JVD54" s="6"/>
      <c r="JVE54" s="6"/>
      <c r="JVF54" s="6"/>
      <c r="JVG54" s="6"/>
      <c r="JVH54" s="6"/>
      <c r="JVI54" s="6"/>
      <c r="JVJ54" s="6"/>
      <c r="JVK54" s="6"/>
      <c r="JVL54" s="6"/>
      <c r="JVM54" s="6"/>
      <c r="JVN54" s="6"/>
      <c r="JVO54" s="6"/>
      <c r="JVP54" s="6"/>
      <c r="JVQ54" s="6"/>
      <c r="JVR54" s="6"/>
      <c r="JVS54" s="6"/>
      <c r="JVT54" s="6"/>
      <c r="JVU54" s="6"/>
      <c r="JVV54" s="6"/>
      <c r="JVW54" s="6"/>
      <c r="JVX54" s="6"/>
      <c r="JVY54" s="6"/>
      <c r="JVZ54" s="6"/>
      <c r="JWA54" s="6"/>
      <c r="JWB54" s="6"/>
      <c r="JWC54" s="6"/>
      <c r="JWD54" s="6"/>
      <c r="JWE54" s="6"/>
      <c r="JWF54" s="6"/>
      <c r="JWG54" s="6"/>
      <c r="JWH54" s="6"/>
      <c r="JWI54" s="6"/>
      <c r="JWJ54" s="6"/>
      <c r="JWK54" s="6"/>
      <c r="JWL54" s="6"/>
      <c r="JWM54" s="6"/>
      <c r="JWN54" s="6"/>
      <c r="JWO54" s="6"/>
      <c r="JWP54" s="6"/>
      <c r="JWQ54" s="6"/>
      <c r="JWR54" s="6"/>
      <c r="JWS54" s="6"/>
      <c r="JWT54" s="6"/>
      <c r="JWU54" s="6"/>
      <c r="JWV54" s="6"/>
      <c r="JWW54" s="6"/>
      <c r="JWX54" s="6"/>
      <c r="JWY54" s="6"/>
      <c r="JWZ54" s="6"/>
      <c r="JXA54" s="6"/>
      <c r="JXB54" s="6"/>
      <c r="JXC54" s="6"/>
      <c r="JXD54" s="6"/>
      <c r="JXE54" s="6"/>
      <c r="JXF54" s="6"/>
      <c r="JXG54" s="6"/>
      <c r="JXH54" s="6"/>
      <c r="JXI54" s="6"/>
      <c r="JXJ54" s="6"/>
      <c r="JXK54" s="6"/>
      <c r="JXL54" s="6"/>
      <c r="JXM54" s="6"/>
      <c r="JXN54" s="6"/>
      <c r="JXO54" s="6"/>
      <c r="JXP54" s="6"/>
      <c r="JXQ54" s="6"/>
      <c r="JXR54" s="6"/>
      <c r="JXS54" s="6"/>
      <c r="JXT54" s="6"/>
      <c r="JXU54" s="6"/>
      <c r="JXV54" s="6"/>
      <c r="JXW54" s="6"/>
      <c r="JXX54" s="6"/>
      <c r="JXY54" s="6"/>
      <c r="JXZ54" s="6"/>
      <c r="JYA54" s="6"/>
      <c r="JYB54" s="6"/>
      <c r="JYC54" s="6"/>
      <c r="JYD54" s="6"/>
      <c r="JYE54" s="6"/>
      <c r="JYF54" s="6"/>
      <c r="JYG54" s="6"/>
      <c r="JYH54" s="6"/>
      <c r="JYI54" s="6"/>
      <c r="JYJ54" s="6"/>
      <c r="JYK54" s="6"/>
      <c r="JYL54" s="6"/>
      <c r="JYM54" s="6"/>
      <c r="JYN54" s="6"/>
      <c r="JYO54" s="6"/>
      <c r="JYP54" s="6"/>
      <c r="JYQ54" s="6"/>
      <c r="JYR54" s="6"/>
      <c r="JYS54" s="6"/>
      <c r="JYT54" s="6"/>
      <c r="JYU54" s="6"/>
      <c r="JYV54" s="6"/>
      <c r="JYW54" s="6"/>
      <c r="JYX54" s="6"/>
      <c r="JYY54" s="6"/>
      <c r="JYZ54" s="6"/>
      <c r="JZA54" s="6"/>
      <c r="JZB54" s="6"/>
      <c r="JZC54" s="6"/>
      <c r="JZD54" s="6"/>
      <c r="JZE54" s="6"/>
      <c r="JZF54" s="6"/>
      <c r="JZG54" s="6"/>
      <c r="JZH54" s="6"/>
      <c r="JZI54" s="6"/>
      <c r="JZJ54" s="6"/>
      <c r="JZK54" s="6"/>
      <c r="JZL54" s="6"/>
      <c r="JZM54" s="6"/>
      <c r="JZN54" s="6"/>
      <c r="JZO54" s="6"/>
      <c r="JZP54" s="6"/>
      <c r="JZQ54" s="6"/>
      <c r="JZR54" s="6"/>
      <c r="JZS54" s="6"/>
      <c r="JZT54" s="6"/>
      <c r="JZU54" s="6"/>
      <c r="JZV54" s="6"/>
      <c r="JZW54" s="6"/>
      <c r="JZX54" s="6"/>
      <c r="JZY54" s="6"/>
      <c r="JZZ54" s="6"/>
      <c r="KAA54" s="6"/>
      <c r="KAB54" s="6"/>
      <c r="KAC54" s="6"/>
      <c r="KAD54" s="6"/>
      <c r="KAE54" s="6"/>
      <c r="KAF54" s="6"/>
      <c r="KAG54" s="6"/>
      <c r="KAH54" s="6"/>
      <c r="KAI54" s="6"/>
      <c r="KAJ54" s="6"/>
      <c r="KAK54" s="6"/>
      <c r="KAL54" s="6"/>
      <c r="KAM54" s="6"/>
      <c r="KAN54" s="6"/>
      <c r="KAO54" s="6"/>
      <c r="KAP54" s="6"/>
      <c r="KAQ54" s="6"/>
      <c r="KAR54" s="6"/>
      <c r="KAS54" s="6"/>
      <c r="KAT54" s="6"/>
      <c r="KAU54" s="6"/>
      <c r="KAV54" s="6"/>
      <c r="KAW54" s="6"/>
      <c r="KAX54" s="6"/>
      <c r="KAY54" s="6"/>
      <c r="KAZ54" s="6"/>
      <c r="KBA54" s="6"/>
      <c r="KBB54" s="6"/>
      <c r="KBC54" s="6"/>
      <c r="KBD54" s="6"/>
      <c r="KBE54" s="6"/>
      <c r="KBF54" s="6"/>
      <c r="KBG54" s="6"/>
      <c r="KBH54" s="6"/>
      <c r="KBI54" s="6"/>
      <c r="KBJ54" s="6"/>
      <c r="KBK54" s="6"/>
      <c r="KBL54" s="6"/>
      <c r="KBM54" s="6"/>
      <c r="KBN54" s="6"/>
      <c r="KBO54" s="6"/>
      <c r="KBP54" s="6"/>
      <c r="KBQ54" s="6"/>
      <c r="KBR54" s="6"/>
      <c r="KBS54" s="6"/>
      <c r="KBT54" s="6"/>
      <c r="KBU54" s="6"/>
      <c r="KBV54" s="6"/>
      <c r="KBW54" s="6"/>
      <c r="KBX54" s="6"/>
      <c r="KBY54" s="6"/>
      <c r="KBZ54" s="6"/>
      <c r="KCA54" s="6"/>
      <c r="KCB54" s="6"/>
      <c r="KCC54" s="6"/>
      <c r="KCD54" s="6"/>
      <c r="KCE54" s="6"/>
      <c r="KCF54" s="6"/>
      <c r="KCG54" s="6"/>
      <c r="KCH54" s="6"/>
      <c r="KCI54" s="6"/>
      <c r="KCJ54" s="6"/>
      <c r="KCK54" s="6"/>
      <c r="KCL54" s="6"/>
      <c r="KCM54" s="6"/>
      <c r="KCN54" s="6"/>
      <c r="KCO54" s="6"/>
      <c r="KCP54" s="6"/>
      <c r="KCQ54" s="6"/>
      <c r="KCR54" s="6"/>
      <c r="KCS54" s="6"/>
      <c r="KCT54" s="6"/>
      <c r="KCU54" s="6"/>
      <c r="KCV54" s="6"/>
      <c r="KCW54" s="6"/>
      <c r="KCX54" s="6"/>
      <c r="KCY54" s="6"/>
      <c r="KCZ54" s="6"/>
      <c r="KDA54" s="6"/>
      <c r="KDB54" s="6"/>
      <c r="KDC54" s="6"/>
      <c r="KDD54" s="6"/>
      <c r="KDE54" s="6"/>
      <c r="KDF54" s="6"/>
      <c r="KDG54" s="6"/>
      <c r="KDH54" s="6"/>
      <c r="KDI54" s="6"/>
      <c r="KDJ54" s="6"/>
      <c r="KDK54" s="6"/>
      <c r="KDL54" s="6"/>
      <c r="KDM54" s="6"/>
      <c r="KDN54" s="6"/>
      <c r="KDO54" s="6"/>
      <c r="KDP54" s="6"/>
      <c r="KDQ54" s="6"/>
      <c r="KDR54" s="6"/>
      <c r="KDS54" s="6"/>
      <c r="KDT54" s="6"/>
      <c r="KDU54" s="6"/>
      <c r="KDV54" s="6"/>
      <c r="KDW54" s="6"/>
      <c r="KDX54" s="6"/>
      <c r="KDY54" s="6"/>
      <c r="KDZ54" s="6"/>
      <c r="KEA54" s="6"/>
      <c r="KEB54" s="6"/>
      <c r="KEC54" s="6"/>
      <c r="KED54" s="6"/>
      <c r="KEE54" s="6"/>
      <c r="KEF54" s="6"/>
      <c r="KEG54" s="6"/>
      <c r="KEH54" s="6"/>
      <c r="KEI54" s="6"/>
      <c r="KEJ54" s="6"/>
      <c r="KEK54" s="6"/>
      <c r="KEL54" s="6"/>
      <c r="KEM54" s="6"/>
      <c r="KEN54" s="6"/>
      <c r="KEO54" s="6"/>
      <c r="KEP54" s="6"/>
      <c r="KEQ54" s="6"/>
      <c r="KER54" s="6"/>
      <c r="KES54" s="6"/>
      <c r="KET54" s="6"/>
      <c r="KEU54" s="6"/>
      <c r="KEV54" s="6"/>
      <c r="KEW54" s="6"/>
      <c r="KEX54" s="6"/>
      <c r="KEY54" s="6"/>
      <c r="KEZ54" s="6"/>
      <c r="KFA54" s="6"/>
      <c r="KFB54" s="6"/>
      <c r="KFC54" s="6"/>
      <c r="KFD54" s="6"/>
      <c r="KFE54" s="6"/>
      <c r="KFF54" s="6"/>
      <c r="KFG54" s="6"/>
      <c r="KFH54" s="6"/>
      <c r="KFI54" s="6"/>
      <c r="KFJ54" s="6"/>
      <c r="KFK54" s="6"/>
      <c r="KFL54" s="6"/>
      <c r="KFM54" s="6"/>
      <c r="KFN54" s="6"/>
      <c r="KFO54" s="6"/>
      <c r="KFP54" s="6"/>
      <c r="KFQ54" s="6"/>
      <c r="KFR54" s="6"/>
      <c r="KFS54" s="6"/>
      <c r="KFT54" s="6"/>
      <c r="KFU54" s="6"/>
      <c r="KFV54" s="6"/>
      <c r="KFW54" s="6"/>
      <c r="KFX54" s="6"/>
      <c r="KFY54" s="6"/>
      <c r="KFZ54" s="6"/>
      <c r="KGA54" s="6"/>
      <c r="KGB54" s="6"/>
      <c r="KGC54" s="6"/>
      <c r="KGD54" s="6"/>
      <c r="KGE54" s="6"/>
      <c r="KGF54" s="6"/>
      <c r="KGG54" s="6"/>
      <c r="KGH54" s="6"/>
      <c r="KGI54" s="6"/>
      <c r="KGJ54" s="6"/>
      <c r="KGK54" s="6"/>
      <c r="KGL54" s="6"/>
      <c r="KGM54" s="6"/>
      <c r="KGN54" s="6"/>
      <c r="KGO54" s="6"/>
      <c r="KGP54" s="6"/>
      <c r="KGQ54" s="6"/>
      <c r="KGR54" s="6"/>
      <c r="KGS54" s="6"/>
      <c r="KGT54" s="6"/>
      <c r="KGU54" s="6"/>
      <c r="KGV54" s="6"/>
      <c r="KGW54" s="6"/>
      <c r="KGX54" s="6"/>
      <c r="KGY54" s="6"/>
      <c r="KGZ54" s="6"/>
      <c r="KHA54" s="6"/>
      <c r="KHB54" s="6"/>
      <c r="KHC54" s="6"/>
      <c r="KHD54" s="6"/>
      <c r="KHE54" s="6"/>
      <c r="KHF54" s="6"/>
      <c r="KHG54" s="6"/>
      <c r="KHH54" s="6"/>
      <c r="KHI54" s="6"/>
      <c r="KHJ54" s="6"/>
      <c r="KHK54" s="6"/>
      <c r="KHL54" s="6"/>
      <c r="KHM54" s="6"/>
      <c r="KHN54" s="6"/>
      <c r="KHO54" s="6"/>
      <c r="KHP54" s="6"/>
      <c r="KHQ54" s="6"/>
      <c r="KHR54" s="6"/>
      <c r="KHS54" s="6"/>
      <c r="KHT54" s="6"/>
      <c r="KHU54" s="6"/>
      <c r="KHV54" s="6"/>
      <c r="KHW54" s="6"/>
      <c r="KHX54" s="6"/>
      <c r="KHY54" s="6"/>
      <c r="KHZ54" s="6"/>
      <c r="KIA54" s="6"/>
      <c r="KIB54" s="6"/>
      <c r="KIC54" s="6"/>
      <c r="KID54" s="6"/>
      <c r="KIE54" s="6"/>
      <c r="KIF54" s="6"/>
      <c r="KIG54" s="6"/>
      <c r="KIH54" s="6"/>
      <c r="KII54" s="6"/>
      <c r="KIJ54" s="6"/>
      <c r="KIK54" s="6"/>
      <c r="KIL54" s="6"/>
      <c r="KIM54" s="6"/>
      <c r="KIN54" s="6"/>
      <c r="KIO54" s="6"/>
      <c r="KIP54" s="6"/>
      <c r="KIQ54" s="6"/>
      <c r="KIR54" s="6"/>
      <c r="KIS54" s="6"/>
      <c r="KIT54" s="6"/>
      <c r="KIU54" s="6"/>
      <c r="KIV54" s="6"/>
      <c r="KIW54" s="6"/>
      <c r="KIX54" s="6"/>
      <c r="KIY54" s="6"/>
      <c r="KIZ54" s="6"/>
      <c r="KJA54" s="6"/>
      <c r="KJB54" s="6"/>
      <c r="KJC54" s="6"/>
      <c r="KJD54" s="6"/>
      <c r="KJE54" s="6"/>
      <c r="KJF54" s="6"/>
      <c r="KJG54" s="6"/>
      <c r="KJH54" s="6"/>
      <c r="KJI54" s="6"/>
      <c r="KJJ54" s="6"/>
      <c r="KJK54" s="6"/>
      <c r="KJL54" s="6"/>
      <c r="KJM54" s="6"/>
      <c r="KJN54" s="6"/>
      <c r="KJO54" s="6"/>
      <c r="KJP54" s="6"/>
      <c r="KJQ54" s="6"/>
      <c r="KJR54" s="6"/>
      <c r="KJS54" s="6"/>
      <c r="KJT54" s="6"/>
      <c r="KJU54" s="6"/>
      <c r="KJV54" s="6"/>
      <c r="KJW54" s="6"/>
      <c r="KJX54" s="6"/>
      <c r="KJY54" s="6"/>
      <c r="KJZ54" s="6"/>
      <c r="KKA54" s="6"/>
      <c r="KKB54" s="6"/>
      <c r="KKC54" s="6"/>
      <c r="KKD54" s="6"/>
      <c r="KKE54" s="6"/>
      <c r="KKF54" s="6"/>
      <c r="KKG54" s="6"/>
      <c r="KKH54" s="6"/>
      <c r="KKI54" s="6"/>
      <c r="KKJ54" s="6"/>
      <c r="KKK54" s="6"/>
      <c r="KKL54" s="6"/>
      <c r="KKM54" s="6"/>
      <c r="KKN54" s="6"/>
      <c r="KKO54" s="6"/>
      <c r="KKP54" s="6"/>
      <c r="KKQ54" s="6"/>
      <c r="KKR54" s="6"/>
      <c r="KKS54" s="6"/>
      <c r="KKT54" s="6"/>
      <c r="KKU54" s="6"/>
      <c r="KKV54" s="6"/>
      <c r="KKW54" s="6"/>
      <c r="KKX54" s="6"/>
      <c r="KKY54" s="6"/>
      <c r="KKZ54" s="6"/>
      <c r="KLA54" s="6"/>
      <c r="KLB54" s="6"/>
      <c r="KLC54" s="6"/>
      <c r="KLD54" s="6"/>
      <c r="KLE54" s="6"/>
      <c r="KLF54" s="6"/>
      <c r="KLG54" s="6"/>
      <c r="KLH54" s="6"/>
      <c r="KLI54" s="6"/>
      <c r="KLJ54" s="6"/>
      <c r="KLK54" s="6"/>
      <c r="KLL54" s="6"/>
      <c r="KLM54" s="6"/>
      <c r="KLN54" s="6"/>
      <c r="KLO54" s="6"/>
      <c r="KLP54" s="6"/>
      <c r="KLQ54" s="6"/>
      <c r="KLR54" s="6"/>
      <c r="KLS54" s="6"/>
      <c r="KLT54" s="6"/>
      <c r="KLU54" s="6"/>
      <c r="KLV54" s="6"/>
      <c r="KLW54" s="6"/>
      <c r="KLX54" s="6"/>
      <c r="KLY54" s="6"/>
      <c r="KLZ54" s="6"/>
      <c r="KMA54" s="6"/>
      <c r="KMB54" s="6"/>
      <c r="KMC54" s="6"/>
      <c r="KMD54" s="6"/>
      <c r="KME54" s="6"/>
      <c r="KMF54" s="6"/>
      <c r="KMG54" s="6"/>
      <c r="KMH54" s="6"/>
      <c r="KMI54" s="6"/>
      <c r="KMJ54" s="6"/>
      <c r="KMK54" s="6"/>
      <c r="KML54" s="6"/>
      <c r="KMM54" s="6"/>
      <c r="KMN54" s="6"/>
      <c r="KMO54" s="6"/>
      <c r="KMP54" s="6"/>
      <c r="KMQ54" s="6"/>
      <c r="KMR54" s="6"/>
      <c r="KMS54" s="6"/>
      <c r="KMT54" s="6"/>
      <c r="KMU54" s="6"/>
      <c r="KMV54" s="6"/>
      <c r="KMW54" s="6"/>
      <c r="KMX54" s="6"/>
      <c r="KMY54" s="6"/>
      <c r="KMZ54" s="6"/>
      <c r="KNA54" s="6"/>
      <c r="KNB54" s="6"/>
      <c r="KNC54" s="6"/>
      <c r="KND54" s="6"/>
      <c r="KNE54" s="6"/>
      <c r="KNF54" s="6"/>
      <c r="KNG54" s="6"/>
      <c r="KNH54" s="6"/>
      <c r="KNI54" s="6"/>
      <c r="KNJ54" s="6"/>
      <c r="KNK54" s="6"/>
      <c r="KNL54" s="6"/>
      <c r="KNM54" s="6"/>
      <c r="KNN54" s="6"/>
      <c r="KNO54" s="6"/>
      <c r="KNP54" s="6"/>
      <c r="KNQ54" s="6"/>
      <c r="KNR54" s="6"/>
      <c r="KNS54" s="6"/>
      <c r="KNT54" s="6"/>
      <c r="KNU54" s="6"/>
      <c r="KNV54" s="6"/>
      <c r="KNW54" s="6"/>
      <c r="KNX54" s="6"/>
      <c r="KNY54" s="6"/>
      <c r="KNZ54" s="6"/>
      <c r="KOA54" s="6"/>
      <c r="KOB54" s="6"/>
      <c r="KOC54" s="6"/>
      <c r="KOD54" s="6"/>
      <c r="KOE54" s="6"/>
      <c r="KOF54" s="6"/>
      <c r="KOG54" s="6"/>
      <c r="KOH54" s="6"/>
      <c r="KOI54" s="6"/>
      <c r="KOJ54" s="6"/>
      <c r="KOK54" s="6"/>
      <c r="KOL54" s="6"/>
      <c r="KOM54" s="6"/>
      <c r="KON54" s="6"/>
      <c r="KOO54" s="6"/>
      <c r="KOP54" s="6"/>
      <c r="KOQ54" s="6"/>
      <c r="KOR54" s="6"/>
      <c r="KOS54" s="6"/>
      <c r="KOT54" s="6"/>
      <c r="KOU54" s="6"/>
      <c r="KOV54" s="6"/>
      <c r="KOW54" s="6"/>
      <c r="KOX54" s="6"/>
      <c r="KOY54" s="6"/>
      <c r="KOZ54" s="6"/>
      <c r="KPA54" s="6"/>
      <c r="KPB54" s="6"/>
      <c r="KPC54" s="6"/>
      <c r="KPD54" s="6"/>
      <c r="KPE54" s="6"/>
      <c r="KPF54" s="6"/>
      <c r="KPG54" s="6"/>
      <c r="KPH54" s="6"/>
      <c r="KPI54" s="6"/>
      <c r="KPJ54" s="6"/>
      <c r="KPK54" s="6"/>
      <c r="KPL54" s="6"/>
      <c r="KPM54" s="6"/>
      <c r="KPN54" s="6"/>
      <c r="KPO54" s="6"/>
      <c r="KPP54" s="6"/>
      <c r="KPQ54" s="6"/>
      <c r="KPR54" s="6"/>
      <c r="KPS54" s="6"/>
      <c r="KPT54" s="6"/>
      <c r="KPU54" s="6"/>
      <c r="KPV54" s="6"/>
      <c r="KPW54" s="6"/>
      <c r="KPX54" s="6"/>
      <c r="KPY54" s="6"/>
      <c r="KPZ54" s="6"/>
      <c r="KQA54" s="6"/>
      <c r="KQB54" s="6"/>
      <c r="KQC54" s="6"/>
      <c r="KQD54" s="6"/>
      <c r="KQE54" s="6"/>
      <c r="KQF54" s="6"/>
      <c r="KQG54" s="6"/>
      <c r="KQH54" s="6"/>
      <c r="KQI54" s="6"/>
      <c r="KQJ54" s="6"/>
      <c r="KQK54" s="6"/>
      <c r="KQL54" s="6"/>
      <c r="KQM54" s="6"/>
      <c r="KQN54" s="6"/>
      <c r="KQO54" s="6"/>
      <c r="KQP54" s="6"/>
      <c r="KQQ54" s="6"/>
      <c r="KQR54" s="6"/>
      <c r="KQS54" s="6"/>
      <c r="KQT54" s="6"/>
      <c r="KQU54" s="6"/>
      <c r="KQV54" s="6"/>
      <c r="KQW54" s="6"/>
      <c r="KQX54" s="6"/>
      <c r="KQY54" s="6"/>
      <c r="KQZ54" s="6"/>
      <c r="KRA54" s="6"/>
      <c r="KRB54" s="6"/>
      <c r="KRC54" s="6"/>
      <c r="KRD54" s="6"/>
      <c r="KRE54" s="6"/>
      <c r="KRF54" s="6"/>
      <c r="KRG54" s="6"/>
      <c r="KRH54" s="6"/>
      <c r="KRI54" s="6"/>
      <c r="KRJ54" s="6"/>
      <c r="KRK54" s="6"/>
      <c r="KRL54" s="6"/>
      <c r="KRM54" s="6"/>
      <c r="KRN54" s="6"/>
      <c r="KRO54" s="6"/>
      <c r="KRP54" s="6"/>
      <c r="KRQ54" s="6"/>
      <c r="KRR54" s="6"/>
      <c r="KRS54" s="6"/>
      <c r="KRT54" s="6"/>
      <c r="KRU54" s="6"/>
      <c r="KRV54" s="6"/>
      <c r="KRW54" s="6"/>
      <c r="KRX54" s="6"/>
      <c r="KRY54" s="6"/>
      <c r="KRZ54" s="6"/>
      <c r="KSA54" s="6"/>
      <c r="KSB54" s="6"/>
      <c r="KSC54" s="6"/>
      <c r="KSD54" s="6"/>
      <c r="KSE54" s="6"/>
      <c r="KSF54" s="6"/>
      <c r="KSG54" s="6"/>
      <c r="KSH54" s="6"/>
      <c r="KSI54" s="6"/>
      <c r="KSJ54" s="6"/>
      <c r="KSK54" s="6"/>
      <c r="KSL54" s="6"/>
      <c r="KSM54" s="6"/>
      <c r="KSN54" s="6"/>
      <c r="KSO54" s="6"/>
      <c r="KSP54" s="6"/>
      <c r="KSQ54" s="6"/>
      <c r="KSR54" s="6"/>
      <c r="KSS54" s="6"/>
      <c r="KST54" s="6"/>
      <c r="KSU54" s="6"/>
      <c r="KSV54" s="6"/>
      <c r="KSW54" s="6"/>
      <c r="KSX54" s="6"/>
      <c r="KSY54" s="6"/>
      <c r="KSZ54" s="6"/>
      <c r="KTA54" s="6"/>
      <c r="KTB54" s="6"/>
      <c r="KTC54" s="6"/>
      <c r="KTD54" s="6"/>
      <c r="KTE54" s="6"/>
      <c r="KTF54" s="6"/>
      <c r="KTG54" s="6"/>
      <c r="KTH54" s="6"/>
      <c r="KTI54" s="6"/>
      <c r="KTJ54" s="6"/>
      <c r="KTK54" s="6"/>
      <c r="KTL54" s="6"/>
      <c r="KTM54" s="6"/>
      <c r="KTN54" s="6"/>
      <c r="KTO54" s="6"/>
      <c r="KTP54" s="6"/>
      <c r="KTQ54" s="6"/>
      <c r="KTR54" s="6"/>
      <c r="KTS54" s="6"/>
      <c r="KTT54" s="6"/>
      <c r="KTU54" s="6"/>
      <c r="KTV54" s="6"/>
      <c r="KTW54" s="6"/>
      <c r="KTX54" s="6"/>
      <c r="KTY54" s="6"/>
      <c r="KTZ54" s="6"/>
      <c r="KUA54" s="6"/>
      <c r="KUB54" s="6"/>
      <c r="KUC54" s="6"/>
      <c r="KUD54" s="6"/>
      <c r="KUE54" s="6"/>
      <c r="KUF54" s="6"/>
      <c r="KUG54" s="6"/>
      <c r="KUH54" s="6"/>
      <c r="KUI54" s="6"/>
      <c r="KUJ54" s="6"/>
      <c r="KUK54" s="6"/>
      <c r="KUL54" s="6"/>
      <c r="KUM54" s="6"/>
      <c r="KUN54" s="6"/>
      <c r="KUO54" s="6"/>
      <c r="KUP54" s="6"/>
      <c r="KUQ54" s="6"/>
      <c r="KUR54" s="6"/>
      <c r="KUS54" s="6"/>
      <c r="KUT54" s="6"/>
      <c r="KUU54" s="6"/>
      <c r="KUV54" s="6"/>
      <c r="KUW54" s="6"/>
      <c r="KUX54" s="6"/>
      <c r="KUY54" s="6"/>
      <c r="KUZ54" s="6"/>
      <c r="KVA54" s="6"/>
      <c r="KVB54" s="6"/>
      <c r="KVC54" s="6"/>
      <c r="KVD54" s="6"/>
      <c r="KVE54" s="6"/>
      <c r="KVF54" s="6"/>
      <c r="KVG54" s="6"/>
      <c r="KVH54" s="6"/>
      <c r="KVI54" s="6"/>
      <c r="KVJ54" s="6"/>
      <c r="KVK54" s="6"/>
      <c r="KVL54" s="6"/>
      <c r="KVM54" s="6"/>
      <c r="KVN54" s="6"/>
      <c r="KVO54" s="6"/>
      <c r="KVP54" s="6"/>
      <c r="KVQ54" s="6"/>
      <c r="KVR54" s="6"/>
      <c r="KVS54" s="6"/>
      <c r="KVT54" s="6"/>
      <c r="KVU54" s="6"/>
      <c r="KVV54" s="6"/>
      <c r="KVW54" s="6"/>
      <c r="KVX54" s="6"/>
      <c r="KVY54" s="6"/>
      <c r="KVZ54" s="6"/>
      <c r="KWA54" s="6"/>
      <c r="KWB54" s="6"/>
      <c r="KWC54" s="6"/>
      <c r="KWD54" s="6"/>
      <c r="KWE54" s="6"/>
      <c r="KWF54" s="6"/>
      <c r="KWG54" s="6"/>
      <c r="KWH54" s="6"/>
      <c r="KWI54" s="6"/>
      <c r="KWJ54" s="6"/>
      <c r="KWK54" s="6"/>
      <c r="KWL54" s="6"/>
      <c r="KWM54" s="6"/>
      <c r="KWN54" s="6"/>
      <c r="KWO54" s="6"/>
      <c r="KWP54" s="6"/>
      <c r="KWQ54" s="6"/>
      <c r="KWR54" s="6"/>
      <c r="KWS54" s="6"/>
      <c r="KWT54" s="6"/>
      <c r="KWU54" s="6"/>
      <c r="KWV54" s="6"/>
      <c r="KWW54" s="6"/>
      <c r="KWX54" s="6"/>
      <c r="KWY54" s="6"/>
      <c r="KWZ54" s="6"/>
      <c r="KXA54" s="6"/>
      <c r="KXB54" s="6"/>
      <c r="KXC54" s="6"/>
      <c r="KXD54" s="6"/>
      <c r="KXE54" s="6"/>
      <c r="KXF54" s="6"/>
      <c r="KXG54" s="6"/>
      <c r="KXH54" s="6"/>
      <c r="KXI54" s="6"/>
      <c r="KXJ54" s="6"/>
      <c r="KXK54" s="6"/>
      <c r="KXL54" s="6"/>
      <c r="KXM54" s="6"/>
      <c r="KXN54" s="6"/>
      <c r="KXO54" s="6"/>
      <c r="KXP54" s="6"/>
      <c r="KXQ54" s="6"/>
      <c r="KXR54" s="6"/>
      <c r="KXS54" s="6"/>
      <c r="KXT54" s="6"/>
      <c r="KXU54" s="6"/>
      <c r="KXV54" s="6"/>
      <c r="KXW54" s="6"/>
      <c r="KXX54" s="6"/>
      <c r="KXY54" s="6"/>
      <c r="KXZ54" s="6"/>
      <c r="KYA54" s="6"/>
      <c r="KYB54" s="6"/>
      <c r="KYC54" s="6"/>
      <c r="KYD54" s="6"/>
      <c r="KYE54" s="6"/>
      <c r="KYF54" s="6"/>
      <c r="KYG54" s="6"/>
      <c r="KYH54" s="6"/>
      <c r="KYI54" s="6"/>
      <c r="KYJ54" s="6"/>
      <c r="KYK54" s="6"/>
      <c r="KYL54" s="6"/>
      <c r="KYM54" s="6"/>
      <c r="KYN54" s="6"/>
      <c r="KYO54" s="6"/>
      <c r="KYP54" s="6"/>
      <c r="KYQ54" s="6"/>
      <c r="KYR54" s="6"/>
      <c r="KYS54" s="6"/>
      <c r="KYT54" s="6"/>
      <c r="KYU54" s="6"/>
      <c r="KYV54" s="6"/>
      <c r="KYW54" s="6"/>
      <c r="KYX54" s="6"/>
      <c r="KYY54" s="6"/>
      <c r="KYZ54" s="6"/>
      <c r="KZA54" s="6"/>
      <c r="KZB54" s="6"/>
      <c r="KZC54" s="6"/>
      <c r="KZD54" s="6"/>
      <c r="KZE54" s="6"/>
      <c r="KZF54" s="6"/>
      <c r="KZG54" s="6"/>
      <c r="KZH54" s="6"/>
      <c r="KZI54" s="6"/>
      <c r="KZJ54" s="6"/>
      <c r="KZK54" s="6"/>
      <c r="KZL54" s="6"/>
      <c r="KZM54" s="6"/>
      <c r="KZN54" s="6"/>
      <c r="KZO54" s="6"/>
      <c r="KZP54" s="6"/>
      <c r="KZQ54" s="6"/>
      <c r="KZR54" s="6"/>
      <c r="KZS54" s="6"/>
      <c r="KZT54" s="6"/>
      <c r="KZU54" s="6"/>
      <c r="KZV54" s="6"/>
      <c r="KZW54" s="6"/>
      <c r="KZX54" s="6"/>
      <c r="KZY54" s="6"/>
      <c r="KZZ54" s="6"/>
      <c r="LAA54" s="6"/>
      <c r="LAB54" s="6"/>
      <c r="LAC54" s="6"/>
      <c r="LAD54" s="6"/>
      <c r="LAE54" s="6"/>
      <c r="LAF54" s="6"/>
      <c r="LAG54" s="6"/>
      <c r="LAH54" s="6"/>
      <c r="LAI54" s="6"/>
      <c r="LAJ54" s="6"/>
      <c r="LAK54" s="6"/>
      <c r="LAL54" s="6"/>
      <c r="LAM54" s="6"/>
      <c r="LAN54" s="6"/>
      <c r="LAO54" s="6"/>
      <c r="LAP54" s="6"/>
      <c r="LAQ54" s="6"/>
      <c r="LAR54" s="6"/>
      <c r="LAS54" s="6"/>
      <c r="LAT54" s="6"/>
      <c r="LAU54" s="6"/>
      <c r="LAV54" s="6"/>
      <c r="LAW54" s="6"/>
      <c r="LAX54" s="6"/>
      <c r="LAY54" s="6"/>
      <c r="LAZ54" s="6"/>
      <c r="LBA54" s="6"/>
      <c r="LBB54" s="6"/>
      <c r="LBC54" s="6"/>
      <c r="LBD54" s="6"/>
      <c r="LBE54" s="6"/>
      <c r="LBF54" s="6"/>
      <c r="LBG54" s="6"/>
      <c r="LBH54" s="6"/>
      <c r="LBI54" s="6"/>
      <c r="LBJ54" s="6"/>
      <c r="LBK54" s="6"/>
      <c r="LBL54" s="6"/>
      <c r="LBM54" s="6"/>
      <c r="LBN54" s="6"/>
      <c r="LBO54" s="6"/>
      <c r="LBP54" s="6"/>
      <c r="LBQ54" s="6"/>
      <c r="LBR54" s="6"/>
      <c r="LBS54" s="6"/>
      <c r="LBT54" s="6"/>
      <c r="LBU54" s="6"/>
      <c r="LBV54" s="6"/>
      <c r="LBW54" s="6"/>
      <c r="LBX54" s="6"/>
      <c r="LBY54" s="6"/>
      <c r="LBZ54" s="6"/>
      <c r="LCA54" s="6"/>
      <c r="LCB54" s="6"/>
      <c r="LCC54" s="6"/>
      <c r="LCD54" s="6"/>
      <c r="LCE54" s="6"/>
      <c r="LCF54" s="6"/>
      <c r="LCG54" s="6"/>
      <c r="LCH54" s="6"/>
      <c r="LCI54" s="6"/>
      <c r="LCJ54" s="6"/>
      <c r="LCK54" s="6"/>
      <c r="LCL54" s="6"/>
      <c r="LCM54" s="6"/>
      <c r="LCN54" s="6"/>
      <c r="LCO54" s="6"/>
      <c r="LCP54" s="6"/>
      <c r="LCQ54" s="6"/>
      <c r="LCR54" s="6"/>
      <c r="LCS54" s="6"/>
      <c r="LCT54" s="6"/>
      <c r="LCU54" s="6"/>
      <c r="LCV54" s="6"/>
      <c r="LCW54" s="6"/>
      <c r="LCX54" s="6"/>
      <c r="LCY54" s="6"/>
      <c r="LCZ54" s="6"/>
      <c r="LDA54" s="6"/>
      <c r="LDB54" s="6"/>
      <c r="LDC54" s="6"/>
      <c r="LDD54" s="6"/>
      <c r="LDE54" s="6"/>
      <c r="LDF54" s="6"/>
      <c r="LDG54" s="6"/>
      <c r="LDH54" s="6"/>
      <c r="LDI54" s="6"/>
      <c r="LDJ54" s="6"/>
      <c r="LDK54" s="6"/>
      <c r="LDL54" s="6"/>
      <c r="LDM54" s="6"/>
      <c r="LDN54" s="6"/>
      <c r="LDO54" s="6"/>
      <c r="LDP54" s="6"/>
      <c r="LDQ54" s="6"/>
      <c r="LDR54" s="6"/>
      <c r="LDS54" s="6"/>
      <c r="LDT54" s="6"/>
      <c r="LDU54" s="6"/>
      <c r="LDV54" s="6"/>
      <c r="LDW54" s="6"/>
      <c r="LDX54" s="6"/>
      <c r="LDY54" s="6"/>
      <c r="LDZ54" s="6"/>
      <c r="LEA54" s="6"/>
      <c r="LEB54" s="6"/>
      <c r="LEC54" s="6"/>
      <c r="LED54" s="6"/>
      <c r="LEE54" s="6"/>
      <c r="LEF54" s="6"/>
      <c r="LEG54" s="6"/>
      <c r="LEH54" s="6"/>
      <c r="LEI54" s="6"/>
      <c r="LEJ54" s="6"/>
      <c r="LEK54" s="6"/>
      <c r="LEL54" s="6"/>
      <c r="LEM54" s="6"/>
      <c r="LEN54" s="6"/>
      <c r="LEO54" s="6"/>
      <c r="LEP54" s="6"/>
      <c r="LEQ54" s="6"/>
      <c r="LER54" s="6"/>
      <c r="LES54" s="6"/>
      <c r="LET54" s="6"/>
      <c r="LEU54" s="6"/>
      <c r="LEV54" s="6"/>
      <c r="LEW54" s="6"/>
      <c r="LEX54" s="6"/>
      <c r="LEY54" s="6"/>
      <c r="LEZ54" s="6"/>
      <c r="LFA54" s="6"/>
      <c r="LFB54" s="6"/>
      <c r="LFC54" s="6"/>
      <c r="LFD54" s="6"/>
      <c r="LFE54" s="6"/>
      <c r="LFF54" s="6"/>
      <c r="LFG54" s="6"/>
      <c r="LFH54" s="6"/>
      <c r="LFI54" s="6"/>
      <c r="LFJ54" s="6"/>
      <c r="LFK54" s="6"/>
      <c r="LFL54" s="6"/>
      <c r="LFM54" s="6"/>
      <c r="LFN54" s="6"/>
      <c r="LFO54" s="6"/>
      <c r="LFP54" s="6"/>
      <c r="LFQ54" s="6"/>
      <c r="LFR54" s="6"/>
      <c r="LFS54" s="6"/>
      <c r="LFT54" s="6"/>
      <c r="LFU54" s="6"/>
      <c r="LFV54" s="6"/>
      <c r="LFW54" s="6"/>
      <c r="LFX54" s="6"/>
      <c r="LFY54" s="6"/>
      <c r="LFZ54" s="6"/>
      <c r="LGA54" s="6"/>
      <c r="LGB54" s="6"/>
      <c r="LGC54" s="6"/>
      <c r="LGD54" s="6"/>
      <c r="LGE54" s="6"/>
      <c r="LGF54" s="6"/>
      <c r="LGG54" s="6"/>
      <c r="LGH54" s="6"/>
      <c r="LGI54" s="6"/>
      <c r="LGJ54" s="6"/>
      <c r="LGK54" s="6"/>
      <c r="LGL54" s="6"/>
      <c r="LGM54" s="6"/>
      <c r="LGN54" s="6"/>
      <c r="LGO54" s="6"/>
      <c r="LGP54" s="6"/>
      <c r="LGQ54" s="6"/>
      <c r="LGR54" s="6"/>
      <c r="LGS54" s="6"/>
      <c r="LGT54" s="6"/>
      <c r="LGU54" s="6"/>
      <c r="LGV54" s="6"/>
      <c r="LGW54" s="6"/>
      <c r="LGX54" s="6"/>
      <c r="LGY54" s="6"/>
      <c r="LGZ54" s="6"/>
      <c r="LHA54" s="6"/>
      <c r="LHB54" s="6"/>
      <c r="LHC54" s="6"/>
      <c r="LHD54" s="6"/>
      <c r="LHE54" s="6"/>
      <c r="LHF54" s="6"/>
      <c r="LHG54" s="6"/>
      <c r="LHH54" s="6"/>
      <c r="LHI54" s="6"/>
      <c r="LHJ54" s="6"/>
      <c r="LHK54" s="6"/>
      <c r="LHL54" s="6"/>
      <c r="LHM54" s="6"/>
      <c r="LHN54" s="6"/>
      <c r="LHO54" s="6"/>
      <c r="LHP54" s="6"/>
      <c r="LHQ54" s="6"/>
      <c r="LHR54" s="6"/>
      <c r="LHS54" s="6"/>
      <c r="LHT54" s="6"/>
      <c r="LHU54" s="6"/>
      <c r="LHV54" s="6"/>
      <c r="LHW54" s="6"/>
      <c r="LHX54" s="6"/>
      <c r="LHY54" s="6"/>
      <c r="LHZ54" s="6"/>
      <c r="LIA54" s="6"/>
      <c r="LIB54" s="6"/>
      <c r="LIC54" s="6"/>
      <c r="LID54" s="6"/>
      <c r="LIE54" s="6"/>
      <c r="LIF54" s="6"/>
      <c r="LIG54" s="6"/>
      <c r="LIH54" s="6"/>
      <c r="LII54" s="6"/>
      <c r="LIJ54" s="6"/>
      <c r="LIK54" s="6"/>
      <c r="LIL54" s="6"/>
      <c r="LIM54" s="6"/>
      <c r="LIN54" s="6"/>
      <c r="LIO54" s="6"/>
      <c r="LIP54" s="6"/>
      <c r="LIQ54" s="6"/>
      <c r="LIR54" s="6"/>
      <c r="LIS54" s="6"/>
      <c r="LIT54" s="6"/>
      <c r="LIU54" s="6"/>
      <c r="LIV54" s="6"/>
      <c r="LIW54" s="6"/>
      <c r="LIX54" s="6"/>
      <c r="LIY54" s="6"/>
      <c r="LIZ54" s="6"/>
      <c r="LJA54" s="6"/>
      <c r="LJB54" s="6"/>
      <c r="LJC54" s="6"/>
      <c r="LJD54" s="6"/>
      <c r="LJE54" s="6"/>
      <c r="LJF54" s="6"/>
      <c r="LJG54" s="6"/>
      <c r="LJH54" s="6"/>
      <c r="LJI54" s="6"/>
      <c r="LJJ54" s="6"/>
      <c r="LJK54" s="6"/>
      <c r="LJL54" s="6"/>
      <c r="LJM54" s="6"/>
      <c r="LJN54" s="6"/>
      <c r="LJO54" s="6"/>
      <c r="LJP54" s="6"/>
      <c r="LJQ54" s="6"/>
      <c r="LJR54" s="6"/>
      <c r="LJS54" s="6"/>
      <c r="LJT54" s="6"/>
      <c r="LJU54" s="6"/>
      <c r="LJV54" s="6"/>
      <c r="LJW54" s="6"/>
      <c r="LJX54" s="6"/>
      <c r="LJY54" s="6"/>
      <c r="LJZ54" s="6"/>
      <c r="LKA54" s="6"/>
      <c r="LKB54" s="6"/>
      <c r="LKC54" s="6"/>
      <c r="LKD54" s="6"/>
      <c r="LKE54" s="6"/>
      <c r="LKF54" s="6"/>
      <c r="LKG54" s="6"/>
      <c r="LKH54" s="6"/>
      <c r="LKI54" s="6"/>
      <c r="LKJ54" s="6"/>
      <c r="LKK54" s="6"/>
      <c r="LKL54" s="6"/>
      <c r="LKM54" s="6"/>
      <c r="LKN54" s="6"/>
      <c r="LKO54" s="6"/>
      <c r="LKP54" s="6"/>
      <c r="LKQ54" s="6"/>
      <c r="LKR54" s="6"/>
      <c r="LKS54" s="6"/>
      <c r="LKT54" s="6"/>
      <c r="LKU54" s="6"/>
      <c r="LKV54" s="6"/>
      <c r="LKW54" s="6"/>
      <c r="LKX54" s="6"/>
      <c r="LKY54" s="6"/>
      <c r="LKZ54" s="6"/>
      <c r="LLA54" s="6"/>
      <c r="LLB54" s="6"/>
      <c r="LLC54" s="6"/>
      <c r="LLD54" s="6"/>
      <c r="LLE54" s="6"/>
      <c r="LLF54" s="6"/>
      <c r="LLG54" s="6"/>
      <c r="LLH54" s="6"/>
      <c r="LLI54" s="6"/>
      <c r="LLJ54" s="6"/>
      <c r="LLK54" s="6"/>
      <c r="LLL54" s="6"/>
      <c r="LLM54" s="6"/>
      <c r="LLN54" s="6"/>
      <c r="LLO54" s="6"/>
      <c r="LLP54" s="6"/>
      <c r="LLQ54" s="6"/>
      <c r="LLR54" s="6"/>
      <c r="LLS54" s="6"/>
      <c r="LLT54" s="6"/>
      <c r="LLU54" s="6"/>
      <c r="LLV54" s="6"/>
      <c r="LLW54" s="6"/>
      <c r="LLX54" s="6"/>
      <c r="LLY54" s="6"/>
      <c r="LLZ54" s="6"/>
      <c r="LMA54" s="6"/>
      <c r="LMB54" s="6"/>
      <c r="LMC54" s="6"/>
      <c r="LMD54" s="6"/>
      <c r="LME54" s="6"/>
      <c r="LMF54" s="6"/>
      <c r="LMG54" s="6"/>
      <c r="LMH54" s="6"/>
      <c r="LMI54" s="6"/>
      <c r="LMJ54" s="6"/>
      <c r="LMK54" s="6"/>
      <c r="LML54" s="6"/>
      <c r="LMM54" s="6"/>
      <c r="LMN54" s="6"/>
      <c r="LMO54" s="6"/>
      <c r="LMP54" s="6"/>
      <c r="LMQ54" s="6"/>
      <c r="LMR54" s="6"/>
      <c r="LMS54" s="6"/>
      <c r="LMT54" s="6"/>
      <c r="LMU54" s="6"/>
      <c r="LMV54" s="6"/>
      <c r="LMW54" s="6"/>
      <c r="LMX54" s="6"/>
      <c r="LMY54" s="6"/>
      <c r="LMZ54" s="6"/>
      <c r="LNA54" s="6"/>
      <c r="LNB54" s="6"/>
      <c r="LNC54" s="6"/>
      <c r="LND54" s="6"/>
      <c r="LNE54" s="6"/>
      <c r="LNF54" s="6"/>
      <c r="LNG54" s="6"/>
      <c r="LNH54" s="6"/>
      <c r="LNI54" s="6"/>
      <c r="LNJ54" s="6"/>
      <c r="LNK54" s="6"/>
      <c r="LNL54" s="6"/>
      <c r="LNM54" s="6"/>
      <c r="LNN54" s="6"/>
      <c r="LNO54" s="6"/>
      <c r="LNP54" s="6"/>
      <c r="LNQ54" s="6"/>
      <c r="LNR54" s="6"/>
      <c r="LNS54" s="6"/>
      <c r="LNT54" s="6"/>
      <c r="LNU54" s="6"/>
      <c r="LNV54" s="6"/>
      <c r="LNW54" s="6"/>
      <c r="LNX54" s="6"/>
      <c r="LNY54" s="6"/>
      <c r="LNZ54" s="6"/>
      <c r="LOA54" s="6"/>
      <c r="LOB54" s="6"/>
      <c r="LOC54" s="6"/>
      <c r="LOD54" s="6"/>
      <c r="LOE54" s="6"/>
      <c r="LOF54" s="6"/>
      <c r="LOG54" s="6"/>
      <c r="LOH54" s="6"/>
      <c r="LOI54" s="6"/>
      <c r="LOJ54" s="6"/>
      <c r="LOK54" s="6"/>
      <c r="LOL54" s="6"/>
      <c r="LOM54" s="6"/>
      <c r="LON54" s="6"/>
      <c r="LOO54" s="6"/>
      <c r="LOP54" s="6"/>
      <c r="LOQ54" s="6"/>
      <c r="LOR54" s="6"/>
      <c r="LOS54" s="6"/>
      <c r="LOT54" s="6"/>
      <c r="LOU54" s="6"/>
      <c r="LOV54" s="6"/>
      <c r="LOW54" s="6"/>
      <c r="LOX54" s="6"/>
      <c r="LOY54" s="6"/>
      <c r="LOZ54" s="6"/>
      <c r="LPA54" s="6"/>
      <c r="LPB54" s="6"/>
      <c r="LPC54" s="6"/>
      <c r="LPD54" s="6"/>
      <c r="LPE54" s="6"/>
      <c r="LPF54" s="6"/>
      <c r="LPG54" s="6"/>
      <c r="LPH54" s="6"/>
      <c r="LPI54" s="6"/>
      <c r="LPJ54" s="6"/>
      <c r="LPK54" s="6"/>
      <c r="LPL54" s="6"/>
      <c r="LPM54" s="6"/>
      <c r="LPN54" s="6"/>
      <c r="LPO54" s="6"/>
      <c r="LPP54" s="6"/>
      <c r="LPQ54" s="6"/>
      <c r="LPR54" s="6"/>
      <c r="LPS54" s="6"/>
      <c r="LPT54" s="6"/>
      <c r="LPU54" s="6"/>
      <c r="LPV54" s="6"/>
      <c r="LPW54" s="6"/>
      <c r="LPX54" s="6"/>
      <c r="LPY54" s="6"/>
      <c r="LPZ54" s="6"/>
      <c r="LQA54" s="6"/>
      <c r="LQB54" s="6"/>
      <c r="LQC54" s="6"/>
      <c r="LQD54" s="6"/>
      <c r="LQE54" s="6"/>
      <c r="LQF54" s="6"/>
      <c r="LQG54" s="6"/>
      <c r="LQH54" s="6"/>
      <c r="LQI54" s="6"/>
      <c r="LQJ54" s="6"/>
      <c r="LQK54" s="6"/>
      <c r="LQL54" s="6"/>
      <c r="LQM54" s="6"/>
      <c r="LQN54" s="6"/>
      <c r="LQO54" s="6"/>
      <c r="LQP54" s="6"/>
      <c r="LQQ54" s="6"/>
      <c r="LQR54" s="6"/>
      <c r="LQS54" s="6"/>
      <c r="LQT54" s="6"/>
      <c r="LQU54" s="6"/>
      <c r="LQV54" s="6"/>
      <c r="LQW54" s="6"/>
      <c r="LQX54" s="6"/>
      <c r="LQY54" s="6"/>
      <c r="LQZ54" s="6"/>
      <c r="LRA54" s="6"/>
      <c r="LRB54" s="6"/>
      <c r="LRC54" s="6"/>
      <c r="LRD54" s="6"/>
      <c r="LRE54" s="6"/>
      <c r="LRF54" s="6"/>
      <c r="LRG54" s="6"/>
      <c r="LRH54" s="6"/>
      <c r="LRI54" s="6"/>
      <c r="LRJ54" s="6"/>
      <c r="LRK54" s="6"/>
      <c r="LRL54" s="6"/>
      <c r="LRM54" s="6"/>
      <c r="LRN54" s="6"/>
      <c r="LRO54" s="6"/>
      <c r="LRP54" s="6"/>
      <c r="LRQ54" s="6"/>
      <c r="LRR54" s="6"/>
      <c r="LRS54" s="6"/>
      <c r="LRT54" s="6"/>
      <c r="LRU54" s="6"/>
      <c r="LRV54" s="6"/>
      <c r="LRW54" s="6"/>
      <c r="LRX54" s="6"/>
      <c r="LRY54" s="6"/>
      <c r="LRZ54" s="6"/>
      <c r="LSA54" s="6"/>
      <c r="LSB54" s="6"/>
      <c r="LSC54" s="6"/>
      <c r="LSD54" s="6"/>
      <c r="LSE54" s="6"/>
      <c r="LSF54" s="6"/>
      <c r="LSG54" s="6"/>
      <c r="LSH54" s="6"/>
      <c r="LSI54" s="6"/>
      <c r="LSJ54" s="6"/>
      <c r="LSK54" s="6"/>
      <c r="LSL54" s="6"/>
      <c r="LSM54" s="6"/>
      <c r="LSN54" s="6"/>
      <c r="LSO54" s="6"/>
      <c r="LSP54" s="6"/>
      <c r="LSQ54" s="6"/>
      <c r="LSR54" s="6"/>
      <c r="LSS54" s="6"/>
      <c r="LST54" s="6"/>
      <c r="LSU54" s="6"/>
      <c r="LSV54" s="6"/>
      <c r="LSW54" s="6"/>
      <c r="LSX54" s="6"/>
      <c r="LSY54" s="6"/>
      <c r="LSZ54" s="6"/>
      <c r="LTA54" s="6"/>
      <c r="LTB54" s="6"/>
      <c r="LTC54" s="6"/>
      <c r="LTD54" s="6"/>
      <c r="LTE54" s="6"/>
      <c r="LTF54" s="6"/>
      <c r="LTG54" s="6"/>
      <c r="LTH54" s="6"/>
      <c r="LTI54" s="6"/>
      <c r="LTJ54" s="6"/>
      <c r="LTK54" s="6"/>
      <c r="LTL54" s="6"/>
      <c r="LTM54" s="6"/>
      <c r="LTN54" s="6"/>
      <c r="LTO54" s="6"/>
      <c r="LTP54" s="6"/>
      <c r="LTQ54" s="6"/>
      <c r="LTR54" s="6"/>
      <c r="LTS54" s="6"/>
      <c r="LTT54" s="6"/>
      <c r="LTU54" s="6"/>
      <c r="LTV54" s="6"/>
      <c r="LTW54" s="6"/>
      <c r="LTX54" s="6"/>
      <c r="LTY54" s="6"/>
      <c r="LTZ54" s="6"/>
      <c r="LUA54" s="6"/>
      <c r="LUB54" s="6"/>
      <c r="LUC54" s="6"/>
      <c r="LUD54" s="6"/>
      <c r="LUE54" s="6"/>
      <c r="LUF54" s="6"/>
      <c r="LUG54" s="6"/>
      <c r="LUH54" s="6"/>
      <c r="LUI54" s="6"/>
      <c r="LUJ54" s="6"/>
      <c r="LUK54" s="6"/>
      <c r="LUL54" s="6"/>
      <c r="LUM54" s="6"/>
      <c r="LUN54" s="6"/>
      <c r="LUO54" s="6"/>
      <c r="LUP54" s="6"/>
      <c r="LUQ54" s="6"/>
      <c r="LUR54" s="6"/>
      <c r="LUS54" s="6"/>
      <c r="LUT54" s="6"/>
      <c r="LUU54" s="6"/>
      <c r="LUV54" s="6"/>
      <c r="LUW54" s="6"/>
      <c r="LUX54" s="6"/>
      <c r="LUY54" s="6"/>
      <c r="LUZ54" s="6"/>
      <c r="LVA54" s="6"/>
      <c r="LVB54" s="6"/>
      <c r="LVC54" s="6"/>
      <c r="LVD54" s="6"/>
      <c r="LVE54" s="6"/>
      <c r="LVF54" s="6"/>
      <c r="LVG54" s="6"/>
      <c r="LVH54" s="6"/>
      <c r="LVI54" s="6"/>
      <c r="LVJ54" s="6"/>
      <c r="LVK54" s="6"/>
      <c r="LVL54" s="6"/>
      <c r="LVM54" s="6"/>
      <c r="LVN54" s="6"/>
      <c r="LVO54" s="6"/>
      <c r="LVP54" s="6"/>
      <c r="LVQ54" s="6"/>
      <c r="LVR54" s="6"/>
      <c r="LVS54" s="6"/>
      <c r="LVT54" s="6"/>
      <c r="LVU54" s="6"/>
      <c r="LVV54" s="6"/>
      <c r="LVW54" s="6"/>
      <c r="LVX54" s="6"/>
      <c r="LVY54" s="6"/>
      <c r="LVZ54" s="6"/>
      <c r="LWA54" s="6"/>
      <c r="LWB54" s="6"/>
      <c r="LWC54" s="6"/>
      <c r="LWD54" s="6"/>
      <c r="LWE54" s="6"/>
      <c r="LWF54" s="6"/>
      <c r="LWG54" s="6"/>
      <c r="LWH54" s="6"/>
      <c r="LWI54" s="6"/>
      <c r="LWJ54" s="6"/>
      <c r="LWK54" s="6"/>
      <c r="LWL54" s="6"/>
      <c r="LWM54" s="6"/>
      <c r="LWN54" s="6"/>
      <c r="LWO54" s="6"/>
      <c r="LWP54" s="6"/>
      <c r="LWQ54" s="6"/>
      <c r="LWR54" s="6"/>
      <c r="LWS54" s="6"/>
      <c r="LWT54" s="6"/>
      <c r="LWU54" s="6"/>
      <c r="LWV54" s="6"/>
      <c r="LWW54" s="6"/>
      <c r="LWX54" s="6"/>
      <c r="LWY54" s="6"/>
      <c r="LWZ54" s="6"/>
      <c r="LXA54" s="6"/>
      <c r="LXB54" s="6"/>
      <c r="LXC54" s="6"/>
      <c r="LXD54" s="6"/>
      <c r="LXE54" s="6"/>
      <c r="LXF54" s="6"/>
      <c r="LXG54" s="6"/>
      <c r="LXH54" s="6"/>
      <c r="LXI54" s="6"/>
      <c r="LXJ54" s="6"/>
      <c r="LXK54" s="6"/>
      <c r="LXL54" s="6"/>
      <c r="LXM54" s="6"/>
      <c r="LXN54" s="6"/>
      <c r="LXO54" s="6"/>
      <c r="LXP54" s="6"/>
      <c r="LXQ54" s="6"/>
      <c r="LXR54" s="6"/>
      <c r="LXS54" s="6"/>
      <c r="LXT54" s="6"/>
      <c r="LXU54" s="6"/>
      <c r="LXV54" s="6"/>
      <c r="LXW54" s="6"/>
      <c r="LXX54" s="6"/>
      <c r="LXY54" s="6"/>
      <c r="LXZ54" s="6"/>
      <c r="LYA54" s="6"/>
      <c r="LYB54" s="6"/>
      <c r="LYC54" s="6"/>
      <c r="LYD54" s="6"/>
      <c r="LYE54" s="6"/>
      <c r="LYF54" s="6"/>
      <c r="LYG54" s="6"/>
      <c r="LYH54" s="6"/>
      <c r="LYI54" s="6"/>
      <c r="LYJ54" s="6"/>
      <c r="LYK54" s="6"/>
      <c r="LYL54" s="6"/>
      <c r="LYM54" s="6"/>
      <c r="LYN54" s="6"/>
      <c r="LYO54" s="6"/>
      <c r="LYP54" s="6"/>
      <c r="LYQ54" s="6"/>
      <c r="LYR54" s="6"/>
      <c r="LYS54" s="6"/>
      <c r="LYT54" s="6"/>
      <c r="LYU54" s="6"/>
      <c r="LYV54" s="6"/>
      <c r="LYW54" s="6"/>
      <c r="LYX54" s="6"/>
      <c r="LYY54" s="6"/>
      <c r="LYZ54" s="6"/>
      <c r="LZA54" s="6"/>
      <c r="LZB54" s="6"/>
      <c r="LZC54" s="6"/>
      <c r="LZD54" s="6"/>
      <c r="LZE54" s="6"/>
      <c r="LZF54" s="6"/>
      <c r="LZG54" s="6"/>
      <c r="LZH54" s="6"/>
      <c r="LZI54" s="6"/>
      <c r="LZJ54" s="6"/>
      <c r="LZK54" s="6"/>
      <c r="LZL54" s="6"/>
      <c r="LZM54" s="6"/>
      <c r="LZN54" s="6"/>
      <c r="LZO54" s="6"/>
      <c r="LZP54" s="6"/>
      <c r="LZQ54" s="6"/>
      <c r="LZR54" s="6"/>
      <c r="LZS54" s="6"/>
      <c r="LZT54" s="6"/>
      <c r="LZU54" s="6"/>
      <c r="LZV54" s="6"/>
      <c r="LZW54" s="6"/>
      <c r="LZX54" s="6"/>
      <c r="LZY54" s="6"/>
      <c r="LZZ54" s="6"/>
      <c r="MAA54" s="6"/>
      <c r="MAB54" s="6"/>
      <c r="MAC54" s="6"/>
      <c r="MAD54" s="6"/>
      <c r="MAE54" s="6"/>
      <c r="MAF54" s="6"/>
      <c r="MAG54" s="6"/>
      <c r="MAH54" s="6"/>
      <c r="MAI54" s="6"/>
      <c r="MAJ54" s="6"/>
      <c r="MAK54" s="6"/>
      <c r="MAL54" s="6"/>
      <c r="MAM54" s="6"/>
      <c r="MAN54" s="6"/>
      <c r="MAO54" s="6"/>
      <c r="MAP54" s="6"/>
      <c r="MAQ54" s="6"/>
      <c r="MAR54" s="6"/>
      <c r="MAS54" s="6"/>
      <c r="MAT54" s="6"/>
      <c r="MAU54" s="6"/>
      <c r="MAV54" s="6"/>
      <c r="MAW54" s="6"/>
      <c r="MAX54" s="6"/>
      <c r="MAY54" s="6"/>
      <c r="MAZ54" s="6"/>
      <c r="MBA54" s="6"/>
      <c r="MBB54" s="6"/>
      <c r="MBC54" s="6"/>
      <c r="MBD54" s="6"/>
      <c r="MBE54" s="6"/>
      <c r="MBF54" s="6"/>
      <c r="MBG54" s="6"/>
      <c r="MBH54" s="6"/>
      <c r="MBI54" s="6"/>
      <c r="MBJ54" s="6"/>
      <c r="MBK54" s="6"/>
      <c r="MBL54" s="6"/>
      <c r="MBM54" s="6"/>
      <c r="MBN54" s="6"/>
      <c r="MBO54" s="6"/>
      <c r="MBP54" s="6"/>
      <c r="MBQ54" s="6"/>
      <c r="MBR54" s="6"/>
      <c r="MBS54" s="6"/>
      <c r="MBT54" s="6"/>
      <c r="MBU54" s="6"/>
      <c r="MBV54" s="6"/>
      <c r="MBW54" s="6"/>
      <c r="MBX54" s="6"/>
      <c r="MBY54" s="6"/>
      <c r="MBZ54" s="6"/>
      <c r="MCA54" s="6"/>
      <c r="MCB54" s="6"/>
      <c r="MCC54" s="6"/>
      <c r="MCD54" s="6"/>
      <c r="MCE54" s="6"/>
      <c r="MCF54" s="6"/>
      <c r="MCG54" s="6"/>
      <c r="MCH54" s="6"/>
      <c r="MCI54" s="6"/>
      <c r="MCJ54" s="6"/>
      <c r="MCK54" s="6"/>
      <c r="MCL54" s="6"/>
      <c r="MCM54" s="6"/>
      <c r="MCN54" s="6"/>
      <c r="MCO54" s="6"/>
      <c r="MCP54" s="6"/>
      <c r="MCQ54" s="6"/>
      <c r="MCR54" s="6"/>
      <c r="MCS54" s="6"/>
      <c r="MCT54" s="6"/>
      <c r="MCU54" s="6"/>
      <c r="MCV54" s="6"/>
      <c r="MCW54" s="6"/>
      <c r="MCX54" s="6"/>
      <c r="MCY54" s="6"/>
      <c r="MCZ54" s="6"/>
      <c r="MDA54" s="6"/>
      <c r="MDB54" s="6"/>
      <c r="MDC54" s="6"/>
      <c r="MDD54" s="6"/>
      <c r="MDE54" s="6"/>
      <c r="MDF54" s="6"/>
      <c r="MDG54" s="6"/>
      <c r="MDH54" s="6"/>
      <c r="MDI54" s="6"/>
      <c r="MDJ54" s="6"/>
      <c r="MDK54" s="6"/>
      <c r="MDL54" s="6"/>
      <c r="MDM54" s="6"/>
      <c r="MDN54" s="6"/>
      <c r="MDO54" s="6"/>
      <c r="MDP54" s="6"/>
      <c r="MDQ54" s="6"/>
      <c r="MDR54" s="6"/>
      <c r="MDS54" s="6"/>
      <c r="MDT54" s="6"/>
      <c r="MDU54" s="6"/>
      <c r="MDV54" s="6"/>
      <c r="MDW54" s="6"/>
      <c r="MDX54" s="6"/>
      <c r="MDY54" s="6"/>
      <c r="MDZ54" s="6"/>
      <c r="MEA54" s="6"/>
      <c r="MEB54" s="6"/>
      <c r="MEC54" s="6"/>
      <c r="MED54" s="6"/>
      <c r="MEE54" s="6"/>
      <c r="MEF54" s="6"/>
      <c r="MEG54" s="6"/>
      <c r="MEH54" s="6"/>
      <c r="MEI54" s="6"/>
      <c r="MEJ54" s="6"/>
      <c r="MEK54" s="6"/>
      <c r="MEL54" s="6"/>
      <c r="MEM54" s="6"/>
      <c r="MEN54" s="6"/>
      <c r="MEO54" s="6"/>
      <c r="MEP54" s="6"/>
      <c r="MEQ54" s="6"/>
      <c r="MER54" s="6"/>
      <c r="MES54" s="6"/>
      <c r="MET54" s="6"/>
      <c r="MEU54" s="6"/>
      <c r="MEV54" s="6"/>
      <c r="MEW54" s="6"/>
      <c r="MEX54" s="6"/>
      <c r="MEY54" s="6"/>
      <c r="MEZ54" s="6"/>
      <c r="MFA54" s="6"/>
      <c r="MFB54" s="6"/>
      <c r="MFC54" s="6"/>
      <c r="MFD54" s="6"/>
      <c r="MFE54" s="6"/>
      <c r="MFF54" s="6"/>
      <c r="MFG54" s="6"/>
      <c r="MFH54" s="6"/>
      <c r="MFI54" s="6"/>
      <c r="MFJ54" s="6"/>
      <c r="MFK54" s="6"/>
      <c r="MFL54" s="6"/>
      <c r="MFM54" s="6"/>
      <c r="MFN54" s="6"/>
      <c r="MFO54" s="6"/>
      <c r="MFP54" s="6"/>
      <c r="MFQ54" s="6"/>
      <c r="MFR54" s="6"/>
      <c r="MFS54" s="6"/>
      <c r="MFT54" s="6"/>
      <c r="MFU54" s="6"/>
      <c r="MFV54" s="6"/>
      <c r="MFW54" s="6"/>
      <c r="MFX54" s="6"/>
      <c r="MFY54" s="6"/>
      <c r="MFZ54" s="6"/>
      <c r="MGA54" s="6"/>
      <c r="MGB54" s="6"/>
      <c r="MGC54" s="6"/>
      <c r="MGD54" s="6"/>
      <c r="MGE54" s="6"/>
      <c r="MGF54" s="6"/>
      <c r="MGG54" s="6"/>
      <c r="MGH54" s="6"/>
      <c r="MGI54" s="6"/>
      <c r="MGJ54" s="6"/>
      <c r="MGK54" s="6"/>
      <c r="MGL54" s="6"/>
      <c r="MGM54" s="6"/>
      <c r="MGN54" s="6"/>
      <c r="MGO54" s="6"/>
      <c r="MGP54" s="6"/>
      <c r="MGQ54" s="6"/>
      <c r="MGR54" s="6"/>
      <c r="MGS54" s="6"/>
      <c r="MGT54" s="6"/>
      <c r="MGU54" s="6"/>
      <c r="MGV54" s="6"/>
      <c r="MGW54" s="6"/>
      <c r="MGX54" s="6"/>
      <c r="MGY54" s="6"/>
      <c r="MGZ54" s="6"/>
      <c r="MHA54" s="6"/>
      <c r="MHB54" s="6"/>
      <c r="MHC54" s="6"/>
      <c r="MHD54" s="6"/>
      <c r="MHE54" s="6"/>
      <c r="MHF54" s="6"/>
      <c r="MHG54" s="6"/>
      <c r="MHH54" s="6"/>
      <c r="MHI54" s="6"/>
      <c r="MHJ54" s="6"/>
      <c r="MHK54" s="6"/>
      <c r="MHL54" s="6"/>
      <c r="MHM54" s="6"/>
      <c r="MHN54" s="6"/>
      <c r="MHO54" s="6"/>
      <c r="MHP54" s="6"/>
      <c r="MHQ54" s="6"/>
      <c r="MHR54" s="6"/>
      <c r="MHS54" s="6"/>
      <c r="MHT54" s="6"/>
      <c r="MHU54" s="6"/>
      <c r="MHV54" s="6"/>
      <c r="MHW54" s="6"/>
      <c r="MHX54" s="6"/>
      <c r="MHY54" s="6"/>
      <c r="MHZ54" s="6"/>
      <c r="MIA54" s="6"/>
      <c r="MIB54" s="6"/>
      <c r="MIC54" s="6"/>
      <c r="MID54" s="6"/>
      <c r="MIE54" s="6"/>
      <c r="MIF54" s="6"/>
      <c r="MIG54" s="6"/>
      <c r="MIH54" s="6"/>
      <c r="MII54" s="6"/>
      <c r="MIJ54" s="6"/>
      <c r="MIK54" s="6"/>
      <c r="MIL54" s="6"/>
      <c r="MIM54" s="6"/>
      <c r="MIN54" s="6"/>
      <c r="MIO54" s="6"/>
      <c r="MIP54" s="6"/>
      <c r="MIQ54" s="6"/>
      <c r="MIR54" s="6"/>
      <c r="MIS54" s="6"/>
      <c r="MIT54" s="6"/>
      <c r="MIU54" s="6"/>
      <c r="MIV54" s="6"/>
      <c r="MIW54" s="6"/>
      <c r="MIX54" s="6"/>
      <c r="MIY54" s="6"/>
      <c r="MIZ54" s="6"/>
      <c r="MJA54" s="6"/>
      <c r="MJB54" s="6"/>
      <c r="MJC54" s="6"/>
      <c r="MJD54" s="6"/>
      <c r="MJE54" s="6"/>
      <c r="MJF54" s="6"/>
      <c r="MJG54" s="6"/>
      <c r="MJH54" s="6"/>
      <c r="MJI54" s="6"/>
      <c r="MJJ54" s="6"/>
      <c r="MJK54" s="6"/>
      <c r="MJL54" s="6"/>
      <c r="MJM54" s="6"/>
      <c r="MJN54" s="6"/>
      <c r="MJO54" s="6"/>
      <c r="MJP54" s="6"/>
      <c r="MJQ54" s="6"/>
      <c r="MJR54" s="6"/>
      <c r="MJS54" s="6"/>
      <c r="MJT54" s="6"/>
      <c r="MJU54" s="6"/>
      <c r="MJV54" s="6"/>
      <c r="MJW54" s="6"/>
      <c r="MJX54" s="6"/>
      <c r="MJY54" s="6"/>
      <c r="MJZ54" s="6"/>
      <c r="MKA54" s="6"/>
      <c r="MKB54" s="6"/>
      <c r="MKC54" s="6"/>
      <c r="MKD54" s="6"/>
      <c r="MKE54" s="6"/>
      <c r="MKF54" s="6"/>
      <c r="MKG54" s="6"/>
      <c r="MKH54" s="6"/>
      <c r="MKI54" s="6"/>
      <c r="MKJ54" s="6"/>
      <c r="MKK54" s="6"/>
      <c r="MKL54" s="6"/>
      <c r="MKM54" s="6"/>
      <c r="MKN54" s="6"/>
      <c r="MKO54" s="6"/>
      <c r="MKP54" s="6"/>
      <c r="MKQ54" s="6"/>
      <c r="MKR54" s="6"/>
      <c r="MKS54" s="6"/>
      <c r="MKT54" s="6"/>
      <c r="MKU54" s="6"/>
      <c r="MKV54" s="6"/>
      <c r="MKW54" s="6"/>
      <c r="MKX54" s="6"/>
      <c r="MKY54" s="6"/>
      <c r="MKZ54" s="6"/>
      <c r="MLA54" s="6"/>
      <c r="MLB54" s="6"/>
      <c r="MLC54" s="6"/>
      <c r="MLD54" s="6"/>
      <c r="MLE54" s="6"/>
      <c r="MLF54" s="6"/>
      <c r="MLG54" s="6"/>
      <c r="MLH54" s="6"/>
      <c r="MLI54" s="6"/>
      <c r="MLJ54" s="6"/>
      <c r="MLK54" s="6"/>
      <c r="MLL54" s="6"/>
      <c r="MLM54" s="6"/>
      <c r="MLN54" s="6"/>
      <c r="MLO54" s="6"/>
      <c r="MLP54" s="6"/>
      <c r="MLQ54" s="6"/>
      <c r="MLR54" s="6"/>
      <c r="MLS54" s="6"/>
      <c r="MLT54" s="6"/>
      <c r="MLU54" s="6"/>
      <c r="MLV54" s="6"/>
      <c r="MLW54" s="6"/>
      <c r="MLX54" s="6"/>
      <c r="MLY54" s="6"/>
      <c r="MLZ54" s="6"/>
      <c r="MMA54" s="6"/>
      <c r="MMB54" s="6"/>
      <c r="MMC54" s="6"/>
      <c r="MMD54" s="6"/>
      <c r="MME54" s="6"/>
      <c r="MMF54" s="6"/>
      <c r="MMG54" s="6"/>
      <c r="MMH54" s="6"/>
      <c r="MMI54" s="6"/>
      <c r="MMJ54" s="6"/>
      <c r="MMK54" s="6"/>
      <c r="MML54" s="6"/>
      <c r="MMM54" s="6"/>
      <c r="MMN54" s="6"/>
      <c r="MMO54" s="6"/>
      <c r="MMP54" s="6"/>
      <c r="MMQ54" s="6"/>
      <c r="MMR54" s="6"/>
      <c r="MMS54" s="6"/>
      <c r="MMT54" s="6"/>
      <c r="MMU54" s="6"/>
      <c r="MMV54" s="6"/>
      <c r="MMW54" s="6"/>
      <c r="MMX54" s="6"/>
      <c r="MMY54" s="6"/>
      <c r="MMZ54" s="6"/>
      <c r="MNA54" s="6"/>
      <c r="MNB54" s="6"/>
      <c r="MNC54" s="6"/>
      <c r="MND54" s="6"/>
      <c r="MNE54" s="6"/>
      <c r="MNF54" s="6"/>
      <c r="MNG54" s="6"/>
      <c r="MNH54" s="6"/>
      <c r="MNI54" s="6"/>
      <c r="MNJ54" s="6"/>
      <c r="MNK54" s="6"/>
      <c r="MNL54" s="6"/>
      <c r="MNM54" s="6"/>
      <c r="MNN54" s="6"/>
      <c r="MNO54" s="6"/>
      <c r="MNP54" s="6"/>
      <c r="MNQ54" s="6"/>
      <c r="MNR54" s="6"/>
      <c r="MNS54" s="6"/>
      <c r="MNT54" s="6"/>
      <c r="MNU54" s="6"/>
      <c r="MNV54" s="6"/>
      <c r="MNW54" s="6"/>
      <c r="MNX54" s="6"/>
      <c r="MNY54" s="6"/>
      <c r="MNZ54" s="6"/>
      <c r="MOA54" s="6"/>
      <c r="MOB54" s="6"/>
      <c r="MOC54" s="6"/>
      <c r="MOD54" s="6"/>
      <c r="MOE54" s="6"/>
      <c r="MOF54" s="6"/>
      <c r="MOG54" s="6"/>
      <c r="MOH54" s="6"/>
      <c r="MOI54" s="6"/>
      <c r="MOJ54" s="6"/>
      <c r="MOK54" s="6"/>
      <c r="MOL54" s="6"/>
      <c r="MOM54" s="6"/>
      <c r="MON54" s="6"/>
      <c r="MOO54" s="6"/>
      <c r="MOP54" s="6"/>
      <c r="MOQ54" s="6"/>
      <c r="MOR54" s="6"/>
      <c r="MOS54" s="6"/>
      <c r="MOT54" s="6"/>
      <c r="MOU54" s="6"/>
      <c r="MOV54" s="6"/>
      <c r="MOW54" s="6"/>
      <c r="MOX54" s="6"/>
      <c r="MOY54" s="6"/>
      <c r="MOZ54" s="6"/>
      <c r="MPA54" s="6"/>
      <c r="MPB54" s="6"/>
      <c r="MPC54" s="6"/>
      <c r="MPD54" s="6"/>
      <c r="MPE54" s="6"/>
      <c r="MPF54" s="6"/>
      <c r="MPG54" s="6"/>
      <c r="MPH54" s="6"/>
      <c r="MPI54" s="6"/>
      <c r="MPJ54" s="6"/>
      <c r="MPK54" s="6"/>
      <c r="MPL54" s="6"/>
      <c r="MPM54" s="6"/>
      <c r="MPN54" s="6"/>
      <c r="MPO54" s="6"/>
      <c r="MPP54" s="6"/>
      <c r="MPQ54" s="6"/>
      <c r="MPR54" s="6"/>
      <c r="MPS54" s="6"/>
      <c r="MPT54" s="6"/>
      <c r="MPU54" s="6"/>
      <c r="MPV54" s="6"/>
      <c r="MPW54" s="6"/>
      <c r="MPX54" s="6"/>
      <c r="MPY54" s="6"/>
      <c r="MPZ54" s="6"/>
      <c r="MQA54" s="6"/>
      <c r="MQB54" s="6"/>
      <c r="MQC54" s="6"/>
      <c r="MQD54" s="6"/>
      <c r="MQE54" s="6"/>
      <c r="MQF54" s="6"/>
      <c r="MQG54" s="6"/>
      <c r="MQH54" s="6"/>
      <c r="MQI54" s="6"/>
      <c r="MQJ54" s="6"/>
      <c r="MQK54" s="6"/>
      <c r="MQL54" s="6"/>
      <c r="MQM54" s="6"/>
      <c r="MQN54" s="6"/>
      <c r="MQO54" s="6"/>
      <c r="MQP54" s="6"/>
      <c r="MQQ54" s="6"/>
      <c r="MQR54" s="6"/>
      <c r="MQS54" s="6"/>
      <c r="MQT54" s="6"/>
      <c r="MQU54" s="6"/>
      <c r="MQV54" s="6"/>
      <c r="MQW54" s="6"/>
      <c r="MQX54" s="6"/>
      <c r="MQY54" s="6"/>
      <c r="MQZ54" s="6"/>
      <c r="MRA54" s="6"/>
      <c r="MRB54" s="6"/>
      <c r="MRC54" s="6"/>
      <c r="MRD54" s="6"/>
      <c r="MRE54" s="6"/>
      <c r="MRF54" s="6"/>
      <c r="MRG54" s="6"/>
      <c r="MRH54" s="6"/>
      <c r="MRI54" s="6"/>
      <c r="MRJ54" s="6"/>
      <c r="MRK54" s="6"/>
      <c r="MRL54" s="6"/>
      <c r="MRM54" s="6"/>
      <c r="MRN54" s="6"/>
      <c r="MRO54" s="6"/>
      <c r="MRP54" s="6"/>
      <c r="MRQ54" s="6"/>
      <c r="MRR54" s="6"/>
      <c r="MRS54" s="6"/>
      <c r="MRT54" s="6"/>
      <c r="MRU54" s="6"/>
      <c r="MRV54" s="6"/>
      <c r="MRW54" s="6"/>
      <c r="MRX54" s="6"/>
      <c r="MRY54" s="6"/>
      <c r="MRZ54" s="6"/>
      <c r="MSA54" s="6"/>
      <c r="MSB54" s="6"/>
      <c r="MSC54" s="6"/>
      <c r="MSD54" s="6"/>
      <c r="MSE54" s="6"/>
      <c r="MSF54" s="6"/>
      <c r="MSG54" s="6"/>
      <c r="MSH54" s="6"/>
      <c r="MSI54" s="6"/>
      <c r="MSJ54" s="6"/>
      <c r="MSK54" s="6"/>
      <c r="MSL54" s="6"/>
      <c r="MSM54" s="6"/>
      <c r="MSN54" s="6"/>
      <c r="MSO54" s="6"/>
      <c r="MSP54" s="6"/>
      <c r="MSQ54" s="6"/>
      <c r="MSR54" s="6"/>
      <c r="MSS54" s="6"/>
      <c r="MST54" s="6"/>
      <c r="MSU54" s="6"/>
      <c r="MSV54" s="6"/>
      <c r="MSW54" s="6"/>
      <c r="MSX54" s="6"/>
      <c r="MSY54" s="6"/>
      <c r="MSZ54" s="6"/>
      <c r="MTA54" s="6"/>
      <c r="MTB54" s="6"/>
      <c r="MTC54" s="6"/>
      <c r="MTD54" s="6"/>
      <c r="MTE54" s="6"/>
      <c r="MTF54" s="6"/>
      <c r="MTG54" s="6"/>
      <c r="MTH54" s="6"/>
      <c r="MTI54" s="6"/>
      <c r="MTJ54" s="6"/>
      <c r="MTK54" s="6"/>
      <c r="MTL54" s="6"/>
      <c r="MTM54" s="6"/>
      <c r="MTN54" s="6"/>
      <c r="MTO54" s="6"/>
      <c r="MTP54" s="6"/>
      <c r="MTQ54" s="6"/>
      <c r="MTR54" s="6"/>
      <c r="MTS54" s="6"/>
      <c r="MTT54" s="6"/>
      <c r="MTU54" s="6"/>
      <c r="MTV54" s="6"/>
      <c r="MTW54" s="6"/>
      <c r="MTX54" s="6"/>
      <c r="MTY54" s="6"/>
      <c r="MTZ54" s="6"/>
      <c r="MUA54" s="6"/>
      <c r="MUB54" s="6"/>
      <c r="MUC54" s="6"/>
      <c r="MUD54" s="6"/>
      <c r="MUE54" s="6"/>
      <c r="MUF54" s="6"/>
      <c r="MUG54" s="6"/>
      <c r="MUH54" s="6"/>
      <c r="MUI54" s="6"/>
      <c r="MUJ54" s="6"/>
      <c r="MUK54" s="6"/>
      <c r="MUL54" s="6"/>
      <c r="MUM54" s="6"/>
      <c r="MUN54" s="6"/>
      <c r="MUO54" s="6"/>
      <c r="MUP54" s="6"/>
      <c r="MUQ54" s="6"/>
      <c r="MUR54" s="6"/>
      <c r="MUS54" s="6"/>
      <c r="MUT54" s="6"/>
      <c r="MUU54" s="6"/>
      <c r="MUV54" s="6"/>
      <c r="MUW54" s="6"/>
      <c r="MUX54" s="6"/>
      <c r="MUY54" s="6"/>
      <c r="MUZ54" s="6"/>
      <c r="MVA54" s="6"/>
      <c r="MVB54" s="6"/>
      <c r="MVC54" s="6"/>
      <c r="MVD54" s="6"/>
      <c r="MVE54" s="6"/>
      <c r="MVF54" s="6"/>
      <c r="MVG54" s="6"/>
      <c r="MVH54" s="6"/>
      <c r="MVI54" s="6"/>
      <c r="MVJ54" s="6"/>
      <c r="MVK54" s="6"/>
      <c r="MVL54" s="6"/>
      <c r="MVM54" s="6"/>
      <c r="MVN54" s="6"/>
      <c r="MVO54" s="6"/>
      <c r="MVP54" s="6"/>
      <c r="MVQ54" s="6"/>
      <c r="MVR54" s="6"/>
      <c r="MVS54" s="6"/>
      <c r="MVT54" s="6"/>
      <c r="MVU54" s="6"/>
      <c r="MVV54" s="6"/>
      <c r="MVW54" s="6"/>
      <c r="MVX54" s="6"/>
      <c r="MVY54" s="6"/>
      <c r="MVZ54" s="6"/>
      <c r="MWA54" s="6"/>
      <c r="MWB54" s="6"/>
      <c r="MWC54" s="6"/>
      <c r="MWD54" s="6"/>
      <c r="MWE54" s="6"/>
      <c r="MWF54" s="6"/>
      <c r="MWG54" s="6"/>
      <c r="MWH54" s="6"/>
      <c r="MWI54" s="6"/>
      <c r="MWJ54" s="6"/>
      <c r="MWK54" s="6"/>
      <c r="MWL54" s="6"/>
      <c r="MWM54" s="6"/>
      <c r="MWN54" s="6"/>
      <c r="MWO54" s="6"/>
      <c r="MWP54" s="6"/>
      <c r="MWQ54" s="6"/>
      <c r="MWR54" s="6"/>
      <c r="MWS54" s="6"/>
      <c r="MWT54" s="6"/>
      <c r="MWU54" s="6"/>
      <c r="MWV54" s="6"/>
      <c r="MWW54" s="6"/>
      <c r="MWX54" s="6"/>
      <c r="MWY54" s="6"/>
      <c r="MWZ54" s="6"/>
      <c r="MXA54" s="6"/>
      <c r="MXB54" s="6"/>
      <c r="MXC54" s="6"/>
      <c r="MXD54" s="6"/>
      <c r="MXE54" s="6"/>
      <c r="MXF54" s="6"/>
      <c r="MXG54" s="6"/>
      <c r="MXH54" s="6"/>
      <c r="MXI54" s="6"/>
      <c r="MXJ54" s="6"/>
      <c r="MXK54" s="6"/>
      <c r="MXL54" s="6"/>
      <c r="MXM54" s="6"/>
      <c r="MXN54" s="6"/>
      <c r="MXO54" s="6"/>
      <c r="MXP54" s="6"/>
      <c r="MXQ54" s="6"/>
      <c r="MXR54" s="6"/>
      <c r="MXS54" s="6"/>
      <c r="MXT54" s="6"/>
      <c r="MXU54" s="6"/>
      <c r="MXV54" s="6"/>
      <c r="MXW54" s="6"/>
      <c r="MXX54" s="6"/>
      <c r="MXY54" s="6"/>
      <c r="MXZ54" s="6"/>
      <c r="MYA54" s="6"/>
      <c r="MYB54" s="6"/>
      <c r="MYC54" s="6"/>
      <c r="MYD54" s="6"/>
      <c r="MYE54" s="6"/>
      <c r="MYF54" s="6"/>
      <c r="MYG54" s="6"/>
      <c r="MYH54" s="6"/>
      <c r="MYI54" s="6"/>
      <c r="MYJ54" s="6"/>
      <c r="MYK54" s="6"/>
      <c r="MYL54" s="6"/>
      <c r="MYM54" s="6"/>
      <c r="MYN54" s="6"/>
      <c r="MYO54" s="6"/>
      <c r="MYP54" s="6"/>
      <c r="MYQ54" s="6"/>
      <c r="MYR54" s="6"/>
      <c r="MYS54" s="6"/>
      <c r="MYT54" s="6"/>
      <c r="MYU54" s="6"/>
      <c r="MYV54" s="6"/>
      <c r="MYW54" s="6"/>
      <c r="MYX54" s="6"/>
      <c r="MYY54" s="6"/>
      <c r="MYZ54" s="6"/>
      <c r="MZA54" s="6"/>
      <c r="MZB54" s="6"/>
      <c r="MZC54" s="6"/>
      <c r="MZD54" s="6"/>
      <c r="MZE54" s="6"/>
      <c r="MZF54" s="6"/>
      <c r="MZG54" s="6"/>
      <c r="MZH54" s="6"/>
      <c r="MZI54" s="6"/>
      <c r="MZJ54" s="6"/>
      <c r="MZK54" s="6"/>
      <c r="MZL54" s="6"/>
      <c r="MZM54" s="6"/>
      <c r="MZN54" s="6"/>
      <c r="MZO54" s="6"/>
      <c r="MZP54" s="6"/>
      <c r="MZQ54" s="6"/>
      <c r="MZR54" s="6"/>
      <c r="MZS54" s="6"/>
      <c r="MZT54" s="6"/>
      <c r="MZU54" s="6"/>
      <c r="MZV54" s="6"/>
      <c r="MZW54" s="6"/>
      <c r="MZX54" s="6"/>
      <c r="MZY54" s="6"/>
      <c r="MZZ54" s="6"/>
      <c r="NAA54" s="6"/>
      <c r="NAB54" s="6"/>
      <c r="NAC54" s="6"/>
      <c r="NAD54" s="6"/>
      <c r="NAE54" s="6"/>
      <c r="NAF54" s="6"/>
      <c r="NAG54" s="6"/>
      <c r="NAH54" s="6"/>
      <c r="NAI54" s="6"/>
      <c r="NAJ54" s="6"/>
      <c r="NAK54" s="6"/>
      <c r="NAL54" s="6"/>
      <c r="NAM54" s="6"/>
      <c r="NAN54" s="6"/>
      <c r="NAO54" s="6"/>
      <c r="NAP54" s="6"/>
      <c r="NAQ54" s="6"/>
      <c r="NAR54" s="6"/>
      <c r="NAS54" s="6"/>
      <c r="NAT54" s="6"/>
      <c r="NAU54" s="6"/>
      <c r="NAV54" s="6"/>
      <c r="NAW54" s="6"/>
      <c r="NAX54" s="6"/>
      <c r="NAY54" s="6"/>
      <c r="NAZ54" s="6"/>
      <c r="NBA54" s="6"/>
      <c r="NBB54" s="6"/>
      <c r="NBC54" s="6"/>
      <c r="NBD54" s="6"/>
      <c r="NBE54" s="6"/>
      <c r="NBF54" s="6"/>
      <c r="NBG54" s="6"/>
      <c r="NBH54" s="6"/>
      <c r="NBI54" s="6"/>
      <c r="NBJ54" s="6"/>
      <c r="NBK54" s="6"/>
      <c r="NBL54" s="6"/>
      <c r="NBM54" s="6"/>
      <c r="NBN54" s="6"/>
      <c r="NBO54" s="6"/>
      <c r="NBP54" s="6"/>
      <c r="NBQ54" s="6"/>
      <c r="NBR54" s="6"/>
      <c r="NBS54" s="6"/>
      <c r="NBT54" s="6"/>
      <c r="NBU54" s="6"/>
      <c r="NBV54" s="6"/>
      <c r="NBW54" s="6"/>
      <c r="NBX54" s="6"/>
      <c r="NBY54" s="6"/>
      <c r="NBZ54" s="6"/>
      <c r="NCA54" s="6"/>
      <c r="NCB54" s="6"/>
      <c r="NCC54" s="6"/>
      <c r="NCD54" s="6"/>
      <c r="NCE54" s="6"/>
      <c r="NCF54" s="6"/>
      <c r="NCG54" s="6"/>
      <c r="NCH54" s="6"/>
      <c r="NCI54" s="6"/>
      <c r="NCJ54" s="6"/>
      <c r="NCK54" s="6"/>
      <c r="NCL54" s="6"/>
      <c r="NCM54" s="6"/>
      <c r="NCN54" s="6"/>
      <c r="NCO54" s="6"/>
      <c r="NCP54" s="6"/>
      <c r="NCQ54" s="6"/>
      <c r="NCR54" s="6"/>
      <c r="NCS54" s="6"/>
      <c r="NCT54" s="6"/>
      <c r="NCU54" s="6"/>
      <c r="NCV54" s="6"/>
      <c r="NCW54" s="6"/>
      <c r="NCX54" s="6"/>
      <c r="NCY54" s="6"/>
      <c r="NCZ54" s="6"/>
      <c r="NDA54" s="6"/>
      <c r="NDB54" s="6"/>
      <c r="NDC54" s="6"/>
      <c r="NDD54" s="6"/>
      <c r="NDE54" s="6"/>
      <c r="NDF54" s="6"/>
      <c r="NDG54" s="6"/>
      <c r="NDH54" s="6"/>
      <c r="NDI54" s="6"/>
      <c r="NDJ54" s="6"/>
      <c r="NDK54" s="6"/>
      <c r="NDL54" s="6"/>
      <c r="NDM54" s="6"/>
      <c r="NDN54" s="6"/>
      <c r="NDO54" s="6"/>
      <c r="NDP54" s="6"/>
      <c r="NDQ54" s="6"/>
      <c r="NDR54" s="6"/>
      <c r="NDS54" s="6"/>
      <c r="NDT54" s="6"/>
      <c r="NDU54" s="6"/>
      <c r="NDV54" s="6"/>
      <c r="NDW54" s="6"/>
      <c r="NDX54" s="6"/>
      <c r="NDY54" s="6"/>
      <c r="NDZ54" s="6"/>
      <c r="NEA54" s="6"/>
      <c r="NEB54" s="6"/>
      <c r="NEC54" s="6"/>
      <c r="NED54" s="6"/>
      <c r="NEE54" s="6"/>
      <c r="NEF54" s="6"/>
      <c r="NEG54" s="6"/>
      <c r="NEH54" s="6"/>
      <c r="NEI54" s="6"/>
      <c r="NEJ54" s="6"/>
      <c r="NEK54" s="6"/>
      <c r="NEL54" s="6"/>
      <c r="NEM54" s="6"/>
      <c r="NEN54" s="6"/>
      <c r="NEO54" s="6"/>
      <c r="NEP54" s="6"/>
      <c r="NEQ54" s="6"/>
      <c r="NER54" s="6"/>
      <c r="NES54" s="6"/>
      <c r="NET54" s="6"/>
      <c r="NEU54" s="6"/>
      <c r="NEV54" s="6"/>
      <c r="NEW54" s="6"/>
      <c r="NEX54" s="6"/>
      <c r="NEY54" s="6"/>
      <c r="NEZ54" s="6"/>
      <c r="NFA54" s="6"/>
      <c r="NFB54" s="6"/>
      <c r="NFC54" s="6"/>
      <c r="NFD54" s="6"/>
      <c r="NFE54" s="6"/>
      <c r="NFF54" s="6"/>
      <c r="NFG54" s="6"/>
      <c r="NFH54" s="6"/>
      <c r="NFI54" s="6"/>
      <c r="NFJ54" s="6"/>
      <c r="NFK54" s="6"/>
      <c r="NFL54" s="6"/>
      <c r="NFM54" s="6"/>
      <c r="NFN54" s="6"/>
      <c r="NFO54" s="6"/>
      <c r="NFP54" s="6"/>
      <c r="NFQ54" s="6"/>
      <c r="NFR54" s="6"/>
      <c r="NFS54" s="6"/>
      <c r="NFT54" s="6"/>
      <c r="NFU54" s="6"/>
      <c r="NFV54" s="6"/>
      <c r="NFW54" s="6"/>
      <c r="NFX54" s="6"/>
      <c r="NFY54" s="6"/>
      <c r="NFZ54" s="6"/>
      <c r="NGA54" s="6"/>
      <c r="NGB54" s="6"/>
      <c r="NGC54" s="6"/>
      <c r="NGD54" s="6"/>
      <c r="NGE54" s="6"/>
      <c r="NGF54" s="6"/>
      <c r="NGG54" s="6"/>
      <c r="NGH54" s="6"/>
      <c r="NGI54" s="6"/>
      <c r="NGJ54" s="6"/>
      <c r="NGK54" s="6"/>
      <c r="NGL54" s="6"/>
      <c r="NGM54" s="6"/>
      <c r="NGN54" s="6"/>
      <c r="NGO54" s="6"/>
      <c r="NGP54" s="6"/>
      <c r="NGQ54" s="6"/>
      <c r="NGR54" s="6"/>
      <c r="NGS54" s="6"/>
      <c r="NGT54" s="6"/>
      <c r="NGU54" s="6"/>
      <c r="NGV54" s="6"/>
      <c r="NGW54" s="6"/>
      <c r="NGX54" s="6"/>
      <c r="NGY54" s="6"/>
      <c r="NGZ54" s="6"/>
      <c r="NHA54" s="6"/>
      <c r="NHB54" s="6"/>
      <c r="NHC54" s="6"/>
      <c r="NHD54" s="6"/>
      <c r="NHE54" s="6"/>
      <c r="NHF54" s="6"/>
      <c r="NHG54" s="6"/>
      <c r="NHH54" s="6"/>
      <c r="NHI54" s="6"/>
      <c r="NHJ54" s="6"/>
      <c r="NHK54" s="6"/>
      <c r="NHL54" s="6"/>
      <c r="NHM54" s="6"/>
      <c r="NHN54" s="6"/>
      <c r="NHO54" s="6"/>
      <c r="NHP54" s="6"/>
      <c r="NHQ54" s="6"/>
      <c r="NHR54" s="6"/>
      <c r="NHS54" s="6"/>
      <c r="NHT54" s="6"/>
      <c r="NHU54" s="6"/>
      <c r="NHV54" s="6"/>
      <c r="NHW54" s="6"/>
      <c r="NHX54" s="6"/>
      <c r="NHY54" s="6"/>
      <c r="NHZ54" s="6"/>
      <c r="NIA54" s="6"/>
      <c r="NIB54" s="6"/>
      <c r="NIC54" s="6"/>
      <c r="NID54" s="6"/>
      <c r="NIE54" s="6"/>
      <c r="NIF54" s="6"/>
      <c r="NIG54" s="6"/>
      <c r="NIH54" s="6"/>
      <c r="NII54" s="6"/>
      <c r="NIJ54" s="6"/>
      <c r="NIK54" s="6"/>
      <c r="NIL54" s="6"/>
      <c r="NIM54" s="6"/>
      <c r="NIN54" s="6"/>
      <c r="NIO54" s="6"/>
      <c r="NIP54" s="6"/>
      <c r="NIQ54" s="6"/>
      <c r="NIR54" s="6"/>
      <c r="NIS54" s="6"/>
      <c r="NIT54" s="6"/>
      <c r="NIU54" s="6"/>
      <c r="NIV54" s="6"/>
      <c r="NIW54" s="6"/>
      <c r="NIX54" s="6"/>
      <c r="NIY54" s="6"/>
      <c r="NIZ54" s="6"/>
      <c r="NJA54" s="6"/>
      <c r="NJB54" s="6"/>
      <c r="NJC54" s="6"/>
      <c r="NJD54" s="6"/>
      <c r="NJE54" s="6"/>
      <c r="NJF54" s="6"/>
      <c r="NJG54" s="6"/>
      <c r="NJH54" s="6"/>
      <c r="NJI54" s="6"/>
      <c r="NJJ54" s="6"/>
      <c r="NJK54" s="6"/>
      <c r="NJL54" s="6"/>
      <c r="NJM54" s="6"/>
      <c r="NJN54" s="6"/>
      <c r="NJO54" s="6"/>
      <c r="NJP54" s="6"/>
      <c r="NJQ54" s="6"/>
      <c r="NJR54" s="6"/>
      <c r="NJS54" s="6"/>
      <c r="NJT54" s="6"/>
      <c r="NJU54" s="6"/>
      <c r="NJV54" s="6"/>
      <c r="NJW54" s="6"/>
      <c r="NJX54" s="6"/>
      <c r="NJY54" s="6"/>
      <c r="NJZ54" s="6"/>
      <c r="NKA54" s="6"/>
      <c r="NKB54" s="6"/>
      <c r="NKC54" s="6"/>
      <c r="NKD54" s="6"/>
      <c r="NKE54" s="6"/>
      <c r="NKF54" s="6"/>
      <c r="NKG54" s="6"/>
      <c r="NKH54" s="6"/>
      <c r="NKI54" s="6"/>
      <c r="NKJ54" s="6"/>
      <c r="NKK54" s="6"/>
      <c r="NKL54" s="6"/>
      <c r="NKM54" s="6"/>
      <c r="NKN54" s="6"/>
      <c r="NKO54" s="6"/>
      <c r="NKP54" s="6"/>
      <c r="NKQ54" s="6"/>
      <c r="NKR54" s="6"/>
      <c r="NKS54" s="6"/>
      <c r="NKT54" s="6"/>
      <c r="NKU54" s="6"/>
      <c r="NKV54" s="6"/>
      <c r="NKW54" s="6"/>
      <c r="NKX54" s="6"/>
      <c r="NKY54" s="6"/>
      <c r="NKZ54" s="6"/>
      <c r="NLA54" s="6"/>
      <c r="NLB54" s="6"/>
      <c r="NLC54" s="6"/>
      <c r="NLD54" s="6"/>
      <c r="NLE54" s="6"/>
      <c r="NLF54" s="6"/>
      <c r="NLG54" s="6"/>
      <c r="NLH54" s="6"/>
      <c r="NLI54" s="6"/>
      <c r="NLJ54" s="6"/>
      <c r="NLK54" s="6"/>
      <c r="NLL54" s="6"/>
      <c r="NLM54" s="6"/>
      <c r="NLN54" s="6"/>
      <c r="NLO54" s="6"/>
      <c r="NLP54" s="6"/>
      <c r="NLQ54" s="6"/>
      <c r="NLR54" s="6"/>
      <c r="NLS54" s="6"/>
      <c r="NLT54" s="6"/>
      <c r="NLU54" s="6"/>
      <c r="NLV54" s="6"/>
      <c r="NLW54" s="6"/>
      <c r="NLX54" s="6"/>
      <c r="NLY54" s="6"/>
      <c r="NLZ54" s="6"/>
      <c r="NMA54" s="6"/>
      <c r="NMB54" s="6"/>
      <c r="NMC54" s="6"/>
      <c r="NMD54" s="6"/>
      <c r="NME54" s="6"/>
      <c r="NMF54" s="6"/>
      <c r="NMG54" s="6"/>
      <c r="NMH54" s="6"/>
      <c r="NMI54" s="6"/>
      <c r="NMJ54" s="6"/>
      <c r="NMK54" s="6"/>
      <c r="NML54" s="6"/>
      <c r="NMM54" s="6"/>
      <c r="NMN54" s="6"/>
      <c r="NMO54" s="6"/>
      <c r="NMP54" s="6"/>
      <c r="NMQ54" s="6"/>
      <c r="NMR54" s="6"/>
      <c r="NMS54" s="6"/>
      <c r="NMT54" s="6"/>
      <c r="NMU54" s="6"/>
      <c r="NMV54" s="6"/>
      <c r="NMW54" s="6"/>
      <c r="NMX54" s="6"/>
      <c r="NMY54" s="6"/>
      <c r="NMZ54" s="6"/>
      <c r="NNA54" s="6"/>
      <c r="NNB54" s="6"/>
      <c r="NNC54" s="6"/>
      <c r="NND54" s="6"/>
      <c r="NNE54" s="6"/>
      <c r="NNF54" s="6"/>
      <c r="NNG54" s="6"/>
      <c r="NNH54" s="6"/>
      <c r="NNI54" s="6"/>
      <c r="NNJ54" s="6"/>
      <c r="NNK54" s="6"/>
      <c r="NNL54" s="6"/>
      <c r="NNM54" s="6"/>
      <c r="NNN54" s="6"/>
      <c r="NNO54" s="6"/>
      <c r="NNP54" s="6"/>
      <c r="NNQ54" s="6"/>
      <c r="NNR54" s="6"/>
      <c r="NNS54" s="6"/>
      <c r="NNT54" s="6"/>
      <c r="NNU54" s="6"/>
      <c r="NNV54" s="6"/>
      <c r="NNW54" s="6"/>
      <c r="NNX54" s="6"/>
      <c r="NNY54" s="6"/>
      <c r="NNZ54" s="6"/>
      <c r="NOA54" s="6"/>
      <c r="NOB54" s="6"/>
      <c r="NOC54" s="6"/>
      <c r="NOD54" s="6"/>
      <c r="NOE54" s="6"/>
      <c r="NOF54" s="6"/>
      <c r="NOG54" s="6"/>
      <c r="NOH54" s="6"/>
      <c r="NOI54" s="6"/>
      <c r="NOJ54" s="6"/>
      <c r="NOK54" s="6"/>
      <c r="NOL54" s="6"/>
      <c r="NOM54" s="6"/>
      <c r="NON54" s="6"/>
      <c r="NOO54" s="6"/>
      <c r="NOP54" s="6"/>
      <c r="NOQ54" s="6"/>
      <c r="NOR54" s="6"/>
      <c r="NOS54" s="6"/>
      <c r="NOT54" s="6"/>
      <c r="NOU54" s="6"/>
      <c r="NOV54" s="6"/>
      <c r="NOW54" s="6"/>
      <c r="NOX54" s="6"/>
      <c r="NOY54" s="6"/>
      <c r="NOZ54" s="6"/>
      <c r="NPA54" s="6"/>
      <c r="NPB54" s="6"/>
      <c r="NPC54" s="6"/>
      <c r="NPD54" s="6"/>
      <c r="NPE54" s="6"/>
      <c r="NPF54" s="6"/>
      <c r="NPG54" s="6"/>
      <c r="NPH54" s="6"/>
      <c r="NPI54" s="6"/>
      <c r="NPJ54" s="6"/>
      <c r="NPK54" s="6"/>
      <c r="NPL54" s="6"/>
      <c r="NPM54" s="6"/>
      <c r="NPN54" s="6"/>
      <c r="NPO54" s="6"/>
      <c r="NPP54" s="6"/>
      <c r="NPQ54" s="6"/>
      <c r="NPR54" s="6"/>
      <c r="NPS54" s="6"/>
      <c r="NPT54" s="6"/>
      <c r="NPU54" s="6"/>
      <c r="NPV54" s="6"/>
      <c r="NPW54" s="6"/>
      <c r="NPX54" s="6"/>
      <c r="NPY54" s="6"/>
      <c r="NPZ54" s="6"/>
      <c r="NQA54" s="6"/>
      <c r="NQB54" s="6"/>
      <c r="NQC54" s="6"/>
      <c r="NQD54" s="6"/>
      <c r="NQE54" s="6"/>
      <c r="NQF54" s="6"/>
      <c r="NQG54" s="6"/>
      <c r="NQH54" s="6"/>
      <c r="NQI54" s="6"/>
      <c r="NQJ54" s="6"/>
      <c r="NQK54" s="6"/>
      <c r="NQL54" s="6"/>
      <c r="NQM54" s="6"/>
      <c r="NQN54" s="6"/>
      <c r="NQO54" s="6"/>
      <c r="NQP54" s="6"/>
      <c r="NQQ54" s="6"/>
      <c r="NQR54" s="6"/>
      <c r="NQS54" s="6"/>
      <c r="NQT54" s="6"/>
      <c r="NQU54" s="6"/>
      <c r="NQV54" s="6"/>
      <c r="NQW54" s="6"/>
      <c r="NQX54" s="6"/>
      <c r="NQY54" s="6"/>
      <c r="NQZ54" s="6"/>
      <c r="NRA54" s="6"/>
      <c r="NRB54" s="6"/>
      <c r="NRC54" s="6"/>
      <c r="NRD54" s="6"/>
      <c r="NRE54" s="6"/>
      <c r="NRF54" s="6"/>
      <c r="NRG54" s="6"/>
      <c r="NRH54" s="6"/>
      <c r="NRI54" s="6"/>
      <c r="NRJ54" s="6"/>
      <c r="NRK54" s="6"/>
      <c r="NRL54" s="6"/>
      <c r="NRM54" s="6"/>
      <c r="NRN54" s="6"/>
      <c r="NRO54" s="6"/>
      <c r="NRP54" s="6"/>
      <c r="NRQ54" s="6"/>
      <c r="NRR54" s="6"/>
      <c r="NRS54" s="6"/>
      <c r="NRT54" s="6"/>
      <c r="NRU54" s="6"/>
      <c r="NRV54" s="6"/>
      <c r="NRW54" s="6"/>
      <c r="NRX54" s="6"/>
      <c r="NRY54" s="6"/>
      <c r="NRZ54" s="6"/>
      <c r="NSA54" s="6"/>
      <c r="NSB54" s="6"/>
      <c r="NSC54" s="6"/>
      <c r="NSD54" s="6"/>
      <c r="NSE54" s="6"/>
      <c r="NSF54" s="6"/>
      <c r="NSG54" s="6"/>
      <c r="NSH54" s="6"/>
      <c r="NSI54" s="6"/>
      <c r="NSJ54" s="6"/>
      <c r="NSK54" s="6"/>
      <c r="NSL54" s="6"/>
      <c r="NSM54" s="6"/>
      <c r="NSN54" s="6"/>
      <c r="NSO54" s="6"/>
      <c r="NSP54" s="6"/>
      <c r="NSQ54" s="6"/>
      <c r="NSR54" s="6"/>
      <c r="NSS54" s="6"/>
      <c r="NST54" s="6"/>
      <c r="NSU54" s="6"/>
      <c r="NSV54" s="6"/>
      <c r="NSW54" s="6"/>
      <c r="NSX54" s="6"/>
      <c r="NSY54" s="6"/>
      <c r="NSZ54" s="6"/>
      <c r="NTA54" s="6"/>
      <c r="NTB54" s="6"/>
      <c r="NTC54" s="6"/>
      <c r="NTD54" s="6"/>
      <c r="NTE54" s="6"/>
      <c r="NTF54" s="6"/>
      <c r="NTG54" s="6"/>
      <c r="NTH54" s="6"/>
      <c r="NTI54" s="6"/>
      <c r="NTJ54" s="6"/>
      <c r="NTK54" s="6"/>
      <c r="NTL54" s="6"/>
      <c r="NTM54" s="6"/>
      <c r="NTN54" s="6"/>
      <c r="NTO54" s="6"/>
      <c r="NTP54" s="6"/>
      <c r="NTQ54" s="6"/>
      <c r="NTR54" s="6"/>
      <c r="NTS54" s="6"/>
      <c r="NTT54" s="6"/>
      <c r="NTU54" s="6"/>
      <c r="NTV54" s="6"/>
      <c r="NTW54" s="6"/>
      <c r="NTX54" s="6"/>
      <c r="NTY54" s="6"/>
      <c r="NTZ54" s="6"/>
      <c r="NUA54" s="6"/>
      <c r="NUB54" s="6"/>
      <c r="NUC54" s="6"/>
      <c r="NUD54" s="6"/>
      <c r="NUE54" s="6"/>
      <c r="NUF54" s="6"/>
      <c r="NUG54" s="6"/>
      <c r="NUH54" s="6"/>
      <c r="NUI54" s="6"/>
      <c r="NUJ54" s="6"/>
      <c r="NUK54" s="6"/>
      <c r="NUL54" s="6"/>
      <c r="NUM54" s="6"/>
      <c r="NUN54" s="6"/>
      <c r="NUO54" s="6"/>
      <c r="NUP54" s="6"/>
      <c r="NUQ54" s="6"/>
      <c r="NUR54" s="6"/>
      <c r="NUS54" s="6"/>
      <c r="NUT54" s="6"/>
      <c r="NUU54" s="6"/>
      <c r="NUV54" s="6"/>
      <c r="NUW54" s="6"/>
      <c r="NUX54" s="6"/>
      <c r="NUY54" s="6"/>
      <c r="NUZ54" s="6"/>
      <c r="NVA54" s="6"/>
      <c r="NVB54" s="6"/>
      <c r="NVC54" s="6"/>
      <c r="NVD54" s="6"/>
      <c r="NVE54" s="6"/>
      <c r="NVF54" s="6"/>
      <c r="NVG54" s="6"/>
      <c r="NVH54" s="6"/>
      <c r="NVI54" s="6"/>
      <c r="NVJ54" s="6"/>
      <c r="NVK54" s="6"/>
      <c r="NVL54" s="6"/>
      <c r="NVM54" s="6"/>
      <c r="NVN54" s="6"/>
      <c r="NVO54" s="6"/>
      <c r="NVP54" s="6"/>
      <c r="NVQ54" s="6"/>
      <c r="NVR54" s="6"/>
      <c r="NVS54" s="6"/>
      <c r="NVT54" s="6"/>
      <c r="NVU54" s="6"/>
      <c r="NVV54" s="6"/>
      <c r="NVW54" s="6"/>
      <c r="NVX54" s="6"/>
      <c r="NVY54" s="6"/>
      <c r="NVZ54" s="6"/>
      <c r="NWA54" s="6"/>
      <c r="NWB54" s="6"/>
      <c r="NWC54" s="6"/>
      <c r="NWD54" s="6"/>
      <c r="NWE54" s="6"/>
      <c r="NWF54" s="6"/>
      <c r="NWG54" s="6"/>
      <c r="NWH54" s="6"/>
      <c r="NWI54" s="6"/>
      <c r="NWJ54" s="6"/>
      <c r="NWK54" s="6"/>
      <c r="NWL54" s="6"/>
      <c r="NWM54" s="6"/>
      <c r="NWN54" s="6"/>
      <c r="NWO54" s="6"/>
      <c r="NWP54" s="6"/>
      <c r="NWQ54" s="6"/>
      <c r="NWR54" s="6"/>
      <c r="NWS54" s="6"/>
      <c r="NWT54" s="6"/>
      <c r="NWU54" s="6"/>
      <c r="NWV54" s="6"/>
      <c r="NWW54" s="6"/>
      <c r="NWX54" s="6"/>
      <c r="NWY54" s="6"/>
      <c r="NWZ54" s="6"/>
      <c r="NXA54" s="6"/>
      <c r="NXB54" s="6"/>
      <c r="NXC54" s="6"/>
      <c r="NXD54" s="6"/>
      <c r="NXE54" s="6"/>
      <c r="NXF54" s="6"/>
      <c r="NXG54" s="6"/>
      <c r="NXH54" s="6"/>
      <c r="NXI54" s="6"/>
      <c r="NXJ54" s="6"/>
      <c r="NXK54" s="6"/>
      <c r="NXL54" s="6"/>
      <c r="NXM54" s="6"/>
      <c r="NXN54" s="6"/>
      <c r="NXO54" s="6"/>
      <c r="NXP54" s="6"/>
      <c r="NXQ54" s="6"/>
      <c r="NXR54" s="6"/>
      <c r="NXS54" s="6"/>
      <c r="NXT54" s="6"/>
      <c r="NXU54" s="6"/>
      <c r="NXV54" s="6"/>
      <c r="NXW54" s="6"/>
      <c r="NXX54" s="6"/>
      <c r="NXY54" s="6"/>
      <c r="NXZ54" s="6"/>
      <c r="NYA54" s="6"/>
      <c r="NYB54" s="6"/>
      <c r="NYC54" s="6"/>
      <c r="NYD54" s="6"/>
      <c r="NYE54" s="6"/>
      <c r="NYF54" s="6"/>
      <c r="NYG54" s="6"/>
      <c r="NYH54" s="6"/>
      <c r="NYI54" s="6"/>
      <c r="NYJ54" s="6"/>
      <c r="NYK54" s="6"/>
      <c r="NYL54" s="6"/>
      <c r="NYM54" s="6"/>
      <c r="NYN54" s="6"/>
      <c r="NYO54" s="6"/>
      <c r="NYP54" s="6"/>
      <c r="NYQ54" s="6"/>
      <c r="NYR54" s="6"/>
      <c r="NYS54" s="6"/>
      <c r="NYT54" s="6"/>
      <c r="NYU54" s="6"/>
      <c r="NYV54" s="6"/>
      <c r="NYW54" s="6"/>
      <c r="NYX54" s="6"/>
      <c r="NYY54" s="6"/>
      <c r="NYZ54" s="6"/>
      <c r="NZA54" s="6"/>
      <c r="NZB54" s="6"/>
      <c r="NZC54" s="6"/>
      <c r="NZD54" s="6"/>
      <c r="NZE54" s="6"/>
      <c r="NZF54" s="6"/>
      <c r="NZG54" s="6"/>
      <c r="NZH54" s="6"/>
      <c r="NZI54" s="6"/>
      <c r="NZJ54" s="6"/>
      <c r="NZK54" s="6"/>
      <c r="NZL54" s="6"/>
      <c r="NZM54" s="6"/>
      <c r="NZN54" s="6"/>
      <c r="NZO54" s="6"/>
      <c r="NZP54" s="6"/>
      <c r="NZQ54" s="6"/>
      <c r="NZR54" s="6"/>
      <c r="NZS54" s="6"/>
      <c r="NZT54" s="6"/>
      <c r="NZU54" s="6"/>
      <c r="NZV54" s="6"/>
      <c r="NZW54" s="6"/>
      <c r="NZX54" s="6"/>
      <c r="NZY54" s="6"/>
      <c r="NZZ54" s="6"/>
      <c r="OAA54" s="6"/>
      <c r="OAB54" s="6"/>
      <c r="OAC54" s="6"/>
      <c r="OAD54" s="6"/>
      <c r="OAE54" s="6"/>
      <c r="OAF54" s="6"/>
      <c r="OAG54" s="6"/>
      <c r="OAH54" s="6"/>
      <c r="OAI54" s="6"/>
      <c r="OAJ54" s="6"/>
      <c r="OAK54" s="6"/>
      <c r="OAL54" s="6"/>
      <c r="OAM54" s="6"/>
      <c r="OAN54" s="6"/>
      <c r="OAO54" s="6"/>
      <c r="OAP54" s="6"/>
      <c r="OAQ54" s="6"/>
      <c r="OAR54" s="6"/>
      <c r="OAS54" s="6"/>
      <c r="OAT54" s="6"/>
      <c r="OAU54" s="6"/>
      <c r="OAV54" s="6"/>
      <c r="OAW54" s="6"/>
      <c r="OAX54" s="6"/>
      <c r="OAY54" s="6"/>
      <c r="OAZ54" s="6"/>
      <c r="OBA54" s="6"/>
      <c r="OBB54" s="6"/>
      <c r="OBC54" s="6"/>
      <c r="OBD54" s="6"/>
      <c r="OBE54" s="6"/>
      <c r="OBF54" s="6"/>
      <c r="OBG54" s="6"/>
      <c r="OBH54" s="6"/>
      <c r="OBI54" s="6"/>
      <c r="OBJ54" s="6"/>
      <c r="OBK54" s="6"/>
      <c r="OBL54" s="6"/>
      <c r="OBM54" s="6"/>
      <c r="OBN54" s="6"/>
      <c r="OBO54" s="6"/>
      <c r="OBP54" s="6"/>
      <c r="OBQ54" s="6"/>
      <c r="OBR54" s="6"/>
      <c r="OBS54" s="6"/>
      <c r="OBT54" s="6"/>
      <c r="OBU54" s="6"/>
      <c r="OBV54" s="6"/>
      <c r="OBW54" s="6"/>
      <c r="OBX54" s="6"/>
      <c r="OBY54" s="6"/>
      <c r="OBZ54" s="6"/>
      <c r="OCA54" s="6"/>
      <c r="OCB54" s="6"/>
      <c r="OCC54" s="6"/>
      <c r="OCD54" s="6"/>
      <c r="OCE54" s="6"/>
      <c r="OCF54" s="6"/>
      <c r="OCG54" s="6"/>
      <c r="OCH54" s="6"/>
      <c r="OCI54" s="6"/>
      <c r="OCJ54" s="6"/>
      <c r="OCK54" s="6"/>
      <c r="OCL54" s="6"/>
      <c r="OCM54" s="6"/>
      <c r="OCN54" s="6"/>
      <c r="OCO54" s="6"/>
      <c r="OCP54" s="6"/>
      <c r="OCQ54" s="6"/>
      <c r="OCR54" s="6"/>
      <c r="OCS54" s="6"/>
      <c r="OCT54" s="6"/>
      <c r="OCU54" s="6"/>
      <c r="OCV54" s="6"/>
      <c r="OCW54" s="6"/>
      <c r="OCX54" s="6"/>
      <c r="OCY54" s="6"/>
      <c r="OCZ54" s="6"/>
      <c r="ODA54" s="6"/>
      <c r="ODB54" s="6"/>
      <c r="ODC54" s="6"/>
      <c r="ODD54" s="6"/>
      <c r="ODE54" s="6"/>
      <c r="ODF54" s="6"/>
      <c r="ODG54" s="6"/>
      <c r="ODH54" s="6"/>
      <c r="ODI54" s="6"/>
      <c r="ODJ54" s="6"/>
      <c r="ODK54" s="6"/>
      <c r="ODL54" s="6"/>
      <c r="ODM54" s="6"/>
      <c r="ODN54" s="6"/>
      <c r="ODO54" s="6"/>
      <c r="ODP54" s="6"/>
      <c r="ODQ54" s="6"/>
      <c r="ODR54" s="6"/>
      <c r="ODS54" s="6"/>
      <c r="ODT54" s="6"/>
      <c r="ODU54" s="6"/>
      <c r="ODV54" s="6"/>
      <c r="ODW54" s="6"/>
      <c r="ODX54" s="6"/>
      <c r="ODY54" s="6"/>
      <c r="ODZ54" s="6"/>
      <c r="OEA54" s="6"/>
      <c r="OEB54" s="6"/>
      <c r="OEC54" s="6"/>
      <c r="OED54" s="6"/>
      <c r="OEE54" s="6"/>
      <c r="OEF54" s="6"/>
      <c r="OEG54" s="6"/>
      <c r="OEH54" s="6"/>
      <c r="OEI54" s="6"/>
      <c r="OEJ54" s="6"/>
      <c r="OEK54" s="6"/>
      <c r="OEL54" s="6"/>
      <c r="OEM54" s="6"/>
      <c r="OEN54" s="6"/>
      <c r="OEO54" s="6"/>
      <c r="OEP54" s="6"/>
      <c r="OEQ54" s="6"/>
      <c r="OER54" s="6"/>
      <c r="OES54" s="6"/>
      <c r="OET54" s="6"/>
      <c r="OEU54" s="6"/>
      <c r="OEV54" s="6"/>
      <c r="OEW54" s="6"/>
      <c r="OEX54" s="6"/>
      <c r="OEY54" s="6"/>
      <c r="OEZ54" s="6"/>
      <c r="OFA54" s="6"/>
      <c r="OFB54" s="6"/>
      <c r="OFC54" s="6"/>
      <c r="OFD54" s="6"/>
      <c r="OFE54" s="6"/>
      <c r="OFF54" s="6"/>
      <c r="OFG54" s="6"/>
      <c r="OFH54" s="6"/>
      <c r="OFI54" s="6"/>
      <c r="OFJ54" s="6"/>
      <c r="OFK54" s="6"/>
      <c r="OFL54" s="6"/>
      <c r="OFM54" s="6"/>
      <c r="OFN54" s="6"/>
      <c r="OFO54" s="6"/>
      <c r="OFP54" s="6"/>
      <c r="OFQ54" s="6"/>
      <c r="OFR54" s="6"/>
      <c r="OFS54" s="6"/>
      <c r="OFT54" s="6"/>
      <c r="OFU54" s="6"/>
      <c r="OFV54" s="6"/>
      <c r="OFW54" s="6"/>
      <c r="OFX54" s="6"/>
      <c r="OFY54" s="6"/>
      <c r="OFZ54" s="6"/>
      <c r="OGA54" s="6"/>
      <c r="OGB54" s="6"/>
      <c r="OGC54" s="6"/>
      <c r="OGD54" s="6"/>
      <c r="OGE54" s="6"/>
      <c r="OGF54" s="6"/>
      <c r="OGG54" s="6"/>
      <c r="OGH54" s="6"/>
      <c r="OGI54" s="6"/>
      <c r="OGJ54" s="6"/>
      <c r="OGK54" s="6"/>
      <c r="OGL54" s="6"/>
      <c r="OGM54" s="6"/>
      <c r="OGN54" s="6"/>
      <c r="OGO54" s="6"/>
      <c r="OGP54" s="6"/>
      <c r="OGQ54" s="6"/>
      <c r="OGR54" s="6"/>
      <c r="OGS54" s="6"/>
      <c r="OGT54" s="6"/>
      <c r="OGU54" s="6"/>
      <c r="OGV54" s="6"/>
      <c r="OGW54" s="6"/>
      <c r="OGX54" s="6"/>
      <c r="OGY54" s="6"/>
      <c r="OGZ54" s="6"/>
      <c r="OHA54" s="6"/>
      <c r="OHB54" s="6"/>
      <c r="OHC54" s="6"/>
      <c r="OHD54" s="6"/>
      <c r="OHE54" s="6"/>
      <c r="OHF54" s="6"/>
      <c r="OHG54" s="6"/>
      <c r="OHH54" s="6"/>
      <c r="OHI54" s="6"/>
      <c r="OHJ54" s="6"/>
      <c r="OHK54" s="6"/>
      <c r="OHL54" s="6"/>
      <c r="OHM54" s="6"/>
      <c r="OHN54" s="6"/>
      <c r="OHO54" s="6"/>
      <c r="OHP54" s="6"/>
      <c r="OHQ54" s="6"/>
      <c r="OHR54" s="6"/>
      <c r="OHS54" s="6"/>
      <c r="OHT54" s="6"/>
      <c r="OHU54" s="6"/>
      <c r="OHV54" s="6"/>
      <c r="OHW54" s="6"/>
      <c r="OHX54" s="6"/>
      <c r="OHY54" s="6"/>
      <c r="OHZ54" s="6"/>
      <c r="OIA54" s="6"/>
      <c r="OIB54" s="6"/>
      <c r="OIC54" s="6"/>
      <c r="OID54" s="6"/>
      <c r="OIE54" s="6"/>
      <c r="OIF54" s="6"/>
      <c r="OIG54" s="6"/>
      <c r="OIH54" s="6"/>
      <c r="OII54" s="6"/>
      <c r="OIJ54" s="6"/>
      <c r="OIK54" s="6"/>
      <c r="OIL54" s="6"/>
      <c r="OIM54" s="6"/>
      <c r="OIN54" s="6"/>
      <c r="OIO54" s="6"/>
      <c r="OIP54" s="6"/>
      <c r="OIQ54" s="6"/>
      <c r="OIR54" s="6"/>
      <c r="OIS54" s="6"/>
      <c r="OIT54" s="6"/>
      <c r="OIU54" s="6"/>
      <c r="OIV54" s="6"/>
      <c r="OIW54" s="6"/>
      <c r="OIX54" s="6"/>
      <c r="OIY54" s="6"/>
      <c r="OIZ54" s="6"/>
      <c r="OJA54" s="6"/>
      <c r="OJB54" s="6"/>
      <c r="OJC54" s="6"/>
      <c r="OJD54" s="6"/>
      <c r="OJE54" s="6"/>
      <c r="OJF54" s="6"/>
      <c r="OJG54" s="6"/>
      <c r="OJH54" s="6"/>
      <c r="OJI54" s="6"/>
      <c r="OJJ54" s="6"/>
      <c r="OJK54" s="6"/>
      <c r="OJL54" s="6"/>
      <c r="OJM54" s="6"/>
      <c r="OJN54" s="6"/>
      <c r="OJO54" s="6"/>
      <c r="OJP54" s="6"/>
      <c r="OJQ54" s="6"/>
      <c r="OJR54" s="6"/>
      <c r="OJS54" s="6"/>
      <c r="OJT54" s="6"/>
      <c r="OJU54" s="6"/>
      <c r="OJV54" s="6"/>
      <c r="OJW54" s="6"/>
      <c r="OJX54" s="6"/>
      <c r="OJY54" s="6"/>
      <c r="OJZ54" s="6"/>
      <c r="OKA54" s="6"/>
      <c r="OKB54" s="6"/>
      <c r="OKC54" s="6"/>
      <c r="OKD54" s="6"/>
      <c r="OKE54" s="6"/>
      <c r="OKF54" s="6"/>
      <c r="OKG54" s="6"/>
      <c r="OKH54" s="6"/>
      <c r="OKI54" s="6"/>
      <c r="OKJ54" s="6"/>
      <c r="OKK54" s="6"/>
      <c r="OKL54" s="6"/>
      <c r="OKM54" s="6"/>
      <c r="OKN54" s="6"/>
      <c r="OKO54" s="6"/>
      <c r="OKP54" s="6"/>
      <c r="OKQ54" s="6"/>
      <c r="OKR54" s="6"/>
      <c r="OKS54" s="6"/>
      <c r="OKT54" s="6"/>
      <c r="OKU54" s="6"/>
      <c r="OKV54" s="6"/>
      <c r="OKW54" s="6"/>
      <c r="OKX54" s="6"/>
      <c r="OKY54" s="6"/>
      <c r="OKZ54" s="6"/>
      <c r="OLA54" s="6"/>
      <c r="OLB54" s="6"/>
      <c r="OLC54" s="6"/>
      <c r="OLD54" s="6"/>
      <c r="OLE54" s="6"/>
      <c r="OLF54" s="6"/>
      <c r="OLG54" s="6"/>
      <c r="OLH54" s="6"/>
      <c r="OLI54" s="6"/>
      <c r="OLJ54" s="6"/>
      <c r="OLK54" s="6"/>
      <c r="OLL54" s="6"/>
      <c r="OLM54" s="6"/>
      <c r="OLN54" s="6"/>
      <c r="OLO54" s="6"/>
      <c r="OLP54" s="6"/>
      <c r="OLQ54" s="6"/>
      <c r="OLR54" s="6"/>
      <c r="OLS54" s="6"/>
      <c r="OLT54" s="6"/>
      <c r="OLU54" s="6"/>
      <c r="OLV54" s="6"/>
      <c r="OLW54" s="6"/>
      <c r="OLX54" s="6"/>
      <c r="OLY54" s="6"/>
      <c r="OLZ54" s="6"/>
      <c r="OMA54" s="6"/>
      <c r="OMB54" s="6"/>
      <c r="OMC54" s="6"/>
      <c r="OMD54" s="6"/>
      <c r="OME54" s="6"/>
      <c r="OMF54" s="6"/>
      <c r="OMG54" s="6"/>
      <c r="OMH54" s="6"/>
      <c r="OMI54" s="6"/>
      <c r="OMJ54" s="6"/>
      <c r="OMK54" s="6"/>
      <c r="OML54" s="6"/>
      <c r="OMM54" s="6"/>
      <c r="OMN54" s="6"/>
      <c r="OMO54" s="6"/>
      <c r="OMP54" s="6"/>
      <c r="OMQ54" s="6"/>
      <c r="OMR54" s="6"/>
      <c r="OMS54" s="6"/>
      <c r="OMT54" s="6"/>
      <c r="OMU54" s="6"/>
      <c r="OMV54" s="6"/>
      <c r="OMW54" s="6"/>
      <c r="OMX54" s="6"/>
      <c r="OMY54" s="6"/>
      <c r="OMZ54" s="6"/>
      <c r="ONA54" s="6"/>
      <c r="ONB54" s="6"/>
      <c r="ONC54" s="6"/>
      <c r="OND54" s="6"/>
      <c r="ONE54" s="6"/>
      <c r="ONF54" s="6"/>
      <c r="ONG54" s="6"/>
      <c r="ONH54" s="6"/>
      <c r="ONI54" s="6"/>
      <c r="ONJ54" s="6"/>
      <c r="ONK54" s="6"/>
      <c r="ONL54" s="6"/>
      <c r="ONM54" s="6"/>
      <c r="ONN54" s="6"/>
      <c r="ONO54" s="6"/>
      <c r="ONP54" s="6"/>
      <c r="ONQ54" s="6"/>
      <c r="ONR54" s="6"/>
      <c r="ONS54" s="6"/>
      <c r="ONT54" s="6"/>
      <c r="ONU54" s="6"/>
      <c r="ONV54" s="6"/>
      <c r="ONW54" s="6"/>
      <c r="ONX54" s="6"/>
      <c r="ONY54" s="6"/>
      <c r="ONZ54" s="6"/>
      <c r="OOA54" s="6"/>
      <c r="OOB54" s="6"/>
      <c r="OOC54" s="6"/>
      <c r="OOD54" s="6"/>
      <c r="OOE54" s="6"/>
      <c r="OOF54" s="6"/>
      <c r="OOG54" s="6"/>
      <c r="OOH54" s="6"/>
      <c r="OOI54" s="6"/>
      <c r="OOJ54" s="6"/>
      <c r="OOK54" s="6"/>
      <c r="OOL54" s="6"/>
      <c r="OOM54" s="6"/>
      <c r="OON54" s="6"/>
      <c r="OOO54" s="6"/>
      <c r="OOP54" s="6"/>
      <c r="OOQ54" s="6"/>
      <c r="OOR54" s="6"/>
      <c r="OOS54" s="6"/>
      <c r="OOT54" s="6"/>
      <c r="OOU54" s="6"/>
      <c r="OOV54" s="6"/>
      <c r="OOW54" s="6"/>
      <c r="OOX54" s="6"/>
      <c r="OOY54" s="6"/>
      <c r="OOZ54" s="6"/>
      <c r="OPA54" s="6"/>
      <c r="OPB54" s="6"/>
      <c r="OPC54" s="6"/>
      <c r="OPD54" s="6"/>
      <c r="OPE54" s="6"/>
      <c r="OPF54" s="6"/>
      <c r="OPG54" s="6"/>
      <c r="OPH54" s="6"/>
      <c r="OPI54" s="6"/>
      <c r="OPJ54" s="6"/>
      <c r="OPK54" s="6"/>
      <c r="OPL54" s="6"/>
      <c r="OPM54" s="6"/>
      <c r="OPN54" s="6"/>
      <c r="OPO54" s="6"/>
      <c r="OPP54" s="6"/>
      <c r="OPQ54" s="6"/>
      <c r="OPR54" s="6"/>
      <c r="OPS54" s="6"/>
      <c r="OPT54" s="6"/>
      <c r="OPU54" s="6"/>
      <c r="OPV54" s="6"/>
      <c r="OPW54" s="6"/>
      <c r="OPX54" s="6"/>
      <c r="OPY54" s="6"/>
      <c r="OPZ54" s="6"/>
      <c r="OQA54" s="6"/>
      <c r="OQB54" s="6"/>
      <c r="OQC54" s="6"/>
      <c r="OQD54" s="6"/>
      <c r="OQE54" s="6"/>
      <c r="OQF54" s="6"/>
      <c r="OQG54" s="6"/>
      <c r="OQH54" s="6"/>
      <c r="OQI54" s="6"/>
      <c r="OQJ54" s="6"/>
      <c r="OQK54" s="6"/>
      <c r="OQL54" s="6"/>
      <c r="OQM54" s="6"/>
      <c r="OQN54" s="6"/>
      <c r="OQO54" s="6"/>
      <c r="OQP54" s="6"/>
      <c r="OQQ54" s="6"/>
      <c r="OQR54" s="6"/>
      <c r="OQS54" s="6"/>
      <c r="OQT54" s="6"/>
      <c r="OQU54" s="6"/>
      <c r="OQV54" s="6"/>
      <c r="OQW54" s="6"/>
      <c r="OQX54" s="6"/>
      <c r="OQY54" s="6"/>
      <c r="OQZ54" s="6"/>
      <c r="ORA54" s="6"/>
      <c r="ORB54" s="6"/>
      <c r="ORC54" s="6"/>
      <c r="ORD54" s="6"/>
      <c r="ORE54" s="6"/>
      <c r="ORF54" s="6"/>
      <c r="ORG54" s="6"/>
      <c r="ORH54" s="6"/>
      <c r="ORI54" s="6"/>
      <c r="ORJ54" s="6"/>
      <c r="ORK54" s="6"/>
      <c r="ORL54" s="6"/>
      <c r="ORM54" s="6"/>
      <c r="ORN54" s="6"/>
      <c r="ORO54" s="6"/>
      <c r="ORP54" s="6"/>
      <c r="ORQ54" s="6"/>
      <c r="ORR54" s="6"/>
      <c r="ORS54" s="6"/>
      <c r="ORT54" s="6"/>
      <c r="ORU54" s="6"/>
      <c r="ORV54" s="6"/>
      <c r="ORW54" s="6"/>
      <c r="ORX54" s="6"/>
      <c r="ORY54" s="6"/>
      <c r="ORZ54" s="6"/>
      <c r="OSA54" s="6"/>
      <c r="OSB54" s="6"/>
      <c r="OSC54" s="6"/>
      <c r="OSD54" s="6"/>
      <c r="OSE54" s="6"/>
      <c r="OSF54" s="6"/>
      <c r="OSG54" s="6"/>
      <c r="OSH54" s="6"/>
      <c r="OSI54" s="6"/>
      <c r="OSJ54" s="6"/>
      <c r="OSK54" s="6"/>
      <c r="OSL54" s="6"/>
      <c r="OSM54" s="6"/>
      <c r="OSN54" s="6"/>
      <c r="OSO54" s="6"/>
      <c r="OSP54" s="6"/>
      <c r="OSQ54" s="6"/>
      <c r="OSR54" s="6"/>
      <c r="OSS54" s="6"/>
      <c r="OST54" s="6"/>
      <c r="OSU54" s="6"/>
      <c r="OSV54" s="6"/>
      <c r="OSW54" s="6"/>
      <c r="OSX54" s="6"/>
      <c r="OSY54" s="6"/>
      <c r="OSZ54" s="6"/>
      <c r="OTA54" s="6"/>
      <c r="OTB54" s="6"/>
      <c r="OTC54" s="6"/>
      <c r="OTD54" s="6"/>
      <c r="OTE54" s="6"/>
      <c r="OTF54" s="6"/>
      <c r="OTG54" s="6"/>
      <c r="OTH54" s="6"/>
      <c r="OTI54" s="6"/>
      <c r="OTJ54" s="6"/>
      <c r="OTK54" s="6"/>
      <c r="OTL54" s="6"/>
      <c r="OTM54" s="6"/>
      <c r="OTN54" s="6"/>
      <c r="OTO54" s="6"/>
      <c r="OTP54" s="6"/>
      <c r="OTQ54" s="6"/>
      <c r="OTR54" s="6"/>
      <c r="OTS54" s="6"/>
      <c r="OTT54" s="6"/>
      <c r="OTU54" s="6"/>
      <c r="OTV54" s="6"/>
      <c r="OTW54" s="6"/>
      <c r="OTX54" s="6"/>
      <c r="OTY54" s="6"/>
      <c r="OTZ54" s="6"/>
      <c r="OUA54" s="6"/>
      <c r="OUB54" s="6"/>
      <c r="OUC54" s="6"/>
      <c r="OUD54" s="6"/>
      <c r="OUE54" s="6"/>
      <c r="OUF54" s="6"/>
      <c r="OUG54" s="6"/>
      <c r="OUH54" s="6"/>
      <c r="OUI54" s="6"/>
      <c r="OUJ54" s="6"/>
      <c r="OUK54" s="6"/>
      <c r="OUL54" s="6"/>
      <c r="OUM54" s="6"/>
      <c r="OUN54" s="6"/>
      <c r="OUO54" s="6"/>
      <c r="OUP54" s="6"/>
      <c r="OUQ54" s="6"/>
      <c r="OUR54" s="6"/>
      <c r="OUS54" s="6"/>
      <c r="OUT54" s="6"/>
      <c r="OUU54" s="6"/>
      <c r="OUV54" s="6"/>
      <c r="OUW54" s="6"/>
      <c r="OUX54" s="6"/>
      <c r="OUY54" s="6"/>
      <c r="OUZ54" s="6"/>
      <c r="OVA54" s="6"/>
      <c r="OVB54" s="6"/>
      <c r="OVC54" s="6"/>
      <c r="OVD54" s="6"/>
      <c r="OVE54" s="6"/>
      <c r="OVF54" s="6"/>
      <c r="OVG54" s="6"/>
      <c r="OVH54" s="6"/>
      <c r="OVI54" s="6"/>
      <c r="OVJ54" s="6"/>
      <c r="OVK54" s="6"/>
      <c r="OVL54" s="6"/>
      <c r="OVM54" s="6"/>
      <c r="OVN54" s="6"/>
      <c r="OVO54" s="6"/>
      <c r="OVP54" s="6"/>
      <c r="OVQ54" s="6"/>
      <c r="OVR54" s="6"/>
      <c r="OVS54" s="6"/>
      <c r="OVT54" s="6"/>
      <c r="OVU54" s="6"/>
      <c r="OVV54" s="6"/>
      <c r="OVW54" s="6"/>
      <c r="OVX54" s="6"/>
      <c r="OVY54" s="6"/>
      <c r="OVZ54" s="6"/>
      <c r="OWA54" s="6"/>
      <c r="OWB54" s="6"/>
      <c r="OWC54" s="6"/>
      <c r="OWD54" s="6"/>
      <c r="OWE54" s="6"/>
      <c r="OWF54" s="6"/>
      <c r="OWG54" s="6"/>
      <c r="OWH54" s="6"/>
      <c r="OWI54" s="6"/>
      <c r="OWJ54" s="6"/>
      <c r="OWK54" s="6"/>
      <c r="OWL54" s="6"/>
      <c r="OWM54" s="6"/>
      <c r="OWN54" s="6"/>
      <c r="OWO54" s="6"/>
      <c r="OWP54" s="6"/>
      <c r="OWQ54" s="6"/>
      <c r="OWR54" s="6"/>
      <c r="OWS54" s="6"/>
      <c r="OWT54" s="6"/>
      <c r="OWU54" s="6"/>
      <c r="OWV54" s="6"/>
      <c r="OWW54" s="6"/>
      <c r="OWX54" s="6"/>
      <c r="OWY54" s="6"/>
      <c r="OWZ54" s="6"/>
      <c r="OXA54" s="6"/>
      <c r="OXB54" s="6"/>
      <c r="OXC54" s="6"/>
      <c r="OXD54" s="6"/>
      <c r="OXE54" s="6"/>
      <c r="OXF54" s="6"/>
      <c r="OXG54" s="6"/>
      <c r="OXH54" s="6"/>
      <c r="OXI54" s="6"/>
      <c r="OXJ54" s="6"/>
      <c r="OXK54" s="6"/>
      <c r="OXL54" s="6"/>
      <c r="OXM54" s="6"/>
      <c r="OXN54" s="6"/>
      <c r="OXO54" s="6"/>
      <c r="OXP54" s="6"/>
      <c r="OXQ54" s="6"/>
      <c r="OXR54" s="6"/>
      <c r="OXS54" s="6"/>
      <c r="OXT54" s="6"/>
      <c r="OXU54" s="6"/>
      <c r="OXV54" s="6"/>
      <c r="OXW54" s="6"/>
      <c r="OXX54" s="6"/>
      <c r="OXY54" s="6"/>
      <c r="OXZ54" s="6"/>
      <c r="OYA54" s="6"/>
      <c r="OYB54" s="6"/>
      <c r="OYC54" s="6"/>
      <c r="OYD54" s="6"/>
      <c r="OYE54" s="6"/>
      <c r="OYF54" s="6"/>
      <c r="OYG54" s="6"/>
      <c r="OYH54" s="6"/>
      <c r="OYI54" s="6"/>
      <c r="OYJ54" s="6"/>
      <c r="OYK54" s="6"/>
      <c r="OYL54" s="6"/>
      <c r="OYM54" s="6"/>
      <c r="OYN54" s="6"/>
      <c r="OYO54" s="6"/>
      <c r="OYP54" s="6"/>
      <c r="OYQ54" s="6"/>
      <c r="OYR54" s="6"/>
      <c r="OYS54" s="6"/>
      <c r="OYT54" s="6"/>
      <c r="OYU54" s="6"/>
      <c r="OYV54" s="6"/>
      <c r="OYW54" s="6"/>
      <c r="OYX54" s="6"/>
      <c r="OYY54" s="6"/>
      <c r="OYZ54" s="6"/>
      <c r="OZA54" s="6"/>
      <c r="OZB54" s="6"/>
      <c r="OZC54" s="6"/>
      <c r="OZD54" s="6"/>
      <c r="OZE54" s="6"/>
      <c r="OZF54" s="6"/>
      <c r="OZG54" s="6"/>
      <c r="OZH54" s="6"/>
      <c r="OZI54" s="6"/>
      <c r="OZJ54" s="6"/>
      <c r="OZK54" s="6"/>
      <c r="OZL54" s="6"/>
      <c r="OZM54" s="6"/>
      <c r="OZN54" s="6"/>
      <c r="OZO54" s="6"/>
      <c r="OZP54" s="6"/>
      <c r="OZQ54" s="6"/>
      <c r="OZR54" s="6"/>
      <c r="OZS54" s="6"/>
      <c r="OZT54" s="6"/>
      <c r="OZU54" s="6"/>
      <c r="OZV54" s="6"/>
      <c r="OZW54" s="6"/>
      <c r="OZX54" s="6"/>
      <c r="OZY54" s="6"/>
      <c r="OZZ54" s="6"/>
      <c r="PAA54" s="6"/>
      <c r="PAB54" s="6"/>
      <c r="PAC54" s="6"/>
      <c r="PAD54" s="6"/>
      <c r="PAE54" s="6"/>
      <c r="PAF54" s="6"/>
      <c r="PAG54" s="6"/>
      <c r="PAH54" s="6"/>
      <c r="PAI54" s="6"/>
      <c r="PAJ54" s="6"/>
      <c r="PAK54" s="6"/>
      <c r="PAL54" s="6"/>
      <c r="PAM54" s="6"/>
      <c r="PAN54" s="6"/>
      <c r="PAO54" s="6"/>
      <c r="PAP54" s="6"/>
      <c r="PAQ54" s="6"/>
      <c r="PAR54" s="6"/>
      <c r="PAS54" s="6"/>
      <c r="PAT54" s="6"/>
      <c r="PAU54" s="6"/>
      <c r="PAV54" s="6"/>
      <c r="PAW54" s="6"/>
      <c r="PAX54" s="6"/>
      <c r="PAY54" s="6"/>
      <c r="PAZ54" s="6"/>
      <c r="PBA54" s="6"/>
      <c r="PBB54" s="6"/>
      <c r="PBC54" s="6"/>
      <c r="PBD54" s="6"/>
      <c r="PBE54" s="6"/>
      <c r="PBF54" s="6"/>
      <c r="PBG54" s="6"/>
      <c r="PBH54" s="6"/>
      <c r="PBI54" s="6"/>
      <c r="PBJ54" s="6"/>
      <c r="PBK54" s="6"/>
      <c r="PBL54" s="6"/>
      <c r="PBM54" s="6"/>
      <c r="PBN54" s="6"/>
      <c r="PBO54" s="6"/>
      <c r="PBP54" s="6"/>
      <c r="PBQ54" s="6"/>
      <c r="PBR54" s="6"/>
      <c r="PBS54" s="6"/>
      <c r="PBT54" s="6"/>
      <c r="PBU54" s="6"/>
      <c r="PBV54" s="6"/>
      <c r="PBW54" s="6"/>
      <c r="PBX54" s="6"/>
      <c r="PBY54" s="6"/>
      <c r="PBZ54" s="6"/>
      <c r="PCA54" s="6"/>
      <c r="PCB54" s="6"/>
      <c r="PCC54" s="6"/>
      <c r="PCD54" s="6"/>
      <c r="PCE54" s="6"/>
      <c r="PCF54" s="6"/>
      <c r="PCG54" s="6"/>
      <c r="PCH54" s="6"/>
      <c r="PCI54" s="6"/>
      <c r="PCJ54" s="6"/>
      <c r="PCK54" s="6"/>
      <c r="PCL54" s="6"/>
      <c r="PCM54" s="6"/>
      <c r="PCN54" s="6"/>
      <c r="PCO54" s="6"/>
      <c r="PCP54" s="6"/>
      <c r="PCQ54" s="6"/>
      <c r="PCR54" s="6"/>
      <c r="PCS54" s="6"/>
      <c r="PCT54" s="6"/>
      <c r="PCU54" s="6"/>
      <c r="PCV54" s="6"/>
      <c r="PCW54" s="6"/>
      <c r="PCX54" s="6"/>
      <c r="PCY54" s="6"/>
      <c r="PCZ54" s="6"/>
      <c r="PDA54" s="6"/>
      <c r="PDB54" s="6"/>
      <c r="PDC54" s="6"/>
      <c r="PDD54" s="6"/>
      <c r="PDE54" s="6"/>
      <c r="PDF54" s="6"/>
      <c r="PDG54" s="6"/>
      <c r="PDH54" s="6"/>
      <c r="PDI54" s="6"/>
      <c r="PDJ54" s="6"/>
      <c r="PDK54" s="6"/>
      <c r="PDL54" s="6"/>
      <c r="PDM54" s="6"/>
      <c r="PDN54" s="6"/>
      <c r="PDO54" s="6"/>
      <c r="PDP54" s="6"/>
      <c r="PDQ54" s="6"/>
      <c r="PDR54" s="6"/>
      <c r="PDS54" s="6"/>
      <c r="PDT54" s="6"/>
      <c r="PDU54" s="6"/>
      <c r="PDV54" s="6"/>
      <c r="PDW54" s="6"/>
      <c r="PDX54" s="6"/>
      <c r="PDY54" s="6"/>
      <c r="PDZ54" s="6"/>
      <c r="PEA54" s="6"/>
      <c r="PEB54" s="6"/>
      <c r="PEC54" s="6"/>
      <c r="PED54" s="6"/>
      <c r="PEE54" s="6"/>
      <c r="PEF54" s="6"/>
      <c r="PEG54" s="6"/>
      <c r="PEH54" s="6"/>
      <c r="PEI54" s="6"/>
      <c r="PEJ54" s="6"/>
      <c r="PEK54" s="6"/>
      <c r="PEL54" s="6"/>
      <c r="PEM54" s="6"/>
      <c r="PEN54" s="6"/>
      <c r="PEO54" s="6"/>
      <c r="PEP54" s="6"/>
      <c r="PEQ54" s="6"/>
      <c r="PER54" s="6"/>
      <c r="PES54" s="6"/>
      <c r="PET54" s="6"/>
      <c r="PEU54" s="6"/>
      <c r="PEV54" s="6"/>
      <c r="PEW54" s="6"/>
      <c r="PEX54" s="6"/>
      <c r="PEY54" s="6"/>
      <c r="PEZ54" s="6"/>
      <c r="PFA54" s="6"/>
      <c r="PFB54" s="6"/>
      <c r="PFC54" s="6"/>
      <c r="PFD54" s="6"/>
      <c r="PFE54" s="6"/>
      <c r="PFF54" s="6"/>
      <c r="PFG54" s="6"/>
      <c r="PFH54" s="6"/>
      <c r="PFI54" s="6"/>
      <c r="PFJ54" s="6"/>
      <c r="PFK54" s="6"/>
      <c r="PFL54" s="6"/>
      <c r="PFM54" s="6"/>
      <c r="PFN54" s="6"/>
      <c r="PFO54" s="6"/>
      <c r="PFP54" s="6"/>
      <c r="PFQ54" s="6"/>
      <c r="PFR54" s="6"/>
      <c r="PFS54" s="6"/>
      <c r="PFT54" s="6"/>
      <c r="PFU54" s="6"/>
      <c r="PFV54" s="6"/>
      <c r="PFW54" s="6"/>
      <c r="PFX54" s="6"/>
      <c r="PFY54" s="6"/>
      <c r="PFZ54" s="6"/>
      <c r="PGA54" s="6"/>
      <c r="PGB54" s="6"/>
      <c r="PGC54" s="6"/>
      <c r="PGD54" s="6"/>
      <c r="PGE54" s="6"/>
      <c r="PGF54" s="6"/>
      <c r="PGG54" s="6"/>
      <c r="PGH54" s="6"/>
      <c r="PGI54" s="6"/>
      <c r="PGJ54" s="6"/>
      <c r="PGK54" s="6"/>
      <c r="PGL54" s="6"/>
      <c r="PGM54" s="6"/>
      <c r="PGN54" s="6"/>
      <c r="PGO54" s="6"/>
      <c r="PGP54" s="6"/>
      <c r="PGQ54" s="6"/>
      <c r="PGR54" s="6"/>
      <c r="PGS54" s="6"/>
      <c r="PGT54" s="6"/>
      <c r="PGU54" s="6"/>
      <c r="PGV54" s="6"/>
      <c r="PGW54" s="6"/>
      <c r="PGX54" s="6"/>
      <c r="PGY54" s="6"/>
      <c r="PGZ54" s="6"/>
      <c r="PHA54" s="6"/>
      <c r="PHB54" s="6"/>
      <c r="PHC54" s="6"/>
      <c r="PHD54" s="6"/>
      <c r="PHE54" s="6"/>
      <c r="PHF54" s="6"/>
      <c r="PHG54" s="6"/>
      <c r="PHH54" s="6"/>
      <c r="PHI54" s="6"/>
      <c r="PHJ54" s="6"/>
      <c r="PHK54" s="6"/>
      <c r="PHL54" s="6"/>
      <c r="PHM54" s="6"/>
      <c r="PHN54" s="6"/>
      <c r="PHO54" s="6"/>
      <c r="PHP54" s="6"/>
      <c r="PHQ54" s="6"/>
      <c r="PHR54" s="6"/>
      <c r="PHS54" s="6"/>
      <c r="PHT54" s="6"/>
      <c r="PHU54" s="6"/>
      <c r="PHV54" s="6"/>
      <c r="PHW54" s="6"/>
      <c r="PHX54" s="6"/>
      <c r="PHY54" s="6"/>
      <c r="PHZ54" s="6"/>
      <c r="PIA54" s="6"/>
      <c r="PIB54" s="6"/>
      <c r="PIC54" s="6"/>
      <c r="PID54" s="6"/>
      <c r="PIE54" s="6"/>
      <c r="PIF54" s="6"/>
      <c r="PIG54" s="6"/>
      <c r="PIH54" s="6"/>
      <c r="PII54" s="6"/>
      <c r="PIJ54" s="6"/>
      <c r="PIK54" s="6"/>
      <c r="PIL54" s="6"/>
      <c r="PIM54" s="6"/>
      <c r="PIN54" s="6"/>
      <c r="PIO54" s="6"/>
      <c r="PIP54" s="6"/>
      <c r="PIQ54" s="6"/>
      <c r="PIR54" s="6"/>
      <c r="PIS54" s="6"/>
      <c r="PIT54" s="6"/>
      <c r="PIU54" s="6"/>
      <c r="PIV54" s="6"/>
      <c r="PIW54" s="6"/>
      <c r="PIX54" s="6"/>
      <c r="PIY54" s="6"/>
      <c r="PIZ54" s="6"/>
      <c r="PJA54" s="6"/>
      <c r="PJB54" s="6"/>
      <c r="PJC54" s="6"/>
      <c r="PJD54" s="6"/>
      <c r="PJE54" s="6"/>
      <c r="PJF54" s="6"/>
      <c r="PJG54" s="6"/>
      <c r="PJH54" s="6"/>
      <c r="PJI54" s="6"/>
      <c r="PJJ54" s="6"/>
      <c r="PJK54" s="6"/>
      <c r="PJL54" s="6"/>
      <c r="PJM54" s="6"/>
      <c r="PJN54" s="6"/>
      <c r="PJO54" s="6"/>
      <c r="PJP54" s="6"/>
      <c r="PJQ54" s="6"/>
      <c r="PJR54" s="6"/>
      <c r="PJS54" s="6"/>
      <c r="PJT54" s="6"/>
      <c r="PJU54" s="6"/>
      <c r="PJV54" s="6"/>
      <c r="PJW54" s="6"/>
      <c r="PJX54" s="6"/>
      <c r="PJY54" s="6"/>
      <c r="PJZ54" s="6"/>
      <c r="PKA54" s="6"/>
      <c r="PKB54" s="6"/>
      <c r="PKC54" s="6"/>
      <c r="PKD54" s="6"/>
      <c r="PKE54" s="6"/>
      <c r="PKF54" s="6"/>
      <c r="PKG54" s="6"/>
      <c r="PKH54" s="6"/>
      <c r="PKI54" s="6"/>
      <c r="PKJ54" s="6"/>
      <c r="PKK54" s="6"/>
      <c r="PKL54" s="6"/>
      <c r="PKM54" s="6"/>
      <c r="PKN54" s="6"/>
      <c r="PKO54" s="6"/>
      <c r="PKP54" s="6"/>
      <c r="PKQ54" s="6"/>
      <c r="PKR54" s="6"/>
      <c r="PKS54" s="6"/>
      <c r="PKT54" s="6"/>
      <c r="PKU54" s="6"/>
      <c r="PKV54" s="6"/>
      <c r="PKW54" s="6"/>
      <c r="PKX54" s="6"/>
      <c r="PKY54" s="6"/>
      <c r="PKZ54" s="6"/>
      <c r="PLA54" s="6"/>
      <c r="PLB54" s="6"/>
      <c r="PLC54" s="6"/>
      <c r="PLD54" s="6"/>
      <c r="PLE54" s="6"/>
      <c r="PLF54" s="6"/>
      <c r="PLG54" s="6"/>
      <c r="PLH54" s="6"/>
      <c r="PLI54" s="6"/>
      <c r="PLJ54" s="6"/>
      <c r="PLK54" s="6"/>
      <c r="PLL54" s="6"/>
      <c r="PLM54" s="6"/>
      <c r="PLN54" s="6"/>
      <c r="PLO54" s="6"/>
      <c r="PLP54" s="6"/>
      <c r="PLQ54" s="6"/>
      <c r="PLR54" s="6"/>
      <c r="PLS54" s="6"/>
      <c r="PLT54" s="6"/>
      <c r="PLU54" s="6"/>
      <c r="PLV54" s="6"/>
      <c r="PLW54" s="6"/>
      <c r="PLX54" s="6"/>
      <c r="PLY54" s="6"/>
      <c r="PLZ54" s="6"/>
      <c r="PMA54" s="6"/>
      <c r="PMB54" s="6"/>
      <c r="PMC54" s="6"/>
      <c r="PMD54" s="6"/>
      <c r="PME54" s="6"/>
      <c r="PMF54" s="6"/>
      <c r="PMG54" s="6"/>
      <c r="PMH54" s="6"/>
      <c r="PMI54" s="6"/>
      <c r="PMJ54" s="6"/>
      <c r="PMK54" s="6"/>
      <c r="PML54" s="6"/>
      <c r="PMM54" s="6"/>
      <c r="PMN54" s="6"/>
      <c r="PMO54" s="6"/>
      <c r="PMP54" s="6"/>
      <c r="PMQ54" s="6"/>
      <c r="PMR54" s="6"/>
      <c r="PMS54" s="6"/>
      <c r="PMT54" s="6"/>
      <c r="PMU54" s="6"/>
      <c r="PMV54" s="6"/>
      <c r="PMW54" s="6"/>
      <c r="PMX54" s="6"/>
      <c r="PMY54" s="6"/>
      <c r="PMZ54" s="6"/>
      <c r="PNA54" s="6"/>
      <c r="PNB54" s="6"/>
      <c r="PNC54" s="6"/>
      <c r="PND54" s="6"/>
      <c r="PNE54" s="6"/>
      <c r="PNF54" s="6"/>
      <c r="PNG54" s="6"/>
      <c r="PNH54" s="6"/>
      <c r="PNI54" s="6"/>
      <c r="PNJ54" s="6"/>
      <c r="PNK54" s="6"/>
      <c r="PNL54" s="6"/>
      <c r="PNM54" s="6"/>
      <c r="PNN54" s="6"/>
      <c r="PNO54" s="6"/>
      <c r="PNP54" s="6"/>
      <c r="PNQ54" s="6"/>
      <c r="PNR54" s="6"/>
      <c r="PNS54" s="6"/>
      <c r="PNT54" s="6"/>
      <c r="PNU54" s="6"/>
      <c r="PNV54" s="6"/>
      <c r="PNW54" s="6"/>
      <c r="PNX54" s="6"/>
      <c r="PNY54" s="6"/>
      <c r="PNZ54" s="6"/>
      <c r="POA54" s="6"/>
      <c r="POB54" s="6"/>
      <c r="POC54" s="6"/>
      <c r="POD54" s="6"/>
      <c r="POE54" s="6"/>
      <c r="POF54" s="6"/>
      <c r="POG54" s="6"/>
      <c r="POH54" s="6"/>
      <c r="POI54" s="6"/>
      <c r="POJ54" s="6"/>
      <c r="POK54" s="6"/>
      <c r="POL54" s="6"/>
      <c r="POM54" s="6"/>
      <c r="PON54" s="6"/>
      <c r="POO54" s="6"/>
      <c r="POP54" s="6"/>
      <c r="POQ54" s="6"/>
      <c r="POR54" s="6"/>
      <c r="POS54" s="6"/>
      <c r="POT54" s="6"/>
      <c r="POU54" s="6"/>
      <c r="POV54" s="6"/>
      <c r="POW54" s="6"/>
      <c r="POX54" s="6"/>
      <c r="POY54" s="6"/>
      <c r="POZ54" s="6"/>
      <c r="PPA54" s="6"/>
      <c r="PPB54" s="6"/>
      <c r="PPC54" s="6"/>
      <c r="PPD54" s="6"/>
      <c r="PPE54" s="6"/>
      <c r="PPF54" s="6"/>
      <c r="PPG54" s="6"/>
      <c r="PPH54" s="6"/>
      <c r="PPI54" s="6"/>
      <c r="PPJ54" s="6"/>
      <c r="PPK54" s="6"/>
      <c r="PPL54" s="6"/>
      <c r="PPM54" s="6"/>
      <c r="PPN54" s="6"/>
      <c r="PPO54" s="6"/>
      <c r="PPP54" s="6"/>
      <c r="PPQ54" s="6"/>
      <c r="PPR54" s="6"/>
      <c r="PPS54" s="6"/>
      <c r="PPT54" s="6"/>
      <c r="PPU54" s="6"/>
      <c r="PPV54" s="6"/>
      <c r="PPW54" s="6"/>
      <c r="PPX54" s="6"/>
      <c r="PPY54" s="6"/>
      <c r="PPZ54" s="6"/>
      <c r="PQA54" s="6"/>
      <c r="PQB54" s="6"/>
      <c r="PQC54" s="6"/>
      <c r="PQD54" s="6"/>
      <c r="PQE54" s="6"/>
      <c r="PQF54" s="6"/>
      <c r="PQG54" s="6"/>
      <c r="PQH54" s="6"/>
      <c r="PQI54" s="6"/>
      <c r="PQJ54" s="6"/>
      <c r="PQK54" s="6"/>
      <c r="PQL54" s="6"/>
      <c r="PQM54" s="6"/>
      <c r="PQN54" s="6"/>
      <c r="PQO54" s="6"/>
      <c r="PQP54" s="6"/>
      <c r="PQQ54" s="6"/>
      <c r="PQR54" s="6"/>
      <c r="PQS54" s="6"/>
      <c r="PQT54" s="6"/>
      <c r="PQU54" s="6"/>
      <c r="PQV54" s="6"/>
      <c r="PQW54" s="6"/>
      <c r="PQX54" s="6"/>
      <c r="PQY54" s="6"/>
      <c r="PQZ54" s="6"/>
      <c r="PRA54" s="6"/>
      <c r="PRB54" s="6"/>
      <c r="PRC54" s="6"/>
      <c r="PRD54" s="6"/>
      <c r="PRE54" s="6"/>
      <c r="PRF54" s="6"/>
      <c r="PRG54" s="6"/>
      <c r="PRH54" s="6"/>
      <c r="PRI54" s="6"/>
      <c r="PRJ54" s="6"/>
      <c r="PRK54" s="6"/>
      <c r="PRL54" s="6"/>
      <c r="PRM54" s="6"/>
      <c r="PRN54" s="6"/>
      <c r="PRO54" s="6"/>
      <c r="PRP54" s="6"/>
      <c r="PRQ54" s="6"/>
      <c r="PRR54" s="6"/>
      <c r="PRS54" s="6"/>
      <c r="PRT54" s="6"/>
      <c r="PRU54" s="6"/>
      <c r="PRV54" s="6"/>
      <c r="PRW54" s="6"/>
      <c r="PRX54" s="6"/>
      <c r="PRY54" s="6"/>
      <c r="PRZ54" s="6"/>
      <c r="PSA54" s="6"/>
      <c r="PSB54" s="6"/>
      <c r="PSC54" s="6"/>
      <c r="PSD54" s="6"/>
      <c r="PSE54" s="6"/>
      <c r="PSF54" s="6"/>
      <c r="PSG54" s="6"/>
      <c r="PSH54" s="6"/>
      <c r="PSI54" s="6"/>
      <c r="PSJ54" s="6"/>
      <c r="PSK54" s="6"/>
      <c r="PSL54" s="6"/>
      <c r="PSM54" s="6"/>
      <c r="PSN54" s="6"/>
      <c r="PSO54" s="6"/>
      <c r="PSP54" s="6"/>
      <c r="PSQ54" s="6"/>
      <c r="PSR54" s="6"/>
      <c r="PSS54" s="6"/>
      <c r="PST54" s="6"/>
      <c r="PSU54" s="6"/>
      <c r="PSV54" s="6"/>
      <c r="PSW54" s="6"/>
      <c r="PSX54" s="6"/>
      <c r="PSY54" s="6"/>
      <c r="PSZ54" s="6"/>
      <c r="PTA54" s="6"/>
      <c r="PTB54" s="6"/>
      <c r="PTC54" s="6"/>
      <c r="PTD54" s="6"/>
      <c r="PTE54" s="6"/>
      <c r="PTF54" s="6"/>
      <c r="PTG54" s="6"/>
      <c r="PTH54" s="6"/>
      <c r="PTI54" s="6"/>
      <c r="PTJ54" s="6"/>
      <c r="PTK54" s="6"/>
      <c r="PTL54" s="6"/>
      <c r="PTM54" s="6"/>
      <c r="PTN54" s="6"/>
      <c r="PTO54" s="6"/>
      <c r="PTP54" s="6"/>
      <c r="PTQ54" s="6"/>
      <c r="PTR54" s="6"/>
      <c r="PTS54" s="6"/>
      <c r="PTT54" s="6"/>
      <c r="PTU54" s="6"/>
      <c r="PTV54" s="6"/>
      <c r="PTW54" s="6"/>
      <c r="PTX54" s="6"/>
      <c r="PTY54" s="6"/>
      <c r="PTZ54" s="6"/>
      <c r="PUA54" s="6"/>
      <c r="PUB54" s="6"/>
      <c r="PUC54" s="6"/>
      <c r="PUD54" s="6"/>
      <c r="PUE54" s="6"/>
      <c r="PUF54" s="6"/>
      <c r="PUG54" s="6"/>
      <c r="PUH54" s="6"/>
      <c r="PUI54" s="6"/>
      <c r="PUJ54" s="6"/>
      <c r="PUK54" s="6"/>
      <c r="PUL54" s="6"/>
      <c r="PUM54" s="6"/>
      <c r="PUN54" s="6"/>
      <c r="PUO54" s="6"/>
      <c r="PUP54" s="6"/>
      <c r="PUQ54" s="6"/>
      <c r="PUR54" s="6"/>
      <c r="PUS54" s="6"/>
      <c r="PUT54" s="6"/>
      <c r="PUU54" s="6"/>
      <c r="PUV54" s="6"/>
      <c r="PUW54" s="6"/>
      <c r="PUX54" s="6"/>
      <c r="PUY54" s="6"/>
      <c r="PUZ54" s="6"/>
      <c r="PVA54" s="6"/>
      <c r="PVB54" s="6"/>
      <c r="PVC54" s="6"/>
      <c r="PVD54" s="6"/>
      <c r="PVE54" s="6"/>
      <c r="PVF54" s="6"/>
      <c r="PVG54" s="6"/>
      <c r="PVH54" s="6"/>
      <c r="PVI54" s="6"/>
      <c r="PVJ54" s="6"/>
      <c r="PVK54" s="6"/>
      <c r="PVL54" s="6"/>
      <c r="PVM54" s="6"/>
      <c r="PVN54" s="6"/>
      <c r="PVO54" s="6"/>
      <c r="PVP54" s="6"/>
      <c r="PVQ54" s="6"/>
      <c r="PVR54" s="6"/>
      <c r="PVS54" s="6"/>
      <c r="PVT54" s="6"/>
      <c r="PVU54" s="6"/>
      <c r="PVV54" s="6"/>
      <c r="PVW54" s="6"/>
      <c r="PVX54" s="6"/>
      <c r="PVY54" s="6"/>
      <c r="PVZ54" s="6"/>
      <c r="PWA54" s="6"/>
      <c r="PWB54" s="6"/>
      <c r="PWC54" s="6"/>
      <c r="PWD54" s="6"/>
      <c r="PWE54" s="6"/>
      <c r="PWF54" s="6"/>
      <c r="PWG54" s="6"/>
      <c r="PWH54" s="6"/>
      <c r="PWI54" s="6"/>
      <c r="PWJ54" s="6"/>
      <c r="PWK54" s="6"/>
      <c r="PWL54" s="6"/>
      <c r="PWM54" s="6"/>
      <c r="PWN54" s="6"/>
      <c r="PWO54" s="6"/>
      <c r="PWP54" s="6"/>
      <c r="PWQ54" s="6"/>
      <c r="PWR54" s="6"/>
      <c r="PWS54" s="6"/>
      <c r="PWT54" s="6"/>
      <c r="PWU54" s="6"/>
      <c r="PWV54" s="6"/>
      <c r="PWW54" s="6"/>
      <c r="PWX54" s="6"/>
      <c r="PWY54" s="6"/>
      <c r="PWZ54" s="6"/>
      <c r="PXA54" s="6"/>
      <c r="PXB54" s="6"/>
      <c r="PXC54" s="6"/>
      <c r="PXD54" s="6"/>
      <c r="PXE54" s="6"/>
      <c r="PXF54" s="6"/>
      <c r="PXG54" s="6"/>
      <c r="PXH54" s="6"/>
      <c r="PXI54" s="6"/>
      <c r="PXJ54" s="6"/>
      <c r="PXK54" s="6"/>
      <c r="PXL54" s="6"/>
      <c r="PXM54" s="6"/>
      <c r="PXN54" s="6"/>
      <c r="PXO54" s="6"/>
      <c r="PXP54" s="6"/>
      <c r="PXQ54" s="6"/>
      <c r="PXR54" s="6"/>
      <c r="PXS54" s="6"/>
      <c r="PXT54" s="6"/>
      <c r="PXU54" s="6"/>
      <c r="PXV54" s="6"/>
      <c r="PXW54" s="6"/>
      <c r="PXX54" s="6"/>
      <c r="PXY54" s="6"/>
      <c r="PXZ54" s="6"/>
      <c r="PYA54" s="6"/>
      <c r="PYB54" s="6"/>
      <c r="PYC54" s="6"/>
      <c r="PYD54" s="6"/>
      <c r="PYE54" s="6"/>
      <c r="PYF54" s="6"/>
      <c r="PYG54" s="6"/>
      <c r="PYH54" s="6"/>
      <c r="PYI54" s="6"/>
      <c r="PYJ54" s="6"/>
      <c r="PYK54" s="6"/>
      <c r="PYL54" s="6"/>
      <c r="PYM54" s="6"/>
      <c r="PYN54" s="6"/>
      <c r="PYO54" s="6"/>
      <c r="PYP54" s="6"/>
      <c r="PYQ54" s="6"/>
      <c r="PYR54" s="6"/>
      <c r="PYS54" s="6"/>
      <c r="PYT54" s="6"/>
      <c r="PYU54" s="6"/>
      <c r="PYV54" s="6"/>
      <c r="PYW54" s="6"/>
      <c r="PYX54" s="6"/>
      <c r="PYY54" s="6"/>
      <c r="PYZ54" s="6"/>
      <c r="PZA54" s="6"/>
      <c r="PZB54" s="6"/>
      <c r="PZC54" s="6"/>
      <c r="PZD54" s="6"/>
      <c r="PZE54" s="6"/>
      <c r="PZF54" s="6"/>
      <c r="PZG54" s="6"/>
      <c r="PZH54" s="6"/>
      <c r="PZI54" s="6"/>
      <c r="PZJ54" s="6"/>
      <c r="PZK54" s="6"/>
      <c r="PZL54" s="6"/>
      <c r="PZM54" s="6"/>
      <c r="PZN54" s="6"/>
      <c r="PZO54" s="6"/>
      <c r="PZP54" s="6"/>
      <c r="PZQ54" s="6"/>
      <c r="PZR54" s="6"/>
      <c r="PZS54" s="6"/>
      <c r="PZT54" s="6"/>
      <c r="PZU54" s="6"/>
      <c r="PZV54" s="6"/>
      <c r="PZW54" s="6"/>
      <c r="PZX54" s="6"/>
      <c r="PZY54" s="6"/>
      <c r="PZZ54" s="6"/>
      <c r="QAA54" s="6"/>
      <c r="QAB54" s="6"/>
      <c r="QAC54" s="6"/>
      <c r="QAD54" s="6"/>
      <c r="QAE54" s="6"/>
      <c r="QAF54" s="6"/>
      <c r="QAG54" s="6"/>
      <c r="QAH54" s="6"/>
      <c r="QAI54" s="6"/>
      <c r="QAJ54" s="6"/>
      <c r="QAK54" s="6"/>
      <c r="QAL54" s="6"/>
      <c r="QAM54" s="6"/>
      <c r="QAN54" s="6"/>
      <c r="QAO54" s="6"/>
      <c r="QAP54" s="6"/>
      <c r="QAQ54" s="6"/>
      <c r="QAR54" s="6"/>
      <c r="QAS54" s="6"/>
      <c r="QAT54" s="6"/>
      <c r="QAU54" s="6"/>
      <c r="QAV54" s="6"/>
      <c r="QAW54" s="6"/>
      <c r="QAX54" s="6"/>
      <c r="QAY54" s="6"/>
      <c r="QAZ54" s="6"/>
      <c r="QBA54" s="6"/>
      <c r="QBB54" s="6"/>
      <c r="QBC54" s="6"/>
      <c r="QBD54" s="6"/>
      <c r="QBE54" s="6"/>
      <c r="QBF54" s="6"/>
      <c r="QBG54" s="6"/>
      <c r="QBH54" s="6"/>
      <c r="QBI54" s="6"/>
      <c r="QBJ54" s="6"/>
      <c r="QBK54" s="6"/>
      <c r="QBL54" s="6"/>
      <c r="QBM54" s="6"/>
      <c r="QBN54" s="6"/>
      <c r="QBO54" s="6"/>
      <c r="QBP54" s="6"/>
      <c r="QBQ54" s="6"/>
      <c r="QBR54" s="6"/>
      <c r="QBS54" s="6"/>
      <c r="QBT54" s="6"/>
      <c r="QBU54" s="6"/>
      <c r="QBV54" s="6"/>
      <c r="QBW54" s="6"/>
      <c r="QBX54" s="6"/>
      <c r="QBY54" s="6"/>
      <c r="QBZ54" s="6"/>
      <c r="QCA54" s="6"/>
      <c r="QCB54" s="6"/>
      <c r="QCC54" s="6"/>
      <c r="QCD54" s="6"/>
      <c r="QCE54" s="6"/>
      <c r="QCF54" s="6"/>
      <c r="QCG54" s="6"/>
      <c r="QCH54" s="6"/>
      <c r="QCI54" s="6"/>
      <c r="QCJ54" s="6"/>
      <c r="QCK54" s="6"/>
      <c r="QCL54" s="6"/>
      <c r="QCM54" s="6"/>
      <c r="QCN54" s="6"/>
      <c r="QCO54" s="6"/>
      <c r="QCP54" s="6"/>
      <c r="QCQ54" s="6"/>
      <c r="QCR54" s="6"/>
      <c r="QCS54" s="6"/>
      <c r="QCT54" s="6"/>
      <c r="QCU54" s="6"/>
      <c r="QCV54" s="6"/>
      <c r="QCW54" s="6"/>
      <c r="QCX54" s="6"/>
      <c r="QCY54" s="6"/>
      <c r="QCZ54" s="6"/>
      <c r="QDA54" s="6"/>
      <c r="QDB54" s="6"/>
      <c r="QDC54" s="6"/>
      <c r="QDD54" s="6"/>
      <c r="QDE54" s="6"/>
      <c r="QDF54" s="6"/>
      <c r="QDG54" s="6"/>
      <c r="QDH54" s="6"/>
      <c r="QDI54" s="6"/>
      <c r="QDJ54" s="6"/>
      <c r="QDK54" s="6"/>
      <c r="QDL54" s="6"/>
      <c r="QDM54" s="6"/>
      <c r="QDN54" s="6"/>
      <c r="QDO54" s="6"/>
      <c r="QDP54" s="6"/>
      <c r="QDQ54" s="6"/>
      <c r="QDR54" s="6"/>
      <c r="QDS54" s="6"/>
      <c r="QDT54" s="6"/>
      <c r="QDU54" s="6"/>
      <c r="QDV54" s="6"/>
      <c r="QDW54" s="6"/>
      <c r="QDX54" s="6"/>
      <c r="QDY54" s="6"/>
      <c r="QDZ54" s="6"/>
      <c r="QEA54" s="6"/>
      <c r="QEB54" s="6"/>
      <c r="QEC54" s="6"/>
      <c r="QED54" s="6"/>
      <c r="QEE54" s="6"/>
      <c r="QEF54" s="6"/>
      <c r="QEG54" s="6"/>
      <c r="QEH54" s="6"/>
      <c r="QEI54" s="6"/>
      <c r="QEJ54" s="6"/>
      <c r="QEK54" s="6"/>
      <c r="QEL54" s="6"/>
      <c r="QEM54" s="6"/>
      <c r="QEN54" s="6"/>
      <c r="QEO54" s="6"/>
      <c r="QEP54" s="6"/>
      <c r="QEQ54" s="6"/>
      <c r="QER54" s="6"/>
      <c r="QES54" s="6"/>
      <c r="QET54" s="6"/>
      <c r="QEU54" s="6"/>
      <c r="QEV54" s="6"/>
      <c r="QEW54" s="6"/>
      <c r="QEX54" s="6"/>
      <c r="QEY54" s="6"/>
      <c r="QEZ54" s="6"/>
      <c r="QFA54" s="6"/>
      <c r="QFB54" s="6"/>
      <c r="QFC54" s="6"/>
      <c r="QFD54" s="6"/>
      <c r="QFE54" s="6"/>
      <c r="QFF54" s="6"/>
      <c r="QFG54" s="6"/>
      <c r="QFH54" s="6"/>
      <c r="QFI54" s="6"/>
      <c r="QFJ54" s="6"/>
      <c r="QFK54" s="6"/>
      <c r="QFL54" s="6"/>
      <c r="QFM54" s="6"/>
      <c r="QFN54" s="6"/>
      <c r="QFO54" s="6"/>
      <c r="QFP54" s="6"/>
      <c r="QFQ54" s="6"/>
      <c r="QFR54" s="6"/>
      <c r="QFS54" s="6"/>
      <c r="QFT54" s="6"/>
      <c r="QFU54" s="6"/>
      <c r="QFV54" s="6"/>
      <c r="QFW54" s="6"/>
      <c r="QFX54" s="6"/>
      <c r="QFY54" s="6"/>
      <c r="QFZ54" s="6"/>
      <c r="QGA54" s="6"/>
      <c r="QGB54" s="6"/>
      <c r="QGC54" s="6"/>
      <c r="QGD54" s="6"/>
      <c r="QGE54" s="6"/>
      <c r="QGF54" s="6"/>
      <c r="QGG54" s="6"/>
      <c r="QGH54" s="6"/>
      <c r="QGI54" s="6"/>
      <c r="QGJ54" s="6"/>
      <c r="QGK54" s="6"/>
      <c r="QGL54" s="6"/>
      <c r="QGM54" s="6"/>
      <c r="QGN54" s="6"/>
      <c r="QGO54" s="6"/>
      <c r="QGP54" s="6"/>
      <c r="QGQ54" s="6"/>
      <c r="QGR54" s="6"/>
      <c r="QGS54" s="6"/>
      <c r="QGT54" s="6"/>
      <c r="QGU54" s="6"/>
      <c r="QGV54" s="6"/>
      <c r="QGW54" s="6"/>
      <c r="QGX54" s="6"/>
      <c r="QGY54" s="6"/>
      <c r="QGZ54" s="6"/>
      <c r="QHA54" s="6"/>
      <c r="QHB54" s="6"/>
      <c r="QHC54" s="6"/>
      <c r="QHD54" s="6"/>
      <c r="QHE54" s="6"/>
      <c r="QHF54" s="6"/>
      <c r="QHG54" s="6"/>
      <c r="QHH54" s="6"/>
      <c r="QHI54" s="6"/>
      <c r="QHJ54" s="6"/>
      <c r="QHK54" s="6"/>
      <c r="QHL54" s="6"/>
      <c r="QHM54" s="6"/>
      <c r="QHN54" s="6"/>
      <c r="QHO54" s="6"/>
      <c r="QHP54" s="6"/>
      <c r="QHQ54" s="6"/>
      <c r="QHR54" s="6"/>
      <c r="QHS54" s="6"/>
      <c r="QHT54" s="6"/>
      <c r="QHU54" s="6"/>
      <c r="QHV54" s="6"/>
      <c r="QHW54" s="6"/>
      <c r="QHX54" s="6"/>
      <c r="QHY54" s="6"/>
      <c r="QHZ54" s="6"/>
      <c r="QIA54" s="6"/>
      <c r="QIB54" s="6"/>
      <c r="QIC54" s="6"/>
      <c r="QID54" s="6"/>
      <c r="QIE54" s="6"/>
      <c r="QIF54" s="6"/>
      <c r="QIG54" s="6"/>
      <c r="QIH54" s="6"/>
      <c r="QII54" s="6"/>
      <c r="QIJ54" s="6"/>
      <c r="QIK54" s="6"/>
      <c r="QIL54" s="6"/>
      <c r="QIM54" s="6"/>
      <c r="QIN54" s="6"/>
      <c r="QIO54" s="6"/>
      <c r="QIP54" s="6"/>
      <c r="QIQ54" s="6"/>
      <c r="QIR54" s="6"/>
      <c r="QIS54" s="6"/>
      <c r="QIT54" s="6"/>
      <c r="QIU54" s="6"/>
      <c r="QIV54" s="6"/>
      <c r="QIW54" s="6"/>
      <c r="QIX54" s="6"/>
      <c r="QIY54" s="6"/>
      <c r="QIZ54" s="6"/>
      <c r="QJA54" s="6"/>
      <c r="QJB54" s="6"/>
      <c r="QJC54" s="6"/>
      <c r="QJD54" s="6"/>
      <c r="QJE54" s="6"/>
      <c r="QJF54" s="6"/>
      <c r="QJG54" s="6"/>
      <c r="QJH54" s="6"/>
      <c r="QJI54" s="6"/>
      <c r="QJJ54" s="6"/>
      <c r="QJK54" s="6"/>
      <c r="QJL54" s="6"/>
      <c r="QJM54" s="6"/>
      <c r="QJN54" s="6"/>
      <c r="QJO54" s="6"/>
      <c r="QJP54" s="6"/>
      <c r="QJQ54" s="6"/>
      <c r="QJR54" s="6"/>
      <c r="QJS54" s="6"/>
      <c r="QJT54" s="6"/>
      <c r="QJU54" s="6"/>
      <c r="QJV54" s="6"/>
      <c r="QJW54" s="6"/>
      <c r="QJX54" s="6"/>
      <c r="QJY54" s="6"/>
      <c r="QJZ54" s="6"/>
      <c r="QKA54" s="6"/>
      <c r="QKB54" s="6"/>
      <c r="QKC54" s="6"/>
      <c r="QKD54" s="6"/>
      <c r="QKE54" s="6"/>
      <c r="QKF54" s="6"/>
      <c r="QKG54" s="6"/>
      <c r="QKH54" s="6"/>
      <c r="QKI54" s="6"/>
      <c r="QKJ54" s="6"/>
      <c r="QKK54" s="6"/>
      <c r="QKL54" s="6"/>
      <c r="QKM54" s="6"/>
      <c r="QKN54" s="6"/>
      <c r="QKO54" s="6"/>
      <c r="QKP54" s="6"/>
      <c r="QKQ54" s="6"/>
      <c r="QKR54" s="6"/>
      <c r="QKS54" s="6"/>
      <c r="QKT54" s="6"/>
      <c r="QKU54" s="6"/>
      <c r="QKV54" s="6"/>
      <c r="QKW54" s="6"/>
      <c r="QKX54" s="6"/>
      <c r="QKY54" s="6"/>
      <c r="QKZ54" s="6"/>
      <c r="QLA54" s="6"/>
      <c r="QLB54" s="6"/>
      <c r="QLC54" s="6"/>
      <c r="QLD54" s="6"/>
      <c r="QLE54" s="6"/>
      <c r="QLF54" s="6"/>
      <c r="QLG54" s="6"/>
      <c r="QLH54" s="6"/>
      <c r="QLI54" s="6"/>
      <c r="QLJ54" s="6"/>
      <c r="QLK54" s="6"/>
      <c r="QLL54" s="6"/>
      <c r="QLM54" s="6"/>
      <c r="QLN54" s="6"/>
      <c r="QLO54" s="6"/>
      <c r="QLP54" s="6"/>
      <c r="QLQ54" s="6"/>
      <c r="QLR54" s="6"/>
      <c r="QLS54" s="6"/>
      <c r="QLT54" s="6"/>
      <c r="QLU54" s="6"/>
      <c r="QLV54" s="6"/>
      <c r="QLW54" s="6"/>
      <c r="QLX54" s="6"/>
      <c r="QLY54" s="6"/>
      <c r="QLZ54" s="6"/>
      <c r="QMA54" s="6"/>
      <c r="QMB54" s="6"/>
      <c r="QMC54" s="6"/>
      <c r="QMD54" s="6"/>
      <c r="QME54" s="6"/>
      <c r="QMF54" s="6"/>
      <c r="QMG54" s="6"/>
      <c r="QMH54" s="6"/>
      <c r="QMI54" s="6"/>
      <c r="QMJ54" s="6"/>
      <c r="QMK54" s="6"/>
      <c r="QML54" s="6"/>
      <c r="QMM54" s="6"/>
      <c r="QMN54" s="6"/>
      <c r="QMO54" s="6"/>
      <c r="QMP54" s="6"/>
      <c r="QMQ54" s="6"/>
      <c r="QMR54" s="6"/>
      <c r="QMS54" s="6"/>
      <c r="QMT54" s="6"/>
      <c r="QMU54" s="6"/>
      <c r="QMV54" s="6"/>
      <c r="QMW54" s="6"/>
      <c r="QMX54" s="6"/>
      <c r="QMY54" s="6"/>
      <c r="QMZ54" s="6"/>
      <c r="QNA54" s="6"/>
      <c r="QNB54" s="6"/>
      <c r="QNC54" s="6"/>
      <c r="QND54" s="6"/>
      <c r="QNE54" s="6"/>
      <c r="QNF54" s="6"/>
      <c r="QNG54" s="6"/>
      <c r="QNH54" s="6"/>
      <c r="QNI54" s="6"/>
      <c r="QNJ54" s="6"/>
      <c r="QNK54" s="6"/>
      <c r="QNL54" s="6"/>
      <c r="QNM54" s="6"/>
      <c r="QNN54" s="6"/>
      <c r="QNO54" s="6"/>
      <c r="QNP54" s="6"/>
      <c r="QNQ54" s="6"/>
      <c r="QNR54" s="6"/>
      <c r="QNS54" s="6"/>
      <c r="QNT54" s="6"/>
      <c r="QNU54" s="6"/>
      <c r="QNV54" s="6"/>
      <c r="QNW54" s="6"/>
      <c r="QNX54" s="6"/>
      <c r="QNY54" s="6"/>
      <c r="QNZ54" s="6"/>
      <c r="QOA54" s="6"/>
      <c r="QOB54" s="6"/>
      <c r="QOC54" s="6"/>
      <c r="QOD54" s="6"/>
      <c r="QOE54" s="6"/>
      <c r="QOF54" s="6"/>
      <c r="QOG54" s="6"/>
      <c r="QOH54" s="6"/>
      <c r="QOI54" s="6"/>
      <c r="QOJ54" s="6"/>
      <c r="QOK54" s="6"/>
      <c r="QOL54" s="6"/>
      <c r="QOM54" s="6"/>
      <c r="QON54" s="6"/>
      <c r="QOO54" s="6"/>
      <c r="QOP54" s="6"/>
      <c r="QOQ54" s="6"/>
      <c r="QOR54" s="6"/>
      <c r="QOS54" s="6"/>
      <c r="QOT54" s="6"/>
      <c r="QOU54" s="6"/>
      <c r="QOV54" s="6"/>
      <c r="QOW54" s="6"/>
      <c r="QOX54" s="6"/>
      <c r="QOY54" s="6"/>
      <c r="QOZ54" s="6"/>
      <c r="QPA54" s="6"/>
      <c r="QPB54" s="6"/>
      <c r="QPC54" s="6"/>
      <c r="QPD54" s="6"/>
      <c r="QPE54" s="6"/>
      <c r="QPF54" s="6"/>
      <c r="QPG54" s="6"/>
      <c r="QPH54" s="6"/>
      <c r="QPI54" s="6"/>
      <c r="QPJ54" s="6"/>
      <c r="QPK54" s="6"/>
      <c r="QPL54" s="6"/>
      <c r="QPM54" s="6"/>
      <c r="QPN54" s="6"/>
      <c r="QPO54" s="6"/>
      <c r="QPP54" s="6"/>
      <c r="QPQ54" s="6"/>
      <c r="QPR54" s="6"/>
      <c r="QPS54" s="6"/>
      <c r="QPT54" s="6"/>
      <c r="QPU54" s="6"/>
      <c r="QPV54" s="6"/>
      <c r="QPW54" s="6"/>
      <c r="QPX54" s="6"/>
      <c r="QPY54" s="6"/>
      <c r="QPZ54" s="6"/>
      <c r="QQA54" s="6"/>
      <c r="QQB54" s="6"/>
      <c r="QQC54" s="6"/>
      <c r="QQD54" s="6"/>
      <c r="QQE54" s="6"/>
      <c r="QQF54" s="6"/>
      <c r="QQG54" s="6"/>
      <c r="QQH54" s="6"/>
      <c r="QQI54" s="6"/>
      <c r="QQJ54" s="6"/>
      <c r="QQK54" s="6"/>
      <c r="QQL54" s="6"/>
      <c r="QQM54" s="6"/>
      <c r="QQN54" s="6"/>
      <c r="QQO54" s="6"/>
      <c r="QQP54" s="6"/>
      <c r="QQQ54" s="6"/>
      <c r="QQR54" s="6"/>
      <c r="QQS54" s="6"/>
      <c r="QQT54" s="6"/>
      <c r="QQU54" s="6"/>
      <c r="QQV54" s="6"/>
      <c r="QQW54" s="6"/>
      <c r="QQX54" s="6"/>
      <c r="QQY54" s="6"/>
      <c r="QQZ54" s="6"/>
      <c r="QRA54" s="6"/>
      <c r="QRB54" s="6"/>
      <c r="QRC54" s="6"/>
      <c r="QRD54" s="6"/>
      <c r="QRE54" s="6"/>
      <c r="QRF54" s="6"/>
      <c r="QRG54" s="6"/>
      <c r="QRH54" s="6"/>
      <c r="QRI54" s="6"/>
      <c r="QRJ54" s="6"/>
      <c r="QRK54" s="6"/>
      <c r="QRL54" s="6"/>
      <c r="QRM54" s="6"/>
      <c r="QRN54" s="6"/>
      <c r="QRO54" s="6"/>
      <c r="QRP54" s="6"/>
      <c r="QRQ54" s="6"/>
      <c r="QRR54" s="6"/>
      <c r="QRS54" s="6"/>
      <c r="QRT54" s="6"/>
      <c r="QRU54" s="6"/>
      <c r="QRV54" s="6"/>
      <c r="QRW54" s="6"/>
      <c r="QRX54" s="6"/>
      <c r="QRY54" s="6"/>
      <c r="QRZ54" s="6"/>
      <c r="QSA54" s="6"/>
      <c r="QSB54" s="6"/>
      <c r="QSC54" s="6"/>
      <c r="QSD54" s="6"/>
      <c r="QSE54" s="6"/>
      <c r="QSF54" s="6"/>
      <c r="QSG54" s="6"/>
      <c r="QSH54" s="6"/>
      <c r="QSI54" s="6"/>
      <c r="QSJ54" s="6"/>
      <c r="QSK54" s="6"/>
      <c r="QSL54" s="6"/>
      <c r="QSM54" s="6"/>
      <c r="QSN54" s="6"/>
      <c r="QSO54" s="6"/>
      <c r="QSP54" s="6"/>
      <c r="QSQ54" s="6"/>
      <c r="QSR54" s="6"/>
      <c r="QSS54" s="6"/>
      <c r="QST54" s="6"/>
      <c r="QSU54" s="6"/>
      <c r="QSV54" s="6"/>
      <c r="QSW54" s="6"/>
      <c r="QSX54" s="6"/>
      <c r="QSY54" s="6"/>
      <c r="QSZ54" s="6"/>
      <c r="QTA54" s="6"/>
      <c r="QTB54" s="6"/>
      <c r="QTC54" s="6"/>
      <c r="QTD54" s="6"/>
      <c r="QTE54" s="6"/>
      <c r="QTF54" s="6"/>
      <c r="QTG54" s="6"/>
      <c r="QTH54" s="6"/>
      <c r="QTI54" s="6"/>
      <c r="QTJ54" s="6"/>
      <c r="QTK54" s="6"/>
      <c r="QTL54" s="6"/>
      <c r="QTM54" s="6"/>
      <c r="QTN54" s="6"/>
      <c r="QTO54" s="6"/>
      <c r="QTP54" s="6"/>
      <c r="QTQ54" s="6"/>
      <c r="QTR54" s="6"/>
      <c r="QTS54" s="6"/>
      <c r="QTT54" s="6"/>
      <c r="QTU54" s="6"/>
      <c r="QTV54" s="6"/>
      <c r="QTW54" s="6"/>
      <c r="QTX54" s="6"/>
      <c r="QTY54" s="6"/>
      <c r="QTZ54" s="6"/>
      <c r="QUA54" s="6"/>
      <c r="QUB54" s="6"/>
      <c r="QUC54" s="6"/>
      <c r="QUD54" s="6"/>
      <c r="QUE54" s="6"/>
      <c r="QUF54" s="6"/>
      <c r="QUG54" s="6"/>
      <c r="QUH54" s="6"/>
      <c r="QUI54" s="6"/>
      <c r="QUJ54" s="6"/>
      <c r="QUK54" s="6"/>
      <c r="QUL54" s="6"/>
      <c r="QUM54" s="6"/>
      <c r="QUN54" s="6"/>
      <c r="QUO54" s="6"/>
      <c r="QUP54" s="6"/>
      <c r="QUQ54" s="6"/>
      <c r="QUR54" s="6"/>
      <c r="QUS54" s="6"/>
      <c r="QUT54" s="6"/>
      <c r="QUU54" s="6"/>
      <c r="QUV54" s="6"/>
      <c r="QUW54" s="6"/>
      <c r="QUX54" s="6"/>
      <c r="QUY54" s="6"/>
      <c r="QUZ54" s="6"/>
      <c r="QVA54" s="6"/>
      <c r="QVB54" s="6"/>
      <c r="QVC54" s="6"/>
      <c r="QVD54" s="6"/>
      <c r="QVE54" s="6"/>
      <c r="QVF54" s="6"/>
      <c r="QVG54" s="6"/>
      <c r="QVH54" s="6"/>
      <c r="QVI54" s="6"/>
      <c r="QVJ54" s="6"/>
      <c r="QVK54" s="6"/>
      <c r="QVL54" s="6"/>
      <c r="QVM54" s="6"/>
      <c r="QVN54" s="6"/>
      <c r="QVO54" s="6"/>
      <c r="QVP54" s="6"/>
      <c r="QVQ54" s="6"/>
      <c r="QVR54" s="6"/>
      <c r="QVS54" s="6"/>
      <c r="QVT54" s="6"/>
      <c r="QVU54" s="6"/>
      <c r="QVV54" s="6"/>
      <c r="QVW54" s="6"/>
      <c r="QVX54" s="6"/>
      <c r="QVY54" s="6"/>
      <c r="QVZ54" s="6"/>
      <c r="QWA54" s="6"/>
      <c r="QWB54" s="6"/>
      <c r="QWC54" s="6"/>
      <c r="QWD54" s="6"/>
      <c r="QWE54" s="6"/>
      <c r="QWF54" s="6"/>
      <c r="QWG54" s="6"/>
      <c r="QWH54" s="6"/>
      <c r="QWI54" s="6"/>
      <c r="QWJ54" s="6"/>
      <c r="QWK54" s="6"/>
      <c r="QWL54" s="6"/>
      <c r="QWM54" s="6"/>
      <c r="QWN54" s="6"/>
      <c r="QWO54" s="6"/>
      <c r="QWP54" s="6"/>
      <c r="QWQ54" s="6"/>
      <c r="QWR54" s="6"/>
      <c r="QWS54" s="6"/>
      <c r="QWT54" s="6"/>
      <c r="QWU54" s="6"/>
      <c r="QWV54" s="6"/>
      <c r="QWW54" s="6"/>
      <c r="QWX54" s="6"/>
      <c r="QWY54" s="6"/>
      <c r="QWZ54" s="6"/>
      <c r="QXA54" s="6"/>
      <c r="QXB54" s="6"/>
      <c r="QXC54" s="6"/>
      <c r="QXD54" s="6"/>
      <c r="QXE54" s="6"/>
      <c r="QXF54" s="6"/>
      <c r="QXG54" s="6"/>
      <c r="QXH54" s="6"/>
      <c r="QXI54" s="6"/>
      <c r="QXJ54" s="6"/>
      <c r="QXK54" s="6"/>
      <c r="QXL54" s="6"/>
      <c r="QXM54" s="6"/>
      <c r="QXN54" s="6"/>
      <c r="QXO54" s="6"/>
      <c r="QXP54" s="6"/>
      <c r="QXQ54" s="6"/>
      <c r="QXR54" s="6"/>
      <c r="QXS54" s="6"/>
      <c r="QXT54" s="6"/>
      <c r="QXU54" s="6"/>
      <c r="QXV54" s="6"/>
      <c r="QXW54" s="6"/>
      <c r="QXX54" s="6"/>
      <c r="QXY54" s="6"/>
      <c r="QXZ54" s="6"/>
      <c r="QYA54" s="6"/>
      <c r="QYB54" s="6"/>
      <c r="QYC54" s="6"/>
      <c r="QYD54" s="6"/>
      <c r="QYE54" s="6"/>
      <c r="QYF54" s="6"/>
      <c r="QYG54" s="6"/>
      <c r="QYH54" s="6"/>
      <c r="QYI54" s="6"/>
      <c r="QYJ54" s="6"/>
      <c r="QYK54" s="6"/>
      <c r="QYL54" s="6"/>
      <c r="QYM54" s="6"/>
      <c r="QYN54" s="6"/>
      <c r="QYO54" s="6"/>
      <c r="QYP54" s="6"/>
      <c r="QYQ54" s="6"/>
      <c r="QYR54" s="6"/>
      <c r="QYS54" s="6"/>
      <c r="QYT54" s="6"/>
      <c r="QYU54" s="6"/>
      <c r="QYV54" s="6"/>
      <c r="QYW54" s="6"/>
      <c r="QYX54" s="6"/>
      <c r="QYY54" s="6"/>
      <c r="QYZ54" s="6"/>
      <c r="QZA54" s="6"/>
      <c r="QZB54" s="6"/>
      <c r="QZC54" s="6"/>
      <c r="QZD54" s="6"/>
      <c r="QZE54" s="6"/>
      <c r="QZF54" s="6"/>
      <c r="QZG54" s="6"/>
      <c r="QZH54" s="6"/>
      <c r="QZI54" s="6"/>
      <c r="QZJ54" s="6"/>
      <c r="QZK54" s="6"/>
      <c r="QZL54" s="6"/>
      <c r="QZM54" s="6"/>
      <c r="QZN54" s="6"/>
      <c r="QZO54" s="6"/>
      <c r="QZP54" s="6"/>
      <c r="QZQ54" s="6"/>
      <c r="QZR54" s="6"/>
      <c r="QZS54" s="6"/>
      <c r="QZT54" s="6"/>
      <c r="QZU54" s="6"/>
      <c r="QZV54" s="6"/>
      <c r="QZW54" s="6"/>
      <c r="QZX54" s="6"/>
      <c r="QZY54" s="6"/>
      <c r="QZZ54" s="6"/>
      <c r="RAA54" s="6"/>
      <c r="RAB54" s="6"/>
      <c r="RAC54" s="6"/>
      <c r="RAD54" s="6"/>
      <c r="RAE54" s="6"/>
      <c r="RAF54" s="6"/>
      <c r="RAG54" s="6"/>
      <c r="RAH54" s="6"/>
      <c r="RAI54" s="6"/>
      <c r="RAJ54" s="6"/>
      <c r="RAK54" s="6"/>
      <c r="RAL54" s="6"/>
      <c r="RAM54" s="6"/>
      <c r="RAN54" s="6"/>
      <c r="RAO54" s="6"/>
      <c r="RAP54" s="6"/>
      <c r="RAQ54" s="6"/>
      <c r="RAR54" s="6"/>
      <c r="RAS54" s="6"/>
      <c r="RAT54" s="6"/>
      <c r="RAU54" s="6"/>
      <c r="RAV54" s="6"/>
      <c r="RAW54" s="6"/>
      <c r="RAX54" s="6"/>
      <c r="RAY54" s="6"/>
      <c r="RAZ54" s="6"/>
      <c r="RBA54" s="6"/>
      <c r="RBB54" s="6"/>
      <c r="RBC54" s="6"/>
      <c r="RBD54" s="6"/>
      <c r="RBE54" s="6"/>
      <c r="RBF54" s="6"/>
      <c r="RBG54" s="6"/>
      <c r="RBH54" s="6"/>
      <c r="RBI54" s="6"/>
      <c r="RBJ54" s="6"/>
      <c r="RBK54" s="6"/>
      <c r="RBL54" s="6"/>
      <c r="RBM54" s="6"/>
      <c r="RBN54" s="6"/>
      <c r="RBO54" s="6"/>
      <c r="RBP54" s="6"/>
      <c r="RBQ54" s="6"/>
      <c r="RBR54" s="6"/>
      <c r="RBS54" s="6"/>
      <c r="RBT54" s="6"/>
      <c r="RBU54" s="6"/>
      <c r="RBV54" s="6"/>
      <c r="RBW54" s="6"/>
      <c r="RBX54" s="6"/>
      <c r="RBY54" s="6"/>
      <c r="RBZ54" s="6"/>
      <c r="RCA54" s="6"/>
      <c r="RCB54" s="6"/>
      <c r="RCC54" s="6"/>
      <c r="RCD54" s="6"/>
      <c r="RCE54" s="6"/>
      <c r="RCF54" s="6"/>
      <c r="RCG54" s="6"/>
      <c r="RCH54" s="6"/>
      <c r="RCI54" s="6"/>
      <c r="RCJ54" s="6"/>
      <c r="RCK54" s="6"/>
      <c r="RCL54" s="6"/>
      <c r="RCM54" s="6"/>
      <c r="RCN54" s="6"/>
      <c r="RCO54" s="6"/>
      <c r="RCP54" s="6"/>
      <c r="RCQ54" s="6"/>
      <c r="RCR54" s="6"/>
      <c r="RCS54" s="6"/>
      <c r="RCT54" s="6"/>
      <c r="RCU54" s="6"/>
      <c r="RCV54" s="6"/>
      <c r="RCW54" s="6"/>
      <c r="RCX54" s="6"/>
      <c r="RCY54" s="6"/>
      <c r="RCZ54" s="6"/>
      <c r="RDA54" s="6"/>
      <c r="RDB54" s="6"/>
      <c r="RDC54" s="6"/>
      <c r="RDD54" s="6"/>
      <c r="RDE54" s="6"/>
      <c r="RDF54" s="6"/>
      <c r="RDG54" s="6"/>
      <c r="RDH54" s="6"/>
      <c r="RDI54" s="6"/>
      <c r="RDJ54" s="6"/>
      <c r="RDK54" s="6"/>
      <c r="RDL54" s="6"/>
      <c r="RDM54" s="6"/>
      <c r="RDN54" s="6"/>
      <c r="RDO54" s="6"/>
      <c r="RDP54" s="6"/>
      <c r="RDQ54" s="6"/>
      <c r="RDR54" s="6"/>
      <c r="RDS54" s="6"/>
      <c r="RDT54" s="6"/>
      <c r="RDU54" s="6"/>
      <c r="RDV54" s="6"/>
      <c r="RDW54" s="6"/>
      <c r="RDX54" s="6"/>
      <c r="RDY54" s="6"/>
      <c r="RDZ54" s="6"/>
      <c r="REA54" s="6"/>
      <c r="REB54" s="6"/>
      <c r="REC54" s="6"/>
      <c r="RED54" s="6"/>
      <c r="REE54" s="6"/>
      <c r="REF54" s="6"/>
      <c r="REG54" s="6"/>
      <c r="REH54" s="6"/>
      <c r="REI54" s="6"/>
      <c r="REJ54" s="6"/>
      <c r="REK54" s="6"/>
      <c r="REL54" s="6"/>
      <c r="REM54" s="6"/>
      <c r="REN54" s="6"/>
      <c r="REO54" s="6"/>
      <c r="REP54" s="6"/>
      <c r="REQ54" s="6"/>
      <c r="RER54" s="6"/>
      <c r="RES54" s="6"/>
      <c r="RET54" s="6"/>
      <c r="REU54" s="6"/>
      <c r="REV54" s="6"/>
      <c r="REW54" s="6"/>
      <c r="REX54" s="6"/>
      <c r="REY54" s="6"/>
      <c r="REZ54" s="6"/>
      <c r="RFA54" s="6"/>
      <c r="RFB54" s="6"/>
      <c r="RFC54" s="6"/>
      <c r="RFD54" s="6"/>
      <c r="RFE54" s="6"/>
      <c r="RFF54" s="6"/>
      <c r="RFG54" s="6"/>
      <c r="RFH54" s="6"/>
      <c r="RFI54" s="6"/>
      <c r="RFJ54" s="6"/>
      <c r="RFK54" s="6"/>
      <c r="RFL54" s="6"/>
      <c r="RFM54" s="6"/>
      <c r="RFN54" s="6"/>
      <c r="RFO54" s="6"/>
      <c r="RFP54" s="6"/>
      <c r="RFQ54" s="6"/>
      <c r="RFR54" s="6"/>
      <c r="RFS54" s="6"/>
      <c r="RFT54" s="6"/>
      <c r="RFU54" s="6"/>
      <c r="RFV54" s="6"/>
      <c r="RFW54" s="6"/>
      <c r="RFX54" s="6"/>
      <c r="RFY54" s="6"/>
      <c r="RFZ54" s="6"/>
      <c r="RGA54" s="6"/>
      <c r="RGB54" s="6"/>
      <c r="RGC54" s="6"/>
      <c r="RGD54" s="6"/>
      <c r="RGE54" s="6"/>
      <c r="RGF54" s="6"/>
      <c r="RGG54" s="6"/>
      <c r="RGH54" s="6"/>
      <c r="RGI54" s="6"/>
      <c r="RGJ54" s="6"/>
      <c r="RGK54" s="6"/>
      <c r="RGL54" s="6"/>
      <c r="RGM54" s="6"/>
      <c r="RGN54" s="6"/>
      <c r="RGO54" s="6"/>
      <c r="RGP54" s="6"/>
      <c r="RGQ54" s="6"/>
      <c r="RGR54" s="6"/>
      <c r="RGS54" s="6"/>
      <c r="RGT54" s="6"/>
      <c r="RGU54" s="6"/>
      <c r="RGV54" s="6"/>
      <c r="RGW54" s="6"/>
      <c r="RGX54" s="6"/>
      <c r="RGY54" s="6"/>
      <c r="RGZ54" s="6"/>
      <c r="RHA54" s="6"/>
      <c r="RHB54" s="6"/>
      <c r="RHC54" s="6"/>
      <c r="RHD54" s="6"/>
      <c r="RHE54" s="6"/>
      <c r="RHF54" s="6"/>
      <c r="RHG54" s="6"/>
      <c r="RHH54" s="6"/>
      <c r="RHI54" s="6"/>
      <c r="RHJ54" s="6"/>
      <c r="RHK54" s="6"/>
      <c r="RHL54" s="6"/>
      <c r="RHM54" s="6"/>
      <c r="RHN54" s="6"/>
      <c r="RHO54" s="6"/>
      <c r="RHP54" s="6"/>
      <c r="RHQ54" s="6"/>
      <c r="RHR54" s="6"/>
      <c r="RHS54" s="6"/>
      <c r="RHT54" s="6"/>
      <c r="RHU54" s="6"/>
      <c r="RHV54" s="6"/>
      <c r="RHW54" s="6"/>
      <c r="RHX54" s="6"/>
      <c r="RHY54" s="6"/>
      <c r="RHZ54" s="6"/>
      <c r="RIA54" s="6"/>
      <c r="RIB54" s="6"/>
      <c r="RIC54" s="6"/>
      <c r="RID54" s="6"/>
      <c r="RIE54" s="6"/>
      <c r="RIF54" s="6"/>
      <c r="RIG54" s="6"/>
      <c r="RIH54" s="6"/>
      <c r="RII54" s="6"/>
      <c r="RIJ54" s="6"/>
      <c r="RIK54" s="6"/>
      <c r="RIL54" s="6"/>
      <c r="RIM54" s="6"/>
      <c r="RIN54" s="6"/>
      <c r="RIO54" s="6"/>
      <c r="RIP54" s="6"/>
      <c r="RIQ54" s="6"/>
      <c r="RIR54" s="6"/>
      <c r="RIS54" s="6"/>
      <c r="RIT54" s="6"/>
      <c r="RIU54" s="6"/>
      <c r="RIV54" s="6"/>
      <c r="RIW54" s="6"/>
      <c r="RIX54" s="6"/>
      <c r="RIY54" s="6"/>
      <c r="RIZ54" s="6"/>
      <c r="RJA54" s="6"/>
      <c r="RJB54" s="6"/>
      <c r="RJC54" s="6"/>
      <c r="RJD54" s="6"/>
      <c r="RJE54" s="6"/>
      <c r="RJF54" s="6"/>
      <c r="RJG54" s="6"/>
      <c r="RJH54" s="6"/>
      <c r="RJI54" s="6"/>
      <c r="RJJ54" s="6"/>
      <c r="RJK54" s="6"/>
      <c r="RJL54" s="6"/>
      <c r="RJM54" s="6"/>
      <c r="RJN54" s="6"/>
      <c r="RJO54" s="6"/>
      <c r="RJP54" s="6"/>
      <c r="RJQ54" s="6"/>
      <c r="RJR54" s="6"/>
      <c r="RJS54" s="6"/>
      <c r="RJT54" s="6"/>
      <c r="RJU54" s="6"/>
      <c r="RJV54" s="6"/>
      <c r="RJW54" s="6"/>
      <c r="RJX54" s="6"/>
      <c r="RJY54" s="6"/>
      <c r="RJZ54" s="6"/>
      <c r="RKA54" s="6"/>
      <c r="RKB54" s="6"/>
      <c r="RKC54" s="6"/>
      <c r="RKD54" s="6"/>
      <c r="RKE54" s="6"/>
      <c r="RKF54" s="6"/>
      <c r="RKG54" s="6"/>
      <c r="RKH54" s="6"/>
      <c r="RKI54" s="6"/>
      <c r="RKJ54" s="6"/>
      <c r="RKK54" s="6"/>
      <c r="RKL54" s="6"/>
      <c r="RKM54" s="6"/>
      <c r="RKN54" s="6"/>
      <c r="RKO54" s="6"/>
      <c r="RKP54" s="6"/>
      <c r="RKQ54" s="6"/>
      <c r="RKR54" s="6"/>
      <c r="RKS54" s="6"/>
      <c r="RKT54" s="6"/>
      <c r="RKU54" s="6"/>
      <c r="RKV54" s="6"/>
      <c r="RKW54" s="6"/>
      <c r="RKX54" s="6"/>
      <c r="RKY54" s="6"/>
      <c r="RKZ54" s="6"/>
      <c r="RLA54" s="6"/>
      <c r="RLB54" s="6"/>
      <c r="RLC54" s="6"/>
      <c r="RLD54" s="6"/>
      <c r="RLE54" s="6"/>
      <c r="RLF54" s="6"/>
      <c r="RLG54" s="6"/>
      <c r="RLH54" s="6"/>
      <c r="RLI54" s="6"/>
      <c r="RLJ54" s="6"/>
      <c r="RLK54" s="6"/>
      <c r="RLL54" s="6"/>
      <c r="RLM54" s="6"/>
      <c r="RLN54" s="6"/>
      <c r="RLO54" s="6"/>
      <c r="RLP54" s="6"/>
      <c r="RLQ54" s="6"/>
      <c r="RLR54" s="6"/>
      <c r="RLS54" s="6"/>
      <c r="RLT54" s="6"/>
      <c r="RLU54" s="6"/>
      <c r="RLV54" s="6"/>
      <c r="RLW54" s="6"/>
      <c r="RLX54" s="6"/>
      <c r="RLY54" s="6"/>
      <c r="RLZ54" s="6"/>
      <c r="RMA54" s="6"/>
      <c r="RMB54" s="6"/>
      <c r="RMC54" s="6"/>
      <c r="RMD54" s="6"/>
      <c r="RME54" s="6"/>
      <c r="RMF54" s="6"/>
      <c r="RMG54" s="6"/>
      <c r="RMH54" s="6"/>
      <c r="RMI54" s="6"/>
      <c r="RMJ54" s="6"/>
      <c r="RMK54" s="6"/>
      <c r="RML54" s="6"/>
      <c r="RMM54" s="6"/>
      <c r="RMN54" s="6"/>
      <c r="RMO54" s="6"/>
      <c r="RMP54" s="6"/>
      <c r="RMQ54" s="6"/>
      <c r="RMR54" s="6"/>
      <c r="RMS54" s="6"/>
      <c r="RMT54" s="6"/>
      <c r="RMU54" s="6"/>
      <c r="RMV54" s="6"/>
      <c r="RMW54" s="6"/>
      <c r="RMX54" s="6"/>
      <c r="RMY54" s="6"/>
      <c r="RMZ54" s="6"/>
      <c r="RNA54" s="6"/>
      <c r="RNB54" s="6"/>
      <c r="RNC54" s="6"/>
      <c r="RND54" s="6"/>
      <c r="RNE54" s="6"/>
      <c r="RNF54" s="6"/>
      <c r="RNG54" s="6"/>
      <c r="RNH54" s="6"/>
      <c r="RNI54" s="6"/>
      <c r="RNJ54" s="6"/>
      <c r="RNK54" s="6"/>
      <c r="RNL54" s="6"/>
      <c r="RNM54" s="6"/>
      <c r="RNN54" s="6"/>
      <c r="RNO54" s="6"/>
      <c r="RNP54" s="6"/>
      <c r="RNQ54" s="6"/>
      <c r="RNR54" s="6"/>
      <c r="RNS54" s="6"/>
      <c r="RNT54" s="6"/>
      <c r="RNU54" s="6"/>
      <c r="RNV54" s="6"/>
      <c r="RNW54" s="6"/>
      <c r="RNX54" s="6"/>
      <c r="RNY54" s="6"/>
      <c r="RNZ54" s="6"/>
      <c r="ROA54" s="6"/>
      <c r="ROB54" s="6"/>
      <c r="ROC54" s="6"/>
      <c r="ROD54" s="6"/>
      <c r="ROE54" s="6"/>
      <c r="ROF54" s="6"/>
      <c r="ROG54" s="6"/>
      <c r="ROH54" s="6"/>
      <c r="ROI54" s="6"/>
      <c r="ROJ54" s="6"/>
      <c r="ROK54" s="6"/>
      <c r="ROL54" s="6"/>
      <c r="ROM54" s="6"/>
      <c r="RON54" s="6"/>
      <c r="ROO54" s="6"/>
      <c r="ROP54" s="6"/>
      <c r="ROQ54" s="6"/>
      <c r="ROR54" s="6"/>
      <c r="ROS54" s="6"/>
      <c r="ROT54" s="6"/>
      <c r="ROU54" s="6"/>
      <c r="ROV54" s="6"/>
      <c r="ROW54" s="6"/>
      <c r="ROX54" s="6"/>
      <c r="ROY54" s="6"/>
      <c r="ROZ54" s="6"/>
      <c r="RPA54" s="6"/>
      <c r="RPB54" s="6"/>
      <c r="RPC54" s="6"/>
      <c r="RPD54" s="6"/>
      <c r="RPE54" s="6"/>
      <c r="RPF54" s="6"/>
      <c r="RPG54" s="6"/>
      <c r="RPH54" s="6"/>
      <c r="RPI54" s="6"/>
      <c r="RPJ54" s="6"/>
      <c r="RPK54" s="6"/>
      <c r="RPL54" s="6"/>
      <c r="RPM54" s="6"/>
      <c r="RPN54" s="6"/>
      <c r="RPO54" s="6"/>
      <c r="RPP54" s="6"/>
      <c r="RPQ54" s="6"/>
      <c r="RPR54" s="6"/>
      <c r="RPS54" s="6"/>
      <c r="RPT54" s="6"/>
      <c r="RPU54" s="6"/>
      <c r="RPV54" s="6"/>
      <c r="RPW54" s="6"/>
      <c r="RPX54" s="6"/>
      <c r="RPY54" s="6"/>
      <c r="RPZ54" s="6"/>
      <c r="RQA54" s="6"/>
      <c r="RQB54" s="6"/>
      <c r="RQC54" s="6"/>
      <c r="RQD54" s="6"/>
      <c r="RQE54" s="6"/>
      <c r="RQF54" s="6"/>
      <c r="RQG54" s="6"/>
      <c r="RQH54" s="6"/>
      <c r="RQI54" s="6"/>
      <c r="RQJ54" s="6"/>
      <c r="RQK54" s="6"/>
      <c r="RQL54" s="6"/>
      <c r="RQM54" s="6"/>
      <c r="RQN54" s="6"/>
      <c r="RQO54" s="6"/>
      <c r="RQP54" s="6"/>
      <c r="RQQ54" s="6"/>
      <c r="RQR54" s="6"/>
      <c r="RQS54" s="6"/>
      <c r="RQT54" s="6"/>
      <c r="RQU54" s="6"/>
      <c r="RQV54" s="6"/>
      <c r="RQW54" s="6"/>
      <c r="RQX54" s="6"/>
      <c r="RQY54" s="6"/>
      <c r="RQZ54" s="6"/>
      <c r="RRA54" s="6"/>
      <c r="RRB54" s="6"/>
      <c r="RRC54" s="6"/>
      <c r="RRD54" s="6"/>
      <c r="RRE54" s="6"/>
      <c r="RRF54" s="6"/>
      <c r="RRG54" s="6"/>
      <c r="RRH54" s="6"/>
      <c r="RRI54" s="6"/>
      <c r="RRJ54" s="6"/>
      <c r="RRK54" s="6"/>
      <c r="RRL54" s="6"/>
      <c r="RRM54" s="6"/>
      <c r="RRN54" s="6"/>
      <c r="RRO54" s="6"/>
      <c r="RRP54" s="6"/>
      <c r="RRQ54" s="6"/>
      <c r="RRR54" s="6"/>
      <c r="RRS54" s="6"/>
      <c r="RRT54" s="6"/>
      <c r="RRU54" s="6"/>
      <c r="RRV54" s="6"/>
      <c r="RRW54" s="6"/>
      <c r="RRX54" s="6"/>
      <c r="RRY54" s="6"/>
      <c r="RRZ54" s="6"/>
      <c r="RSA54" s="6"/>
      <c r="RSB54" s="6"/>
      <c r="RSC54" s="6"/>
      <c r="RSD54" s="6"/>
      <c r="RSE54" s="6"/>
      <c r="RSF54" s="6"/>
      <c r="RSG54" s="6"/>
      <c r="RSH54" s="6"/>
      <c r="RSI54" s="6"/>
      <c r="RSJ54" s="6"/>
      <c r="RSK54" s="6"/>
      <c r="RSL54" s="6"/>
      <c r="RSM54" s="6"/>
      <c r="RSN54" s="6"/>
      <c r="RSO54" s="6"/>
      <c r="RSP54" s="6"/>
      <c r="RSQ54" s="6"/>
      <c r="RSR54" s="6"/>
      <c r="RSS54" s="6"/>
      <c r="RST54" s="6"/>
      <c r="RSU54" s="6"/>
      <c r="RSV54" s="6"/>
      <c r="RSW54" s="6"/>
      <c r="RSX54" s="6"/>
      <c r="RSY54" s="6"/>
      <c r="RSZ54" s="6"/>
      <c r="RTA54" s="6"/>
      <c r="RTB54" s="6"/>
      <c r="RTC54" s="6"/>
      <c r="RTD54" s="6"/>
      <c r="RTE54" s="6"/>
      <c r="RTF54" s="6"/>
      <c r="RTG54" s="6"/>
      <c r="RTH54" s="6"/>
      <c r="RTI54" s="6"/>
      <c r="RTJ54" s="6"/>
      <c r="RTK54" s="6"/>
      <c r="RTL54" s="6"/>
      <c r="RTM54" s="6"/>
      <c r="RTN54" s="6"/>
      <c r="RTO54" s="6"/>
      <c r="RTP54" s="6"/>
      <c r="RTQ54" s="6"/>
      <c r="RTR54" s="6"/>
      <c r="RTS54" s="6"/>
      <c r="RTT54" s="6"/>
      <c r="RTU54" s="6"/>
      <c r="RTV54" s="6"/>
      <c r="RTW54" s="6"/>
      <c r="RTX54" s="6"/>
      <c r="RTY54" s="6"/>
      <c r="RTZ54" s="6"/>
      <c r="RUA54" s="6"/>
      <c r="RUB54" s="6"/>
      <c r="RUC54" s="6"/>
      <c r="RUD54" s="6"/>
      <c r="RUE54" s="6"/>
      <c r="RUF54" s="6"/>
      <c r="RUG54" s="6"/>
      <c r="RUH54" s="6"/>
      <c r="RUI54" s="6"/>
      <c r="RUJ54" s="6"/>
      <c r="RUK54" s="6"/>
      <c r="RUL54" s="6"/>
      <c r="RUM54" s="6"/>
      <c r="RUN54" s="6"/>
      <c r="RUO54" s="6"/>
      <c r="RUP54" s="6"/>
      <c r="RUQ54" s="6"/>
      <c r="RUR54" s="6"/>
      <c r="RUS54" s="6"/>
      <c r="RUT54" s="6"/>
      <c r="RUU54" s="6"/>
      <c r="RUV54" s="6"/>
      <c r="RUW54" s="6"/>
      <c r="RUX54" s="6"/>
      <c r="RUY54" s="6"/>
      <c r="RUZ54" s="6"/>
      <c r="RVA54" s="6"/>
      <c r="RVB54" s="6"/>
      <c r="RVC54" s="6"/>
      <c r="RVD54" s="6"/>
      <c r="RVE54" s="6"/>
      <c r="RVF54" s="6"/>
      <c r="RVG54" s="6"/>
      <c r="RVH54" s="6"/>
      <c r="RVI54" s="6"/>
      <c r="RVJ54" s="6"/>
      <c r="RVK54" s="6"/>
      <c r="RVL54" s="6"/>
      <c r="RVM54" s="6"/>
      <c r="RVN54" s="6"/>
      <c r="RVO54" s="6"/>
      <c r="RVP54" s="6"/>
      <c r="RVQ54" s="6"/>
      <c r="RVR54" s="6"/>
      <c r="RVS54" s="6"/>
      <c r="RVT54" s="6"/>
      <c r="RVU54" s="6"/>
      <c r="RVV54" s="6"/>
      <c r="RVW54" s="6"/>
      <c r="RVX54" s="6"/>
      <c r="RVY54" s="6"/>
      <c r="RVZ54" s="6"/>
      <c r="RWA54" s="6"/>
      <c r="RWB54" s="6"/>
      <c r="RWC54" s="6"/>
      <c r="RWD54" s="6"/>
      <c r="RWE54" s="6"/>
      <c r="RWF54" s="6"/>
      <c r="RWG54" s="6"/>
      <c r="RWH54" s="6"/>
      <c r="RWI54" s="6"/>
      <c r="RWJ54" s="6"/>
      <c r="RWK54" s="6"/>
      <c r="RWL54" s="6"/>
      <c r="RWM54" s="6"/>
      <c r="RWN54" s="6"/>
      <c r="RWO54" s="6"/>
      <c r="RWP54" s="6"/>
      <c r="RWQ54" s="6"/>
      <c r="RWR54" s="6"/>
      <c r="RWS54" s="6"/>
      <c r="RWT54" s="6"/>
      <c r="RWU54" s="6"/>
      <c r="RWV54" s="6"/>
      <c r="RWW54" s="6"/>
      <c r="RWX54" s="6"/>
      <c r="RWY54" s="6"/>
      <c r="RWZ54" s="6"/>
      <c r="RXA54" s="6"/>
      <c r="RXB54" s="6"/>
      <c r="RXC54" s="6"/>
      <c r="RXD54" s="6"/>
      <c r="RXE54" s="6"/>
      <c r="RXF54" s="6"/>
      <c r="RXG54" s="6"/>
      <c r="RXH54" s="6"/>
      <c r="RXI54" s="6"/>
      <c r="RXJ54" s="6"/>
      <c r="RXK54" s="6"/>
      <c r="RXL54" s="6"/>
      <c r="RXM54" s="6"/>
      <c r="RXN54" s="6"/>
      <c r="RXO54" s="6"/>
      <c r="RXP54" s="6"/>
      <c r="RXQ54" s="6"/>
      <c r="RXR54" s="6"/>
      <c r="RXS54" s="6"/>
      <c r="RXT54" s="6"/>
      <c r="RXU54" s="6"/>
      <c r="RXV54" s="6"/>
      <c r="RXW54" s="6"/>
      <c r="RXX54" s="6"/>
      <c r="RXY54" s="6"/>
      <c r="RXZ54" s="6"/>
      <c r="RYA54" s="6"/>
      <c r="RYB54" s="6"/>
      <c r="RYC54" s="6"/>
      <c r="RYD54" s="6"/>
      <c r="RYE54" s="6"/>
      <c r="RYF54" s="6"/>
      <c r="RYG54" s="6"/>
      <c r="RYH54" s="6"/>
      <c r="RYI54" s="6"/>
      <c r="RYJ54" s="6"/>
      <c r="RYK54" s="6"/>
      <c r="RYL54" s="6"/>
      <c r="RYM54" s="6"/>
      <c r="RYN54" s="6"/>
      <c r="RYO54" s="6"/>
      <c r="RYP54" s="6"/>
      <c r="RYQ54" s="6"/>
      <c r="RYR54" s="6"/>
      <c r="RYS54" s="6"/>
      <c r="RYT54" s="6"/>
      <c r="RYU54" s="6"/>
      <c r="RYV54" s="6"/>
      <c r="RYW54" s="6"/>
      <c r="RYX54" s="6"/>
      <c r="RYY54" s="6"/>
      <c r="RYZ54" s="6"/>
      <c r="RZA54" s="6"/>
      <c r="RZB54" s="6"/>
      <c r="RZC54" s="6"/>
      <c r="RZD54" s="6"/>
      <c r="RZE54" s="6"/>
      <c r="RZF54" s="6"/>
      <c r="RZG54" s="6"/>
      <c r="RZH54" s="6"/>
      <c r="RZI54" s="6"/>
      <c r="RZJ54" s="6"/>
      <c r="RZK54" s="6"/>
      <c r="RZL54" s="6"/>
      <c r="RZM54" s="6"/>
      <c r="RZN54" s="6"/>
      <c r="RZO54" s="6"/>
      <c r="RZP54" s="6"/>
      <c r="RZQ54" s="6"/>
      <c r="RZR54" s="6"/>
      <c r="RZS54" s="6"/>
      <c r="RZT54" s="6"/>
      <c r="RZU54" s="6"/>
      <c r="RZV54" s="6"/>
      <c r="RZW54" s="6"/>
      <c r="RZX54" s="6"/>
      <c r="RZY54" s="6"/>
      <c r="RZZ54" s="6"/>
      <c r="SAA54" s="6"/>
      <c r="SAB54" s="6"/>
      <c r="SAC54" s="6"/>
      <c r="SAD54" s="6"/>
      <c r="SAE54" s="6"/>
      <c r="SAF54" s="6"/>
      <c r="SAG54" s="6"/>
      <c r="SAH54" s="6"/>
      <c r="SAI54" s="6"/>
      <c r="SAJ54" s="6"/>
      <c r="SAK54" s="6"/>
      <c r="SAL54" s="6"/>
      <c r="SAM54" s="6"/>
      <c r="SAN54" s="6"/>
      <c r="SAO54" s="6"/>
      <c r="SAP54" s="6"/>
      <c r="SAQ54" s="6"/>
      <c r="SAR54" s="6"/>
      <c r="SAS54" s="6"/>
      <c r="SAT54" s="6"/>
      <c r="SAU54" s="6"/>
      <c r="SAV54" s="6"/>
      <c r="SAW54" s="6"/>
      <c r="SAX54" s="6"/>
      <c r="SAY54" s="6"/>
      <c r="SAZ54" s="6"/>
      <c r="SBA54" s="6"/>
      <c r="SBB54" s="6"/>
      <c r="SBC54" s="6"/>
      <c r="SBD54" s="6"/>
      <c r="SBE54" s="6"/>
      <c r="SBF54" s="6"/>
      <c r="SBG54" s="6"/>
      <c r="SBH54" s="6"/>
      <c r="SBI54" s="6"/>
      <c r="SBJ54" s="6"/>
      <c r="SBK54" s="6"/>
      <c r="SBL54" s="6"/>
      <c r="SBM54" s="6"/>
      <c r="SBN54" s="6"/>
      <c r="SBO54" s="6"/>
      <c r="SBP54" s="6"/>
      <c r="SBQ54" s="6"/>
      <c r="SBR54" s="6"/>
      <c r="SBS54" s="6"/>
      <c r="SBT54" s="6"/>
      <c r="SBU54" s="6"/>
      <c r="SBV54" s="6"/>
      <c r="SBW54" s="6"/>
      <c r="SBX54" s="6"/>
      <c r="SBY54" s="6"/>
      <c r="SBZ54" s="6"/>
      <c r="SCA54" s="6"/>
      <c r="SCB54" s="6"/>
      <c r="SCC54" s="6"/>
      <c r="SCD54" s="6"/>
      <c r="SCE54" s="6"/>
      <c r="SCF54" s="6"/>
      <c r="SCG54" s="6"/>
      <c r="SCH54" s="6"/>
      <c r="SCI54" s="6"/>
      <c r="SCJ54" s="6"/>
      <c r="SCK54" s="6"/>
      <c r="SCL54" s="6"/>
      <c r="SCM54" s="6"/>
      <c r="SCN54" s="6"/>
      <c r="SCO54" s="6"/>
      <c r="SCP54" s="6"/>
      <c r="SCQ54" s="6"/>
      <c r="SCR54" s="6"/>
      <c r="SCS54" s="6"/>
      <c r="SCT54" s="6"/>
      <c r="SCU54" s="6"/>
      <c r="SCV54" s="6"/>
      <c r="SCW54" s="6"/>
      <c r="SCX54" s="6"/>
      <c r="SCY54" s="6"/>
      <c r="SCZ54" s="6"/>
      <c r="SDA54" s="6"/>
      <c r="SDB54" s="6"/>
      <c r="SDC54" s="6"/>
      <c r="SDD54" s="6"/>
      <c r="SDE54" s="6"/>
      <c r="SDF54" s="6"/>
      <c r="SDG54" s="6"/>
      <c r="SDH54" s="6"/>
      <c r="SDI54" s="6"/>
      <c r="SDJ54" s="6"/>
      <c r="SDK54" s="6"/>
      <c r="SDL54" s="6"/>
      <c r="SDM54" s="6"/>
      <c r="SDN54" s="6"/>
      <c r="SDO54" s="6"/>
      <c r="SDP54" s="6"/>
      <c r="SDQ54" s="6"/>
      <c r="SDR54" s="6"/>
      <c r="SDS54" s="6"/>
      <c r="SDT54" s="6"/>
      <c r="SDU54" s="6"/>
      <c r="SDV54" s="6"/>
      <c r="SDW54" s="6"/>
      <c r="SDX54" s="6"/>
      <c r="SDY54" s="6"/>
      <c r="SDZ54" s="6"/>
      <c r="SEA54" s="6"/>
      <c r="SEB54" s="6"/>
      <c r="SEC54" s="6"/>
      <c r="SED54" s="6"/>
      <c r="SEE54" s="6"/>
      <c r="SEF54" s="6"/>
      <c r="SEG54" s="6"/>
      <c r="SEH54" s="6"/>
      <c r="SEI54" s="6"/>
      <c r="SEJ54" s="6"/>
      <c r="SEK54" s="6"/>
      <c r="SEL54" s="6"/>
      <c r="SEM54" s="6"/>
      <c r="SEN54" s="6"/>
      <c r="SEO54" s="6"/>
      <c r="SEP54" s="6"/>
      <c r="SEQ54" s="6"/>
      <c r="SER54" s="6"/>
      <c r="SES54" s="6"/>
      <c r="SET54" s="6"/>
      <c r="SEU54" s="6"/>
      <c r="SEV54" s="6"/>
      <c r="SEW54" s="6"/>
      <c r="SEX54" s="6"/>
      <c r="SEY54" s="6"/>
      <c r="SEZ54" s="6"/>
      <c r="SFA54" s="6"/>
      <c r="SFB54" s="6"/>
      <c r="SFC54" s="6"/>
      <c r="SFD54" s="6"/>
      <c r="SFE54" s="6"/>
      <c r="SFF54" s="6"/>
      <c r="SFG54" s="6"/>
      <c r="SFH54" s="6"/>
      <c r="SFI54" s="6"/>
      <c r="SFJ54" s="6"/>
      <c r="SFK54" s="6"/>
      <c r="SFL54" s="6"/>
      <c r="SFM54" s="6"/>
      <c r="SFN54" s="6"/>
      <c r="SFO54" s="6"/>
      <c r="SFP54" s="6"/>
      <c r="SFQ54" s="6"/>
      <c r="SFR54" s="6"/>
      <c r="SFS54" s="6"/>
      <c r="SFT54" s="6"/>
      <c r="SFU54" s="6"/>
      <c r="SFV54" s="6"/>
      <c r="SFW54" s="6"/>
      <c r="SFX54" s="6"/>
      <c r="SFY54" s="6"/>
      <c r="SFZ54" s="6"/>
      <c r="SGA54" s="6"/>
      <c r="SGB54" s="6"/>
      <c r="SGC54" s="6"/>
      <c r="SGD54" s="6"/>
      <c r="SGE54" s="6"/>
      <c r="SGF54" s="6"/>
      <c r="SGG54" s="6"/>
      <c r="SGH54" s="6"/>
      <c r="SGI54" s="6"/>
      <c r="SGJ54" s="6"/>
      <c r="SGK54" s="6"/>
      <c r="SGL54" s="6"/>
      <c r="SGM54" s="6"/>
      <c r="SGN54" s="6"/>
      <c r="SGO54" s="6"/>
      <c r="SGP54" s="6"/>
      <c r="SGQ54" s="6"/>
      <c r="SGR54" s="6"/>
      <c r="SGS54" s="6"/>
      <c r="SGT54" s="6"/>
      <c r="SGU54" s="6"/>
      <c r="SGV54" s="6"/>
      <c r="SGW54" s="6"/>
      <c r="SGX54" s="6"/>
      <c r="SGY54" s="6"/>
      <c r="SGZ54" s="6"/>
      <c r="SHA54" s="6"/>
      <c r="SHB54" s="6"/>
      <c r="SHC54" s="6"/>
      <c r="SHD54" s="6"/>
      <c r="SHE54" s="6"/>
      <c r="SHF54" s="6"/>
      <c r="SHG54" s="6"/>
      <c r="SHH54" s="6"/>
      <c r="SHI54" s="6"/>
      <c r="SHJ54" s="6"/>
      <c r="SHK54" s="6"/>
      <c r="SHL54" s="6"/>
      <c r="SHM54" s="6"/>
      <c r="SHN54" s="6"/>
      <c r="SHO54" s="6"/>
      <c r="SHP54" s="6"/>
      <c r="SHQ54" s="6"/>
      <c r="SHR54" s="6"/>
      <c r="SHS54" s="6"/>
      <c r="SHT54" s="6"/>
      <c r="SHU54" s="6"/>
      <c r="SHV54" s="6"/>
      <c r="SHW54" s="6"/>
      <c r="SHX54" s="6"/>
      <c r="SHY54" s="6"/>
      <c r="SHZ54" s="6"/>
      <c r="SIA54" s="6"/>
      <c r="SIB54" s="6"/>
      <c r="SIC54" s="6"/>
      <c r="SID54" s="6"/>
      <c r="SIE54" s="6"/>
      <c r="SIF54" s="6"/>
      <c r="SIG54" s="6"/>
      <c r="SIH54" s="6"/>
      <c r="SII54" s="6"/>
      <c r="SIJ54" s="6"/>
      <c r="SIK54" s="6"/>
      <c r="SIL54" s="6"/>
      <c r="SIM54" s="6"/>
      <c r="SIN54" s="6"/>
      <c r="SIO54" s="6"/>
      <c r="SIP54" s="6"/>
      <c r="SIQ54" s="6"/>
      <c r="SIR54" s="6"/>
      <c r="SIS54" s="6"/>
      <c r="SIT54" s="6"/>
      <c r="SIU54" s="6"/>
      <c r="SIV54" s="6"/>
      <c r="SIW54" s="6"/>
      <c r="SIX54" s="6"/>
      <c r="SIY54" s="6"/>
      <c r="SIZ54" s="6"/>
      <c r="SJA54" s="6"/>
      <c r="SJB54" s="6"/>
      <c r="SJC54" s="6"/>
      <c r="SJD54" s="6"/>
      <c r="SJE54" s="6"/>
      <c r="SJF54" s="6"/>
      <c r="SJG54" s="6"/>
      <c r="SJH54" s="6"/>
      <c r="SJI54" s="6"/>
      <c r="SJJ54" s="6"/>
      <c r="SJK54" s="6"/>
      <c r="SJL54" s="6"/>
      <c r="SJM54" s="6"/>
      <c r="SJN54" s="6"/>
      <c r="SJO54" s="6"/>
      <c r="SJP54" s="6"/>
      <c r="SJQ54" s="6"/>
      <c r="SJR54" s="6"/>
      <c r="SJS54" s="6"/>
      <c r="SJT54" s="6"/>
      <c r="SJU54" s="6"/>
      <c r="SJV54" s="6"/>
      <c r="SJW54" s="6"/>
      <c r="SJX54" s="6"/>
      <c r="SJY54" s="6"/>
      <c r="SJZ54" s="6"/>
      <c r="SKA54" s="6"/>
      <c r="SKB54" s="6"/>
      <c r="SKC54" s="6"/>
      <c r="SKD54" s="6"/>
      <c r="SKE54" s="6"/>
      <c r="SKF54" s="6"/>
      <c r="SKG54" s="6"/>
      <c r="SKH54" s="6"/>
      <c r="SKI54" s="6"/>
      <c r="SKJ54" s="6"/>
      <c r="SKK54" s="6"/>
      <c r="SKL54" s="6"/>
      <c r="SKM54" s="6"/>
      <c r="SKN54" s="6"/>
      <c r="SKO54" s="6"/>
      <c r="SKP54" s="6"/>
      <c r="SKQ54" s="6"/>
      <c r="SKR54" s="6"/>
      <c r="SKS54" s="6"/>
      <c r="SKT54" s="6"/>
      <c r="SKU54" s="6"/>
      <c r="SKV54" s="6"/>
      <c r="SKW54" s="6"/>
      <c r="SKX54" s="6"/>
      <c r="SKY54" s="6"/>
      <c r="SKZ54" s="6"/>
      <c r="SLA54" s="6"/>
      <c r="SLB54" s="6"/>
      <c r="SLC54" s="6"/>
      <c r="SLD54" s="6"/>
      <c r="SLE54" s="6"/>
      <c r="SLF54" s="6"/>
      <c r="SLG54" s="6"/>
      <c r="SLH54" s="6"/>
      <c r="SLI54" s="6"/>
      <c r="SLJ54" s="6"/>
      <c r="SLK54" s="6"/>
      <c r="SLL54" s="6"/>
      <c r="SLM54" s="6"/>
      <c r="SLN54" s="6"/>
      <c r="SLO54" s="6"/>
      <c r="SLP54" s="6"/>
      <c r="SLQ54" s="6"/>
      <c r="SLR54" s="6"/>
      <c r="SLS54" s="6"/>
      <c r="SLT54" s="6"/>
      <c r="SLU54" s="6"/>
      <c r="SLV54" s="6"/>
      <c r="SLW54" s="6"/>
      <c r="SLX54" s="6"/>
      <c r="SLY54" s="6"/>
      <c r="SLZ54" s="6"/>
      <c r="SMA54" s="6"/>
      <c r="SMB54" s="6"/>
      <c r="SMC54" s="6"/>
      <c r="SMD54" s="6"/>
      <c r="SME54" s="6"/>
      <c r="SMF54" s="6"/>
      <c r="SMG54" s="6"/>
      <c r="SMH54" s="6"/>
      <c r="SMI54" s="6"/>
      <c r="SMJ54" s="6"/>
      <c r="SMK54" s="6"/>
      <c r="SML54" s="6"/>
      <c r="SMM54" s="6"/>
      <c r="SMN54" s="6"/>
      <c r="SMO54" s="6"/>
      <c r="SMP54" s="6"/>
      <c r="SMQ54" s="6"/>
      <c r="SMR54" s="6"/>
      <c r="SMS54" s="6"/>
      <c r="SMT54" s="6"/>
      <c r="SMU54" s="6"/>
      <c r="SMV54" s="6"/>
      <c r="SMW54" s="6"/>
      <c r="SMX54" s="6"/>
      <c r="SMY54" s="6"/>
      <c r="SMZ54" s="6"/>
      <c r="SNA54" s="6"/>
      <c r="SNB54" s="6"/>
      <c r="SNC54" s="6"/>
      <c r="SND54" s="6"/>
      <c r="SNE54" s="6"/>
      <c r="SNF54" s="6"/>
      <c r="SNG54" s="6"/>
      <c r="SNH54" s="6"/>
      <c r="SNI54" s="6"/>
      <c r="SNJ54" s="6"/>
      <c r="SNK54" s="6"/>
      <c r="SNL54" s="6"/>
      <c r="SNM54" s="6"/>
      <c r="SNN54" s="6"/>
      <c r="SNO54" s="6"/>
      <c r="SNP54" s="6"/>
      <c r="SNQ54" s="6"/>
      <c r="SNR54" s="6"/>
      <c r="SNS54" s="6"/>
      <c r="SNT54" s="6"/>
      <c r="SNU54" s="6"/>
      <c r="SNV54" s="6"/>
      <c r="SNW54" s="6"/>
      <c r="SNX54" s="6"/>
      <c r="SNY54" s="6"/>
      <c r="SNZ54" s="6"/>
      <c r="SOA54" s="6"/>
      <c r="SOB54" s="6"/>
      <c r="SOC54" s="6"/>
      <c r="SOD54" s="6"/>
      <c r="SOE54" s="6"/>
      <c r="SOF54" s="6"/>
      <c r="SOG54" s="6"/>
      <c r="SOH54" s="6"/>
      <c r="SOI54" s="6"/>
      <c r="SOJ54" s="6"/>
      <c r="SOK54" s="6"/>
      <c r="SOL54" s="6"/>
      <c r="SOM54" s="6"/>
      <c r="SON54" s="6"/>
      <c r="SOO54" s="6"/>
      <c r="SOP54" s="6"/>
      <c r="SOQ54" s="6"/>
      <c r="SOR54" s="6"/>
      <c r="SOS54" s="6"/>
      <c r="SOT54" s="6"/>
      <c r="SOU54" s="6"/>
      <c r="SOV54" s="6"/>
      <c r="SOW54" s="6"/>
      <c r="SOX54" s="6"/>
      <c r="SOY54" s="6"/>
      <c r="SOZ54" s="6"/>
      <c r="SPA54" s="6"/>
      <c r="SPB54" s="6"/>
      <c r="SPC54" s="6"/>
      <c r="SPD54" s="6"/>
      <c r="SPE54" s="6"/>
      <c r="SPF54" s="6"/>
      <c r="SPG54" s="6"/>
      <c r="SPH54" s="6"/>
      <c r="SPI54" s="6"/>
      <c r="SPJ54" s="6"/>
      <c r="SPK54" s="6"/>
      <c r="SPL54" s="6"/>
      <c r="SPM54" s="6"/>
      <c r="SPN54" s="6"/>
      <c r="SPO54" s="6"/>
      <c r="SPP54" s="6"/>
      <c r="SPQ54" s="6"/>
      <c r="SPR54" s="6"/>
      <c r="SPS54" s="6"/>
      <c r="SPT54" s="6"/>
      <c r="SPU54" s="6"/>
      <c r="SPV54" s="6"/>
      <c r="SPW54" s="6"/>
      <c r="SPX54" s="6"/>
      <c r="SPY54" s="6"/>
      <c r="SPZ54" s="6"/>
      <c r="SQA54" s="6"/>
      <c r="SQB54" s="6"/>
      <c r="SQC54" s="6"/>
      <c r="SQD54" s="6"/>
      <c r="SQE54" s="6"/>
      <c r="SQF54" s="6"/>
      <c r="SQG54" s="6"/>
      <c r="SQH54" s="6"/>
      <c r="SQI54" s="6"/>
      <c r="SQJ54" s="6"/>
      <c r="SQK54" s="6"/>
      <c r="SQL54" s="6"/>
      <c r="SQM54" s="6"/>
      <c r="SQN54" s="6"/>
      <c r="SQO54" s="6"/>
      <c r="SQP54" s="6"/>
      <c r="SQQ54" s="6"/>
      <c r="SQR54" s="6"/>
      <c r="SQS54" s="6"/>
      <c r="SQT54" s="6"/>
      <c r="SQU54" s="6"/>
      <c r="SQV54" s="6"/>
      <c r="SQW54" s="6"/>
      <c r="SQX54" s="6"/>
      <c r="SQY54" s="6"/>
      <c r="SQZ54" s="6"/>
      <c r="SRA54" s="6"/>
      <c r="SRB54" s="6"/>
      <c r="SRC54" s="6"/>
      <c r="SRD54" s="6"/>
      <c r="SRE54" s="6"/>
      <c r="SRF54" s="6"/>
      <c r="SRG54" s="6"/>
      <c r="SRH54" s="6"/>
      <c r="SRI54" s="6"/>
      <c r="SRJ54" s="6"/>
      <c r="SRK54" s="6"/>
      <c r="SRL54" s="6"/>
      <c r="SRM54" s="6"/>
      <c r="SRN54" s="6"/>
      <c r="SRO54" s="6"/>
      <c r="SRP54" s="6"/>
      <c r="SRQ54" s="6"/>
      <c r="SRR54" s="6"/>
      <c r="SRS54" s="6"/>
      <c r="SRT54" s="6"/>
      <c r="SRU54" s="6"/>
      <c r="SRV54" s="6"/>
      <c r="SRW54" s="6"/>
      <c r="SRX54" s="6"/>
      <c r="SRY54" s="6"/>
      <c r="SRZ54" s="6"/>
      <c r="SSA54" s="6"/>
      <c r="SSB54" s="6"/>
      <c r="SSC54" s="6"/>
      <c r="SSD54" s="6"/>
      <c r="SSE54" s="6"/>
      <c r="SSF54" s="6"/>
      <c r="SSG54" s="6"/>
      <c r="SSH54" s="6"/>
      <c r="SSI54" s="6"/>
      <c r="SSJ54" s="6"/>
      <c r="SSK54" s="6"/>
      <c r="SSL54" s="6"/>
      <c r="SSM54" s="6"/>
      <c r="SSN54" s="6"/>
      <c r="SSO54" s="6"/>
      <c r="SSP54" s="6"/>
      <c r="SSQ54" s="6"/>
      <c r="SSR54" s="6"/>
      <c r="SSS54" s="6"/>
      <c r="SST54" s="6"/>
      <c r="SSU54" s="6"/>
      <c r="SSV54" s="6"/>
      <c r="SSW54" s="6"/>
      <c r="SSX54" s="6"/>
      <c r="SSY54" s="6"/>
      <c r="SSZ54" s="6"/>
      <c r="STA54" s="6"/>
      <c r="STB54" s="6"/>
      <c r="STC54" s="6"/>
      <c r="STD54" s="6"/>
      <c r="STE54" s="6"/>
      <c r="STF54" s="6"/>
      <c r="STG54" s="6"/>
      <c r="STH54" s="6"/>
      <c r="STI54" s="6"/>
      <c r="STJ54" s="6"/>
      <c r="STK54" s="6"/>
      <c r="STL54" s="6"/>
      <c r="STM54" s="6"/>
      <c r="STN54" s="6"/>
      <c r="STO54" s="6"/>
      <c r="STP54" s="6"/>
      <c r="STQ54" s="6"/>
      <c r="STR54" s="6"/>
      <c r="STS54" s="6"/>
      <c r="STT54" s="6"/>
      <c r="STU54" s="6"/>
      <c r="STV54" s="6"/>
      <c r="STW54" s="6"/>
      <c r="STX54" s="6"/>
      <c r="STY54" s="6"/>
      <c r="STZ54" s="6"/>
      <c r="SUA54" s="6"/>
      <c r="SUB54" s="6"/>
      <c r="SUC54" s="6"/>
      <c r="SUD54" s="6"/>
      <c r="SUE54" s="6"/>
      <c r="SUF54" s="6"/>
      <c r="SUG54" s="6"/>
      <c r="SUH54" s="6"/>
      <c r="SUI54" s="6"/>
      <c r="SUJ54" s="6"/>
      <c r="SUK54" s="6"/>
      <c r="SUL54" s="6"/>
      <c r="SUM54" s="6"/>
      <c r="SUN54" s="6"/>
      <c r="SUO54" s="6"/>
      <c r="SUP54" s="6"/>
      <c r="SUQ54" s="6"/>
      <c r="SUR54" s="6"/>
      <c r="SUS54" s="6"/>
      <c r="SUT54" s="6"/>
      <c r="SUU54" s="6"/>
      <c r="SUV54" s="6"/>
      <c r="SUW54" s="6"/>
      <c r="SUX54" s="6"/>
      <c r="SUY54" s="6"/>
      <c r="SUZ54" s="6"/>
      <c r="SVA54" s="6"/>
      <c r="SVB54" s="6"/>
      <c r="SVC54" s="6"/>
      <c r="SVD54" s="6"/>
      <c r="SVE54" s="6"/>
      <c r="SVF54" s="6"/>
      <c r="SVG54" s="6"/>
      <c r="SVH54" s="6"/>
      <c r="SVI54" s="6"/>
      <c r="SVJ54" s="6"/>
      <c r="SVK54" s="6"/>
      <c r="SVL54" s="6"/>
      <c r="SVM54" s="6"/>
      <c r="SVN54" s="6"/>
      <c r="SVO54" s="6"/>
      <c r="SVP54" s="6"/>
      <c r="SVQ54" s="6"/>
      <c r="SVR54" s="6"/>
      <c r="SVS54" s="6"/>
      <c r="SVT54" s="6"/>
      <c r="SVU54" s="6"/>
      <c r="SVV54" s="6"/>
      <c r="SVW54" s="6"/>
      <c r="SVX54" s="6"/>
      <c r="SVY54" s="6"/>
      <c r="SVZ54" s="6"/>
      <c r="SWA54" s="6"/>
      <c r="SWB54" s="6"/>
      <c r="SWC54" s="6"/>
      <c r="SWD54" s="6"/>
      <c r="SWE54" s="6"/>
      <c r="SWF54" s="6"/>
      <c r="SWG54" s="6"/>
      <c r="SWH54" s="6"/>
      <c r="SWI54" s="6"/>
      <c r="SWJ54" s="6"/>
      <c r="SWK54" s="6"/>
      <c r="SWL54" s="6"/>
      <c r="SWM54" s="6"/>
      <c r="SWN54" s="6"/>
      <c r="SWO54" s="6"/>
      <c r="SWP54" s="6"/>
      <c r="SWQ54" s="6"/>
      <c r="SWR54" s="6"/>
      <c r="SWS54" s="6"/>
      <c r="SWT54" s="6"/>
      <c r="SWU54" s="6"/>
      <c r="SWV54" s="6"/>
      <c r="SWW54" s="6"/>
      <c r="SWX54" s="6"/>
      <c r="SWY54" s="6"/>
      <c r="SWZ54" s="6"/>
      <c r="SXA54" s="6"/>
      <c r="SXB54" s="6"/>
      <c r="SXC54" s="6"/>
      <c r="SXD54" s="6"/>
      <c r="SXE54" s="6"/>
      <c r="SXF54" s="6"/>
      <c r="SXG54" s="6"/>
      <c r="SXH54" s="6"/>
      <c r="SXI54" s="6"/>
      <c r="SXJ54" s="6"/>
      <c r="SXK54" s="6"/>
      <c r="SXL54" s="6"/>
      <c r="SXM54" s="6"/>
      <c r="SXN54" s="6"/>
      <c r="SXO54" s="6"/>
      <c r="SXP54" s="6"/>
      <c r="SXQ54" s="6"/>
      <c r="SXR54" s="6"/>
      <c r="SXS54" s="6"/>
      <c r="SXT54" s="6"/>
      <c r="SXU54" s="6"/>
      <c r="SXV54" s="6"/>
      <c r="SXW54" s="6"/>
      <c r="SXX54" s="6"/>
      <c r="SXY54" s="6"/>
      <c r="SXZ54" s="6"/>
      <c r="SYA54" s="6"/>
      <c r="SYB54" s="6"/>
      <c r="SYC54" s="6"/>
      <c r="SYD54" s="6"/>
      <c r="SYE54" s="6"/>
      <c r="SYF54" s="6"/>
      <c r="SYG54" s="6"/>
      <c r="SYH54" s="6"/>
      <c r="SYI54" s="6"/>
      <c r="SYJ54" s="6"/>
      <c r="SYK54" s="6"/>
      <c r="SYL54" s="6"/>
      <c r="SYM54" s="6"/>
      <c r="SYN54" s="6"/>
      <c r="SYO54" s="6"/>
      <c r="SYP54" s="6"/>
      <c r="SYQ54" s="6"/>
      <c r="SYR54" s="6"/>
      <c r="SYS54" s="6"/>
      <c r="SYT54" s="6"/>
      <c r="SYU54" s="6"/>
      <c r="SYV54" s="6"/>
      <c r="SYW54" s="6"/>
      <c r="SYX54" s="6"/>
      <c r="SYY54" s="6"/>
      <c r="SYZ54" s="6"/>
      <c r="SZA54" s="6"/>
      <c r="SZB54" s="6"/>
      <c r="SZC54" s="6"/>
      <c r="SZD54" s="6"/>
      <c r="SZE54" s="6"/>
      <c r="SZF54" s="6"/>
      <c r="SZG54" s="6"/>
      <c r="SZH54" s="6"/>
      <c r="SZI54" s="6"/>
      <c r="SZJ54" s="6"/>
      <c r="SZK54" s="6"/>
      <c r="SZL54" s="6"/>
      <c r="SZM54" s="6"/>
      <c r="SZN54" s="6"/>
      <c r="SZO54" s="6"/>
      <c r="SZP54" s="6"/>
      <c r="SZQ54" s="6"/>
      <c r="SZR54" s="6"/>
      <c r="SZS54" s="6"/>
      <c r="SZT54" s="6"/>
      <c r="SZU54" s="6"/>
      <c r="SZV54" s="6"/>
      <c r="SZW54" s="6"/>
      <c r="SZX54" s="6"/>
      <c r="SZY54" s="6"/>
      <c r="SZZ54" s="6"/>
      <c r="TAA54" s="6"/>
      <c r="TAB54" s="6"/>
      <c r="TAC54" s="6"/>
      <c r="TAD54" s="6"/>
      <c r="TAE54" s="6"/>
      <c r="TAF54" s="6"/>
      <c r="TAG54" s="6"/>
      <c r="TAH54" s="6"/>
      <c r="TAI54" s="6"/>
      <c r="TAJ54" s="6"/>
      <c r="TAK54" s="6"/>
      <c r="TAL54" s="6"/>
      <c r="TAM54" s="6"/>
      <c r="TAN54" s="6"/>
      <c r="TAO54" s="6"/>
      <c r="TAP54" s="6"/>
      <c r="TAQ54" s="6"/>
      <c r="TAR54" s="6"/>
      <c r="TAS54" s="6"/>
      <c r="TAT54" s="6"/>
      <c r="TAU54" s="6"/>
      <c r="TAV54" s="6"/>
      <c r="TAW54" s="6"/>
      <c r="TAX54" s="6"/>
      <c r="TAY54" s="6"/>
      <c r="TAZ54" s="6"/>
      <c r="TBA54" s="6"/>
      <c r="TBB54" s="6"/>
      <c r="TBC54" s="6"/>
      <c r="TBD54" s="6"/>
      <c r="TBE54" s="6"/>
      <c r="TBF54" s="6"/>
      <c r="TBG54" s="6"/>
      <c r="TBH54" s="6"/>
      <c r="TBI54" s="6"/>
      <c r="TBJ54" s="6"/>
      <c r="TBK54" s="6"/>
      <c r="TBL54" s="6"/>
      <c r="TBM54" s="6"/>
      <c r="TBN54" s="6"/>
      <c r="TBO54" s="6"/>
      <c r="TBP54" s="6"/>
      <c r="TBQ54" s="6"/>
      <c r="TBR54" s="6"/>
      <c r="TBS54" s="6"/>
      <c r="TBT54" s="6"/>
      <c r="TBU54" s="6"/>
      <c r="TBV54" s="6"/>
      <c r="TBW54" s="6"/>
      <c r="TBX54" s="6"/>
      <c r="TBY54" s="6"/>
      <c r="TBZ54" s="6"/>
      <c r="TCA54" s="6"/>
      <c r="TCB54" s="6"/>
      <c r="TCC54" s="6"/>
      <c r="TCD54" s="6"/>
      <c r="TCE54" s="6"/>
      <c r="TCF54" s="6"/>
      <c r="TCG54" s="6"/>
      <c r="TCH54" s="6"/>
      <c r="TCI54" s="6"/>
      <c r="TCJ54" s="6"/>
      <c r="TCK54" s="6"/>
      <c r="TCL54" s="6"/>
      <c r="TCM54" s="6"/>
      <c r="TCN54" s="6"/>
      <c r="TCO54" s="6"/>
      <c r="TCP54" s="6"/>
      <c r="TCQ54" s="6"/>
      <c r="TCR54" s="6"/>
      <c r="TCS54" s="6"/>
      <c r="TCT54" s="6"/>
      <c r="TCU54" s="6"/>
      <c r="TCV54" s="6"/>
      <c r="TCW54" s="6"/>
      <c r="TCX54" s="6"/>
      <c r="TCY54" s="6"/>
      <c r="TCZ54" s="6"/>
      <c r="TDA54" s="6"/>
      <c r="TDB54" s="6"/>
      <c r="TDC54" s="6"/>
      <c r="TDD54" s="6"/>
      <c r="TDE54" s="6"/>
      <c r="TDF54" s="6"/>
      <c r="TDG54" s="6"/>
      <c r="TDH54" s="6"/>
      <c r="TDI54" s="6"/>
      <c r="TDJ54" s="6"/>
      <c r="TDK54" s="6"/>
      <c r="TDL54" s="6"/>
      <c r="TDM54" s="6"/>
      <c r="TDN54" s="6"/>
      <c r="TDO54" s="6"/>
      <c r="TDP54" s="6"/>
      <c r="TDQ54" s="6"/>
      <c r="TDR54" s="6"/>
      <c r="TDS54" s="6"/>
      <c r="TDT54" s="6"/>
      <c r="TDU54" s="6"/>
      <c r="TDV54" s="6"/>
      <c r="TDW54" s="6"/>
      <c r="TDX54" s="6"/>
      <c r="TDY54" s="6"/>
      <c r="TDZ54" s="6"/>
      <c r="TEA54" s="6"/>
      <c r="TEB54" s="6"/>
      <c r="TEC54" s="6"/>
      <c r="TED54" s="6"/>
      <c r="TEE54" s="6"/>
      <c r="TEF54" s="6"/>
      <c r="TEG54" s="6"/>
      <c r="TEH54" s="6"/>
      <c r="TEI54" s="6"/>
      <c r="TEJ54" s="6"/>
      <c r="TEK54" s="6"/>
      <c r="TEL54" s="6"/>
      <c r="TEM54" s="6"/>
      <c r="TEN54" s="6"/>
      <c r="TEO54" s="6"/>
      <c r="TEP54" s="6"/>
      <c r="TEQ54" s="6"/>
      <c r="TER54" s="6"/>
      <c r="TES54" s="6"/>
      <c r="TET54" s="6"/>
      <c r="TEU54" s="6"/>
      <c r="TEV54" s="6"/>
      <c r="TEW54" s="6"/>
      <c r="TEX54" s="6"/>
      <c r="TEY54" s="6"/>
      <c r="TEZ54" s="6"/>
      <c r="TFA54" s="6"/>
      <c r="TFB54" s="6"/>
      <c r="TFC54" s="6"/>
      <c r="TFD54" s="6"/>
      <c r="TFE54" s="6"/>
      <c r="TFF54" s="6"/>
      <c r="TFG54" s="6"/>
      <c r="TFH54" s="6"/>
      <c r="TFI54" s="6"/>
      <c r="TFJ54" s="6"/>
      <c r="TFK54" s="6"/>
      <c r="TFL54" s="6"/>
      <c r="TFM54" s="6"/>
      <c r="TFN54" s="6"/>
      <c r="TFO54" s="6"/>
      <c r="TFP54" s="6"/>
      <c r="TFQ54" s="6"/>
      <c r="TFR54" s="6"/>
      <c r="TFS54" s="6"/>
      <c r="TFT54" s="6"/>
      <c r="TFU54" s="6"/>
      <c r="TFV54" s="6"/>
      <c r="TFW54" s="6"/>
      <c r="TFX54" s="6"/>
      <c r="TFY54" s="6"/>
      <c r="TFZ54" s="6"/>
      <c r="TGA54" s="6"/>
      <c r="TGB54" s="6"/>
      <c r="TGC54" s="6"/>
      <c r="TGD54" s="6"/>
      <c r="TGE54" s="6"/>
      <c r="TGF54" s="6"/>
      <c r="TGG54" s="6"/>
      <c r="TGH54" s="6"/>
      <c r="TGI54" s="6"/>
      <c r="TGJ54" s="6"/>
      <c r="TGK54" s="6"/>
      <c r="TGL54" s="6"/>
      <c r="TGM54" s="6"/>
      <c r="TGN54" s="6"/>
      <c r="TGO54" s="6"/>
      <c r="TGP54" s="6"/>
      <c r="TGQ54" s="6"/>
      <c r="TGR54" s="6"/>
      <c r="TGS54" s="6"/>
      <c r="TGT54" s="6"/>
      <c r="TGU54" s="6"/>
      <c r="TGV54" s="6"/>
      <c r="TGW54" s="6"/>
      <c r="TGX54" s="6"/>
      <c r="TGY54" s="6"/>
      <c r="TGZ54" s="6"/>
      <c r="THA54" s="6"/>
      <c r="THB54" s="6"/>
      <c r="THC54" s="6"/>
      <c r="THD54" s="6"/>
      <c r="THE54" s="6"/>
      <c r="THF54" s="6"/>
      <c r="THG54" s="6"/>
      <c r="THH54" s="6"/>
      <c r="THI54" s="6"/>
      <c r="THJ54" s="6"/>
      <c r="THK54" s="6"/>
      <c r="THL54" s="6"/>
      <c r="THM54" s="6"/>
      <c r="THN54" s="6"/>
      <c r="THO54" s="6"/>
      <c r="THP54" s="6"/>
      <c r="THQ54" s="6"/>
      <c r="THR54" s="6"/>
      <c r="THS54" s="6"/>
      <c r="THT54" s="6"/>
      <c r="THU54" s="6"/>
      <c r="THV54" s="6"/>
      <c r="THW54" s="6"/>
      <c r="THX54" s="6"/>
      <c r="THY54" s="6"/>
      <c r="THZ54" s="6"/>
      <c r="TIA54" s="6"/>
      <c r="TIB54" s="6"/>
      <c r="TIC54" s="6"/>
      <c r="TID54" s="6"/>
      <c r="TIE54" s="6"/>
      <c r="TIF54" s="6"/>
      <c r="TIG54" s="6"/>
      <c r="TIH54" s="6"/>
      <c r="TII54" s="6"/>
      <c r="TIJ54" s="6"/>
      <c r="TIK54" s="6"/>
      <c r="TIL54" s="6"/>
      <c r="TIM54" s="6"/>
      <c r="TIN54" s="6"/>
      <c r="TIO54" s="6"/>
      <c r="TIP54" s="6"/>
      <c r="TIQ54" s="6"/>
      <c r="TIR54" s="6"/>
      <c r="TIS54" s="6"/>
      <c r="TIT54" s="6"/>
      <c r="TIU54" s="6"/>
      <c r="TIV54" s="6"/>
      <c r="TIW54" s="6"/>
      <c r="TIX54" s="6"/>
      <c r="TIY54" s="6"/>
      <c r="TIZ54" s="6"/>
      <c r="TJA54" s="6"/>
      <c r="TJB54" s="6"/>
      <c r="TJC54" s="6"/>
      <c r="TJD54" s="6"/>
      <c r="TJE54" s="6"/>
      <c r="TJF54" s="6"/>
      <c r="TJG54" s="6"/>
      <c r="TJH54" s="6"/>
      <c r="TJI54" s="6"/>
      <c r="TJJ54" s="6"/>
      <c r="TJK54" s="6"/>
      <c r="TJL54" s="6"/>
      <c r="TJM54" s="6"/>
      <c r="TJN54" s="6"/>
      <c r="TJO54" s="6"/>
      <c r="TJP54" s="6"/>
      <c r="TJQ54" s="6"/>
      <c r="TJR54" s="6"/>
      <c r="TJS54" s="6"/>
      <c r="TJT54" s="6"/>
      <c r="TJU54" s="6"/>
      <c r="TJV54" s="6"/>
      <c r="TJW54" s="6"/>
      <c r="TJX54" s="6"/>
      <c r="TJY54" s="6"/>
      <c r="TJZ54" s="6"/>
      <c r="TKA54" s="6"/>
      <c r="TKB54" s="6"/>
      <c r="TKC54" s="6"/>
      <c r="TKD54" s="6"/>
      <c r="TKE54" s="6"/>
      <c r="TKF54" s="6"/>
      <c r="TKG54" s="6"/>
      <c r="TKH54" s="6"/>
      <c r="TKI54" s="6"/>
      <c r="TKJ54" s="6"/>
      <c r="TKK54" s="6"/>
      <c r="TKL54" s="6"/>
      <c r="TKM54" s="6"/>
      <c r="TKN54" s="6"/>
      <c r="TKO54" s="6"/>
      <c r="TKP54" s="6"/>
      <c r="TKQ54" s="6"/>
      <c r="TKR54" s="6"/>
      <c r="TKS54" s="6"/>
      <c r="TKT54" s="6"/>
      <c r="TKU54" s="6"/>
      <c r="TKV54" s="6"/>
      <c r="TKW54" s="6"/>
      <c r="TKX54" s="6"/>
      <c r="TKY54" s="6"/>
      <c r="TKZ54" s="6"/>
      <c r="TLA54" s="6"/>
      <c r="TLB54" s="6"/>
      <c r="TLC54" s="6"/>
      <c r="TLD54" s="6"/>
      <c r="TLE54" s="6"/>
      <c r="TLF54" s="6"/>
      <c r="TLG54" s="6"/>
      <c r="TLH54" s="6"/>
      <c r="TLI54" s="6"/>
      <c r="TLJ54" s="6"/>
      <c r="TLK54" s="6"/>
      <c r="TLL54" s="6"/>
      <c r="TLM54" s="6"/>
      <c r="TLN54" s="6"/>
      <c r="TLO54" s="6"/>
      <c r="TLP54" s="6"/>
      <c r="TLQ54" s="6"/>
      <c r="TLR54" s="6"/>
      <c r="TLS54" s="6"/>
      <c r="TLT54" s="6"/>
      <c r="TLU54" s="6"/>
      <c r="TLV54" s="6"/>
      <c r="TLW54" s="6"/>
      <c r="TLX54" s="6"/>
      <c r="TLY54" s="6"/>
      <c r="TLZ54" s="6"/>
      <c r="TMA54" s="6"/>
      <c r="TMB54" s="6"/>
      <c r="TMC54" s="6"/>
      <c r="TMD54" s="6"/>
      <c r="TME54" s="6"/>
      <c r="TMF54" s="6"/>
      <c r="TMG54" s="6"/>
      <c r="TMH54" s="6"/>
      <c r="TMI54" s="6"/>
      <c r="TMJ54" s="6"/>
      <c r="TMK54" s="6"/>
      <c r="TML54" s="6"/>
      <c r="TMM54" s="6"/>
      <c r="TMN54" s="6"/>
      <c r="TMO54" s="6"/>
      <c r="TMP54" s="6"/>
      <c r="TMQ54" s="6"/>
      <c r="TMR54" s="6"/>
      <c r="TMS54" s="6"/>
      <c r="TMT54" s="6"/>
      <c r="TMU54" s="6"/>
      <c r="TMV54" s="6"/>
      <c r="TMW54" s="6"/>
      <c r="TMX54" s="6"/>
      <c r="TMY54" s="6"/>
      <c r="TMZ54" s="6"/>
      <c r="TNA54" s="6"/>
      <c r="TNB54" s="6"/>
      <c r="TNC54" s="6"/>
      <c r="TND54" s="6"/>
      <c r="TNE54" s="6"/>
      <c r="TNF54" s="6"/>
      <c r="TNG54" s="6"/>
      <c r="TNH54" s="6"/>
      <c r="TNI54" s="6"/>
      <c r="TNJ54" s="6"/>
      <c r="TNK54" s="6"/>
      <c r="TNL54" s="6"/>
      <c r="TNM54" s="6"/>
      <c r="TNN54" s="6"/>
      <c r="TNO54" s="6"/>
      <c r="TNP54" s="6"/>
      <c r="TNQ54" s="6"/>
      <c r="TNR54" s="6"/>
      <c r="TNS54" s="6"/>
      <c r="TNT54" s="6"/>
      <c r="TNU54" s="6"/>
      <c r="TNV54" s="6"/>
      <c r="TNW54" s="6"/>
      <c r="TNX54" s="6"/>
      <c r="TNY54" s="6"/>
      <c r="TNZ54" s="6"/>
      <c r="TOA54" s="6"/>
      <c r="TOB54" s="6"/>
      <c r="TOC54" s="6"/>
      <c r="TOD54" s="6"/>
      <c r="TOE54" s="6"/>
      <c r="TOF54" s="6"/>
      <c r="TOG54" s="6"/>
      <c r="TOH54" s="6"/>
      <c r="TOI54" s="6"/>
      <c r="TOJ54" s="6"/>
      <c r="TOK54" s="6"/>
      <c r="TOL54" s="6"/>
      <c r="TOM54" s="6"/>
      <c r="TON54" s="6"/>
      <c r="TOO54" s="6"/>
      <c r="TOP54" s="6"/>
      <c r="TOQ54" s="6"/>
      <c r="TOR54" s="6"/>
      <c r="TOS54" s="6"/>
      <c r="TOT54" s="6"/>
      <c r="TOU54" s="6"/>
      <c r="TOV54" s="6"/>
      <c r="TOW54" s="6"/>
      <c r="TOX54" s="6"/>
      <c r="TOY54" s="6"/>
      <c r="TOZ54" s="6"/>
      <c r="TPA54" s="6"/>
      <c r="TPB54" s="6"/>
      <c r="TPC54" s="6"/>
      <c r="TPD54" s="6"/>
      <c r="TPE54" s="6"/>
      <c r="TPF54" s="6"/>
      <c r="TPG54" s="6"/>
      <c r="TPH54" s="6"/>
      <c r="TPI54" s="6"/>
      <c r="TPJ54" s="6"/>
      <c r="TPK54" s="6"/>
      <c r="TPL54" s="6"/>
      <c r="TPM54" s="6"/>
      <c r="TPN54" s="6"/>
      <c r="TPO54" s="6"/>
      <c r="TPP54" s="6"/>
      <c r="TPQ54" s="6"/>
      <c r="TPR54" s="6"/>
      <c r="TPS54" s="6"/>
      <c r="TPT54" s="6"/>
      <c r="TPU54" s="6"/>
      <c r="TPV54" s="6"/>
      <c r="TPW54" s="6"/>
      <c r="TPX54" s="6"/>
      <c r="TPY54" s="6"/>
      <c r="TPZ54" s="6"/>
      <c r="TQA54" s="6"/>
      <c r="TQB54" s="6"/>
      <c r="TQC54" s="6"/>
      <c r="TQD54" s="6"/>
      <c r="TQE54" s="6"/>
      <c r="TQF54" s="6"/>
      <c r="TQG54" s="6"/>
      <c r="TQH54" s="6"/>
      <c r="TQI54" s="6"/>
      <c r="TQJ54" s="6"/>
      <c r="TQK54" s="6"/>
      <c r="TQL54" s="6"/>
      <c r="TQM54" s="6"/>
      <c r="TQN54" s="6"/>
      <c r="TQO54" s="6"/>
      <c r="TQP54" s="6"/>
      <c r="TQQ54" s="6"/>
      <c r="TQR54" s="6"/>
      <c r="TQS54" s="6"/>
      <c r="TQT54" s="6"/>
      <c r="TQU54" s="6"/>
      <c r="TQV54" s="6"/>
      <c r="TQW54" s="6"/>
      <c r="TQX54" s="6"/>
      <c r="TQY54" s="6"/>
      <c r="TQZ54" s="6"/>
      <c r="TRA54" s="6"/>
      <c r="TRB54" s="6"/>
      <c r="TRC54" s="6"/>
      <c r="TRD54" s="6"/>
      <c r="TRE54" s="6"/>
      <c r="TRF54" s="6"/>
      <c r="TRG54" s="6"/>
      <c r="TRH54" s="6"/>
      <c r="TRI54" s="6"/>
      <c r="TRJ54" s="6"/>
      <c r="TRK54" s="6"/>
      <c r="TRL54" s="6"/>
      <c r="TRM54" s="6"/>
      <c r="TRN54" s="6"/>
      <c r="TRO54" s="6"/>
      <c r="TRP54" s="6"/>
      <c r="TRQ54" s="6"/>
      <c r="TRR54" s="6"/>
      <c r="TRS54" s="6"/>
      <c r="TRT54" s="6"/>
      <c r="TRU54" s="6"/>
      <c r="TRV54" s="6"/>
      <c r="TRW54" s="6"/>
      <c r="TRX54" s="6"/>
      <c r="TRY54" s="6"/>
      <c r="TRZ54" s="6"/>
      <c r="TSA54" s="6"/>
      <c r="TSB54" s="6"/>
      <c r="TSC54" s="6"/>
      <c r="TSD54" s="6"/>
      <c r="TSE54" s="6"/>
      <c r="TSF54" s="6"/>
      <c r="TSG54" s="6"/>
      <c r="TSH54" s="6"/>
      <c r="TSI54" s="6"/>
      <c r="TSJ54" s="6"/>
      <c r="TSK54" s="6"/>
      <c r="TSL54" s="6"/>
      <c r="TSM54" s="6"/>
      <c r="TSN54" s="6"/>
      <c r="TSO54" s="6"/>
      <c r="TSP54" s="6"/>
      <c r="TSQ54" s="6"/>
      <c r="TSR54" s="6"/>
      <c r="TSS54" s="6"/>
      <c r="TST54" s="6"/>
      <c r="TSU54" s="6"/>
      <c r="TSV54" s="6"/>
      <c r="TSW54" s="6"/>
      <c r="TSX54" s="6"/>
      <c r="TSY54" s="6"/>
      <c r="TSZ54" s="6"/>
      <c r="TTA54" s="6"/>
      <c r="TTB54" s="6"/>
      <c r="TTC54" s="6"/>
      <c r="TTD54" s="6"/>
      <c r="TTE54" s="6"/>
      <c r="TTF54" s="6"/>
      <c r="TTG54" s="6"/>
      <c r="TTH54" s="6"/>
      <c r="TTI54" s="6"/>
      <c r="TTJ54" s="6"/>
      <c r="TTK54" s="6"/>
      <c r="TTL54" s="6"/>
      <c r="TTM54" s="6"/>
      <c r="TTN54" s="6"/>
      <c r="TTO54" s="6"/>
      <c r="TTP54" s="6"/>
      <c r="TTQ54" s="6"/>
      <c r="TTR54" s="6"/>
      <c r="TTS54" s="6"/>
      <c r="TTT54" s="6"/>
      <c r="TTU54" s="6"/>
      <c r="TTV54" s="6"/>
      <c r="TTW54" s="6"/>
      <c r="TTX54" s="6"/>
      <c r="TTY54" s="6"/>
      <c r="TTZ54" s="6"/>
      <c r="TUA54" s="6"/>
      <c r="TUB54" s="6"/>
      <c r="TUC54" s="6"/>
      <c r="TUD54" s="6"/>
      <c r="TUE54" s="6"/>
      <c r="TUF54" s="6"/>
      <c r="TUG54" s="6"/>
      <c r="TUH54" s="6"/>
      <c r="TUI54" s="6"/>
      <c r="TUJ54" s="6"/>
      <c r="TUK54" s="6"/>
      <c r="TUL54" s="6"/>
      <c r="TUM54" s="6"/>
      <c r="TUN54" s="6"/>
      <c r="TUO54" s="6"/>
      <c r="TUP54" s="6"/>
      <c r="TUQ54" s="6"/>
      <c r="TUR54" s="6"/>
      <c r="TUS54" s="6"/>
      <c r="TUT54" s="6"/>
      <c r="TUU54" s="6"/>
      <c r="TUV54" s="6"/>
      <c r="TUW54" s="6"/>
      <c r="TUX54" s="6"/>
      <c r="TUY54" s="6"/>
      <c r="TUZ54" s="6"/>
      <c r="TVA54" s="6"/>
      <c r="TVB54" s="6"/>
      <c r="TVC54" s="6"/>
      <c r="TVD54" s="6"/>
      <c r="TVE54" s="6"/>
      <c r="TVF54" s="6"/>
      <c r="TVG54" s="6"/>
      <c r="TVH54" s="6"/>
      <c r="TVI54" s="6"/>
      <c r="TVJ54" s="6"/>
      <c r="TVK54" s="6"/>
      <c r="TVL54" s="6"/>
      <c r="TVM54" s="6"/>
      <c r="TVN54" s="6"/>
      <c r="TVO54" s="6"/>
      <c r="TVP54" s="6"/>
      <c r="TVQ54" s="6"/>
      <c r="TVR54" s="6"/>
      <c r="TVS54" s="6"/>
      <c r="TVT54" s="6"/>
      <c r="TVU54" s="6"/>
      <c r="TVV54" s="6"/>
      <c r="TVW54" s="6"/>
      <c r="TVX54" s="6"/>
      <c r="TVY54" s="6"/>
      <c r="TVZ54" s="6"/>
      <c r="TWA54" s="6"/>
      <c r="TWB54" s="6"/>
      <c r="TWC54" s="6"/>
      <c r="TWD54" s="6"/>
      <c r="TWE54" s="6"/>
      <c r="TWF54" s="6"/>
      <c r="TWG54" s="6"/>
      <c r="TWH54" s="6"/>
      <c r="TWI54" s="6"/>
      <c r="TWJ54" s="6"/>
      <c r="TWK54" s="6"/>
      <c r="TWL54" s="6"/>
      <c r="TWM54" s="6"/>
      <c r="TWN54" s="6"/>
      <c r="TWO54" s="6"/>
      <c r="TWP54" s="6"/>
      <c r="TWQ54" s="6"/>
      <c r="TWR54" s="6"/>
      <c r="TWS54" s="6"/>
      <c r="TWT54" s="6"/>
      <c r="TWU54" s="6"/>
      <c r="TWV54" s="6"/>
      <c r="TWW54" s="6"/>
      <c r="TWX54" s="6"/>
      <c r="TWY54" s="6"/>
      <c r="TWZ54" s="6"/>
      <c r="TXA54" s="6"/>
      <c r="TXB54" s="6"/>
      <c r="TXC54" s="6"/>
      <c r="TXD54" s="6"/>
      <c r="TXE54" s="6"/>
      <c r="TXF54" s="6"/>
      <c r="TXG54" s="6"/>
      <c r="TXH54" s="6"/>
      <c r="TXI54" s="6"/>
      <c r="TXJ54" s="6"/>
      <c r="TXK54" s="6"/>
      <c r="TXL54" s="6"/>
      <c r="TXM54" s="6"/>
      <c r="TXN54" s="6"/>
      <c r="TXO54" s="6"/>
      <c r="TXP54" s="6"/>
      <c r="TXQ54" s="6"/>
      <c r="TXR54" s="6"/>
      <c r="TXS54" s="6"/>
      <c r="TXT54" s="6"/>
      <c r="TXU54" s="6"/>
      <c r="TXV54" s="6"/>
      <c r="TXW54" s="6"/>
      <c r="TXX54" s="6"/>
      <c r="TXY54" s="6"/>
      <c r="TXZ54" s="6"/>
      <c r="TYA54" s="6"/>
      <c r="TYB54" s="6"/>
      <c r="TYC54" s="6"/>
      <c r="TYD54" s="6"/>
      <c r="TYE54" s="6"/>
      <c r="TYF54" s="6"/>
      <c r="TYG54" s="6"/>
      <c r="TYH54" s="6"/>
      <c r="TYI54" s="6"/>
      <c r="TYJ54" s="6"/>
      <c r="TYK54" s="6"/>
      <c r="TYL54" s="6"/>
      <c r="TYM54" s="6"/>
      <c r="TYN54" s="6"/>
      <c r="TYO54" s="6"/>
      <c r="TYP54" s="6"/>
      <c r="TYQ54" s="6"/>
      <c r="TYR54" s="6"/>
      <c r="TYS54" s="6"/>
      <c r="TYT54" s="6"/>
      <c r="TYU54" s="6"/>
      <c r="TYV54" s="6"/>
      <c r="TYW54" s="6"/>
      <c r="TYX54" s="6"/>
      <c r="TYY54" s="6"/>
      <c r="TYZ54" s="6"/>
      <c r="TZA54" s="6"/>
      <c r="TZB54" s="6"/>
      <c r="TZC54" s="6"/>
      <c r="TZD54" s="6"/>
      <c r="TZE54" s="6"/>
      <c r="TZF54" s="6"/>
      <c r="TZG54" s="6"/>
      <c r="TZH54" s="6"/>
      <c r="TZI54" s="6"/>
      <c r="TZJ54" s="6"/>
      <c r="TZK54" s="6"/>
      <c r="TZL54" s="6"/>
      <c r="TZM54" s="6"/>
      <c r="TZN54" s="6"/>
      <c r="TZO54" s="6"/>
      <c r="TZP54" s="6"/>
      <c r="TZQ54" s="6"/>
      <c r="TZR54" s="6"/>
      <c r="TZS54" s="6"/>
      <c r="TZT54" s="6"/>
      <c r="TZU54" s="6"/>
      <c r="TZV54" s="6"/>
      <c r="TZW54" s="6"/>
      <c r="TZX54" s="6"/>
      <c r="TZY54" s="6"/>
      <c r="TZZ54" s="6"/>
      <c r="UAA54" s="6"/>
      <c r="UAB54" s="6"/>
      <c r="UAC54" s="6"/>
      <c r="UAD54" s="6"/>
      <c r="UAE54" s="6"/>
      <c r="UAF54" s="6"/>
      <c r="UAG54" s="6"/>
      <c r="UAH54" s="6"/>
      <c r="UAI54" s="6"/>
      <c r="UAJ54" s="6"/>
      <c r="UAK54" s="6"/>
      <c r="UAL54" s="6"/>
      <c r="UAM54" s="6"/>
      <c r="UAN54" s="6"/>
      <c r="UAO54" s="6"/>
      <c r="UAP54" s="6"/>
      <c r="UAQ54" s="6"/>
      <c r="UAR54" s="6"/>
      <c r="UAS54" s="6"/>
      <c r="UAT54" s="6"/>
      <c r="UAU54" s="6"/>
      <c r="UAV54" s="6"/>
      <c r="UAW54" s="6"/>
      <c r="UAX54" s="6"/>
      <c r="UAY54" s="6"/>
      <c r="UAZ54" s="6"/>
      <c r="UBA54" s="6"/>
      <c r="UBB54" s="6"/>
      <c r="UBC54" s="6"/>
      <c r="UBD54" s="6"/>
      <c r="UBE54" s="6"/>
      <c r="UBF54" s="6"/>
      <c r="UBG54" s="6"/>
      <c r="UBH54" s="6"/>
      <c r="UBI54" s="6"/>
      <c r="UBJ54" s="6"/>
      <c r="UBK54" s="6"/>
      <c r="UBL54" s="6"/>
      <c r="UBM54" s="6"/>
      <c r="UBN54" s="6"/>
      <c r="UBO54" s="6"/>
      <c r="UBP54" s="6"/>
      <c r="UBQ54" s="6"/>
      <c r="UBR54" s="6"/>
      <c r="UBS54" s="6"/>
      <c r="UBT54" s="6"/>
      <c r="UBU54" s="6"/>
      <c r="UBV54" s="6"/>
      <c r="UBW54" s="6"/>
      <c r="UBX54" s="6"/>
      <c r="UBY54" s="6"/>
      <c r="UBZ54" s="6"/>
      <c r="UCA54" s="6"/>
      <c r="UCB54" s="6"/>
      <c r="UCC54" s="6"/>
      <c r="UCD54" s="6"/>
      <c r="UCE54" s="6"/>
      <c r="UCF54" s="6"/>
      <c r="UCG54" s="6"/>
      <c r="UCH54" s="6"/>
      <c r="UCI54" s="6"/>
      <c r="UCJ54" s="6"/>
      <c r="UCK54" s="6"/>
      <c r="UCL54" s="6"/>
      <c r="UCM54" s="6"/>
      <c r="UCN54" s="6"/>
      <c r="UCO54" s="6"/>
      <c r="UCP54" s="6"/>
      <c r="UCQ54" s="6"/>
      <c r="UCR54" s="6"/>
      <c r="UCS54" s="6"/>
      <c r="UCT54" s="6"/>
      <c r="UCU54" s="6"/>
      <c r="UCV54" s="6"/>
      <c r="UCW54" s="6"/>
      <c r="UCX54" s="6"/>
      <c r="UCY54" s="6"/>
      <c r="UCZ54" s="6"/>
      <c r="UDA54" s="6"/>
      <c r="UDB54" s="6"/>
      <c r="UDC54" s="6"/>
      <c r="UDD54" s="6"/>
      <c r="UDE54" s="6"/>
      <c r="UDF54" s="6"/>
      <c r="UDG54" s="6"/>
      <c r="UDH54" s="6"/>
      <c r="UDI54" s="6"/>
      <c r="UDJ54" s="6"/>
      <c r="UDK54" s="6"/>
      <c r="UDL54" s="6"/>
      <c r="UDM54" s="6"/>
      <c r="UDN54" s="6"/>
      <c r="UDO54" s="6"/>
      <c r="UDP54" s="6"/>
      <c r="UDQ54" s="6"/>
      <c r="UDR54" s="6"/>
      <c r="UDS54" s="6"/>
      <c r="UDT54" s="6"/>
      <c r="UDU54" s="6"/>
      <c r="UDV54" s="6"/>
      <c r="UDW54" s="6"/>
      <c r="UDX54" s="6"/>
      <c r="UDY54" s="6"/>
      <c r="UDZ54" s="6"/>
      <c r="UEA54" s="6"/>
      <c r="UEB54" s="6"/>
      <c r="UEC54" s="6"/>
      <c r="UED54" s="6"/>
      <c r="UEE54" s="6"/>
      <c r="UEF54" s="6"/>
      <c r="UEG54" s="6"/>
      <c r="UEH54" s="6"/>
      <c r="UEI54" s="6"/>
      <c r="UEJ54" s="6"/>
      <c r="UEK54" s="6"/>
      <c r="UEL54" s="6"/>
      <c r="UEM54" s="6"/>
      <c r="UEN54" s="6"/>
      <c r="UEO54" s="6"/>
      <c r="UEP54" s="6"/>
      <c r="UEQ54" s="6"/>
      <c r="UER54" s="6"/>
      <c r="UES54" s="6"/>
      <c r="UET54" s="6"/>
      <c r="UEU54" s="6"/>
      <c r="UEV54" s="6"/>
      <c r="UEW54" s="6"/>
      <c r="UEX54" s="6"/>
      <c r="UEY54" s="6"/>
      <c r="UEZ54" s="6"/>
      <c r="UFA54" s="6"/>
      <c r="UFB54" s="6"/>
      <c r="UFC54" s="6"/>
      <c r="UFD54" s="6"/>
      <c r="UFE54" s="6"/>
      <c r="UFF54" s="6"/>
      <c r="UFG54" s="6"/>
      <c r="UFH54" s="6"/>
      <c r="UFI54" s="6"/>
      <c r="UFJ54" s="6"/>
      <c r="UFK54" s="6"/>
      <c r="UFL54" s="6"/>
      <c r="UFM54" s="6"/>
      <c r="UFN54" s="6"/>
      <c r="UFO54" s="6"/>
      <c r="UFP54" s="6"/>
      <c r="UFQ54" s="6"/>
      <c r="UFR54" s="6"/>
      <c r="UFS54" s="6"/>
      <c r="UFT54" s="6"/>
      <c r="UFU54" s="6"/>
      <c r="UFV54" s="6"/>
      <c r="UFW54" s="6"/>
      <c r="UFX54" s="6"/>
      <c r="UFY54" s="6"/>
      <c r="UFZ54" s="6"/>
      <c r="UGA54" s="6"/>
      <c r="UGB54" s="6"/>
      <c r="UGC54" s="6"/>
      <c r="UGD54" s="6"/>
      <c r="UGE54" s="6"/>
      <c r="UGF54" s="6"/>
      <c r="UGG54" s="6"/>
      <c r="UGH54" s="6"/>
      <c r="UGI54" s="6"/>
      <c r="UGJ54" s="6"/>
      <c r="UGK54" s="6"/>
      <c r="UGL54" s="6"/>
      <c r="UGM54" s="6"/>
      <c r="UGN54" s="6"/>
      <c r="UGO54" s="6"/>
      <c r="UGP54" s="6"/>
      <c r="UGQ54" s="6"/>
      <c r="UGR54" s="6"/>
      <c r="UGS54" s="6"/>
      <c r="UGT54" s="6"/>
      <c r="UGU54" s="6"/>
      <c r="UGV54" s="6"/>
      <c r="UGW54" s="6"/>
      <c r="UGX54" s="6"/>
      <c r="UGY54" s="6"/>
      <c r="UGZ54" s="6"/>
      <c r="UHA54" s="6"/>
      <c r="UHB54" s="6"/>
      <c r="UHC54" s="6"/>
      <c r="UHD54" s="6"/>
      <c r="UHE54" s="6"/>
      <c r="UHF54" s="6"/>
      <c r="UHG54" s="6"/>
      <c r="UHH54" s="6"/>
      <c r="UHI54" s="6"/>
      <c r="UHJ54" s="6"/>
      <c r="UHK54" s="6"/>
      <c r="UHL54" s="6"/>
      <c r="UHM54" s="6"/>
      <c r="UHN54" s="6"/>
      <c r="UHO54" s="6"/>
      <c r="UHP54" s="6"/>
      <c r="UHQ54" s="6"/>
      <c r="UHR54" s="6"/>
      <c r="UHS54" s="6"/>
      <c r="UHT54" s="6"/>
      <c r="UHU54" s="6"/>
      <c r="UHV54" s="6"/>
      <c r="UHW54" s="6"/>
      <c r="UHX54" s="6"/>
      <c r="UHY54" s="6"/>
      <c r="UHZ54" s="6"/>
      <c r="UIA54" s="6"/>
      <c r="UIB54" s="6"/>
      <c r="UIC54" s="6"/>
      <c r="UID54" s="6"/>
      <c r="UIE54" s="6"/>
      <c r="UIF54" s="6"/>
      <c r="UIG54" s="6"/>
      <c r="UIH54" s="6"/>
      <c r="UII54" s="6"/>
      <c r="UIJ54" s="6"/>
      <c r="UIK54" s="6"/>
      <c r="UIL54" s="6"/>
      <c r="UIM54" s="6"/>
      <c r="UIN54" s="6"/>
      <c r="UIO54" s="6"/>
      <c r="UIP54" s="6"/>
      <c r="UIQ54" s="6"/>
      <c r="UIR54" s="6"/>
      <c r="UIS54" s="6"/>
      <c r="UIT54" s="6"/>
      <c r="UIU54" s="6"/>
      <c r="UIV54" s="6"/>
      <c r="UIW54" s="6"/>
      <c r="UIX54" s="6"/>
      <c r="UIY54" s="6"/>
      <c r="UIZ54" s="6"/>
      <c r="UJA54" s="6"/>
      <c r="UJB54" s="6"/>
      <c r="UJC54" s="6"/>
      <c r="UJD54" s="6"/>
      <c r="UJE54" s="6"/>
      <c r="UJF54" s="6"/>
      <c r="UJG54" s="6"/>
      <c r="UJH54" s="6"/>
      <c r="UJI54" s="6"/>
      <c r="UJJ54" s="6"/>
      <c r="UJK54" s="6"/>
      <c r="UJL54" s="6"/>
      <c r="UJM54" s="6"/>
      <c r="UJN54" s="6"/>
      <c r="UJO54" s="6"/>
      <c r="UJP54" s="6"/>
      <c r="UJQ54" s="6"/>
      <c r="UJR54" s="6"/>
      <c r="UJS54" s="6"/>
      <c r="UJT54" s="6"/>
      <c r="UJU54" s="6"/>
      <c r="UJV54" s="6"/>
      <c r="UJW54" s="6"/>
      <c r="UJX54" s="6"/>
      <c r="UJY54" s="6"/>
      <c r="UJZ54" s="6"/>
      <c r="UKA54" s="6"/>
      <c r="UKB54" s="6"/>
      <c r="UKC54" s="6"/>
      <c r="UKD54" s="6"/>
      <c r="UKE54" s="6"/>
      <c r="UKF54" s="6"/>
      <c r="UKG54" s="6"/>
      <c r="UKH54" s="6"/>
      <c r="UKI54" s="6"/>
      <c r="UKJ54" s="6"/>
      <c r="UKK54" s="6"/>
      <c r="UKL54" s="6"/>
      <c r="UKM54" s="6"/>
      <c r="UKN54" s="6"/>
      <c r="UKO54" s="6"/>
      <c r="UKP54" s="6"/>
      <c r="UKQ54" s="6"/>
      <c r="UKR54" s="6"/>
      <c r="UKS54" s="6"/>
      <c r="UKT54" s="6"/>
      <c r="UKU54" s="6"/>
      <c r="UKV54" s="6"/>
      <c r="UKW54" s="6"/>
      <c r="UKX54" s="6"/>
      <c r="UKY54" s="6"/>
      <c r="UKZ54" s="6"/>
      <c r="ULA54" s="6"/>
      <c r="ULB54" s="6"/>
      <c r="ULC54" s="6"/>
      <c r="ULD54" s="6"/>
      <c r="ULE54" s="6"/>
      <c r="ULF54" s="6"/>
      <c r="ULG54" s="6"/>
      <c r="ULH54" s="6"/>
      <c r="ULI54" s="6"/>
      <c r="ULJ54" s="6"/>
      <c r="ULK54" s="6"/>
      <c r="ULL54" s="6"/>
      <c r="ULM54" s="6"/>
      <c r="ULN54" s="6"/>
      <c r="ULO54" s="6"/>
      <c r="ULP54" s="6"/>
      <c r="ULQ54" s="6"/>
      <c r="ULR54" s="6"/>
      <c r="ULS54" s="6"/>
      <c r="ULT54" s="6"/>
      <c r="ULU54" s="6"/>
      <c r="ULV54" s="6"/>
      <c r="ULW54" s="6"/>
      <c r="ULX54" s="6"/>
      <c r="ULY54" s="6"/>
      <c r="ULZ54" s="6"/>
      <c r="UMA54" s="6"/>
      <c r="UMB54" s="6"/>
      <c r="UMC54" s="6"/>
      <c r="UMD54" s="6"/>
      <c r="UME54" s="6"/>
      <c r="UMF54" s="6"/>
      <c r="UMG54" s="6"/>
      <c r="UMH54" s="6"/>
      <c r="UMI54" s="6"/>
      <c r="UMJ54" s="6"/>
      <c r="UMK54" s="6"/>
      <c r="UML54" s="6"/>
      <c r="UMM54" s="6"/>
      <c r="UMN54" s="6"/>
      <c r="UMO54" s="6"/>
      <c r="UMP54" s="6"/>
      <c r="UMQ54" s="6"/>
      <c r="UMR54" s="6"/>
      <c r="UMS54" s="6"/>
      <c r="UMT54" s="6"/>
      <c r="UMU54" s="6"/>
      <c r="UMV54" s="6"/>
      <c r="UMW54" s="6"/>
      <c r="UMX54" s="6"/>
      <c r="UMY54" s="6"/>
      <c r="UMZ54" s="6"/>
      <c r="UNA54" s="6"/>
      <c r="UNB54" s="6"/>
      <c r="UNC54" s="6"/>
      <c r="UND54" s="6"/>
      <c r="UNE54" s="6"/>
      <c r="UNF54" s="6"/>
      <c r="UNG54" s="6"/>
      <c r="UNH54" s="6"/>
      <c r="UNI54" s="6"/>
      <c r="UNJ54" s="6"/>
      <c r="UNK54" s="6"/>
      <c r="UNL54" s="6"/>
      <c r="UNM54" s="6"/>
      <c r="UNN54" s="6"/>
      <c r="UNO54" s="6"/>
      <c r="UNP54" s="6"/>
      <c r="UNQ54" s="6"/>
      <c r="UNR54" s="6"/>
      <c r="UNS54" s="6"/>
      <c r="UNT54" s="6"/>
      <c r="UNU54" s="6"/>
      <c r="UNV54" s="6"/>
      <c r="UNW54" s="6"/>
      <c r="UNX54" s="6"/>
      <c r="UNY54" s="6"/>
      <c r="UNZ54" s="6"/>
      <c r="UOA54" s="6"/>
      <c r="UOB54" s="6"/>
      <c r="UOC54" s="6"/>
      <c r="UOD54" s="6"/>
      <c r="UOE54" s="6"/>
      <c r="UOF54" s="6"/>
      <c r="UOG54" s="6"/>
      <c r="UOH54" s="6"/>
      <c r="UOI54" s="6"/>
      <c r="UOJ54" s="6"/>
      <c r="UOK54" s="6"/>
      <c r="UOL54" s="6"/>
      <c r="UOM54" s="6"/>
      <c r="UON54" s="6"/>
      <c r="UOO54" s="6"/>
      <c r="UOP54" s="6"/>
      <c r="UOQ54" s="6"/>
      <c r="UOR54" s="6"/>
      <c r="UOS54" s="6"/>
      <c r="UOT54" s="6"/>
      <c r="UOU54" s="6"/>
      <c r="UOV54" s="6"/>
      <c r="UOW54" s="6"/>
      <c r="UOX54" s="6"/>
      <c r="UOY54" s="6"/>
      <c r="UOZ54" s="6"/>
      <c r="UPA54" s="6"/>
      <c r="UPB54" s="6"/>
      <c r="UPC54" s="6"/>
      <c r="UPD54" s="6"/>
      <c r="UPE54" s="6"/>
      <c r="UPF54" s="6"/>
      <c r="UPG54" s="6"/>
      <c r="UPH54" s="6"/>
      <c r="UPI54" s="6"/>
      <c r="UPJ54" s="6"/>
      <c r="UPK54" s="6"/>
      <c r="UPL54" s="6"/>
      <c r="UPM54" s="6"/>
      <c r="UPN54" s="6"/>
      <c r="UPO54" s="6"/>
      <c r="UPP54" s="6"/>
      <c r="UPQ54" s="6"/>
      <c r="UPR54" s="6"/>
      <c r="UPS54" s="6"/>
      <c r="UPT54" s="6"/>
      <c r="UPU54" s="6"/>
      <c r="UPV54" s="6"/>
      <c r="UPW54" s="6"/>
      <c r="UPX54" s="6"/>
      <c r="UPY54" s="6"/>
      <c r="UPZ54" s="6"/>
      <c r="UQA54" s="6"/>
      <c r="UQB54" s="6"/>
      <c r="UQC54" s="6"/>
      <c r="UQD54" s="6"/>
      <c r="UQE54" s="6"/>
      <c r="UQF54" s="6"/>
      <c r="UQG54" s="6"/>
      <c r="UQH54" s="6"/>
      <c r="UQI54" s="6"/>
      <c r="UQJ54" s="6"/>
      <c r="UQK54" s="6"/>
      <c r="UQL54" s="6"/>
      <c r="UQM54" s="6"/>
      <c r="UQN54" s="6"/>
      <c r="UQO54" s="6"/>
      <c r="UQP54" s="6"/>
      <c r="UQQ54" s="6"/>
      <c r="UQR54" s="6"/>
      <c r="UQS54" s="6"/>
      <c r="UQT54" s="6"/>
      <c r="UQU54" s="6"/>
      <c r="UQV54" s="6"/>
      <c r="UQW54" s="6"/>
      <c r="UQX54" s="6"/>
      <c r="UQY54" s="6"/>
      <c r="UQZ54" s="6"/>
      <c r="URA54" s="6"/>
      <c r="URB54" s="6"/>
      <c r="URC54" s="6"/>
      <c r="URD54" s="6"/>
      <c r="URE54" s="6"/>
      <c r="URF54" s="6"/>
      <c r="URG54" s="6"/>
      <c r="URH54" s="6"/>
      <c r="URI54" s="6"/>
      <c r="URJ54" s="6"/>
      <c r="URK54" s="6"/>
      <c r="URL54" s="6"/>
      <c r="URM54" s="6"/>
      <c r="URN54" s="6"/>
      <c r="URO54" s="6"/>
      <c r="URP54" s="6"/>
      <c r="URQ54" s="6"/>
      <c r="URR54" s="6"/>
      <c r="URS54" s="6"/>
      <c r="URT54" s="6"/>
      <c r="URU54" s="6"/>
      <c r="URV54" s="6"/>
      <c r="URW54" s="6"/>
      <c r="URX54" s="6"/>
      <c r="URY54" s="6"/>
      <c r="URZ54" s="6"/>
      <c r="USA54" s="6"/>
      <c r="USB54" s="6"/>
      <c r="USC54" s="6"/>
      <c r="USD54" s="6"/>
      <c r="USE54" s="6"/>
      <c r="USF54" s="6"/>
      <c r="USG54" s="6"/>
      <c r="USH54" s="6"/>
      <c r="USI54" s="6"/>
      <c r="USJ54" s="6"/>
      <c r="USK54" s="6"/>
      <c r="USL54" s="6"/>
      <c r="USM54" s="6"/>
      <c r="USN54" s="6"/>
      <c r="USO54" s="6"/>
      <c r="USP54" s="6"/>
      <c r="USQ54" s="6"/>
      <c r="USR54" s="6"/>
      <c r="USS54" s="6"/>
      <c r="UST54" s="6"/>
      <c r="USU54" s="6"/>
      <c r="USV54" s="6"/>
      <c r="USW54" s="6"/>
      <c r="USX54" s="6"/>
      <c r="USY54" s="6"/>
      <c r="USZ54" s="6"/>
      <c r="UTA54" s="6"/>
      <c r="UTB54" s="6"/>
      <c r="UTC54" s="6"/>
      <c r="UTD54" s="6"/>
      <c r="UTE54" s="6"/>
      <c r="UTF54" s="6"/>
      <c r="UTG54" s="6"/>
      <c r="UTH54" s="6"/>
      <c r="UTI54" s="6"/>
      <c r="UTJ54" s="6"/>
      <c r="UTK54" s="6"/>
      <c r="UTL54" s="6"/>
      <c r="UTM54" s="6"/>
      <c r="UTN54" s="6"/>
      <c r="UTO54" s="6"/>
      <c r="UTP54" s="6"/>
      <c r="UTQ54" s="6"/>
      <c r="UTR54" s="6"/>
      <c r="UTS54" s="6"/>
      <c r="UTT54" s="6"/>
      <c r="UTU54" s="6"/>
      <c r="UTV54" s="6"/>
      <c r="UTW54" s="6"/>
      <c r="UTX54" s="6"/>
      <c r="UTY54" s="6"/>
      <c r="UTZ54" s="6"/>
      <c r="UUA54" s="6"/>
      <c r="UUB54" s="6"/>
      <c r="UUC54" s="6"/>
      <c r="UUD54" s="6"/>
      <c r="UUE54" s="6"/>
      <c r="UUF54" s="6"/>
      <c r="UUG54" s="6"/>
      <c r="UUH54" s="6"/>
      <c r="UUI54" s="6"/>
      <c r="UUJ54" s="6"/>
      <c r="UUK54" s="6"/>
      <c r="UUL54" s="6"/>
      <c r="UUM54" s="6"/>
      <c r="UUN54" s="6"/>
      <c r="UUO54" s="6"/>
      <c r="UUP54" s="6"/>
      <c r="UUQ54" s="6"/>
      <c r="UUR54" s="6"/>
      <c r="UUS54" s="6"/>
      <c r="UUT54" s="6"/>
      <c r="UUU54" s="6"/>
      <c r="UUV54" s="6"/>
      <c r="UUW54" s="6"/>
      <c r="UUX54" s="6"/>
      <c r="UUY54" s="6"/>
      <c r="UUZ54" s="6"/>
      <c r="UVA54" s="6"/>
      <c r="UVB54" s="6"/>
      <c r="UVC54" s="6"/>
      <c r="UVD54" s="6"/>
      <c r="UVE54" s="6"/>
      <c r="UVF54" s="6"/>
      <c r="UVG54" s="6"/>
      <c r="UVH54" s="6"/>
      <c r="UVI54" s="6"/>
      <c r="UVJ54" s="6"/>
      <c r="UVK54" s="6"/>
      <c r="UVL54" s="6"/>
      <c r="UVM54" s="6"/>
      <c r="UVN54" s="6"/>
      <c r="UVO54" s="6"/>
      <c r="UVP54" s="6"/>
      <c r="UVQ54" s="6"/>
      <c r="UVR54" s="6"/>
      <c r="UVS54" s="6"/>
      <c r="UVT54" s="6"/>
      <c r="UVU54" s="6"/>
      <c r="UVV54" s="6"/>
      <c r="UVW54" s="6"/>
      <c r="UVX54" s="6"/>
      <c r="UVY54" s="6"/>
      <c r="UVZ54" s="6"/>
      <c r="UWA54" s="6"/>
      <c r="UWB54" s="6"/>
      <c r="UWC54" s="6"/>
      <c r="UWD54" s="6"/>
      <c r="UWE54" s="6"/>
      <c r="UWF54" s="6"/>
      <c r="UWG54" s="6"/>
      <c r="UWH54" s="6"/>
      <c r="UWI54" s="6"/>
      <c r="UWJ54" s="6"/>
      <c r="UWK54" s="6"/>
      <c r="UWL54" s="6"/>
      <c r="UWM54" s="6"/>
      <c r="UWN54" s="6"/>
      <c r="UWO54" s="6"/>
      <c r="UWP54" s="6"/>
      <c r="UWQ54" s="6"/>
      <c r="UWR54" s="6"/>
      <c r="UWS54" s="6"/>
      <c r="UWT54" s="6"/>
      <c r="UWU54" s="6"/>
      <c r="UWV54" s="6"/>
      <c r="UWW54" s="6"/>
      <c r="UWX54" s="6"/>
      <c r="UWY54" s="6"/>
      <c r="UWZ54" s="6"/>
      <c r="UXA54" s="6"/>
      <c r="UXB54" s="6"/>
      <c r="UXC54" s="6"/>
      <c r="UXD54" s="6"/>
      <c r="UXE54" s="6"/>
      <c r="UXF54" s="6"/>
      <c r="UXG54" s="6"/>
      <c r="UXH54" s="6"/>
      <c r="UXI54" s="6"/>
      <c r="UXJ54" s="6"/>
      <c r="UXK54" s="6"/>
      <c r="UXL54" s="6"/>
      <c r="UXM54" s="6"/>
      <c r="UXN54" s="6"/>
      <c r="UXO54" s="6"/>
      <c r="UXP54" s="6"/>
      <c r="UXQ54" s="6"/>
      <c r="UXR54" s="6"/>
      <c r="UXS54" s="6"/>
      <c r="UXT54" s="6"/>
      <c r="UXU54" s="6"/>
      <c r="UXV54" s="6"/>
      <c r="UXW54" s="6"/>
      <c r="UXX54" s="6"/>
      <c r="UXY54" s="6"/>
      <c r="UXZ54" s="6"/>
      <c r="UYA54" s="6"/>
      <c r="UYB54" s="6"/>
      <c r="UYC54" s="6"/>
      <c r="UYD54" s="6"/>
      <c r="UYE54" s="6"/>
      <c r="UYF54" s="6"/>
      <c r="UYG54" s="6"/>
      <c r="UYH54" s="6"/>
      <c r="UYI54" s="6"/>
      <c r="UYJ54" s="6"/>
      <c r="UYK54" s="6"/>
      <c r="UYL54" s="6"/>
      <c r="UYM54" s="6"/>
      <c r="UYN54" s="6"/>
      <c r="UYO54" s="6"/>
      <c r="UYP54" s="6"/>
      <c r="UYQ54" s="6"/>
      <c r="UYR54" s="6"/>
      <c r="UYS54" s="6"/>
      <c r="UYT54" s="6"/>
      <c r="UYU54" s="6"/>
      <c r="UYV54" s="6"/>
      <c r="UYW54" s="6"/>
      <c r="UYX54" s="6"/>
      <c r="UYY54" s="6"/>
      <c r="UYZ54" s="6"/>
      <c r="UZA54" s="6"/>
      <c r="UZB54" s="6"/>
      <c r="UZC54" s="6"/>
      <c r="UZD54" s="6"/>
      <c r="UZE54" s="6"/>
      <c r="UZF54" s="6"/>
      <c r="UZG54" s="6"/>
      <c r="UZH54" s="6"/>
      <c r="UZI54" s="6"/>
      <c r="UZJ54" s="6"/>
      <c r="UZK54" s="6"/>
      <c r="UZL54" s="6"/>
      <c r="UZM54" s="6"/>
      <c r="UZN54" s="6"/>
      <c r="UZO54" s="6"/>
      <c r="UZP54" s="6"/>
      <c r="UZQ54" s="6"/>
      <c r="UZR54" s="6"/>
      <c r="UZS54" s="6"/>
      <c r="UZT54" s="6"/>
      <c r="UZU54" s="6"/>
      <c r="UZV54" s="6"/>
      <c r="UZW54" s="6"/>
      <c r="UZX54" s="6"/>
      <c r="UZY54" s="6"/>
      <c r="UZZ54" s="6"/>
      <c r="VAA54" s="6"/>
      <c r="VAB54" s="6"/>
      <c r="VAC54" s="6"/>
      <c r="VAD54" s="6"/>
      <c r="VAE54" s="6"/>
      <c r="VAF54" s="6"/>
      <c r="VAG54" s="6"/>
      <c r="VAH54" s="6"/>
      <c r="VAI54" s="6"/>
      <c r="VAJ54" s="6"/>
      <c r="VAK54" s="6"/>
      <c r="VAL54" s="6"/>
      <c r="VAM54" s="6"/>
      <c r="VAN54" s="6"/>
      <c r="VAO54" s="6"/>
      <c r="VAP54" s="6"/>
      <c r="VAQ54" s="6"/>
      <c r="VAR54" s="6"/>
      <c r="VAS54" s="6"/>
      <c r="VAT54" s="6"/>
      <c r="VAU54" s="6"/>
      <c r="VAV54" s="6"/>
      <c r="VAW54" s="6"/>
      <c r="VAX54" s="6"/>
      <c r="VAY54" s="6"/>
      <c r="VAZ54" s="6"/>
      <c r="VBA54" s="6"/>
      <c r="VBB54" s="6"/>
      <c r="VBC54" s="6"/>
      <c r="VBD54" s="6"/>
      <c r="VBE54" s="6"/>
      <c r="VBF54" s="6"/>
      <c r="VBG54" s="6"/>
      <c r="VBH54" s="6"/>
      <c r="VBI54" s="6"/>
      <c r="VBJ54" s="6"/>
      <c r="VBK54" s="6"/>
      <c r="VBL54" s="6"/>
      <c r="VBM54" s="6"/>
      <c r="VBN54" s="6"/>
      <c r="VBO54" s="6"/>
      <c r="VBP54" s="6"/>
      <c r="VBQ54" s="6"/>
      <c r="VBR54" s="6"/>
      <c r="VBS54" s="6"/>
      <c r="VBT54" s="6"/>
      <c r="VBU54" s="6"/>
      <c r="VBV54" s="6"/>
      <c r="VBW54" s="6"/>
      <c r="VBX54" s="6"/>
      <c r="VBY54" s="6"/>
      <c r="VBZ54" s="6"/>
      <c r="VCA54" s="6"/>
      <c r="VCB54" s="6"/>
      <c r="VCC54" s="6"/>
      <c r="VCD54" s="6"/>
      <c r="VCE54" s="6"/>
      <c r="VCF54" s="6"/>
      <c r="VCG54" s="6"/>
      <c r="VCH54" s="6"/>
      <c r="VCI54" s="6"/>
      <c r="VCJ54" s="6"/>
      <c r="VCK54" s="6"/>
      <c r="VCL54" s="6"/>
      <c r="VCM54" s="6"/>
      <c r="VCN54" s="6"/>
      <c r="VCO54" s="6"/>
      <c r="VCP54" s="6"/>
      <c r="VCQ54" s="6"/>
      <c r="VCR54" s="6"/>
      <c r="VCS54" s="6"/>
      <c r="VCT54" s="6"/>
      <c r="VCU54" s="6"/>
      <c r="VCV54" s="6"/>
      <c r="VCW54" s="6"/>
      <c r="VCX54" s="6"/>
      <c r="VCY54" s="6"/>
      <c r="VCZ54" s="6"/>
      <c r="VDA54" s="6"/>
      <c r="VDB54" s="6"/>
      <c r="VDC54" s="6"/>
      <c r="VDD54" s="6"/>
      <c r="VDE54" s="6"/>
      <c r="VDF54" s="6"/>
      <c r="VDG54" s="6"/>
      <c r="VDH54" s="6"/>
      <c r="VDI54" s="6"/>
      <c r="VDJ54" s="6"/>
      <c r="VDK54" s="6"/>
      <c r="VDL54" s="6"/>
      <c r="VDM54" s="6"/>
      <c r="VDN54" s="6"/>
      <c r="VDO54" s="6"/>
      <c r="VDP54" s="6"/>
      <c r="VDQ54" s="6"/>
      <c r="VDR54" s="6"/>
      <c r="VDS54" s="6"/>
      <c r="VDT54" s="6"/>
      <c r="VDU54" s="6"/>
      <c r="VDV54" s="6"/>
      <c r="VDW54" s="6"/>
      <c r="VDX54" s="6"/>
      <c r="VDY54" s="6"/>
      <c r="VDZ54" s="6"/>
      <c r="VEA54" s="6"/>
      <c r="VEB54" s="6"/>
      <c r="VEC54" s="6"/>
      <c r="VED54" s="6"/>
      <c r="VEE54" s="6"/>
      <c r="VEF54" s="6"/>
      <c r="VEG54" s="6"/>
      <c r="VEH54" s="6"/>
      <c r="VEI54" s="6"/>
      <c r="VEJ54" s="6"/>
      <c r="VEK54" s="6"/>
      <c r="VEL54" s="6"/>
      <c r="VEM54" s="6"/>
      <c r="VEN54" s="6"/>
      <c r="VEO54" s="6"/>
      <c r="VEP54" s="6"/>
      <c r="VEQ54" s="6"/>
      <c r="VER54" s="6"/>
      <c r="VES54" s="6"/>
      <c r="VET54" s="6"/>
      <c r="VEU54" s="6"/>
      <c r="VEV54" s="6"/>
      <c r="VEW54" s="6"/>
      <c r="VEX54" s="6"/>
      <c r="VEY54" s="6"/>
      <c r="VEZ54" s="6"/>
      <c r="VFA54" s="6"/>
      <c r="VFB54" s="6"/>
      <c r="VFC54" s="6"/>
      <c r="VFD54" s="6"/>
      <c r="VFE54" s="6"/>
      <c r="VFF54" s="6"/>
      <c r="VFG54" s="6"/>
      <c r="VFH54" s="6"/>
      <c r="VFI54" s="6"/>
      <c r="VFJ54" s="6"/>
      <c r="VFK54" s="6"/>
      <c r="VFL54" s="6"/>
      <c r="VFM54" s="6"/>
      <c r="VFN54" s="6"/>
      <c r="VFO54" s="6"/>
      <c r="VFP54" s="6"/>
      <c r="VFQ54" s="6"/>
      <c r="VFR54" s="6"/>
      <c r="VFS54" s="6"/>
      <c r="VFT54" s="6"/>
      <c r="VFU54" s="6"/>
      <c r="VFV54" s="6"/>
      <c r="VFW54" s="6"/>
      <c r="VFX54" s="6"/>
      <c r="VFY54" s="6"/>
      <c r="VFZ54" s="6"/>
      <c r="VGA54" s="6"/>
      <c r="VGB54" s="6"/>
      <c r="VGC54" s="6"/>
      <c r="VGD54" s="6"/>
      <c r="VGE54" s="6"/>
      <c r="VGF54" s="6"/>
      <c r="VGG54" s="6"/>
      <c r="VGH54" s="6"/>
      <c r="VGI54" s="6"/>
      <c r="VGJ54" s="6"/>
      <c r="VGK54" s="6"/>
      <c r="VGL54" s="6"/>
      <c r="VGM54" s="6"/>
      <c r="VGN54" s="6"/>
      <c r="VGO54" s="6"/>
      <c r="VGP54" s="6"/>
      <c r="VGQ54" s="6"/>
      <c r="VGR54" s="6"/>
      <c r="VGS54" s="6"/>
      <c r="VGT54" s="6"/>
      <c r="VGU54" s="6"/>
      <c r="VGV54" s="6"/>
      <c r="VGW54" s="6"/>
      <c r="VGX54" s="6"/>
      <c r="VGY54" s="6"/>
      <c r="VGZ54" s="6"/>
      <c r="VHA54" s="6"/>
      <c r="VHB54" s="6"/>
      <c r="VHC54" s="6"/>
      <c r="VHD54" s="6"/>
      <c r="VHE54" s="6"/>
      <c r="VHF54" s="6"/>
      <c r="VHG54" s="6"/>
      <c r="VHH54" s="6"/>
      <c r="VHI54" s="6"/>
      <c r="VHJ54" s="6"/>
      <c r="VHK54" s="6"/>
      <c r="VHL54" s="6"/>
      <c r="VHM54" s="6"/>
      <c r="VHN54" s="6"/>
      <c r="VHO54" s="6"/>
      <c r="VHP54" s="6"/>
      <c r="VHQ54" s="6"/>
      <c r="VHR54" s="6"/>
      <c r="VHS54" s="6"/>
      <c r="VHT54" s="6"/>
      <c r="VHU54" s="6"/>
      <c r="VHV54" s="6"/>
      <c r="VHW54" s="6"/>
      <c r="VHX54" s="6"/>
      <c r="VHY54" s="6"/>
      <c r="VHZ54" s="6"/>
      <c r="VIA54" s="6"/>
      <c r="VIB54" s="6"/>
      <c r="VIC54" s="6"/>
      <c r="VID54" s="6"/>
      <c r="VIE54" s="6"/>
      <c r="VIF54" s="6"/>
      <c r="VIG54" s="6"/>
      <c r="VIH54" s="6"/>
      <c r="VII54" s="6"/>
      <c r="VIJ54" s="6"/>
      <c r="VIK54" s="6"/>
      <c r="VIL54" s="6"/>
      <c r="VIM54" s="6"/>
      <c r="VIN54" s="6"/>
      <c r="VIO54" s="6"/>
      <c r="VIP54" s="6"/>
      <c r="VIQ54" s="6"/>
      <c r="VIR54" s="6"/>
      <c r="VIS54" s="6"/>
      <c r="VIT54" s="6"/>
      <c r="VIU54" s="6"/>
      <c r="VIV54" s="6"/>
      <c r="VIW54" s="6"/>
      <c r="VIX54" s="6"/>
      <c r="VIY54" s="6"/>
      <c r="VIZ54" s="6"/>
      <c r="VJA54" s="6"/>
      <c r="VJB54" s="6"/>
      <c r="VJC54" s="6"/>
      <c r="VJD54" s="6"/>
      <c r="VJE54" s="6"/>
      <c r="VJF54" s="6"/>
      <c r="VJG54" s="6"/>
      <c r="VJH54" s="6"/>
      <c r="VJI54" s="6"/>
      <c r="VJJ54" s="6"/>
      <c r="VJK54" s="6"/>
      <c r="VJL54" s="6"/>
      <c r="VJM54" s="6"/>
      <c r="VJN54" s="6"/>
      <c r="VJO54" s="6"/>
      <c r="VJP54" s="6"/>
      <c r="VJQ54" s="6"/>
      <c r="VJR54" s="6"/>
      <c r="VJS54" s="6"/>
      <c r="VJT54" s="6"/>
      <c r="VJU54" s="6"/>
      <c r="VJV54" s="6"/>
      <c r="VJW54" s="6"/>
      <c r="VJX54" s="6"/>
      <c r="VJY54" s="6"/>
      <c r="VJZ54" s="6"/>
      <c r="VKA54" s="6"/>
      <c r="VKB54" s="6"/>
      <c r="VKC54" s="6"/>
      <c r="VKD54" s="6"/>
      <c r="VKE54" s="6"/>
      <c r="VKF54" s="6"/>
      <c r="VKG54" s="6"/>
      <c r="VKH54" s="6"/>
      <c r="VKI54" s="6"/>
      <c r="VKJ54" s="6"/>
      <c r="VKK54" s="6"/>
      <c r="VKL54" s="6"/>
      <c r="VKM54" s="6"/>
      <c r="VKN54" s="6"/>
      <c r="VKO54" s="6"/>
      <c r="VKP54" s="6"/>
      <c r="VKQ54" s="6"/>
      <c r="VKR54" s="6"/>
      <c r="VKS54" s="6"/>
      <c r="VKT54" s="6"/>
      <c r="VKU54" s="6"/>
      <c r="VKV54" s="6"/>
      <c r="VKW54" s="6"/>
      <c r="VKX54" s="6"/>
      <c r="VKY54" s="6"/>
      <c r="VKZ54" s="6"/>
      <c r="VLA54" s="6"/>
      <c r="VLB54" s="6"/>
      <c r="VLC54" s="6"/>
      <c r="VLD54" s="6"/>
      <c r="VLE54" s="6"/>
      <c r="VLF54" s="6"/>
      <c r="VLG54" s="6"/>
      <c r="VLH54" s="6"/>
      <c r="VLI54" s="6"/>
      <c r="VLJ54" s="6"/>
      <c r="VLK54" s="6"/>
      <c r="VLL54" s="6"/>
      <c r="VLM54" s="6"/>
      <c r="VLN54" s="6"/>
      <c r="VLO54" s="6"/>
      <c r="VLP54" s="6"/>
      <c r="VLQ54" s="6"/>
      <c r="VLR54" s="6"/>
      <c r="VLS54" s="6"/>
      <c r="VLT54" s="6"/>
      <c r="VLU54" s="6"/>
      <c r="VLV54" s="6"/>
      <c r="VLW54" s="6"/>
      <c r="VLX54" s="6"/>
      <c r="VLY54" s="6"/>
      <c r="VLZ54" s="6"/>
      <c r="VMA54" s="6"/>
      <c r="VMB54" s="6"/>
      <c r="VMC54" s="6"/>
      <c r="VMD54" s="6"/>
      <c r="VME54" s="6"/>
      <c r="VMF54" s="6"/>
      <c r="VMG54" s="6"/>
      <c r="VMH54" s="6"/>
      <c r="VMI54" s="6"/>
      <c r="VMJ54" s="6"/>
      <c r="VMK54" s="6"/>
      <c r="VML54" s="6"/>
      <c r="VMM54" s="6"/>
      <c r="VMN54" s="6"/>
      <c r="VMO54" s="6"/>
      <c r="VMP54" s="6"/>
      <c r="VMQ54" s="6"/>
      <c r="VMR54" s="6"/>
      <c r="VMS54" s="6"/>
      <c r="VMT54" s="6"/>
      <c r="VMU54" s="6"/>
      <c r="VMV54" s="6"/>
      <c r="VMW54" s="6"/>
      <c r="VMX54" s="6"/>
      <c r="VMY54" s="6"/>
      <c r="VMZ54" s="6"/>
      <c r="VNA54" s="6"/>
      <c r="VNB54" s="6"/>
      <c r="VNC54" s="6"/>
      <c r="VND54" s="6"/>
      <c r="VNE54" s="6"/>
      <c r="VNF54" s="6"/>
      <c r="VNG54" s="6"/>
      <c r="VNH54" s="6"/>
      <c r="VNI54" s="6"/>
      <c r="VNJ54" s="6"/>
      <c r="VNK54" s="6"/>
      <c r="VNL54" s="6"/>
      <c r="VNM54" s="6"/>
      <c r="VNN54" s="6"/>
      <c r="VNO54" s="6"/>
      <c r="VNP54" s="6"/>
      <c r="VNQ54" s="6"/>
      <c r="VNR54" s="6"/>
      <c r="VNS54" s="6"/>
      <c r="VNT54" s="6"/>
      <c r="VNU54" s="6"/>
      <c r="VNV54" s="6"/>
      <c r="VNW54" s="6"/>
      <c r="VNX54" s="6"/>
      <c r="VNY54" s="6"/>
      <c r="VNZ54" s="6"/>
      <c r="VOA54" s="6"/>
      <c r="VOB54" s="6"/>
      <c r="VOC54" s="6"/>
      <c r="VOD54" s="6"/>
      <c r="VOE54" s="6"/>
      <c r="VOF54" s="6"/>
      <c r="VOG54" s="6"/>
      <c r="VOH54" s="6"/>
      <c r="VOI54" s="6"/>
      <c r="VOJ54" s="6"/>
      <c r="VOK54" s="6"/>
      <c r="VOL54" s="6"/>
      <c r="VOM54" s="6"/>
      <c r="VON54" s="6"/>
      <c r="VOO54" s="6"/>
      <c r="VOP54" s="6"/>
      <c r="VOQ54" s="6"/>
      <c r="VOR54" s="6"/>
      <c r="VOS54" s="6"/>
      <c r="VOT54" s="6"/>
      <c r="VOU54" s="6"/>
      <c r="VOV54" s="6"/>
      <c r="VOW54" s="6"/>
      <c r="VOX54" s="6"/>
      <c r="VOY54" s="6"/>
      <c r="VOZ54" s="6"/>
      <c r="VPA54" s="6"/>
      <c r="VPB54" s="6"/>
      <c r="VPC54" s="6"/>
      <c r="VPD54" s="6"/>
      <c r="VPE54" s="6"/>
      <c r="VPF54" s="6"/>
      <c r="VPG54" s="6"/>
      <c r="VPH54" s="6"/>
      <c r="VPI54" s="6"/>
      <c r="VPJ54" s="6"/>
      <c r="VPK54" s="6"/>
      <c r="VPL54" s="6"/>
      <c r="VPM54" s="6"/>
      <c r="VPN54" s="6"/>
      <c r="VPO54" s="6"/>
      <c r="VPP54" s="6"/>
      <c r="VPQ54" s="6"/>
      <c r="VPR54" s="6"/>
      <c r="VPS54" s="6"/>
      <c r="VPT54" s="6"/>
      <c r="VPU54" s="6"/>
      <c r="VPV54" s="6"/>
      <c r="VPW54" s="6"/>
      <c r="VPX54" s="6"/>
      <c r="VPY54" s="6"/>
      <c r="VPZ54" s="6"/>
      <c r="VQA54" s="6"/>
      <c r="VQB54" s="6"/>
      <c r="VQC54" s="6"/>
      <c r="VQD54" s="6"/>
      <c r="VQE54" s="6"/>
      <c r="VQF54" s="6"/>
      <c r="VQG54" s="6"/>
      <c r="VQH54" s="6"/>
      <c r="VQI54" s="6"/>
      <c r="VQJ54" s="6"/>
      <c r="VQK54" s="6"/>
      <c r="VQL54" s="6"/>
      <c r="VQM54" s="6"/>
      <c r="VQN54" s="6"/>
      <c r="VQO54" s="6"/>
      <c r="VQP54" s="6"/>
      <c r="VQQ54" s="6"/>
      <c r="VQR54" s="6"/>
      <c r="VQS54" s="6"/>
      <c r="VQT54" s="6"/>
      <c r="VQU54" s="6"/>
      <c r="VQV54" s="6"/>
      <c r="VQW54" s="6"/>
      <c r="VQX54" s="6"/>
      <c r="VQY54" s="6"/>
      <c r="VQZ54" s="6"/>
      <c r="VRA54" s="6"/>
      <c r="VRB54" s="6"/>
      <c r="VRC54" s="6"/>
      <c r="VRD54" s="6"/>
      <c r="VRE54" s="6"/>
      <c r="VRF54" s="6"/>
      <c r="VRG54" s="6"/>
      <c r="VRH54" s="6"/>
      <c r="VRI54" s="6"/>
      <c r="VRJ54" s="6"/>
      <c r="VRK54" s="6"/>
      <c r="VRL54" s="6"/>
      <c r="VRM54" s="6"/>
      <c r="VRN54" s="6"/>
      <c r="VRO54" s="6"/>
      <c r="VRP54" s="6"/>
      <c r="VRQ54" s="6"/>
      <c r="VRR54" s="6"/>
      <c r="VRS54" s="6"/>
      <c r="VRT54" s="6"/>
      <c r="VRU54" s="6"/>
      <c r="VRV54" s="6"/>
      <c r="VRW54" s="6"/>
      <c r="VRX54" s="6"/>
      <c r="VRY54" s="6"/>
      <c r="VRZ54" s="6"/>
      <c r="VSA54" s="6"/>
      <c r="VSB54" s="6"/>
      <c r="VSC54" s="6"/>
      <c r="VSD54" s="6"/>
      <c r="VSE54" s="6"/>
      <c r="VSF54" s="6"/>
      <c r="VSG54" s="6"/>
      <c r="VSH54" s="6"/>
      <c r="VSI54" s="6"/>
      <c r="VSJ54" s="6"/>
      <c r="VSK54" s="6"/>
      <c r="VSL54" s="6"/>
      <c r="VSM54" s="6"/>
      <c r="VSN54" s="6"/>
      <c r="VSO54" s="6"/>
      <c r="VSP54" s="6"/>
      <c r="VSQ54" s="6"/>
      <c r="VSR54" s="6"/>
      <c r="VSS54" s="6"/>
      <c r="VST54" s="6"/>
      <c r="VSU54" s="6"/>
      <c r="VSV54" s="6"/>
      <c r="VSW54" s="6"/>
      <c r="VSX54" s="6"/>
      <c r="VSY54" s="6"/>
      <c r="VSZ54" s="6"/>
      <c r="VTA54" s="6"/>
      <c r="VTB54" s="6"/>
      <c r="VTC54" s="6"/>
      <c r="VTD54" s="6"/>
      <c r="VTE54" s="6"/>
      <c r="VTF54" s="6"/>
      <c r="VTG54" s="6"/>
      <c r="VTH54" s="6"/>
      <c r="VTI54" s="6"/>
      <c r="VTJ54" s="6"/>
      <c r="VTK54" s="6"/>
      <c r="VTL54" s="6"/>
      <c r="VTM54" s="6"/>
      <c r="VTN54" s="6"/>
      <c r="VTO54" s="6"/>
      <c r="VTP54" s="6"/>
      <c r="VTQ54" s="6"/>
      <c r="VTR54" s="6"/>
      <c r="VTS54" s="6"/>
      <c r="VTT54" s="6"/>
      <c r="VTU54" s="6"/>
      <c r="VTV54" s="6"/>
      <c r="VTW54" s="6"/>
      <c r="VTX54" s="6"/>
      <c r="VTY54" s="6"/>
      <c r="VTZ54" s="6"/>
      <c r="VUA54" s="6"/>
      <c r="VUB54" s="6"/>
      <c r="VUC54" s="6"/>
      <c r="VUD54" s="6"/>
      <c r="VUE54" s="6"/>
      <c r="VUF54" s="6"/>
      <c r="VUG54" s="6"/>
      <c r="VUH54" s="6"/>
      <c r="VUI54" s="6"/>
      <c r="VUJ54" s="6"/>
      <c r="VUK54" s="6"/>
      <c r="VUL54" s="6"/>
      <c r="VUM54" s="6"/>
      <c r="VUN54" s="6"/>
      <c r="VUO54" s="6"/>
      <c r="VUP54" s="6"/>
      <c r="VUQ54" s="6"/>
      <c r="VUR54" s="6"/>
      <c r="VUS54" s="6"/>
      <c r="VUT54" s="6"/>
      <c r="VUU54" s="6"/>
      <c r="VUV54" s="6"/>
      <c r="VUW54" s="6"/>
      <c r="VUX54" s="6"/>
      <c r="VUY54" s="6"/>
      <c r="VUZ54" s="6"/>
      <c r="VVA54" s="6"/>
      <c r="VVB54" s="6"/>
      <c r="VVC54" s="6"/>
      <c r="VVD54" s="6"/>
      <c r="VVE54" s="6"/>
      <c r="VVF54" s="6"/>
      <c r="VVG54" s="6"/>
      <c r="VVH54" s="6"/>
      <c r="VVI54" s="6"/>
      <c r="VVJ54" s="6"/>
      <c r="VVK54" s="6"/>
      <c r="VVL54" s="6"/>
      <c r="VVM54" s="6"/>
      <c r="VVN54" s="6"/>
      <c r="VVO54" s="6"/>
      <c r="VVP54" s="6"/>
      <c r="VVQ54" s="6"/>
      <c r="VVR54" s="6"/>
      <c r="VVS54" s="6"/>
      <c r="VVT54" s="6"/>
      <c r="VVU54" s="6"/>
      <c r="VVV54" s="6"/>
      <c r="VVW54" s="6"/>
      <c r="VVX54" s="6"/>
      <c r="VVY54" s="6"/>
      <c r="VVZ54" s="6"/>
      <c r="VWA54" s="6"/>
      <c r="VWB54" s="6"/>
      <c r="VWC54" s="6"/>
      <c r="VWD54" s="6"/>
      <c r="VWE54" s="6"/>
      <c r="VWF54" s="6"/>
      <c r="VWG54" s="6"/>
      <c r="VWH54" s="6"/>
      <c r="VWI54" s="6"/>
      <c r="VWJ54" s="6"/>
      <c r="VWK54" s="6"/>
      <c r="VWL54" s="6"/>
      <c r="VWM54" s="6"/>
      <c r="VWN54" s="6"/>
      <c r="VWO54" s="6"/>
      <c r="VWP54" s="6"/>
      <c r="VWQ54" s="6"/>
      <c r="VWR54" s="6"/>
      <c r="VWS54" s="6"/>
      <c r="VWT54" s="6"/>
      <c r="VWU54" s="6"/>
      <c r="VWV54" s="6"/>
      <c r="VWW54" s="6"/>
      <c r="VWX54" s="6"/>
      <c r="VWY54" s="6"/>
      <c r="VWZ54" s="6"/>
      <c r="VXA54" s="6"/>
      <c r="VXB54" s="6"/>
      <c r="VXC54" s="6"/>
      <c r="VXD54" s="6"/>
      <c r="VXE54" s="6"/>
      <c r="VXF54" s="6"/>
      <c r="VXG54" s="6"/>
      <c r="VXH54" s="6"/>
      <c r="VXI54" s="6"/>
      <c r="VXJ54" s="6"/>
      <c r="VXK54" s="6"/>
      <c r="VXL54" s="6"/>
      <c r="VXM54" s="6"/>
      <c r="VXN54" s="6"/>
      <c r="VXO54" s="6"/>
      <c r="VXP54" s="6"/>
      <c r="VXQ54" s="6"/>
      <c r="VXR54" s="6"/>
      <c r="VXS54" s="6"/>
      <c r="VXT54" s="6"/>
      <c r="VXU54" s="6"/>
      <c r="VXV54" s="6"/>
      <c r="VXW54" s="6"/>
      <c r="VXX54" s="6"/>
      <c r="VXY54" s="6"/>
      <c r="VXZ54" s="6"/>
      <c r="VYA54" s="6"/>
      <c r="VYB54" s="6"/>
      <c r="VYC54" s="6"/>
      <c r="VYD54" s="6"/>
      <c r="VYE54" s="6"/>
      <c r="VYF54" s="6"/>
      <c r="VYG54" s="6"/>
      <c r="VYH54" s="6"/>
      <c r="VYI54" s="6"/>
      <c r="VYJ54" s="6"/>
      <c r="VYK54" s="6"/>
      <c r="VYL54" s="6"/>
      <c r="VYM54" s="6"/>
      <c r="VYN54" s="6"/>
      <c r="VYO54" s="6"/>
      <c r="VYP54" s="6"/>
      <c r="VYQ54" s="6"/>
      <c r="VYR54" s="6"/>
      <c r="VYS54" s="6"/>
      <c r="VYT54" s="6"/>
      <c r="VYU54" s="6"/>
      <c r="VYV54" s="6"/>
      <c r="VYW54" s="6"/>
      <c r="VYX54" s="6"/>
      <c r="VYY54" s="6"/>
      <c r="VYZ54" s="6"/>
      <c r="VZA54" s="6"/>
      <c r="VZB54" s="6"/>
      <c r="VZC54" s="6"/>
      <c r="VZD54" s="6"/>
      <c r="VZE54" s="6"/>
      <c r="VZF54" s="6"/>
      <c r="VZG54" s="6"/>
      <c r="VZH54" s="6"/>
      <c r="VZI54" s="6"/>
      <c r="VZJ54" s="6"/>
      <c r="VZK54" s="6"/>
      <c r="VZL54" s="6"/>
      <c r="VZM54" s="6"/>
      <c r="VZN54" s="6"/>
      <c r="VZO54" s="6"/>
      <c r="VZP54" s="6"/>
      <c r="VZQ54" s="6"/>
      <c r="VZR54" s="6"/>
      <c r="VZS54" s="6"/>
      <c r="VZT54" s="6"/>
      <c r="VZU54" s="6"/>
      <c r="VZV54" s="6"/>
      <c r="VZW54" s="6"/>
      <c r="VZX54" s="6"/>
      <c r="VZY54" s="6"/>
      <c r="VZZ54" s="6"/>
      <c r="WAA54" s="6"/>
      <c r="WAB54" s="6"/>
      <c r="WAC54" s="6"/>
      <c r="WAD54" s="6"/>
      <c r="WAE54" s="6"/>
      <c r="WAF54" s="6"/>
      <c r="WAG54" s="6"/>
      <c r="WAH54" s="6"/>
      <c r="WAI54" s="6"/>
      <c r="WAJ54" s="6"/>
      <c r="WAK54" s="6"/>
      <c r="WAL54" s="6"/>
      <c r="WAM54" s="6"/>
      <c r="WAN54" s="6"/>
      <c r="WAO54" s="6"/>
      <c r="WAP54" s="6"/>
      <c r="WAQ54" s="6"/>
      <c r="WAR54" s="6"/>
      <c r="WAS54" s="6"/>
      <c r="WAT54" s="6"/>
      <c r="WAU54" s="6"/>
      <c r="WAV54" s="6"/>
      <c r="WAW54" s="6"/>
      <c r="WAX54" s="6"/>
      <c r="WAY54" s="6"/>
      <c r="WAZ54" s="6"/>
      <c r="WBA54" s="6"/>
      <c r="WBB54" s="6"/>
      <c r="WBC54" s="6"/>
      <c r="WBD54" s="6"/>
      <c r="WBE54" s="6"/>
      <c r="WBF54" s="6"/>
      <c r="WBG54" s="6"/>
      <c r="WBH54" s="6"/>
      <c r="WBI54" s="6"/>
      <c r="WBJ54" s="6"/>
      <c r="WBK54" s="6"/>
      <c r="WBL54" s="6"/>
      <c r="WBM54" s="6"/>
      <c r="WBN54" s="6"/>
      <c r="WBO54" s="6"/>
      <c r="WBP54" s="6"/>
      <c r="WBQ54" s="6"/>
      <c r="WBR54" s="6"/>
      <c r="WBS54" s="6"/>
      <c r="WBT54" s="6"/>
      <c r="WBU54" s="6"/>
      <c r="WBV54" s="6"/>
      <c r="WBW54" s="6"/>
      <c r="WBX54" s="6"/>
      <c r="WBY54" s="6"/>
      <c r="WBZ54" s="6"/>
      <c r="WCA54" s="6"/>
      <c r="WCB54" s="6"/>
      <c r="WCC54" s="6"/>
      <c r="WCD54" s="6"/>
      <c r="WCE54" s="6"/>
      <c r="WCF54" s="6"/>
      <c r="WCG54" s="6"/>
      <c r="WCH54" s="6"/>
      <c r="WCI54" s="6"/>
      <c r="WCJ54" s="6"/>
      <c r="WCK54" s="6"/>
      <c r="WCL54" s="6"/>
      <c r="WCM54" s="6"/>
      <c r="WCN54" s="6"/>
      <c r="WCO54" s="6"/>
      <c r="WCP54" s="6"/>
      <c r="WCQ54" s="6"/>
      <c r="WCR54" s="6"/>
      <c r="WCS54" s="6"/>
      <c r="WCT54" s="6"/>
      <c r="WCU54" s="6"/>
      <c r="WCV54" s="6"/>
      <c r="WCW54" s="6"/>
      <c r="WCX54" s="6"/>
      <c r="WCY54" s="6"/>
      <c r="WCZ54" s="6"/>
      <c r="WDA54" s="6"/>
      <c r="WDB54" s="6"/>
      <c r="WDC54" s="6"/>
      <c r="WDD54" s="6"/>
      <c r="WDE54" s="6"/>
      <c r="WDF54" s="6"/>
      <c r="WDG54" s="6"/>
      <c r="WDH54" s="6"/>
      <c r="WDI54" s="6"/>
      <c r="WDJ54" s="6"/>
      <c r="WDK54" s="6"/>
      <c r="WDL54" s="6"/>
      <c r="WDM54" s="6"/>
      <c r="WDN54" s="6"/>
      <c r="WDO54" s="6"/>
      <c r="WDP54" s="6"/>
      <c r="WDQ54" s="6"/>
      <c r="WDR54" s="6"/>
      <c r="WDS54" s="6"/>
      <c r="WDT54" s="6"/>
      <c r="WDU54" s="6"/>
      <c r="WDV54" s="6"/>
      <c r="WDW54" s="6"/>
      <c r="WDX54" s="6"/>
      <c r="WDY54" s="6"/>
      <c r="WDZ54" s="6"/>
      <c r="WEA54" s="6"/>
      <c r="WEB54" s="6"/>
      <c r="WEC54" s="6"/>
      <c r="WED54" s="6"/>
      <c r="WEE54" s="6"/>
      <c r="WEF54" s="6"/>
      <c r="WEG54" s="6"/>
      <c r="WEH54" s="6"/>
      <c r="WEI54" s="6"/>
      <c r="WEJ54" s="6"/>
      <c r="WEK54" s="6"/>
      <c r="WEL54" s="6"/>
      <c r="WEM54" s="6"/>
      <c r="WEN54" s="6"/>
      <c r="WEO54" s="6"/>
      <c r="WEP54" s="6"/>
      <c r="WEQ54" s="6"/>
      <c r="WER54" s="6"/>
      <c r="WES54" s="6"/>
      <c r="WET54" s="6"/>
      <c r="WEU54" s="6"/>
      <c r="WEV54" s="6"/>
      <c r="WEW54" s="6"/>
      <c r="WEX54" s="6"/>
      <c r="WEY54" s="6"/>
      <c r="WEZ54" s="6"/>
      <c r="WFA54" s="6"/>
      <c r="WFB54" s="6"/>
      <c r="WFC54" s="6"/>
      <c r="WFD54" s="6"/>
      <c r="WFE54" s="6"/>
      <c r="WFF54" s="6"/>
      <c r="WFG54" s="6"/>
      <c r="WFH54" s="6"/>
      <c r="WFI54" s="6"/>
      <c r="WFJ54" s="6"/>
      <c r="WFK54" s="6"/>
      <c r="WFL54" s="6"/>
      <c r="WFM54" s="6"/>
      <c r="WFN54" s="6"/>
      <c r="WFO54" s="6"/>
      <c r="WFP54" s="6"/>
      <c r="WFQ54" s="6"/>
      <c r="WFR54" s="6"/>
      <c r="WFS54" s="6"/>
      <c r="WFT54" s="6"/>
      <c r="WFU54" s="6"/>
      <c r="WFV54" s="6"/>
      <c r="WFW54" s="6"/>
      <c r="WFX54" s="6"/>
      <c r="WFY54" s="6"/>
      <c r="WFZ54" s="6"/>
      <c r="WGA54" s="6"/>
      <c r="WGB54" s="6"/>
      <c r="WGC54" s="6"/>
      <c r="WGD54" s="6"/>
      <c r="WGE54" s="6"/>
      <c r="WGF54" s="6"/>
      <c r="WGG54" s="6"/>
      <c r="WGH54" s="6"/>
      <c r="WGI54" s="6"/>
      <c r="WGJ54" s="6"/>
      <c r="WGK54" s="6"/>
      <c r="WGL54" s="6"/>
      <c r="WGM54" s="6"/>
      <c r="WGN54" s="6"/>
      <c r="WGO54" s="6"/>
      <c r="WGP54" s="6"/>
      <c r="WGQ54" s="6"/>
      <c r="WGR54" s="6"/>
      <c r="WGS54" s="6"/>
      <c r="WGT54" s="6"/>
      <c r="WGU54" s="6"/>
      <c r="WGV54" s="6"/>
      <c r="WGW54" s="6"/>
      <c r="WGX54" s="6"/>
      <c r="WGY54" s="6"/>
      <c r="WGZ54" s="6"/>
      <c r="WHA54" s="6"/>
      <c r="WHB54" s="6"/>
      <c r="WHC54" s="6"/>
      <c r="WHD54" s="6"/>
      <c r="WHE54" s="6"/>
      <c r="WHF54" s="6"/>
      <c r="WHG54" s="6"/>
      <c r="WHH54" s="6"/>
      <c r="WHI54" s="6"/>
      <c r="WHJ54" s="6"/>
      <c r="WHK54" s="6"/>
      <c r="WHL54" s="6"/>
      <c r="WHM54" s="6"/>
      <c r="WHN54" s="6"/>
      <c r="WHO54" s="6"/>
      <c r="WHP54" s="6"/>
      <c r="WHQ54" s="6"/>
      <c r="WHR54" s="6"/>
      <c r="WHS54" s="6"/>
      <c r="WHT54" s="6"/>
      <c r="WHU54" s="6"/>
      <c r="WHV54" s="6"/>
      <c r="WHW54" s="6"/>
      <c r="WHX54" s="6"/>
      <c r="WHY54" s="6"/>
      <c r="WHZ54" s="6"/>
      <c r="WIA54" s="6"/>
      <c r="WIB54" s="6"/>
      <c r="WIC54" s="6"/>
      <c r="WID54" s="6"/>
      <c r="WIE54" s="6"/>
      <c r="WIF54" s="6"/>
      <c r="WIG54" s="6"/>
      <c r="WIH54" s="6"/>
      <c r="WII54" s="6"/>
      <c r="WIJ54" s="6"/>
      <c r="WIK54" s="6"/>
      <c r="WIL54" s="6"/>
      <c r="WIM54" s="6"/>
      <c r="WIN54" s="6"/>
      <c r="WIO54" s="6"/>
      <c r="WIP54" s="6"/>
      <c r="WIQ54" s="6"/>
      <c r="WIR54" s="6"/>
      <c r="WIS54" s="6"/>
      <c r="WIT54" s="6"/>
      <c r="WIU54" s="6"/>
      <c r="WIV54" s="6"/>
      <c r="WIW54" s="6"/>
      <c r="WIX54" s="6"/>
      <c r="WIY54" s="6"/>
      <c r="WIZ54" s="6"/>
      <c r="WJA54" s="6"/>
      <c r="WJB54" s="6"/>
      <c r="WJC54" s="6"/>
      <c r="WJD54" s="6"/>
      <c r="WJE54" s="6"/>
      <c r="WJF54" s="6"/>
      <c r="WJG54" s="6"/>
      <c r="WJH54" s="6"/>
      <c r="WJI54" s="6"/>
      <c r="WJJ54" s="6"/>
      <c r="WJK54" s="6"/>
      <c r="WJL54" s="6"/>
      <c r="WJM54" s="6"/>
      <c r="WJN54" s="6"/>
      <c r="WJO54" s="6"/>
      <c r="WJP54" s="6"/>
      <c r="WJQ54" s="6"/>
      <c r="WJR54" s="6"/>
      <c r="WJS54" s="6"/>
      <c r="WJT54" s="6"/>
      <c r="WJU54" s="6"/>
      <c r="WJV54" s="6"/>
      <c r="WJW54" s="6"/>
      <c r="WJX54" s="6"/>
      <c r="WJY54" s="6"/>
      <c r="WJZ54" s="6"/>
      <c r="WKA54" s="6"/>
      <c r="WKB54" s="6"/>
      <c r="WKC54" s="6"/>
      <c r="WKD54" s="6"/>
      <c r="WKE54" s="6"/>
      <c r="WKF54" s="6"/>
      <c r="WKG54" s="6"/>
      <c r="WKH54" s="6"/>
      <c r="WKI54" s="6"/>
      <c r="WKJ54" s="6"/>
      <c r="WKK54" s="6"/>
      <c r="WKL54" s="6"/>
      <c r="WKM54" s="6"/>
      <c r="WKN54" s="6"/>
      <c r="WKO54" s="6"/>
      <c r="WKP54" s="6"/>
      <c r="WKQ54" s="6"/>
      <c r="WKR54" s="6"/>
      <c r="WKS54" s="6"/>
      <c r="WKT54" s="6"/>
      <c r="WKU54" s="6"/>
      <c r="WKV54" s="6"/>
      <c r="WKW54" s="6"/>
      <c r="WKX54" s="6"/>
      <c r="WKY54" s="6"/>
      <c r="WKZ54" s="6"/>
      <c r="WLA54" s="6"/>
      <c r="WLB54" s="6"/>
      <c r="WLC54" s="6"/>
      <c r="WLD54" s="6"/>
      <c r="WLE54" s="6"/>
      <c r="WLF54" s="6"/>
      <c r="WLG54" s="6"/>
      <c r="WLH54" s="6"/>
      <c r="WLI54" s="6"/>
      <c r="WLJ54" s="6"/>
      <c r="WLK54" s="6"/>
      <c r="WLL54" s="6"/>
      <c r="WLM54" s="6"/>
      <c r="WLN54" s="6"/>
      <c r="WLO54" s="6"/>
      <c r="WLP54" s="6"/>
      <c r="WLQ54" s="6"/>
      <c r="WLR54" s="6"/>
      <c r="WLS54" s="6"/>
      <c r="WLT54" s="6"/>
      <c r="WLU54" s="6"/>
      <c r="WLV54" s="6"/>
      <c r="WLW54" s="6"/>
      <c r="WLX54" s="6"/>
      <c r="WLY54" s="6"/>
      <c r="WLZ54" s="6"/>
      <c r="WMA54" s="6"/>
      <c r="WMB54" s="6"/>
      <c r="WMC54" s="6"/>
      <c r="WMD54" s="6"/>
      <c r="WME54" s="6"/>
      <c r="WMF54" s="6"/>
      <c r="WMG54" s="6"/>
      <c r="WMH54" s="6"/>
      <c r="WMI54" s="6"/>
      <c r="WMJ54" s="6"/>
      <c r="WMK54" s="6"/>
      <c r="WML54" s="6"/>
      <c r="WMM54" s="6"/>
      <c r="WMN54" s="6"/>
      <c r="WMO54" s="6"/>
      <c r="WMP54" s="6"/>
      <c r="WMQ54" s="6"/>
      <c r="WMR54" s="6"/>
      <c r="WMS54" s="6"/>
      <c r="WMT54" s="6"/>
      <c r="WMU54" s="6"/>
      <c r="WMV54" s="6"/>
      <c r="WMW54" s="6"/>
      <c r="WMX54" s="6"/>
      <c r="WMY54" s="6"/>
      <c r="WMZ54" s="6"/>
      <c r="WNA54" s="6"/>
      <c r="WNB54" s="6"/>
      <c r="WNC54" s="6"/>
      <c r="WND54" s="6"/>
      <c r="WNE54" s="6"/>
      <c r="WNF54" s="6"/>
      <c r="WNG54" s="6"/>
      <c r="WNH54" s="6"/>
      <c r="WNI54" s="6"/>
      <c r="WNJ54" s="6"/>
      <c r="WNK54" s="6"/>
      <c r="WNL54" s="6"/>
      <c r="WNM54" s="6"/>
      <c r="WNN54" s="6"/>
      <c r="WNO54" s="6"/>
      <c r="WNP54" s="6"/>
      <c r="WNQ54" s="6"/>
      <c r="WNR54" s="6"/>
      <c r="WNS54" s="6"/>
      <c r="WNT54" s="6"/>
      <c r="WNU54" s="6"/>
      <c r="WNV54" s="6"/>
      <c r="WNW54" s="6"/>
      <c r="WNX54" s="6"/>
      <c r="WNY54" s="6"/>
      <c r="WNZ54" s="6"/>
      <c r="WOA54" s="6"/>
      <c r="WOB54" s="6"/>
      <c r="WOC54" s="6"/>
      <c r="WOD54" s="6"/>
      <c r="WOE54" s="6"/>
      <c r="WOF54" s="6"/>
      <c r="WOG54" s="6"/>
      <c r="WOH54" s="6"/>
      <c r="WOI54" s="6"/>
      <c r="WOJ54" s="6"/>
      <c r="WOK54" s="6"/>
      <c r="WOL54" s="6"/>
      <c r="WOM54" s="6"/>
      <c r="WON54" s="6"/>
      <c r="WOO54" s="6"/>
      <c r="WOP54" s="6"/>
      <c r="WOQ54" s="6"/>
      <c r="WOR54" s="6"/>
      <c r="WOS54" s="6"/>
      <c r="WOT54" s="6"/>
      <c r="WOU54" s="6"/>
      <c r="WOV54" s="6"/>
      <c r="WOW54" s="6"/>
      <c r="WOX54" s="6"/>
      <c r="WOY54" s="6"/>
      <c r="WOZ54" s="6"/>
      <c r="WPA54" s="6"/>
      <c r="WPB54" s="6"/>
      <c r="WPC54" s="6"/>
      <c r="WPD54" s="6"/>
      <c r="WPE54" s="6"/>
      <c r="WPF54" s="6"/>
      <c r="WPG54" s="6"/>
      <c r="WPH54" s="6"/>
      <c r="WPI54" s="6"/>
      <c r="WPJ54" s="6"/>
      <c r="WPK54" s="6"/>
      <c r="WPL54" s="6"/>
      <c r="WPM54" s="6"/>
      <c r="WPN54" s="6"/>
      <c r="WPO54" s="6"/>
      <c r="WPP54" s="6"/>
      <c r="WPQ54" s="6"/>
      <c r="WPR54" s="6"/>
      <c r="WPS54" s="6"/>
      <c r="WPT54" s="6"/>
      <c r="WPU54" s="6"/>
      <c r="WPV54" s="6"/>
      <c r="WPW54" s="6"/>
      <c r="WPX54" s="6"/>
      <c r="WPY54" s="6"/>
      <c r="WPZ54" s="6"/>
      <c r="WQA54" s="6"/>
      <c r="WQB54" s="6"/>
      <c r="WQC54" s="6"/>
      <c r="WQD54" s="6"/>
      <c r="WQE54" s="6"/>
      <c r="WQF54" s="6"/>
      <c r="WQG54" s="6"/>
      <c r="WQH54" s="6"/>
      <c r="WQI54" s="6"/>
      <c r="WQJ54" s="6"/>
      <c r="WQK54" s="6"/>
      <c r="WQL54" s="6"/>
      <c r="WQM54" s="6"/>
      <c r="WQN54" s="6"/>
      <c r="WQO54" s="6"/>
      <c r="WQP54" s="6"/>
      <c r="WQQ54" s="6"/>
      <c r="WQR54" s="6"/>
      <c r="WQS54" s="6"/>
      <c r="WQT54" s="6"/>
      <c r="WQU54" s="6"/>
      <c r="WQV54" s="6"/>
      <c r="WQW54" s="6"/>
      <c r="WQX54" s="6"/>
      <c r="WQY54" s="6"/>
      <c r="WQZ54" s="6"/>
      <c r="WRA54" s="6"/>
      <c r="WRB54" s="6"/>
      <c r="WRC54" s="6"/>
      <c r="WRD54" s="6"/>
      <c r="WRE54" s="6"/>
      <c r="WRF54" s="6"/>
      <c r="WRG54" s="6"/>
      <c r="WRH54" s="6"/>
      <c r="WRI54" s="6"/>
      <c r="WRJ54" s="6"/>
      <c r="WRK54" s="6"/>
      <c r="WRL54" s="6"/>
      <c r="WRM54" s="6"/>
      <c r="WRN54" s="6"/>
      <c r="WRO54" s="6"/>
      <c r="WRP54" s="6"/>
      <c r="WRQ54" s="6"/>
      <c r="WRR54" s="6"/>
      <c r="WRS54" s="6"/>
      <c r="WRT54" s="6"/>
      <c r="WRU54" s="6"/>
      <c r="WRV54" s="6"/>
      <c r="WRW54" s="6"/>
      <c r="WRX54" s="6"/>
      <c r="WRY54" s="6"/>
      <c r="WRZ54" s="6"/>
      <c r="WSA54" s="6"/>
      <c r="WSB54" s="6"/>
      <c r="WSC54" s="6"/>
      <c r="WSD54" s="6"/>
      <c r="WSE54" s="6"/>
      <c r="WSF54" s="6"/>
      <c r="WSG54" s="6"/>
      <c r="WSH54" s="6"/>
      <c r="WSI54" s="6"/>
      <c r="WSJ54" s="6"/>
      <c r="WSK54" s="6"/>
      <c r="WSL54" s="6"/>
      <c r="WSM54" s="6"/>
      <c r="WSN54" s="6"/>
      <c r="WSO54" s="6"/>
      <c r="WSP54" s="6"/>
      <c r="WSQ54" s="6"/>
      <c r="WSR54" s="6"/>
      <c r="WSS54" s="6"/>
      <c r="WST54" s="6"/>
      <c r="WSU54" s="6"/>
      <c r="WSV54" s="6"/>
      <c r="WSW54" s="6"/>
      <c r="WSX54" s="6"/>
      <c r="WSY54" s="6"/>
      <c r="WSZ54" s="6"/>
      <c r="WTA54" s="6"/>
      <c r="WTB54" s="6"/>
      <c r="WTC54" s="6"/>
      <c r="WTD54" s="6"/>
      <c r="WTE54" s="6"/>
      <c r="WTF54" s="6"/>
      <c r="WTG54" s="6"/>
      <c r="WTH54" s="6"/>
      <c r="WTI54" s="6"/>
      <c r="WTJ54" s="6"/>
      <c r="WTK54" s="6"/>
      <c r="WTL54" s="6"/>
      <c r="WTM54" s="6"/>
      <c r="WTN54" s="6"/>
      <c r="WTO54" s="6"/>
      <c r="WTP54" s="6"/>
    </row>
    <row r="55" spans="1:16084" hidden="1" x14ac:dyDescent="0.3">
      <c r="A55" s="2" t="s">
        <v>271</v>
      </c>
      <c r="B55" s="2" t="s">
        <v>272</v>
      </c>
      <c r="C55" s="15" t="s">
        <v>273</v>
      </c>
      <c r="D55" s="2" t="s">
        <v>274</v>
      </c>
      <c r="E55" s="1">
        <v>51758</v>
      </c>
      <c r="F55" s="122" t="s">
        <v>61</v>
      </c>
      <c r="G55" s="2" t="s">
        <v>275</v>
      </c>
    </row>
    <row r="56" spans="1:16084" x14ac:dyDescent="0.3">
      <c r="A56" s="2" t="s">
        <v>271</v>
      </c>
      <c r="B56" s="2" t="s">
        <v>272</v>
      </c>
      <c r="C56" s="15" t="s">
        <v>273</v>
      </c>
      <c r="D56" s="2" t="s">
        <v>274</v>
      </c>
      <c r="E56" s="1">
        <v>51758</v>
      </c>
      <c r="F56" s="2"/>
      <c r="G56" s="193" t="s">
        <v>276</v>
      </c>
      <c r="H56" s="169" t="s">
        <v>277</v>
      </c>
      <c r="I56" s="169" t="s">
        <v>278</v>
      </c>
    </row>
    <row r="57" spans="1:16084" x14ac:dyDescent="0.3">
      <c r="A57" s="2" t="s">
        <v>279</v>
      </c>
      <c r="B57" s="2" t="s">
        <v>280</v>
      </c>
      <c r="C57" s="15" t="s">
        <v>281</v>
      </c>
      <c r="D57" s="2" t="s">
        <v>282</v>
      </c>
      <c r="E57" s="1">
        <v>52724</v>
      </c>
      <c r="F57" s="122" t="s">
        <v>61</v>
      </c>
      <c r="G57" s="2" t="s">
        <v>283</v>
      </c>
      <c r="H57" s="187" t="s">
        <v>284</v>
      </c>
      <c r="I57" s="2" t="s">
        <v>285</v>
      </c>
    </row>
    <row r="58" spans="1:16084" hidden="1" x14ac:dyDescent="0.3">
      <c r="A58" s="2" t="s">
        <v>286</v>
      </c>
      <c r="B58" s="2" t="s">
        <v>287</v>
      </c>
      <c r="C58" s="15" t="s">
        <v>288</v>
      </c>
      <c r="D58" s="2" t="s">
        <v>289</v>
      </c>
      <c r="E58" s="1">
        <v>51328</v>
      </c>
      <c r="F58" s="122"/>
    </row>
    <row r="59" spans="1:16084" x14ac:dyDescent="0.3">
      <c r="A59" s="2" t="s">
        <v>290</v>
      </c>
      <c r="B59" s="3" t="s">
        <v>291</v>
      </c>
      <c r="D59" s="3" t="s">
        <v>292</v>
      </c>
      <c r="E59" s="1">
        <v>43821</v>
      </c>
      <c r="F59" s="122"/>
    </row>
    <row r="60" spans="1:16084" x14ac:dyDescent="0.3">
      <c r="A60" s="2" t="s">
        <v>293</v>
      </c>
      <c r="B60" s="3" t="s">
        <v>287</v>
      </c>
      <c r="C60" s="15" t="s">
        <v>294</v>
      </c>
      <c r="D60" s="2" t="s">
        <v>295</v>
      </c>
      <c r="E60" s="1">
        <v>49817</v>
      </c>
      <c r="F60" s="122" t="s">
        <v>61</v>
      </c>
      <c r="G60" s="2" t="s">
        <v>296</v>
      </c>
      <c r="H60" s="187" t="s">
        <v>297</v>
      </c>
    </row>
    <row r="61" spans="1:16084" hidden="1" x14ac:dyDescent="0.3">
      <c r="A61" s="2" t="s">
        <v>298</v>
      </c>
      <c r="B61" s="3" t="s">
        <v>291</v>
      </c>
      <c r="D61" s="3" t="s">
        <v>299</v>
      </c>
      <c r="E61" s="1">
        <v>46409</v>
      </c>
      <c r="F61" s="122"/>
    </row>
    <row r="62" spans="1:16084" x14ac:dyDescent="0.3">
      <c r="A62" s="2" t="s">
        <v>300</v>
      </c>
      <c r="B62" s="3" t="s">
        <v>301</v>
      </c>
      <c r="C62" s="16"/>
      <c r="D62" s="3"/>
      <c r="E62" s="1">
        <v>45965</v>
      </c>
      <c r="F62" s="122" t="s">
        <v>25</v>
      </c>
      <c r="G62" s="2" t="s">
        <v>302</v>
      </c>
      <c r="H62" s="187" t="s">
        <v>303</v>
      </c>
    </row>
    <row r="63" spans="1:16084" x14ac:dyDescent="0.3">
      <c r="A63" s="2" t="s">
        <v>304</v>
      </c>
      <c r="B63" s="3" t="s">
        <v>301</v>
      </c>
      <c r="C63" s="16" t="s">
        <v>305</v>
      </c>
      <c r="D63" s="3" t="s">
        <v>306</v>
      </c>
      <c r="E63" s="1">
        <v>45965</v>
      </c>
      <c r="F63" s="122" t="s">
        <v>39</v>
      </c>
      <c r="G63" s="2" t="s">
        <v>307</v>
      </c>
      <c r="H63" s="187" t="s">
        <v>308</v>
      </c>
      <c r="I63" s="2" t="s">
        <v>309</v>
      </c>
    </row>
    <row r="64" spans="1:16084" hidden="1" x14ac:dyDescent="0.3">
      <c r="A64" s="102" t="s">
        <v>310</v>
      </c>
      <c r="B64" s="102" t="s">
        <v>311</v>
      </c>
      <c r="C64" s="103" t="s">
        <v>312</v>
      </c>
      <c r="D64" s="102" t="s">
        <v>313</v>
      </c>
      <c r="E64" s="1">
        <v>45965</v>
      </c>
      <c r="F64" s="123"/>
      <c r="G64" s="2" t="s">
        <v>314</v>
      </c>
      <c r="H64" s="187" t="s">
        <v>315</v>
      </c>
    </row>
    <row r="65" spans="1:12" x14ac:dyDescent="0.3">
      <c r="A65" s="2" t="s">
        <v>316</v>
      </c>
      <c r="B65" s="2" t="s">
        <v>317</v>
      </c>
      <c r="C65" s="15" t="s">
        <v>318</v>
      </c>
      <c r="D65" s="2" t="s">
        <v>319</v>
      </c>
      <c r="E65" s="1">
        <v>51319</v>
      </c>
      <c r="F65" s="122" t="s">
        <v>39</v>
      </c>
      <c r="G65" s="113" t="s">
        <v>320</v>
      </c>
    </row>
    <row r="66" spans="1:12" hidden="1" x14ac:dyDescent="0.3">
      <c r="A66" s="2" t="s">
        <v>321</v>
      </c>
      <c r="B66" s="2" t="s">
        <v>322</v>
      </c>
      <c r="C66" s="15" t="s">
        <v>323</v>
      </c>
      <c r="D66" s="2" t="s">
        <v>324</v>
      </c>
      <c r="E66" s="1">
        <v>45965</v>
      </c>
      <c r="F66" s="122"/>
      <c r="L66" s="2" t="s">
        <v>96</v>
      </c>
    </row>
    <row r="67" spans="1:12" hidden="1" x14ac:dyDescent="0.3">
      <c r="A67" s="2" t="s">
        <v>325</v>
      </c>
      <c r="B67" s="3" t="s">
        <v>326</v>
      </c>
      <c r="C67" s="16" t="s">
        <v>327</v>
      </c>
      <c r="D67" s="4" t="s">
        <v>328</v>
      </c>
      <c r="E67" s="1">
        <v>45965</v>
      </c>
      <c r="F67" s="122"/>
    </row>
    <row r="68" spans="1:12" hidden="1" x14ac:dyDescent="0.3">
      <c r="A68" s="102" t="s">
        <v>329</v>
      </c>
      <c r="B68" s="102" t="s">
        <v>330</v>
      </c>
      <c r="C68" s="103" t="s">
        <v>331</v>
      </c>
      <c r="D68" s="102" t="s">
        <v>332</v>
      </c>
      <c r="E68" s="1">
        <v>45965</v>
      </c>
      <c r="F68" s="123" t="s">
        <v>39</v>
      </c>
      <c r="G68" s="2" t="s">
        <v>333</v>
      </c>
      <c r="H68" s="187" t="s">
        <v>334</v>
      </c>
      <c r="I68" s="2" t="s">
        <v>335</v>
      </c>
    </row>
    <row r="69" spans="1:12" hidden="1" x14ac:dyDescent="0.3">
      <c r="A69" s="2" t="s">
        <v>336</v>
      </c>
      <c r="B69" s="3" t="s">
        <v>337</v>
      </c>
      <c r="C69" s="15" t="s">
        <v>338</v>
      </c>
      <c r="D69" s="3" t="s">
        <v>339</v>
      </c>
      <c r="E69" s="1">
        <v>45965</v>
      </c>
      <c r="F69" s="122"/>
    </row>
    <row r="70" spans="1:12" x14ac:dyDescent="0.3">
      <c r="A70" s="102" t="s">
        <v>340</v>
      </c>
      <c r="B70" s="107" t="s">
        <v>341</v>
      </c>
      <c r="C70" s="108" t="s">
        <v>342</v>
      </c>
      <c r="D70" s="107" t="s">
        <v>343</v>
      </c>
      <c r="E70" s="105">
        <v>50965</v>
      </c>
      <c r="F70" s="123" t="s">
        <v>39</v>
      </c>
      <c r="G70" s="2" t="s">
        <v>344</v>
      </c>
      <c r="H70" s="187" t="s">
        <v>345</v>
      </c>
    </row>
    <row r="71" spans="1:12" x14ac:dyDescent="0.3">
      <c r="A71" s="102" t="s">
        <v>346</v>
      </c>
      <c r="B71" s="107" t="s">
        <v>347</v>
      </c>
      <c r="C71" s="108"/>
      <c r="D71" s="107"/>
      <c r="E71" s="105">
        <v>43809</v>
      </c>
      <c r="F71" s="123"/>
      <c r="G71" s="192" t="s">
        <v>348</v>
      </c>
      <c r="H71" s="168" t="s">
        <v>349</v>
      </c>
      <c r="J71" s="2" t="s">
        <v>350</v>
      </c>
    </row>
    <row r="72" spans="1:12" hidden="1" x14ac:dyDescent="0.3">
      <c r="A72" s="117" t="s">
        <v>346</v>
      </c>
      <c r="B72" s="117" t="s">
        <v>351</v>
      </c>
      <c r="C72" s="103" t="s">
        <v>352</v>
      </c>
      <c r="D72" s="117" t="s">
        <v>353</v>
      </c>
      <c r="E72" s="105">
        <v>43809</v>
      </c>
      <c r="F72" s="123" t="s">
        <v>39</v>
      </c>
      <c r="G72" s="2" t="s">
        <v>348</v>
      </c>
      <c r="H72" s="187" t="s">
        <v>349</v>
      </c>
      <c r="I72" s="2" t="s">
        <v>354</v>
      </c>
    </row>
    <row r="73" spans="1:12" hidden="1" x14ac:dyDescent="0.3">
      <c r="A73" s="2" t="s">
        <v>355</v>
      </c>
      <c r="B73" s="2" t="s">
        <v>356</v>
      </c>
      <c r="C73" s="15" t="s">
        <v>357</v>
      </c>
      <c r="D73" s="2" t="s">
        <v>358</v>
      </c>
      <c r="E73" s="1" t="s">
        <v>359</v>
      </c>
      <c r="F73" s="122"/>
    </row>
    <row r="74" spans="1:12" hidden="1" x14ac:dyDescent="0.3">
      <c r="A74" s="2" t="s">
        <v>360</v>
      </c>
      <c r="B74" s="2" t="s">
        <v>361</v>
      </c>
      <c r="C74" s="17" t="s">
        <v>362</v>
      </c>
      <c r="D74" s="7" t="s">
        <v>363</v>
      </c>
      <c r="E74" s="1">
        <v>44294</v>
      </c>
      <c r="F74" s="122"/>
    </row>
    <row r="75" spans="1:12" hidden="1" x14ac:dyDescent="0.3">
      <c r="A75" s="14" t="s">
        <v>364</v>
      </c>
      <c r="B75" s="14" t="s">
        <v>365</v>
      </c>
      <c r="C75" s="18" t="s">
        <v>366</v>
      </c>
      <c r="D75" s="14" t="s">
        <v>367</v>
      </c>
      <c r="E75" s="13">
        <v>51381</v>
      </c>
      <c r="F75" s="125"/>
    </row>
    <row r="76" spans="1:12" hidden="1" x14ac:dyDescent="0.3">
      <c r="A76" s="2" t="s">
        <v>368</v>
      </c>
      <c r="B76" s="2" t="s">
        <v>369</v>
      </c>
      <c r="C76" s="15" t="s">
        <v>370</v>
      </c>
      <c r="D76" s="2" t="s">
        <v>371</v>
      </c>
      <c r="E76" s="1" t="s">
        <v>372</v>
      </c>
      <c r="F76" s="122"/>
    </row>
    <row r="77" spans="1:12" hidden="1" x14ac:dyDescent="0.3">
      <c r="A77" s="2" t="s">
        <v>373</v>
      </c>
      <c r="B77" s="2" t="s">
        <v>361</v>
      </c>
      <c r="C77" s="17" t="s">
        <v>362</v>
      </c>
      <c r="D77" s="7" t="s">
        <v>374</v>
      </c>
      <c r="E77" s="1">
        <v>45967</v>
      </c>
      <c r="F77" s="122"/>
    </row>
    <row r="78" spans="1:12" x14ac:dyDescent="0.3">
      <c r="A78" s="2" t="s">
        <v>375</v>
      </c>
      <c r="B78" s="2" t="s">
        <v>234</v>
      </c>
      <c r="C78" s="15" t="s">
        <v>235</v>
      </c>
      <c r="D78" s="4" t="s">
        <v>236</v>
      </c>
      <c r="E78" s="1">
        <v>43551</v>
      </c>
      <c r="F78" s="122" t="s">
        <v>53</v>
      </c>
      <c r="G78" s="2" t="s">
        <v>376</v>
      </c>
    </row>
    <row r="79" spans="1:12" x14ac:dyDescent="0.3">
      <c r="A79" s="102" t="s">
        <v>377</v>
      </c>
      <c r="B79" s="102" t="s">
        <v>378</v>
      </c>
      <c r="C79" s="103" t="s">
        <v>379</v>
      </c>
      <c r="D79" s="102" t="s">
        <v>380</v>
      </c>
      <c r="E79" s="105">
        <v>42726</v>
      </c>
      <c r="F79" s="123" t="s">
        <v>39</v>
      </c>
      <c r="G79" s="2" t="s">
        <v>381</v>
      </c>
      <c r="H79" s="187" t="s">
        <v>382</v>
      </c>
    </row>
    <row r="80" spans="1:12" hidden="1" x14ac:dyDescent="0.3">
      <c r="A80" s="2" t="s">
        <v>383</v>
      </c>
      <c r="B80" s="3" t="s">
        <v>384</v>
      </c>
      <c r="C80" s="15" t="s">
        <v>385</v>
      </c>
      <c r="D80" s="3" t="s">
        <v>386</v>
      </c>
      <c r="E80" s="1" t="s">
        <v>387</v>
      </c>
      <c r="F80" s="122"/>
    </row>
    <row r="81" spans="1:9" x14ac:dyDescent="0.3">
      <c r="A81" s="2" t="s">
        <v>388</v>
      </c>
      <c r="B81" s="2" t="s">
        <v>389</v>
      </c>
      <c r="C81" s="19" t="s">
        <v>390</v>
      </c>
      <c r="D81" s="2" t="s">
        <v>391</v>
      </c>
      <c r="E81" s="1">
        <v>50223</v>
      </c>
      <c r="F81" s="122" t="s">
        <v>53</v>
      </c>
      <c r="G81" s="187" t="s">
        <v>392</v>
      </c>
      <c r="H81" s="198" t="s">
        <v>393</v>
      </c>
      <c r="I81" s="2" t="s">
        <v>394</v>
      </c>
    </row>
    <row r="82" spans="1:9" x14ac:dyDescent="0.3">
      <c r="A82" s="102" t="s">
        <v>395</v>
      </c>
      <c r="B82" s="102" t="s">
        <v>396</v>
      </c>
      <c r="C82" s="103" t="s">
        <v>397</v>
      </c>
      <c r="D82" s="102" t="s">
        <v>398</v>
      </c>
      <c r="E82" s="105">
        <v>55557</v>
      </c>
      <c r="F82" s="123" t="s">
        <v>13</v>
      </c>
    </row>
    <row r="83" spans="1:9" hidden="1" x14ac:dyDescent="0.3">
      <c r="A83" s="8" t="s">
        <v>399</v>
      </c>
      <c r="B83" s="2" t="s">
        <v>400</v>
      </c>
      <c r="C83" s="15" t="s">
        <v>401</v>
      </c>
      <c r="D83" s="4" t="s">
        <v>402</v>
      </c>
      <c r="E83" s="1">
        <v>43720</v>
      </c>
      <c r="F83" s="122"/>
    </row>
    <row r="84" spans="1:9" ht="14.25" customHeight="1" x14ac:dyDescent="0.3">
      <c r="A84" s="102" t="s">
        <v>403</v>
      </c>
      <c r="B84" s="2" t="s">
        <v>404</v>
      </c>
      <c r="C84" s="103" t="s">
        <v>401</v>
      </c>
      <c r="D84" s="106" t="s">
        <v>402</v>
      </c>
      <c r="E84" s="105">
        <v>43713</v>
      </c>
      <c r="F84" s="123" t="s">
        <v>39</v>
      </c>
      <c r="G84" s="2" t="s">
        <v>405</v>
      </c>
    </row>
    <row r="85" spans="1:9" hidden="1" x14ac:dyDescent="0.3">
      <c r="A85" s="2" t="s">
        <v>406</v>
      </c>
      <c r="B85" s="2" t="s">
        <v>407</v>
      </c>
      <c r="C85" s="17" t="s">
        <v>408</v>
      </c>
      <c r="D85" s="8" t="s">
        <v>409</v>
      </c>
      <c r="E85" s="5">
        <v>43555</v>
      </c>
      <c r="F85" s="124"/>
    </row>
    <row r="86" spans="1:9" hidden="1" x14ac:dyDescent="0.3">
      <c r="A86" s="2" t="s">
        <v>406</v>
      </c>
      <c r="B86" s="2" t="s">
        <v>407</v>
      </c>
      <c r="C86" s="17" t="s">
        <v>410</v>
      </c>
      <c r="D86" s="8" t="s">
        <v>411</v>
      </c>
      <c r="E86" s="5">
        <v>43556</v>
      </c>
      <c r="F86" s="124"/>
    </row>
    <row r="87" spans="1:9" hidden="1" x14ac:dyDescent="0.3">
      <c r="A87" s="2" t="s">
        <v>406</v>
      </c>
      <c r="B87" s="2" t="s">
        <v>407</v>
      </c>
      <c r="C87" s="17" t="s">
        <v>412</v>
      </c>
      <c r="D87" s="8" t="s">
        <v>413</v>
      </c>
      <c r="E87" s="5">
        <v>43557</v>
      </c>
      <c r="F87" s="124"/>
    </row>
    <row r="88" spans="1:9" hidden="1" x14ac:dyDescent="0.3">
      <c r="A88" s="102" t="s">
        <v>414</v>
      </c>
      <c r="B88" s="2" t="s">
        <v>407</v>
      </c>
      <c r="C88" s="103" t="s">
        <v>415</v>
      </c>
      <c r="D88" s="102" t="s">
        <v>416</v>
      </c>
      <c r="E88" s="105">
        <v>52924</v>
      </c>
      <c r="F88" s="123" t="s">
        <v>39</v>
      </c>
      <c r="G88" s="2" t="s">
        <v>417</v>
      </c>
    </row>
    <row r="89" spans="1:9" x14ac:dyDescent="0.3">
      <c r="A89" s="2" t="s">
        <v>418</v>
      </c>
      <c r="B89" s="2" t="s">
        <v>419</v>
      </c>
      <c r="E89" s="1">
        <v>50215</v>
      </c>
      <c r="F89" s="122" t="s">
        <v>53</v>
      </c>
      <c r="G89" s="2" t="s">
        <v>420</v>
      </c>
      <c r="H89" s="187" t="s">
        <v>421</v>
      </c>
    </row>
    <row r="90" spans="1:9" hidden="1" x14ac:dyDescent="0.3">
      <c r="A90" s="2" t="s">
        <v>422</v>
      </c>
      <c r="B90" s="2" t="s">
        <v>407</v>
      </c>
      <c r="C90" s="15" t="s">
        <v>401</v>
      </c>
      <c r="D90" s="4" t="s">
        <v>402</v>
      </c>
      <c r="E90" s="1">
        <v>43715</v>
      </c>
      <c r="F90" s="122"/>
    </row>
    <row r="91" spans="1:9" hidden="1" x14ac:dyDescent="0.3">
      <c r="A91" s="2" t="s">
        <v>423</v>
      </c>
      <c r="B91" s="2" t="s">
        <v>407</v>
      </c>
      <c r="C91" s="15" t="s">
        <v>424</v>
      </c>
      <c r="D91" s="2" t="s">
        <v>425</v>
      </c>
      <c r="E91" s="1">
        <v>48602</v>
      </c>
      <c r="F91" s="122"/>
    </row>
    <row r="92" spans="1:9" hidden="1" x14ac:dyDescent="0.3">
      <c r="A92" s="2" t="s">
        <v>426</v>
      </c>
      <c r="B92" s="2" t="s">
        <v>407</v>
      </c>
      <c r="C92" s="15" t="s">
        <v>401</v>
      </c>
      <c r="D92" s="4" t="s">
        <v>402</v>
      </c>
      <c r="E92" s="1">
        <v>43714</v>
      </c>
      <c r="F92" s="122"/>
    </row>
    <row r="93" spans="1:9" hidden="1" x14ac:dyDescent="0.3">
      <c r="A93" s="2" t="s">
        <v>427</v>
      </c>
      <c r="B93" s="2" t="s">
        <v>400</v>
      </c>
      <c r="C93" s="15" t="s">
        <v>401</v>
      </c>
      <c r="D93" s="4" t="s">
        <v>402</v>
      </c>
      <c r="E93" s="1">
        <v>43717</v>
      </c>
      <c r="F93" s="122"/>
    </row>
    <row r="94" spans="1:9" hidden="1" x14ac:dyDescent="0.3">
      <c r="A94" s="2" t="s">
        <v>428</v>
      </c>
      <c r="B94" s="2" t="s">
        <v>407</v>
      </c>
      <c r="C94" s="15" t="s">
        <v>401</v>
      </c>
      <c r="D94" s="6" t="s">
        <v>429</v>
      </c>
      <c r="E94" s="1">
        <v>43711</v>
      </c>
      <c r="F94" s="122"/>
    </row>
    <row r="95" spans="1:9" hidden="1" x14ac:dyDescent="0.3">
      <c r="A95" s="2" t="s">
        <v>428</v>
      </c>
      <c r="B95" s="2" t="s">
        <v>400</v>
      </c>
      <c r="C95" s="15" t="s">
        <v>401</v>
      </c>
      <c r="D95" s="4" t="s">
        <v>402</v>
      </c>
      <c r="E95" s="1">
        <v>43718</v>
      </c>
      <c r="F95" s="122"/>
    </row>
    <row r="96" spans="1:9" hidden="1" x14ac:dyDescent="0.3">
      <c r="A96" s="2" t="s">
        <v>430</v>
      </c>
      <c r="B96" s="2" t="s">
        <v>400</v>
      </c>
      <c r="C96" s="15" t="s">
        <v>401</v>
      </c>
      <c r="D96" s="4" t="s">
        <v>402</v>
      </c>
      <c r="E96" s="1">
        <v>43719</v>
      </c>
      <c r="F96" s="122"/>
    </row>
    <row r="97" spans="1:11" hidden="1" x14ac:dyDescent="0.3">
      <c r="A97" s="2" t="s">
        <v>431</v>
      </c>
      <c r="B97" s="2" t="s">
        <v>432</v>
      </c>
      <c r="C97" s="15" t="s">
        <v>433</v>
      </c>
      <c r="D97" s="2" t="s">
        <v>434</v>
      </c>
      <c r="E97" s="1">
        <v>50782</v>
      </c>
      <c r="F97" s="122" t="s">
        <v>163</v>
      </c>
      <c r="G97" s="2" t="s">
        <v>435</v>
      </c>
      <c r="H97" s="187" t="s">
        <v>436</v>
      </c>
    </row>
    <row r="98" spans="1:11" hidden="1" x14ac:dyDescent="0.3">
      <c r="A98" s="2" t="s">
        <v>437</v>
      </c>
      <c r="B98" s="2" t="s">
        <v>438</v>
      </c>
      <c r="C98" s="15" t="s">
        <v>439</v>
      </c>
      <c r="D98" s="4" t="s">
        <v>440</v>
      </c>
      <c r="E98" s="1">
        <v>43702</v>
      </c>
      <c r="F98" s="122"/>
    </row>
    <row r="99" spans="1:11" hidden="1" x14ac:dyDescent="0.3">
      <c r="A99" s="2" t="s">
        <v>441</v>
      </c>
      <c r="B99" s="3" t="s">
        <v>442</v>
      </c>
      <c r="C99" s="15" t="s">
        <v>443</v>
      </c>
      <c r="D99" s="3" t="s">
        <v>444</v>
      </c>
      <c r="E99" s="1">
        <v>44015</v>
      </c>
      <c r="F99" s="122"/>
    </row>
    <row r="100" spans="1:11" x14ac:dyDescent="0.3">
      <c r="A100" s="2" t="s">
        <v>427</v>
      </c>
      <c r="B100" s="2" t="s">
        <v>407</v>
      </c>
      <c r="C100" s="15" t="s">
        <v>401</v>
      </c>
      <c r="D100" s="6" t="s">
        <v>429</v>
      </c>
      <c r="E100" s="1">
        <v>43712</v>
      </c>
      <c r="F100" s="122" t="s">
        <v>163</v>
      </c>
      <c r="G100" s="192" t="s">
        <v>445</v>
      </c>
      <c r="H100" s="187" t="s">
        <v>446</v>
      </c>
      <c r="I100" s="169" t="s">
        <v>447</v>
      </c>
      <c r="J100" s="169"/>
    </row>
    <row r="101" spans="1:11" ht="15" x14ac:dyDescent="0.35">
      <c r="A101" s="2" t="s">
        <v>448</v>
      </c>
      <c r="B101" s="2" t="s">
        <v>449</v>
      </c>
      <c r="D101" s="6"/>
      <c r="E101" s="1">
        <v>43718</v>
      </c>
      <c r="F101" s="122"/>
      <c r="G101" s="173" t="s">
        <v>405</v>
      </c>
      <c r="I101" s="169"/>
      <c r="J101" s="169"/>
      <c r="K101" s="197"/>
    </row>
    <row r="102" spans="1:11" x14ac:dyDescent="0.3">
      <c r="A102" s="2" t="s">
        <v>450</v>
      </c>
      <c r="B102" s="2" t="s">
        <v>451</v>
      </c>
      <c r="C102" s="15" t="s">
        <v>452</v>
      </c>
      <c r="D102" s="4" t="s">
        <v>402</v>
      </c>
      <c r="E102" s="1">
        <v>43565</v>
      </c>
      <c r="F102" s="122" t="s">
        <v>61</v>
      </c>
      <c r="G102" s="192" t="s">
        <v>453</v>
      </c>
      <c r="H102" s="187" t="s">
        <v>454</v>
      </c>
      <c r="I102" s="2" t="s">
        <v>455</v>
      </c>
      <c r="J102" s="196" t="s">
        <v>456</v>
      </c>
      <c r="K102" s="196" t="s">
        <v>457</v>
      </c>
    </row>
    <row r="103" spans="1:11" x14ac:dyDescent="0.3">
      <c r="A103" s="2" t="s">
        <v>458</v>
      </c>
      <c r="B103" s="3" t="s">
        <v>442</v>
      </c>
      <c r="C103" s="15" t="s">
        <v>443</v>
      </c>
      <c r="D103" s="3" t="s">
        <v>459</v>
      </c>
      <c r="E103" s="1">
        <v>46207</v>
      </c>
      <c r="F103" s="122" t="s">
        <v>163</v>
      </c>
      <c r="G103" s="2" t="s">
        <v>460</v>
      </c>
      <c r="H103" s="168" t="s">
        <v>460</v>
      </c>
      <c r="I103" s="168" t="s">
        <v>453</v>
      </c>
    </row>
    <row r="104" spans="1:11" x14ac:dyDescent="0.3">
      <c r="A104" s="102" t="s">
        <v>461</v>
      </c>
      <c r="B104" s="104" t="s">
        <v>462</v>
      </c>
      <c r="C104" s="147" t="s">
        <v>463</v>
      </c>
      <c r="D104" s="104" t="s">
        <v>464</v>
      </c>
      <c r="E104" s="105">
        <v>46782</v>
      </c>
      <c r="F104" s="123" t="s">
        <v>39</v>
      </c>
      <c r="G104" s="2" t="s">
        <v>465</v>
      </c>
      <c r="H104" s="187" t="s">
        <v>466</v>
      </c>
    </row>
    <row r="105" spans="1:11" x14ac:dyDescent="0.3">
      <c r="A105" s="102" t="s">
        <v>467</v>
      </c>
      <c r="B105" s="102" t="s">
        <v>468</v>
      </c>
      <c r="C105" s="103" t="s">
        <v>469</v>
      </c>
      <c r="D105" s="102" t="s">
        <v>470</v>
      </c>
      <c r="E105" s="105">
        <v>56896</v>
      </c>
      <c r="F105" s="123" t="s">
        <v>39</v>
      </c>
      <c r="G105" s="2" t="s">
        <v>471</v>
      </c>
      <c r="H105" s="187" t="s">
        <v>472</v>
      </c>
    </row>
    <row r="106" spans="1:11" x14ac:dyDescent="0.3">
      <c r="A106" s="2" t="s">
        <v>473</v>
      </c>
      <c r="B106" s="3" t="s">
        <v>474</v>
      </c>
      <c r="C106" s="170" t="s">
        <v>475</v>
      </c>
      <c r="D106" s="3" t="s">
        <v>476</v>
      </c>
      <c r="E106" s="1">
        <v>46923</v>
      </c>
      <c r="F106" s="2"/>
      <c r="G106" s="192" t="s">
        <v>475</v>
      </c>
      <c r="H106" s="171" t="s">
        <v>477</v>
      </c>
      <c r="I106" s="2" t="s">
        <v>478</v>
      </c>
    </row>
    <row r="107" spans="1:11" x14ac:dyDescent="0.3">
      <c r="A107" s="102" t="s">
        <v>479</v>
      </c>
      <c r="B107" s="102" t="s">
        <v>480</v>
      </c>
      <c r="C107" s="103" t="s">
        <v>481</v>
      </c>
      <c r="D107" s="102" t="s">
        <v>482</v>
      </c>
      <c r="E107" s="105">
        <v>48379</v>
      </c>
      <c r="F107" s="123" t="s">
        <v>39</v>
      </c>
      <c r="G107" s="2" t="s">
        <v>483</v>
      </c>
      <c r="H107" s="187" t="s">
        <v>484</v>
      </c>
    </row>
    <row r="108" spans="1:11" x14ac:dyDescent="0.3">
      <c r="A108" s="2" t="s">
        <v>485</v>
      </c>
      <c r="B108" s="2" t="s">
        <v>486</v>
      </c>
      <c r="C108" s="15" t="s">
        <v>487</v>
      </c>
      <c r="D108" s="2" t="s">
        <v>488</v>
      </c>
      <c r="E108" s="1">
        <v>47718</v>
      </c>
      <c r="F108" s="122" t="s">
        <v>53</v>
      </c>
      <c r="G108" s="2" t="s">
        <v>489</v>
      </c>
      <c r="H108" s="187" t="s">
        <v>490</v>
      </c>
    </row>
    <row r="109" spans="1:11" x14ac:dyDescent="0.3">
      <c r="A109" s="2" t="s">
        <v>491</v>
      </c>
      <c r="B109" s="2" t="s">
        <v>492</v>
      </c>
      <c r="C109" s="15" t="s">
        <v>493</v>
      </c>
      <c r="D109" s="2" t="s">
        <v>494</v>
      </c>
      <c r="E109" s="1">
        <v>43888</v>
      </c>
      <c r="F109" s="122"/>
    </row>
    <row r="110" spans="1:11" x14ac:dyDescent="0.3">
      <c r="A110" s="102" t="s">
        <v>495</v>
      </c>
      <c r="B110" s="104" t="s">
        <v>496</v>
      </c>
      <c r="C110" s="147" t="s">
        <v>497</v>
      </c>
      <c r="D110" s="104" t="s">
        <v>498</v>
      </c>
      <c r="E110" s="105" t="s">
        <v>499</v>
      </c>
      <c r="F110" s="123" t="s">
        <v>53</v>
      </c>
      <c r="G110" s="2" t="s">
        <v>500</v>
      </c>
      <c r="H110" s="187" t="s">
        <v>501</v>
      </c>
    </row>
    <row r="111" spans="1:11" x14ac:dyDescent="0.3">
      <c r="A111" s="102" t="s">
        <v>473</v>
      </c>
      <c r="B111" s="104" t="s">
        <v>474</v>
      </c>
      <c r="C111" s="103"/>
      <c r="D111" s="104" t="s">
        <v>476</v>
      </c>
      <c r="E111" s="105">
        <v>46923</v>
      </c>
      <c r="F111" s="123" t="s">
        <v>39</v>
      </c>
      <c r="G111" s="2" t="s">
        <v>475</v>
      </c>
      <c r="H111" s="187" t="s">
        <v>478</v>
      </c>
      <c r="I111" s="2" t="s">
        <v>477</v>
      </c>
    </row>
    <row r="112" spans="1:11" x14ac:dyDescent="0.3">
      <c r="A112" s="2" t="s">
        <v>502</v>
      </c>
      <c r="B112" s="2" t="s">
        <v>503</v>
      </c>
      <c r="C112" s="2" t="s">
        <v>504</v>
      </c>
      <c r="D112" s="2" t="s">
        <v>505</v>
      </c>
      <c r="E112" s="1">
        <v>50488</v>
      </c>
      <c r="F112" s="128" t="s">
        <v>39</v>
      </c>
    </row>
    <row r="113" spans="1:16084" ht="15" x14ac:dyDescent="0.35">
      <c r="A113" s="2" t="s">
        <v>491</v>
      </c>
      <c r="B113" s="2" t="s">
        <v>492</v>
      </c>
      <c r="E113" s="1">
        <v>43888</v>
      </c>
      <c r="G113" s="173" t="s">
        <v>506</v>
      </c>
    </row>
    <row r="114" spans="1:16084" s="114" customFormat="1" x14ac:dyDescent="0.3">
      <c r="A114" s="114" t="s">
        <v>507</v>
      </c>
      <c r="B114" s="114" t="s">
        <v>508</v>
      </c>
      <c r="C114" s="114" t="s">
        <v>509</v>
      </c>
      <c r="D114" s="114" t="s">
        <v>510</v>
      </c>
      <c r="E114" s="13">
        <v>55787</v>
      </c>
      <c r="F114" s="125" t="s">
        <v>39</v>
      </c>
      <c r="G114" s="194" t="s">
        <v>511</v>
      </c>
      <c r="H114" s="188" t="s">
        <v>512</v>
      </c>
      <c r="I114" s="114" t="s">
        <v>513</v>
      </c>
      <c r="J114" s="2" t="s">
        <v>514</v>
      </c>
      <c r="K114" s="2" t="s">
        <v>515</v>
      </c>
    </row>
    <row r="115" spans="1:16084" hidden="1" x14ac:dyDescent="0.3">
      <c r="A115" s="2" t="s">
        <v>516</v>
      </c>
      <c r="B115" s="2" t="s">
        <v>517</v>
      </c>
      <c r="C115" s="15" t="s">
        <v>518</v>
      </c>
      <c r="D115" s="4" t="s">
        <v>519</v>
      </c>
      <c r="E115" s="1">
        <v>43552</v>
      </c>
      <c r="F115" s="122"/>
    </row>
    <row r="116" spans="1:16084" hidden="1" x14ac:dyDescent="0.3">
      <c r="A116" s="2" t="s">
        <v>520</v>
      </c>
      <c r="B116" s="2" t="s">
        <v>521</v>
      </c>
      <c r="C116" s="15" t="s">
        <v>522</v>
      </c>
      <c r="D116" s="2" t="s">
        <v>523</v>
      </c>
      <c r="E116" s="1">
        <v>43723</v>
      </c>
      <c r="F116" s="122"/>
    </row>
    <row r="117" spans="1:16084" x14ac:dyDescent="0.3">
      <c r="A117" s="102" t="s">
        <v>524</v>
      </c>
      <c r="B117" s="102" t="s">
        <v>525</v>
      </c>
      <c r="C117" s="103" t="s">
        <v>522</v>
      </c>
      <c r="D117" s="102" t="s">
        <v>523</v>
      </c>
      <c r="E117" s="105">
        <v>43724</v>
      </c>
      <c r="F117" s="123" t="s">
        <v>39</v>
      </c>
      <c r="G117" t="s">
        <v>526</v>
      </c>
      <c r="H117" s="192" t="s">
        <v>527</v>
      </c>
      <c r="I117" s="2" t="s">
        <v>528</v>
      </c>
      <c r="J117" s="2" t="s">
        <v>529</v>
      </c>
    </row>
    <row r="118" spans="1:16084" hidden="1" x14ac:dyDescent="0.3">
      <c r="A118" s="2" t="s">
        <v>530</v>
      </c>
      <c r="B118" s="2" t="s">
        <v>531</v>
      </c>
      <c r="C118" s="15" t="s">
        <v>522</v>
      </c>
      <c r="D118" s="2" t="s">
        <v>523</v>
      </c>
      <c r="E118" s="1">
        <v>43716</v>
      </c>
      <c r="F118" s="122"/>
    </row>
    <row r="119" spans="1:16084" s="6" customFormat="1" hidden="1" x14ac:dyDescent="0.3">
      <c r="A119" s="2" t="s">
        <v>530</v>
      </c>
      <c r="B119" s="2" t="s">
        <v>531</v>
      </c>
      <c r="C119" s="15" t="s">
        <v>522</v>
      </c>
      <c r="D119" s="2" t="s">
        <v>523</v>
      </c>
      <c r="E119" s="1">
        <v>43722</v>
      </c>
      <c r="F119" s="122"/>
      <c r="G119" s="2"/>
      <c r="H119" s="187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  <c r="SG119" s="2"/>
      <c r="SH119" s="2"/>
      <c r="SI119" s="2"/>
      <c r="SJ119" s="2"/>
      <c r="SK119" s="2"/>
      <c r="SL119" s="2"/>
      <c r="SM119" s="2"/>
      <c r="SN119" s="2"/>
      <c r="SO119" s="2"/>
      <c r="SP119" s="2"/>
      <c r="SQ119" s="2"/>
      <c r="SR119" s="2"/>
      <c r="SS119" s="2"/>
      <c r="ST119" s="2"/>
      <c r="SU119" s="2"/>
      <c r="SV119" s="2"/>
      <c r="SW119" s="2"/>
      <c r="SX119" s="2"/>
      <c r="SY119" s="2"/>
      <c r="SZ119" s="2"/>
      <c r="TA119" s="2"/>
      <c r="TB119" s="2"/>
      <c r="TC119" s="2"/>
      <c r="TD119" s="2"/>
      <c r="TE119" s="2"/>
      <c r="TF119" s="2"/>
      <c r="TG119" s="2"/>
      <c r="TH119" s="2"/>
      <c r="TI119" s="2"/>
      <c r="TJ119" s="2"/>
      <c r="TK119" s="2"/>
      <c r="TL119" s="2"/>
      <c r="TM119" s="2"/>
      <c r="TN119" s="2"/>
      <c r="TO119" s="2"/>
      <c r="TP119" s="2"/>
      <c r="TQ119" s="2"/>
      <c r="TR119" s="2"/>
      <c r="TS119" s="2"/>
      <c r="TT119" s="2"/>
      <c r="TU119" s="2"/>
      <c r="TV119" s="2"/>
      <c r="TW119" s="2"/>
      <c r="TX119" s="2"/>
      <c r="TY119" s="2"/>
      <c r="TZ119" s="2"/>
      <c r="UA119" s="2"/>
      <c r="UB119" s="2"/>
      <c r="UC119" s="2"/>
      <c r="UD119" s="2"/>
      <c r="UE119" s="2"/>
      <c r="UF119" s="2"/>
      <c r="UG119" s="2"/>
      <c r="UH119" s="2"/>
      <c r="UI119" s="2"/>
      <c r="UJ119" s="2"/>
      <c r="UK119" s="2"/>
      <c r="UL119" s="2"/>
      <c r="UM119" s="2"/>
      <c r="UN119" s="2"/>
      <c r="UO119" s="2"/>
      <c r="UP119" s="2"/>
      <c r="UQ119" s="2"/>
      <c r="UR119" s="2"/>
      <c r="US119" s="2"/>
      <c r="UT119" s="2"/>
      <c r="UU119" s="2"/>
      <c r="UV119" s="2"/>
      <c r="UW119" s="2"/>
      <c r="UX119" s="2"/>
      <c r="UY119" s="2"/>
      <c r="UZ119" s="2"/>
      <c r="VA119" s="2"/>
      <c r="VB119" s="2"/>
      <c r="VC119" s="2"/>
      <c r="VD119" s="2"/>
      <c r="VE119" s="2"/>
      <c r="VF119" s="2"/>
      <c r="VG119" s="2"/>
      <c r="VH119" s="2"/>
      <c r="VI119" s="2"/>
      <c r="VJ119" s="2"/>
      <c r="VK119" s="2"/>
      <c r="VL119" s="2"/>
      <c r="VM119" s="2"/>
      <c r="VN119" s="2"/>
      <c r="VO119" s="2"/>
      <c r="VP119" s="2"/>
      <c r="VQ119" s="2"/>
      <c r="VR119" s="2"/>
      <c r="VS119" s="2"/>
      <c r="VT119" s="2"/>
      <c r="VU119" s="2"/>
      <c r="VV119" s="2"/>
      <c r="VW119" s="2"/>
      <c r="VX119" s="2"/>
      <c r="VY119" s="2"/>
      <c r="VZ119" s="2"/>
      <c r="WA119" s="2"/>
      <c r="WB119" s="2"/>
      <c r="WC119" s="2"/>
      <c r="WD119" s="2"/>
      <c r="WE119" s="2"/>
      <c r="WF119" s="2"/>
      <c r="WG119" s="2"/>
      <c r="WH119" s="2"/>
      <c r="WI119" s="2"/>
      <c r="WJ119" s="2"/>
      <c r="WK119" s="2"/>
      <c r="WL119" s="2"/>
      <c r="WM119" s="2"/>
      <c r="WN119" s="2"/>
      <c r="WO119" s="2"/>
      <c r="WP119" s="2"/>
      <c r="WQ119" s="2"/>
      <c r="WR119" s="2"/>
      <c r="WS119" s="2"/>
      <c r="WT119" s="2"/>
      <c r="WU119" s="2"/>
      <c r="WV119" s="2"/>
      <c r="WW119" s="2"/>
      <c r="WX119" s="2"/>
      <c r="WY119" s="2"/>
      <c r="WZ119" s="2"/>
      <c r="XA119" s="2"/>
      <c r="XB119" s="2"/>
      <c r="XC119" s="2"/>
      <c r="XD119" s="2"/>
      <c r="XE119" s="2"/>
      <c r="XF119" s="2"/>
      <c r="XG119" s="2"/>
      <c r="XH119" s="2"/>
      <c r="XI119" s="2"/>
      <c r="XJ119" s="2"/>
      <c r="XK119" s="2"/>
      <c r="XL119" s="2"/>
      <c r="XM119" s="2"/>
      <c r="XN119" s="2"/>
      <c r="XO119" s="2"/>
      <c r="XP119" s="2"/>
      <c r="XQ119" s="2"/>
      <c r="XR119" s="2"/>
      <c r="XS119" s="2"/>
      <c r="XT119" s="2"/>
      <c r="XU119" s="2"/>
      <c r="XV119" s="2"/>
      <c r="XW119" s="2"/>
      <c r="XX119" s="2"/>
      <c r="XY119" s="2"/>
      <c r="XZ119" s="2"/>
      <c r="YA119" s="2"/>
      <c r="YB119" s="2"/>
      <c r="YC119" s="2"/>
      <c r="YD119" s="2"/>
      <c r="YE119" s="2"/>
      <c r="YF119" s="2"/>
      <c r="YG119" s="2"/>
      <c r="YH119" s="2"/>
      <c r="YI119" s="2"/>
      <c r="YJ119" s="2"/>
      <c r="YK119" s="2"/>
      <c r="YL119" s="2"/>
      <c r="YM119" s="2"/>
      <c r="YN119" s="2"/>
      <c r="YO119" s="2"/>
      <c r="YP119" s="2"/>
      <c r="YQ119" s="2"/>
      <c r="YR119" s="2"/>
      <c r="YS119" s="2"/>
      <c r="YT119" s="2"/>
      <c r="YU119" s="2"/>
      <c r="YV119" s="2"/>
      <c r="YW119" s="2"/>
      <c r="YX119" s="2"/>
      <c r="YY119" s="2"/>
      <c r="YZ119" s="2"/>
      <c r="ZA119" s="2"/>
      <c r="ZB119" s="2"/>
      <c r="ZC119" s="2"/>
      <c r="ZD119" s="2"/>
      <c r="ZE119" s="2"/>
      <c r="ZF119" s="2"/>
      <c r="ZG119" s="2"/>
      <c r="ZH119" s="2"/>
      <c r="ZI119" s="2"/>
      <c r="ZJ119" s="2"/>
      <c r="ZK119" s="2"/>
      <c r="ZL119" s="2"/>
      <c r="ZM119" s="2"/>
      <c r="ZN119" s="2"/>
      <c r="ZO119" s="2"/>
      <c r="ZP119" s="2"/>
      <c r="ZQ119" s="2"/>
      <c r="ZR119" s="2"/>
      <c r="ZS119" s="2"/>
      <c r="ZT119" s="2"/>
      <c r="ZU119" s="2"/>
      <c r="ZV119" s="2"/>
      <c r="ZW119" s="2"/>
      <c r="ZX119" s="2"/>
      <c r="ZY119" s="2"/>
      <c r="ZZ119" s="2"/>
      <c r="AAA119" s="2"/>
      <c r="AAB119" s="2"/>
      <c r="AAC119" s="2"/>
      <c r="AAD119" s="2"/>
      <c r="AAE119" s="2"/>
      <c r="AAF119" s="2"/>
      <c r="AAG119" s="2"/>
      <c r="AAH119" s="2"/>
      <c r="AAI119" s="2"/>
      <c r="AAJ119" s="2"/>
      <c r="AAK119" s="2"/>
      <c r="AAL119" s="2"/>
      <c r="AAM119" s="2"/>
      <c r="AAN119" s="2"/>
      <c r="AAO119" s="2"/>
      <c r="AAP119" s="2"/>
      <c r="AAQ119" s="2"/>
      <c r="AAR119" s="2"/>
      <c r="AAS119" s="2"/>
      <c r="AAT119" s="2"/>
      <c r="AAU119" s="2"/>
      <c r="AAV119" s="2"/>
      <c r="AAW119" s="2"/>
      <c r="AAX119" s="2"/>
      <c r="AAY119" s="2"/>
      <c r="AAZ119" s="2"/>
      <c r="ABA119" s="2"/>
      <c r="ABB119" s="2"/>
      <c r="ABC119" s="2"/>
      <c r="ABD119" s="2"/>
      <c r="ABE119" s="2"/>
      <c r="ABF119" s="2"/>
      <c r="ABG119" s="2"/>
      <c r="ABH119" s="2"/>
      <c r="ABI119" s="2"/>
      <c r="ABJ119" s="2"/>
      <c r="ABK119" s="2"/>
      <c r="ABL119" s="2"/>
      <c r="ABM119" s="2"/>
      <c r="ABN119" s="2"/>
      <c r="ABO119" s="2"/>
      <c r="ABP119" s="2"/>
      <c r="ABQ119" s="2"/>
      <c r="ABR119" s="2"/>
      <c r="ABS119" s="2"/>
      <c r="ABT119" s="2"/>
      <c r="ABU119" s="2"/>
      <c r="ABV119" s="2"/>
      <c r="ABW119" s="2"/>
      <c r="ABX119" s="2"/>
      <c r="ABY119" s="2"/>
      <c r="ABZ119" s="2"/>
      <c r="ACA119" s="2"/>
      <c r="ACB119" s="2"/>
      <c r="ACC119" s="2"/>
      <c r="ACD119" s="2"/>
      <c r="ACE119" s="2"/>
      <c r="ACF119" s="2"/>
      <c r="ACG119" s="2"/>
      <c r="ACH119" s="2"/>
      <c r="ACI119" s="2"/>
      <c r="ACJ119" s="2"/>
      <c r="ACK119" s="2"/>
      <c r="ACL119" s="2"/>
      <c r="ACM119" s="2"/>
      <c r="ACN119" s="2"/>
      <c r="ACO119" s="2"/>
      <c r="ACP119" s="2"/>
      <c r="ACQ119" s="2"/>
      <c r="ACR119" s="2"/>
      <c r="ACS119" s="2"/>
      <c r="ACT119" s="2"/>
      <c r="ACU119" s="2"/>
      <c r="ACV119" s="2"/>
      <c r="ACW119" s="2"/>
      <c r="ACX119" s="2"/>
      <c r="ACY119" s="2"/>
      <c r="ACZ119" s="2"/>
      <c r="ADA119" s="2"/>
      <c r="ADB119" s="2"/>
      <c r="ADC119" s="2"/>
      <c r="ADD119" s="2"/>
      <c r="ADE119" s="2"/>
      <c r="ADF119" s="2"/>
      <c r="ADG119" s="2"/>
      <c r="ADH119" s="2"/>
      <c r="ADI119" s="2"/>
      <c r="ADJ119" s="2"/>
      <c r="ADK119" s="2"/>
      <c r="ADL119" s="2"/>
      <c r="ADM119" s="2"/>
      <c r="ADN119" s="2"/>
      <c r="ADO119" s="2"/>
      <c r="ADP119" s="2"/>
      <c r="ADQ119" s="2"/>
      <c r="ADR119" s="2"/>
      <c r="ADS119" s="2"/>
      <c r="ADT119" s="2"/>
      <c r="ADU119" s="2"/>
      <c r="ADV119" s="2"/>
      <c r="ADW119" s="2"/>
      <c r="ADX119" s="2"/>
      <c r="ADY119" s="2"/>
      <c r="ADZ119" s="2"/>
      <c r="AEA119" s="2"/>
      <c r="AEB119" s="2"/>
      <c r="AEC119" s="2"/>
      <c r="AED119" s="2"/>
      <c r="AEE119" s="2"/>
      <c r="AEF119" s="2"/>
      <c r="AEG119" s="2"/>
      <c r="AEH119" s="2"/>
      <c r="AEI119" s="2"/>
      <c r="AEJ119" s="2"/>
      <c r="AEK119" s="2"/>
      <c r="AEL119" s="2"/>
      <c r="AEM119" s="2"/>
      <c r="AEN119" s="2"/>
      <c r="AEO119" s="2"/>
      <c r="AEP119" s="2"/>
      <c r="AEQ119" s="2"/>
      <c r="AER119" s="2"/>
      <c r="AES119" s="2"/>
      <c r="AET119" s="2"/>
      <c r="AEU119" s="2"/>
      <c r="AEV119" s="2"/>
      <c r="AEW119" s="2"/>
      <c r="AEX119" s="2"/>
      <c r="AEY119" s="2"/>
      <c r="AEZ119" s="2"/>
      <c r="AFA119" s="2"/>
      <c r="AFB119" s="2"/>
      <c r="AFC119" s="2"/>
      <c r="AFD119" s="2"/>
      <c r="AFE119" s="2"/>
      <c r="AFF119" s="2"/>
      <c r="AFG119" s="2"/>
      <c r="AFH119" s="2"/>
      <c r="AFI119" s="2"/>
      <c r="AFJ119" s="2"/>
      <c r="AFK119" s="2"/>
      <c r="AFL119" s="2"/>
      <c r="AFM119" s="2"/>
      <c r="AFN119" s="2"/>
      <c r="AFO119" s="2"/>
      <c r="AFP119" s="2"/>
      <c r="AFQ119" s="2"/>
      <c r="AFR119" s="2"/>
      <c r="AFS119" s="2"/>
      <c r="AFT119" s="2"/>
      <c r="AFU119" s="2"/>
      <c r="AFV119" s="2"/>
      <c r="AFW119" s="2"/>
      <c r="AFX119" s="2"/>
      <c r="AFY119" s="2"/>
      <c r="AFZ119" s="2"/>
      <c r="AGA119" s="2"/>
      <c r="AGB119" s="2"/>
      <c r="AGC119" s="2"/>
      <c r="AGD119" s="2"/>
      <c r="AGE119" s="2"/>
      <c r="AGF119" s="2"/>
      <c r="AGG119" s="2"/>
      <c r="AGH119" s="2"/>
      <c r="AGI119" s="2"/>
      <c r="AGJ119" s="2"/>
      <c r="AGK119" s="2"/>
      <c r="AGL119" s="2"/>
      <c r="AGM119" s="2"/>
      <c r="AGN119" s="2"/>
      <c r="AGO119" s="2"/>
      <c r="AGP119" s="2"/>
      <c r="AGQ119" s="2"/>
      <c r="AGR119" s="2"/>
      <c r="AGS119" s="2"/>
      <c r="AGT119" s="2"/>
      <c r="AGU119" s="2"/>
      <c r="AGV119" s="2"/>
      <c r="AGW119" s="2"/>
      <c r="AGX119" s="2"/>
      <c r="AGY119" s="2"/>
      <c r="AGZ119" s="2"/>
      <c r="AHA119" s="2"/>
      <c r="AHB119" s="2"/>
      <c r="AHC119" s="2"/>
      <c r="AHD119" s="2"/>
      <c r="AHE119" s="2"/>
      <c r="AHF119" s="2"/>
      <c r="AHG119" s="2"/>
      <c r="AHH119" s="2"/>
      <c r="AHI119" s="2"/>
      <c r="AHJ119" s="2"/>
      <c r="AHK119" s="2"/>
      <c r="AHL119" s="2"/>
      <c r="AHM119" s="2"/>
      <c r="AHN119" s="2"/>
      <c r="AHO119" s="2"/>
      <c r="AHP119" s="2"/>
      <c r="AHQ119" s="2"/>
      <c r="AHR119" s="2"/>
      <c r="AHS119" s="2"/>
      <c r="AHT119" s="2"/>
      <c r="AHU119" s="2"/>
      <c r="AHV119" s="2"/>
      <c r="AHW119" s="2"/>
      <c r="AHX119" s="2"/>
      <c r="AHY119" s="2"/>
      <c r="AHZ119" s="2"/>
      <c r="AIA119" s="2"/>
      <c r="AIB119" s="2"/>
      <c r="AIC119" s="2"/>
      <c r="AID119" s="2"/>
      <c r="AIE119" s="2"/>
      <c r="AIF119" s="2"/>
      <c r="AIG119" s="2"/>
      <c r="AIH119" s="2"/>
      <c r="AII119" s="2"/>
      <c r="AIJ119" s="2"/>
      <c r="AIK119" s="2"/>
      <c r="AIL119" s="2"/>
      <c r="AIM119" s="2"/>
      <c r="AIN119" s="2"/>
      <c r="AIO119" s="2"/>
      <c r="AIP119" s="2"/>
      <c r="AIQ119" s="2"/>
      <c r="AIR119" s="2"/>
      <c r="AIS119" s="2"/>
      <c r="AIT119" s="2"/>
      <c r="AIU119" s="2"/>
      <c r="AIV119" s="2"/>
      <c r="AIW119" s="2"/>
      <c r="AIX119" s="2"/>
      <c r="AIY119" s="2"/>
      <c r="AIZ119" s="2"/>
      <c r="AJA119" s="2"/>
      <c r="AJB119" s="2"/>
      <c r="AJC119" s="2"/>
      <c r="AJD119" s="2"/>
      <c r="AJE119" s="2"/>
      <c r="AJF119" s="2"/>
      <c r="AJG119" s="2"/>
      <c r="AJH119" s="2"/>
      <c r="AJI119" s="2"/>
      <c r="AJJ119" s="2"/>
      <c r="AJK119" s="2"/>
      <c r="AJL119" s="2"/>
      <c r="AJM119" s="2"/>
      <c r="AJN119" s="2"/>
      <c r="AJO119" s="2"/>
      <c r="AJP119" s="2"/>
      <c r="AJQ119" s="2"/>
      <c r="AJR119" s="2"/>
      <c r="AJS119" s="2"/>
      <c r="AJT119" s="2"/>
      <c r="AJU119" s="2"/>
      <c r="AJV119" s="2"/>
      <c r="AJW119" s="2"/>
      <c r="AJX119" s="2"/>
      <c r="AJY119" s="2"/>
      <c r="AJZ119" s="2"/>
      <c r="AKA119" s="2"/>
      <c r="AKB119" s="2"/>
      <c r="AKC119" s="2"/>
      <c r="AKD119" s="2"/>
      <c r="AKE119" s="2"/>
      <c r="AKF119" s="2"/>
      <c r="AKG119" s="2"/>
      <c r="AKH119" s="2"/>
      <c r="AKI119" s="2"/>
      <c r="AKJ119" s="2"/>
      <c r="AKK119" s="2"/>
      <c r="AKL119" s="2"/>
      <c r="AKM119" s="2"/>
      <c r="AKN119" s="2"/>
      <c r="AKO119" s="2"/>
      <c r="AKP119" s="2"/>
      <c r="AKQ119" s="2"/>
      <c r="AKR119" s="2"/>
      <c r="AKS119" s="2"/>
      <c r="AKT119" s="2"/>
      <c r="AKU119" s="2"/>
      <c r="AKV119" s="2"/>
      <c r="AKW119" s="2"/>
      <c r="AKX119" s="2"/>
      <c r="AKY119" s="2"/>
      <c r="AKZ119" s="2"/>
      <c r="ALA119" s="2"/>
      <c r="ALB119" s="2"/>
      <c r="ALC119" s="2"/>
      <c r="ALD119" s="2"/>
      <c r="ALE119" s="2"/>
      <c r="ALF119" s="2"/>
      <c r="ALG119" s="2"/>
      <c r="ALH119" s="2"/>
      <c r="ALI119" s="2"/>
      <c r="ALJ119" s="2"/>
      <c r="ALK119" s="2"/>
      <c r="ALL119" s="2"/>
      <c r="ALM119" s="2"/>
      <c r="ALN119" s="2"/>
      <c r="ALO119" s="2"/>
      <c r="ALP119" s="2"/>
      <c r="ALQ119" s="2"/>
      <c r="ALR119" s="2"/>
      <c r="ALS119" s="2"/>
      <c r="ALT119" s="2"/>
      <c r="ALU119" s="2"/>
      <c r="ALV119" s="2"/>
      <c r="ALW119" s="2"/>
      <c r="ALX119" s="2"/>
      <c r="ALY119" s="2"/>
      <c r="ALZ119" s="2"/>
      <c r="AMA119" s="2"/>
      <c r="AMB119" s="2"/>
      <c r="AMC119" s="2"/>
      <c r="AMD119" s="2"/>
      <c r="AME119" s="2"/>
      <c r="AMF119" s="2"/>
      <c r="AMG119" s="2"/>
      <c r="AMH119" s="2"/>
      <c r="AMI119" s="2"/>
      <c r="AMJ119" s="2"/>
      <c r="AMK119" s="2"/>
      <c r="AML119" s="2"/>
      <c r="AMM119" s="2"/>
      <c r="AMN119" s="2"/>
      <c r="AMO119" s="2"/>
      <c r="AMP119" s="2"/>
      <c r="AMQ119" s="2"/>
      <c r="AMR119" s="2"/>
      <c r="AMS119" s="2"/>
      <c r="AMT119" s="2"/>
      <c r="AMU119" s="2"/>
      <c r="AMV119" s="2"/>
      <c r="AMW119" s="2"/>
      <c r="AMX119" s="2"/>
      <c r="AMY119" s="2"/>
      <c r="AMZ119" s="2"/>
      <c r="ANA119" s="2"/>
      <c r="ANB119" s="2"/>
      <c r="ANC119" s="2"/>
      <c r="AND119" s="2"/>
      <c r="ANE119" s="2"/>
      <c r="ANF119" s="2"/>
      <c r="ANG119" s="2"/>
      <c r="ANH119" s="2"/>
      <c r="ANI119" s="2"/>
      <c r="ANJ119" s="2"/>
      <c r="ANK119" s="2"/>
      <c r="ANL119" s="2"/>
      <c r="ANM119" s="2"/>
      <c r="ANN119" s="2"/>
      <c r="ANO119" s="2"/>
      <c r="ANP119" s="2"/>
      <c r="ANQ119" s="2"/>
      <c r="ANR119" s="2"/>
      <c r="ANS119" s="2"/>
      <c r="ANT119" s="2"/>
      <c r="ANU119" s="2"/>
      <c r="ANV119" s="2"/>
      <c r="ANW119" s="2"/>
      <c r="ANX119" s="2"/>
      <c r="ANY119" s="2"/>
      <c r="ANZ119" s="2"/>
      <c r="AOA119" s="2"/>
      <c r="AOB119" s="2"/>
      <c r="AOC119" s="2"/>
      <c r="AOD119" s="2"/>
      <c r="AOE119" s="2"/>
      <c r="AOF119" s="2"/>
      <c r="AOG119" s="2"/>
      <c r="AOH119" s="2"/>
      <c r="AOI119" s="2"/>
      <c r="AOJ119" s="2"/>
      <c r="AOK119" s="2"/>
      <c r="AOL119" s="2"/>
      <c r="AOM119" s="2"/>
      <c r="AON119" s="2"/>
      <c r="AOO119" s="2"/>
      <c r="AOP119" s="2"/>
      <c r="AOQ119" s="2"/>
      <c r="AOR119" s="2"/>
      <c r="AOS119" s="2"/>
      <c r="AOT119" s="2"/>
      <c r="AOU119" s="2"/>
      <c r="AOV119" s="2"/>
      <c r="AOW119" s="2"/>
      <c r="AOX119" s="2"/>
      <c r="AOY119" s="2"/>
      <c r="AOZ119" s="2"/>
      <c r="APA119" s="2"/>
      <c r="APB119" s="2"/>
      <c r="APC119" s="2"/>
      <c r="APD119" s="2"/>
      <c r="APE119" s="2"/>
      <c r="APF119" s="2"/>
      <c r="APG119" s="2"/>
      <c r="APH119" s="2"/>
      <c r="API119" s="2"/>
      <c r="APJ119" s="2"/>
      <c r="APK119" s="2"/>
      <c r="APL119" s="2"/>
      <c r="APM119" s="2"/>
      <c r="APN119" s="2"/>
      <c r="APO119" s="2"/>
      <c r="APP119" s="2"/>
      <c r="APQ119" s="2"/>
      <c r="APR119" s="2"/>
      <c r="APS119" s="2"/>
      <c r="APT119" s="2"/>
      <c r="APU119" s="2"/>
      <c r="APV119" s="2"/>
      <c r="APW119" s="2"/>
      <c r="APX119" s="2"/>
      <c r="APY119" s="2"/>
      <c r="APZ119" s="2"/>
      <c r="AQA119" s="2"/>
      <c r="AQB119" s="2"/>
      <c r="AQC119" s="2"/>
      <c r="AQD119" s="2"/>
      <c r="AQE119" s="2"/>
      <c r="AQF119" s="2"/>
      <c r="AQG119" s="2"/>
      <c r="AQH119" s="2"/>
      <c r="AQI119" s="2"/>
      <c r="AQJ119" s="2"/>
      <c r="AQK119" s="2"/>
      <c r="AQL119" s="2"/>
      <c r="AQM119" s="2"/>
      <c r="AQN119" s="2"/>
      <c r="AQO119" s="2"/>
      <c r="AQP119" s="2"/>
      <c r="AQQ119" s="2"/>
      <c r="AQR119" s="2"/>
      <c r="AQS119" s="2"/>
      <c r="AQT119" s="2"/>
      <c r="AQU119" s="2"/>
      <c r="AQV119" s="2"/>
      <c r="AQW119" s="2"/>
      <c r="AQX119" s="2"/>
      <c r="AQY119" s="2"/>
      <c r="AQZ119" s="2"/>
      <c r="ARA119" s="2"/>
      <c r="ARB119" s="2"/>
      <c r="ARC119" s="2"/>
      <c r="ARD119" s="2"/>
      <c r="ARE119" s="2"/>
      <c r="ARF119" s="2"/>
      <c r="ARG119" s="2"/>
      <c r="ARH119" s="2"/>
      <c r="ARI119" s="2"/>
      <c r="ARJ119" s="2"/>
      <c r="ARK119" s="2"/>
      <c r="ARL119" s="2"/>
      <c r="ARM119" s="2"/>
      <c r="ARN119" s="2"/>
      <c r="ARO119" s="2"/>
      <c r="ARP119" s="2"/>
      <c r="ARQ119" s="2"/>
      <c r="ARR119" s="2"/>
      <c r="ARS119" s="2"/>
      <c r="ART119" s="2"/>
      <c r="ARU119" s="2"/>
      <c r="ARV119" s="2"/>
      <c r="ARW119" s="2"/>
      <c r="ARX119" s="2"/>
      <c r="ARY119" s="2"/>
      <c r="ARZ119" s="2"/>
      <c r="ASA119" s="2"/>
      <c r="ASB119" s="2"/>
      <c r="ASC119" s="2"/>
      <c r="ASD119" s="2"/>
      <c r="ASE119" s="2"/>
      <c r="ASF119" s="2"/>
      <c r="ASG119" s="2"/>
      <c r="ASH119" s="2"/>
      <c r="ASI119" s="2"/>
      <c r="ASJ119" s="2"/>
      <c r="ASK119" s="2"/>
      <c r="ASL119" s="2"/>
      <c r="ASM119" s="2"/>
      <c r="ASN119" s="2"/>
      <c r="ASO119" s="2"/>
      <c r="ASP119" s="2"/>
      <c r="ASQ119" s="2"/>
      <c r="ASR119" s="2"/>
      <c r="ASS119" s="2"/>
      <c r="AST119" s="2"/>
      <c r="ASU119" s="2"/>
      <c r="ASV119" s="2"/>
      <c r="ASW119" s="2"/>
      <c r="ASX119" s="2"/>
      <c r="ASY119" s="2"/>
      <c r="ASZ119" s="2"/>
      <c r="ATA119" s="2"/>
      <c r="ATB119" s="2"/>
      <c r="ATC119" s="2"/>
      <c r="ATD119" s="2"/>
      <c r="ATE119" s="2"/>
      <c r="ATF119" s="2"/>
      <c r="ATG119" s="2"/>
      <c r="ATH119" s="2"/>
      <c r="ATI119" s="2"/>
      <c r="ATJ119" s="2"/>
      <c r="ATK119" s="2"/>
      <c r="ATL119" s="2"/>
      <c r="ATM119" s="2"/>
      <c r="ATN119" s="2"/>
      <c r="ATO119" s="2"/>
      <c r="ATP119" s="2"/>
      <c r="ATQ119" s="2"/>
      <c r="ATR119" s="2"/>
      <c r="ATS119" s="2"/>
      <c r="ATT119" s="2"/>
      <c r="ATU119" s="2"/>
      <c r="ATV119" s="2"/>
      <c r="ATW119" s="2"/>
      <c r="ATX119" s="2"/>
      <c r="ATY119" s="2"/>
      <c r="ATZ119" s="2"/>
      <c r="AUA119" s="2"/>
      <c r="AUB119" s="2"/>
      <c r="AUC119" s="2"/>
      <c r="AUD119" s="2"/>
      <c r="AUE119" s="2"/>
      <c r="AUF119" s="2"/>
      <c r="AUG119" s="2"/>
      <c r="AUH119" s="2"/>
      <c r="AUI119" s="2"/>
      <c r="AUJ119" s="2"/>
      <c r="AUK119" s="2"/>
      <c r="AUL119" s="2"/>
      <c r="AUM119" s="2"/>
      <c r="AUN119" s="2"/>
      <c r="AUO119" s="2"/>
      <c r="AUP119" s="2"/>
      <c r="AUQ119" s="2"/>
      <c r="AUR119" s="2"/>
      <c r="AUS119" s="2"/>
      <c r="AUT119" s="2"/>
      <c r="AUU119" s="2"/>
      <c r="AUV119" s="2"/>
      <c r="AUW119" s="2"/>
      <c r="AUX119" s="2"/>
      <c r="AUY119" s="2"/>
      <c r="AUZ119" s="2"/>
      <c r="AVA119" s="2"/>
      <c r="AVB119" s="2"/>
      <c r="AVC119" s="2"/>
      <c r="AVD119" s="2"/>
      <c r="AVE119" s="2"/>
      <c r="AVF119" s="2"/>
      <c r="AVG119" s="2"/>
      <c r="AVH119" s="2"/>
      <c r="AVI119" s="2"/>
      <c r="AVJ119" s="2"/>
      <c r="AVK119" s="2"/>
      <c r="AVL119" s="2"/>
      <c r="AVM119" s="2"/>
      <c r="AVN119" s="2"/>
      <c r="AVO119" s="2"/>
      <c r="AVP119" s="2"/>
      <c r="AVQ119" s="2"/>
      <c r="AVR119" s="2"/>
      <c r="AVS119" s="2"/>
      <c r="AVT119" s="2"/>
      <c r="AVU119" s="2"/>
      <c r="AVV119" s="2"/>
      <c r="AVW119" s="2"/>
      <c r="AVX119" s="2"/>
      <c r="AVY119" s="2"/>
      <c r="AVZ119" s="2"/>
      <c r="AWA119" s="2"/>
      <c r="AWB119" s="2"/>
      <c r="AWC119" s="2"/>
      <c r="AWD119" s="2"/>
      <c r="AWE119" s="2"/>
      <c r="AWF119" s="2"/>
      <c r="AWG119" s="2"/>
      <c r="AWH119" s="2"/>
      <c r="AWI119" s="2"/>
      <c r="AWJ119" s="2"/>
      <c r="AWK119" s="2"/>
      <c r="AWL119" s="2"/>
      <c r="AWM119" s="2"/>
      <c r="AWN119" s="2"/>
      <c r="AWO119" s="2"/>
      <c r="AWP119" s="2"/>
      <c r="AWQ119" s="2"/>
      <c r="AWR119" s="2"/>
      <c r="AWS119" s="2"/>
      <c r="AWT119" s="2"/>
      <c r="AWU119" s="2"/>
      <c r="AWV119" s="2"/>
      <c r="AWW119" s="2"/>
      <c r="AWX119" s="2"/>
      <c r="AWY119" s="2"/>
      <c r="AWZ119" s="2"/>
      <c r="AXA119" s="2"/>
      <c r="AXB119" s="2"/>
      <c r="AXC119" s="2"/>
      <c r="AXD119" s="2"/>
      <c r="AXE119" s="2"/>
      <c r="AXF119" s="2"/>
      <c r="AXG119" s="2"/>
      <c r="AXH119" s="2"/>
      <c r="AXI119" s="2"/>
      <c r="AXJ119" s="2"/>
      <c r="AXK119" s="2"/>
      <c r="AXL119" s="2"/>
      <c r="AXM119" s="2"/>
      <c r="AXN119" s="2"/>
      <c r="AXO119" s="2"/>
      <c r="AXP119" s="2"/>
      <c r="AXQ119" s="2"/>
      <c r="AXR119" s="2"/>
      <c r="AXS119" s="2"/>
      <c r="AXT119" s="2"/>
      <c r="AXU119" s="2"/>
      <c r="AXV119" s="2"/>
      <c r="AXW119" s="2"/>
      <c r="AXX119" s="2"/>
      <c r="AXY119" s="2"/>
      <c r="AXZ119" s="2"/>
      <c r="AYA119" s="2"/>
      <c r="AYB119" s="2"/>
      <c r="AYC119" s="2"/>
      <c r="AYD119" s="2"/>
      <c r="AYE119" s="2"/>
      <c r="AYF119" s="2"/>
      <c r="AYG119" s="2"/>
      <c r="AYH119" s="2"/>
      <c r="AYI119" s="2"/>
      <c r="AYJ119" s="2"/>
      <c r="AYK119" s="2"/>
      <c r="AYL119" s="2"/>
      <c r="AYM119" s="2"/>
      <c r="AYN119" s="2"/>
      <c r="AYO119" s="2"/>
      <c r="AYP119" s="2"/>
      <c r="AYQ119" s="2"/>
      <c r="AYR119" s="2"/>
      <c r="AYS119" s="2"/>
      <c r="AYT119" s="2"/>
      <c r="AYU119" s="2"/>
      <c r="AYV119" s="2"/>
      <c r="AYW119" s="2"/>
      <c r="AYX119" s="2"/>
      <c r="AYY119" s="2"/>
      <c r="AYZ119" s="2"/>
      <c r="AZA119" s="2"/>
      <c r="AZB119" s="2"/>
      <c r="AZC119" s="2"/>
      <c r="AZD119" s="2"/>
      <c r="AZE119" s="2"/>
      <c r="AZF119" s="2"/>
      <c r="AZG119" s="2"/>
      <c r="AZH119" s="2"/>
      <c r="AZI119" s="2"/>
      <c r="AZJ119" s="2"/>
      <c r="AZK119" s="2"/>
      <c r="AZL119" s="2"/>
      <c r="AZM119" s="2"/>
      <c r="AZN119" s="2"/>
      <c r="AZO119" s="2"/>
      <c r="AZP119" s="2"/>
      <c r="AZQ119" s="2"/>
      <c r="AZR119" s="2"/>
      <c r="AZS119" s="2"/>
      <c r="AZT119" s="2"/>
      <c r="AZU119" s="2"/>
      <c r="AZV119" s="2"/>
      <c r="AZW119" s="2"/>
      <c r="AZX119" s="2"/>
      <c r="AZY119" s="2"/>
      <c r="AZZ119" s="2"/>
      <c r="BAA119" s="2"/>
      <c r="BAB119" s="2"/>
      <c r="BAC119" s="2"/>
      <c r="BAD119" s="2"/>
      <c r="BAE119" s="2"/>
      <c r="BAF119" s="2"/>
      <c r="BAG119" s="2"/>
      <c r="BAH119" s="2"/>
      <c r="BAI119" s="2"/>
      <c r="BAJ119" s="2"/>
      <c r="BAK119" s="2"/>
      <c r="BAL119" s="2"/>
      <c r="BAM119" s="2"/>
      <c r="BAN119" s="2"/>
      <c r="BAO119" s="2"/>
      <c r="BAP119" s="2"/>
      <c r="BAQ119" s="2"/>
      <c r="BAR119" s="2"/>
      <c r="BAS119" s="2"/>
      <c r="BAT119" s="2"/>
      <c r="BAU119" s="2"/>
      <c r="BAV119" s="2"/>
      <c r="BAW119" s="2"/>
      <c r="BAX119" s="2"/>
      <c r="BAY119" s="2"/>
      <c r="BAZ119" s="2"/>
      <c r="BBA119" s="2"/>
      <c r="BBB119" s="2"/>
      <c r="BBC119" s="2"/>
      <c r="BBD119" s="2"/>
      <c r="BBE119" s="2"/>
      <c r="BBF119" s="2"/>
      <c r="BBG119" s="2"/>
      <c r="BBH119" s="2"/>
      <c r="BBI119" s="2"/>
      <c r="BBJ119" s="2"/>
      <c r="BBK119" s="2"/>
      <c r="BBL119" s="2"/>
      <c r="BBM119" s="2"/>
      <c r="BBN119" s="2"/>
      <c r="BBO119" s="2"/>
      <c r="BBP119" s="2"/>
      <c r="BBQ119" s="2"/>
      <c r="BBR119" s="2"/>
      <c r="BBS119" s="2"/>
      <c r="BBT119" s="2"/>
      <c r="BBU119" s="2"/>
      <c r="BBV119" s="2"/>
      <c r="BBW119" s="2"/>
      <c r="BBX119" s="2"/>
      <c r="BBY119" s="2"/>
      <c r="BBZ119" s="2"/>
      <c r="BCA119" s="2"/>
      <c r="BCB119" s="2"/>
      <c r="BCC119" s="2"/>
      <c r="BCD119" s="2"/>
      <c r="BCE119" s="2"/>
      <c r="BCF119" s="2"/>
      <c r="BCG119" s="2"/>
      <c r="BCH119" s="2"/>
      <c r="BCI119" s="2"/>
      <c r="BCJ119" s="2"/>
      <c r="BCK119" s="2"/>
      <c r="BCL119" s="2"/>
      <c r="BCM119" s="2"/>
      <c r="BCN119" s="2"/>
      <c r="BCO119" s="2"/>
      <c r="BCP119" s="2"/>
      <c r="BCQ119" s="2"/>
      <c r="BCR119" s="2"/>
      <c r="BCS119" s="2"/>
      <c r="BCT119" s="2"/>
      <c r="BCU119" s="2"/>
      <c r="BCV119" s="2"/>
      <c r="BCW119" s="2"/>
      <c r="BCX119" s="2"/>
      <c r="BCY119" s="2"/>
      <c r="BCZ119" s="2"/>
      <c r="BDA119" s="2"/>
      <c r="BDB119" s="2"/>
      <c r="BDC119" s="2"/>
      <c r="BDD119" s="2"/>
      <c r="BDE119" s="2"/>
      <c r="BDF119" s="2"/>
      <c r="BDG119" s="2"/>
      <c r="BDH119" s="2"/>
      <c r="BDI119" s="2"/>
      <c r="BDJ119" s="2"/>
      <c r="BDK119" s="2"/>
      <c r="BDL119" s="2"/>
      <c r="BDM119" s="2"/>
      <c r="BDN119" s="2"/>
      <c r="BDO119" s="2"/>
      <c r="BDP119" s="2"/>
      <c r="BDQ119" s="2"/>
      <c r="BDR119" s="2"/>
      <c r="BDS119" s="2"/>
      <c r="BDT119" s="2"/>
      <c r="BDU119" s="2"/>
      <c r="BDV119" s="2"/>
      <c r="BDW119" s="2"/>
      <c r="BDX119" s="2"/>
      <c r="BDY119" s="2"/>
      <c r="BDZ119" s="2"/>
      <c r="BEA119" s="2"/>
      <c r="BEB119" s="2"/>
      <c r="BEC119" s="2"/>
      <c r="BED119" s="2"/>
      <c r="BEE119" s="2"/>
      <c r="BEF119" s="2"/>
      <c r="BEG119" s="2"/>
      <c r="BEH119" s="2"/>
      <c r="BEI119" s="2"/>
      <c r="BEJ119" s="2"/>
      <c r="BEK119" s="2"/>
      <c r="BEL119" s="2"/>
      <c r="BEM119" s="2"/>
      <c r="BEN119" s="2"/>
      <c r="BEO119" s="2"/>
      <c r="BEP119" s="2"/>
      <c r="BEQ119" s="2"/>
      <c r="BER119" s="2"/>
      <c r="BES119" s="2"/>
      <c r="BET119" s="2"/>
      <c r="BEU119" s="2"/>
      <c r="BEV119" s="2"/>
      <c r="BEW119" s="2"/>
      <c r="BEX119" s="2"/>
      <c r="BEY119" s="2"/>
      <c r="BEZ119" s="2"/>
      <c r="BFA119" s="2"/>
      <c r="BFB119" s="2"/>
      <c r="BFC119" s="2"/>
      <c r="BFD119" s="2"/>
      <c r="BFE119" s="2"/>
      <c r="BFF119" s="2"/>
      <c r="BFG119" s="2"/>
      <c r="BFH119" s="2"/>
      <c r="BFI119" s="2"/>
      <c r="BFJ119" s="2"/>
      <c r="BFK119" s="2"/>
      <c r="BFL119" s="2"/>
      <c r="BFM119" s="2"/>
      <c r="BFN119" s="2"/>
      <c r="BFO119" s="2"/>
      <c r="BFP119" s="2"/>
      <c r="BFQ119" s="2"/>
      <c r="BFR119" s="2"/>
      <c r="BFS119" s="2"/>
      <c r="BFT119" s="2"/>
      <c r="BFU119" s="2"/>
      <c r="BFV119" s="2"/>
      <c r="BFW119" s="2"/>
      <c r="BFX119" s="2"/>
      <c r="BFY119" s="2"/>
      <c r="BFZ119" s="2"/>
      <c r="BGA119" s="2"/>
      <c r="BGB119" s="2"/>
      <c r="BGC119" s="2"/>
      <c r="BGD119" s="2"/>
      <c r="BGE119" s="2"/>
      <c r="BGF119" s="2"/>
      <c r="BGG119" s="2"/>
      <c r="BGH119" s="2"/>
      <c r="BGI119" s="2"/>
      <c r="BGJ119" s="2"/>
      <c r="BGK119" s="2"/>
      <c r="BGL119" s="2"/>
      <c r="BGM119" s="2"/>
      <c r="BGN119" s="2"/>
      <c r="BGO119" s="2"/>
      <c r="BGP119" s="2"/>
      <c r="BGQ119" s="2"/>
      <c r="BGR119" s="2"/>
      <c r="BGS119" s="2"/>
      <c r="BGT119" s="2"/>
      <c r="BGU119" s="2"/>
      <c r="BGV119" s="2"/>
      <c r="BGW119" s="2"/>
      <c r="BGX119" s="2"/>
      <c r="BGY119" s="2"/>
      <c r="BGZ119" s="2"/>
      <c r="BHA119" s="2"/>
      <c r="BHB119" s="2"/>
      <c r="BHC119" s="2"/>
      <c r="BHD119" s="2"/>
      <c r="BHE119" s="2"/>
      <c r="BHF119" s="2"/>
      <c r="BHG119" s="2"/>
      <c r="BHH119" s="2"/>
      <c r="BHI119" s="2"/>
      <c r="BHJ119" s="2"/>
      <c r="BHK119" s="2"/>
      <c r="BHL119" s="2"/>
      <c r="BHM119" s="2"/>
      <c r="BHN119" s="2"/>
      <c r="BHO119" s="2"/>
      <c r="BHP119" s="2"/>
      <c r="BHQ119" s="2"/>
      <c r="BHR119" s="2"/>
      <c r="BHS119" s="2"/>
      <c r="BHT119" s="2"/>
      <c r="BHU119" s="2"/>
      <c r="BHV119" s="2"/>
      <c r="BHW119" s="2"/>
      <c r="BHX119" s="2"/>
      <c r="BHY119" s="2"/>
      <c r="BHZ119" s="2"/>
      <c r="BIA119" s="2"/>
      <c r="BIB119" s="2"/>
      <c r="BIC119" s="2"/>
      <c r="BID119" s="2"/>
      <c r="BIE119" s="2"/>
      <c r="BIF119" s="2"/>
      <c r="BIG119" s="2"/>
      <c r="BIH119" s="2"/>
      <c r="BII119" s="2"/>
      <c r="BIJ119" s="2"/>
      <c r="BIK119" s="2"/>
      <c r="BIL119" s="2"/>
      <c r="BIM119" s="2"/>
      <c r="BIN119" s="2"/>
      <c r="BIO119" s="2"/>
      <c r="BIP119" s="2"/>
      <c r="BIQ119" s="2"/>
      <c r="BIR119" s="2"/>
      <c r="BIS119" s="2"/>
      <c r="BIT119" s="2"/>
      <c r="BIU119" s="2"/>
      <c r="BIV119" s="2"/>
      <c r="BIW119" s="2"/>
      <c r="BIX119" s="2"/>
      <c r="BIY119" s="2"/>
      <c r="BIZ119" s="2"/>
      <c r="BJA119" s="2"/>
      <c r="BJB119" s="2"/>
      <c r="BJC119" s="2"/>
      <c r="BJD119" s="2"/>
      <c r="BJE119" s="2"/>
      <c r="BJF119" s="2"/>
      <c r="BJG119" s="2"/>
      <c r="BJH119" s="2"/>
      <c r="BJI119" s="2"/>
      <c r="BJJ119" s="2"/>
      <c r="BJK119" s="2"/>
      <c r="BJL119" s="2"/>
      <c r="BJM119" s="2"/>
      <c r="BJN119" s="2"/>
      <c r="BJO119" s="2"/>
      <c r="BJP119" s="2"/>
      <c r="BJQ119" s="2"/>
      <c r="BJR119" s="2"/>
      <c r="BJS119" s="2"/>
      <c r="BJT119" s="2"/>
      <c r="BJU119" s="2"/>
      <c r="BJV119" s="2"/>
      <c r="BJW119" s="2"/>
      <c r="BJX119" s="2"/>
      <c r="BJY119" s="2"/>
      <c r="BJZ119" s="2"/>
      <c r="BKA119" s="2"/>
      <c r="BKB119" s="2"/>
      <c r="BKC119" s="2"/>
      <c r="BKD119" s="2"/>
      <c r="BKE119" s="2"/>
      <c r="BKF119" s="2"/>
      <c r="BKG119" s="2"/>
      <c r="BKH119" s="2"/>
      <c r="BKI119" s="2"/>
      <c r="BKJ119" s="2"/>
      <c r="BKK119" s="2"/>
      <c r="BKL119" s="2"/>
      <c r="BKM119" s="2"/>
      <c r="BKN119" s="2"/>
      <c r="BKO119" s="2"/>
      <c r="BKP119" s="2"/>
      <c r="BKQ119" s="2"/>
      <c r="BKR119" s="2"/>
      <c r="BKS119" s="2"/>
      <c r="BKT119" s="2"/>
      <c r="BKU119" s="2"/>
      <c r="BKV119" s="2"/>
      <c r="BKW119" s="2"/>
      <c r="BKX119" s="2"/>
      <c r="BKY119" s="2"/>
      <c r="BKZ119" s="2"/>
      <c r="BLA119" s="2"/>
      <c r="BLB119" s="2"/>
      <c r="BLC119" s="2"/>
      <c r="BLD119" s="2"/>
      <c r="BLE119" s="2"/>
      <c r="BLF119" s="2"/>
      <c r="BLG119" s="2"/>
      <c r="BLH119" s="2"/>
      <c r="BLI119" s="2"/>
      <c r="BLJ119" s="2"/>
      <c r="BLK119" s="2"/>
      <c r="BLL119" s="2"/>
      <c r="BLM119" s="2"/>
      <c r="BLN119" s="2"/>
      <c r="BLO119" s="2"/>
      <c r="BLP119" s="2"/>
      <c r="BLQ119" s="2"/>
      <c r="BLR119" s="2"/>
      <c r="BLS119" s="2"/>
      <c r="BLT119" s="2"/>
      <c r="BLU119" s="2"/>
      <c r="BLV119" s="2"/>
      <c r="BLW119" s="2"/>
      <c r="BLX119" s="2"/>
      <c r="BLY119" s="2"/>
      <c r="BLZ119" s="2"/>
      <c r="BMA119" s="2"/>
      <c r="BMB119" s="2"/>
      <c r="BMC119" s="2"/>
      <c r="BMD119" s="2"/>
      <c r="BME119" s="2"/>
      <c r="BMF119" s="2"/>
      <c r="BMG119" s="2"/>
      <c r="BMH119" s="2"/>
      <c r="BMI119" s="2"/>
      <c r="BMJ119" s="2"/>
      <c r="BMK119" s="2"/>
      <c r="BML119" s="2"/>
      <c r="BMM119" s="2"/>
      <c r="BMN119" s="2"/>
      <c r="BMO119" s="2"/>
      <c r="BMP119" s="2"/>
      <c r="BMQ119" s="2"/>
      <c r="BMR119" s="2"/>
      <c r="BMS119" s="2"/>
      <c r="BMT119" s="2"/>
      <c r="BMU119" s="2"/>
      <c r="BMV119" s="2"/>
      <c r="BMW119" s="2"/>
      <c r="BMX119" s="2"/>
      <c r="BMY119" s="2"/>
      <c r="BMZ119" s="2"/>
      <c r="BNA119" s="2"/>
      <c r="BNB119" s="2"/>
      <c r="BNC119" s="2"/>
      <c r="BND119" s="2"/>
      <c r="BNE119" s="2"/>
      <c r="BNF119" s="2"/>
      <c r="BNG119" s="2"/>
      <c r="BNH119" s="2"/>
      <c r="BNI119" s="2"/>
      <c r="BNJ119" s="2"/>
      <c r="BNK119" s="2"/>
      <c r="BNL119" s="2"/>
      <c r="BNM119" s="2"/>
      <c r="BNN119" s="2"/>
      <c r="BNO119" s="2"/>
      <c r="BNP119" s="2"/>
      <c r="BNQ119" s="2"/>
      <c r="BNR119" s="2"/>
      <c r="BNS119" s="2"/>
      <c r="BNT119" s="2"/>
      <c r="BNU119" s="2"/>
      <c r="BNV119" s="2"/>
      <c r="BNW119" s="2"/>
      <c r="BNX119" s="2"/>
      <c r="BNY119" s="2"/>
      <c r="BNZ119" s="2"/>
      <c r="BOA119" s="2"/>
      <c r="BOB119" s="2"/>
      <c r="BOC119" s="2"/>
      <c r="BOD119" s="2"/>
      <c r="BOE119" s="2"/>
      <c r="BOF119" s="2"/>
      <c r="BOG119" s="2"/>
      <c r="BOH119" s="2"/>
      <c r="BOI119" s="2"/>
      <c r="BOJ119" s="2"/>
      <c r="BOK119" s="2"/>
      <c r="BOL119" s="2"/>
      <c r="BOM119" s="2"/>
      <c r="BON119" s="2"/>
      <c r="BOO119" s="2"/>
      <c r="BOP119" s="2"/>
      <c r="BOQ119" s="2"/>
      <c r="BOR119" s="2"/>
      <c r="BOS119" s="2"/>
      <c r="BOT119" s="2"/>
      <c r="BOU119" s="2"/>
      <c r="BOV119" s="2"/>
      <c r="BOW119" s="2"/>
      <c r="BOX119" s="2"/>
      <c r="BOY119" s="2"/>
      <c r="BOZ119" s="2"/>
      <c r="BPA119" s="2"/>
      <c r="BPB119" s="2"/>
      <c r="BPC119" s="2"/>
      <c r="BPD119" s="2"/>
      <c r="BPE119" s="2"/>
      <c r="BPF119" s="2"/>
      <c r="BPG119" s="2"/>
      <c r="BPH119" s="2"/>
      <c r="BPI119" s="2"/>
      <c r="BPJ119" s="2"/>
      <c r="BPK119" s="2"/>
      <c r="BPL119" s="2"/>
      <c r="BPM119" s="2"/>
      <c r="BPN119" s="2"/>
      <c r="BPO119" s="2"/>
      <c r="BPP119" s="2"/>
      <c r="BPQ119" s="2"/>
      <c r="BPR119" s="2"/>
      <c r="BPS119" s="2"/>
      <c r="BPT119" s="2"/>
      <c r="BPU119" s="2"/>
      <c r="BPV119" s="2"/>
      <c r="BPW119" s="2"/>
      <c r="BPX119" s="2"/>
      <c r="BPY119" s="2"/>
      <c r="BPZ119" s="2"/>
      <c r="BQA119" s="2"/>
      <c r="BQB119" s="2"/>
      <c r="BQC119" s="2"/>
      <c r="BQD119" s="2"/>
      <c r="BQE119" s="2"/>
      <c r="BQF119" s="2"/>
      <c r="BQG119" s="2"/>
      <c r="BQH119" s="2"/>
      <c r="BQI119" s="2"/>
      <c r="BQJ119" s="2"/>
      <c r="BQK119" s="2"/>
      <c r="BQL119" s="2"/>
      <c r="BQM119" s="2"/>
      <c r="BQN119" s="2"/>
      <c r="BQO119" s="2"/>
      <c r="BQP119" s="2"/>
      <c r="BQQ119" s="2"/>
      <c r="BQR119" s="2"/>
      <c r="BQS119" s="2"/>
      <c r="BQT119" s="2"/>
      <c r="BQU119" s="2"/>
      <c r="BQV119" s="2"/>
      <c r="BQW119" s="2"/>
      <c r="BQX119" s="2"/>
      <c r="BQY119" s="2"/>
      <c r="BQZ119" s="2"/>
      <c r="BRA119" s="2"/>
      <c r="BRB119" s="2"/>
      <c r="BRC119" s="2"/>
      <c r="BRD119" s="2"/>
      <c r="BRE119" s="2"/>
      <c r="BRF119" s="2"/>
      <c r="BRG119" s="2"/>
      <c r="BRH119" s="2"/>
      <c r="BRI119" s="2"/>
      <c r="BRJ119" s="2"/>
      <c r="BRK119" s="2"/>
      <c r="BRL119" s="2"/>
      <c r="BRM119" s="2"/>
      <c r="BRN119" s="2"/>
      <c r="BRO119" s="2"/>
      <c r="BRP119" s="2"/>
      <c r="BRQ119" s="2"/>
      <c r="BRR119" s="2"/>
      <c r="BRS119" s="2"/>
      <c r="BRT119" s="2"/>
      <c r="BRU119" s="2"/>
      <c r="BRV119" s="2"/>
      <c r="BRW119" s="2"/>
      <c r="BRX119" s="2"/>
      <c r="BRY119" s="2"/>
      <c r="BRZ119" s="2"/>
      <c r="BSA119" s="2"/>
      <c r="BSB119" s="2"/>
      <c r="BSC119" s="2"/>
      <c r="BSD119" s="2"/>
      <c r="BSE119" s="2"/>
      <c r="BSF119" s="2"/>
      <c r="BSG119" s="2"/>
      <c r="BSH119" s="2"/>
      <c r="BSI119" s="2"/>
      <c r="BSJ119" s="2"/>
      <c r="BSK119" s="2"/>
      <c r="BSL119" s="2"/>
      <c r="BSM119" s="2"/>
      <c r="BSN119" s="2"/>
      <c r="BSO119" s="2"/>
      <c r="BSP119" s="2"/>
      <c r="BSQ119" s="2"/>
      <c r="BSR119" s="2"/>
      <c r="BSS119" s="2"/>
      <c r="BST119" s="2"/>
      <c r="BSU119" s="2"/>
      <c r="BSV119" s="2"/>
      <c r="BSW119" s="2"/>
      <c r="BSX119" s="2"/>
      <c r="BSY119" s="2"/>
      <c r="BSZ119" s="2"/>
      <c r="BTA119" s="2"/>
      <c r="BTB119" s="2"/>
      <c r="BTC119" s="2"/>
      <c r="BTD119" s="2"/>
      <c r="BTE119" s="2"/>
      <c r="BTF119" s="2"/>
      <c r="BTG119" s="2"/>
      <c r="BTH119" s="2"/>
      <c r="BTI119" s="2"/>
      <c r="BTJ119" s="2"/>
      <c r="BTK119" s="2"/>
      <c r="BTL119" s="2"/>
      <c r="BTM119" s="2"/>
      <c r="BTN119" s="2"/>
      <c r="BTO119" s="2"/>
      <c r="BTP119" s="2"/>
      <c r="BTQ119" s="2"/>
      <c r="BTR119" s="2"/>
      <c r="BTS119" s="2"/>
      <c r="BTT119" s="2"/>
      <c r="BTU119" s="2"/>
      <c r="BTV119" s="2"/>
      <c r="BTW119" s="2"/>
      <c r="BTX119" s="2"/>
      <c r="BTY119" s="2"/>
      <c r="BTZ119" s="2"/>
      <c r="BUA119" s="2"/>
      <c r="BUB119" s="2"/>
      <c r="BUC119" s="2"/>
      <c r="BUD119" s="2"/>
      <c r="BUE119" s="2"/>
      <c r="BUF119" s="2"/>
      <c r="BUG119" s="2"/>
      <c r="BUH119" s="2"/>
      <c r="BUI119" s="2"/>
      <c r="BUJ119" s="2"/>
      <c r="BUK119" s="2"/>
      <c r="BUL119" s="2"/>
      <c r="BUM119" s="2"/>
      <c r="BUN119" s="2"/>
      <c r="BUO119" s="2"/>
      <c r="BUP119" s="2"/>
      <c r="BUQ119" s="2"/>
      <c r="BUR119" s="2"/>
      <c r="BUS119" s="2"/>
      <c r="BUT119" s="2"/>
      <c r="BUU119" s="2"/>
      <c r="BUV119" s="2"/>
      <c r="BUW119" s="2"/>
      <c r="BUX119" s="2"/>
      <c r="BUY119" s="2"/>
      <c r="BUZ119" s="2"/>
      <c r="BVA119" s="2"/>
      <c r="BVB119" s="2"/>
      <c r="BVC119" s="2"/>
      <c r="BVD119" s="2"/>
      <c r="BVE119" s="2"/>
      <c r="BVF119" s="2"/>
      <c r="BVG119" s="2"/>
      <c r="BVH119" s="2"/>
      <c r="BVI119" s="2"/>
      <c r="BVJ119" s="2"/>
      <c r="BVK119" s="2"/>
      <c r="BVL119" s="2"/>
      <c r="BVM119" s="2"/>
      <c r="BVN119" s="2"/>
      <c r="BVO119" s="2"/>
      <c r="BVP119" s="2"/>
      <c r="BVQ119" s="2"/>
      <c r="BVR119" s="2"/>
      <c r="BVS119" s="2"/>
      <c r="BVT119" s="2"/>
      <c r="BVU119" s="2"/>
      <c r="BVV119" s="2"/>
      <c r="BVW119" s="2"/>
      <c r="BVX119" s="2"/>
      <c r="BVY119" s="2"/>
      <c r="BVZ119" s="2"/>
      <c r="BWA119" s="2"/>
      <c r="BWB119" s="2"/>
      <c r="BWC119" s="2"/>
      <c r="BWD119" s="2"/>
      <c r="BWE119" s="2"/>
      <c r="BWF119" s="2"/>
      <c r="BWG119" s="2"/>
      <c r="BWH119" s="2"/>
      <c r="BWI119" s="2"/>
      <c r="BWJ119" s="2"/>
      <c r="BWK119" s="2"/>
      <c r="BWL119" s="2"/>
      <c r="BWM119" s="2"/>
      <c r="BWN119" s="2"/>
      <c r="BWO119" s="2"/>
      <c r="BWP119" s="2"/>
      <c r="BWQ119" s="2"/>
      <c r="BWR119" s="2"/>
      <c r="BWS119" s="2"/>
      <c r="BWT119" s="2"/>
      <c r="BWU119" s="2"/>
      <c r="BWV119" s="2"/>
      <c r="BWW119" s="2"/>
      <c r="BWX119" s="2"/>
      <c r="BWY119" s="2"/>
      <c r="BWZ119" s="2"/>
      <c r="BXA119" s="2"/>
      <c r="BXB119" s="2"/>
      <c r="BXC119" s="2"/>
      <c r="BXD119" s="2"/>
      <c r="BXE119" s="2"/>
      <c r="BXF119" s="2"/>
      <c r="BXG119" s="2"/>
      <c r="BXH119" s="2"/>
      <c r="BXI119" s="2"/>
      <c r="BXJ119" s="2"/>
      <c r="BXK119" s="2"/>
      <c r="BXL119" s="2"/>
      <c r="BXM119" s="2"/>
      <c r="BXN119" s="2"/>
      <c r="BXO119" s="2"/>
      <c r="BXP119" s="2"/>
      <c r="BXQ119" s="2"/>
      <c r="BXR119" s="2"/>
      <c r="BXS119" s="2"/>
      <c r="BXT119" s="2"/>
      <c r="BXU119" s="2"/>
      <c r="BXV119" s="2"/>
      <c r="BXW119" s="2"/>
      <c r="BXX119" s="2"/>
      <c r="BXY119" s="2"/>
      <c r="BXZ119" s="2"/>
      <c r="BYA119" s="2"/>
      <c r="BYB119" s="2"/>
      <c r="BYC119" s="2"/>
      <c r="BYD119" s="2"/>
      <c r="BYE119" s="2"/>
      <c r="BYF119" s="2"/>
      <c r="BYG119" s="2"/>
      <c r="BYH119" s="2"/>
      <c r="BYI119" s="2"/>
      <c r="BYJ119" s="2"/>
      <c r="BYK119" s="2"/>
      <c r="BYL119" s="2"/>
      <c r="BYM119" s="2"/>
      <c r="BYN119" s="2"/>
      <c r="BYO119" s="2"/>
      <c r="BYP119" s="2"/>
      <c r="BYQ119" s="2"/>
      <c r="BYR119" s="2"/>
      <c r="BYS119" s="2"/>
      <c r="BYT119" s="2"/>
      <c r="BYU119" s="2"/>
      <c r="BYV119" s="2"/>
      <c r="BYW119" s="2"/>
      <c r="BYX119" s="2"/>
      <c r="BYY119" s="2"/>
      <c r="BYZ119" s="2"/>
      <c r="BZA119" s="2"/>
      <c r="BZB119" s="2"/>
      <c r="BZC119" s="2"/>
      <c r="BZD119" s="2"/>
      <c r="BZE119" s="2"/>
      <c r="BZF119" s="2"/>
      <c r="BZG119" s="2"/>
      <c r="BZH119" s="2"/>
      <c r="BZI119" s="2"/>
      <c r="BZJ119" s="2"/>
      <c r="BZK119" s="2"/>
      <c r="BZL119" s="2"/>
      <c r="BZM119" s="2"/>
      <c r="BZN119" s="2"/>
      <c r="BZO119" s="2"/>
      <c r="BZP119" s="2"/>
      <c r="BZQ119" s="2"/>
      <c r="BZR119" s="2"/>
      <c r="BZS119" s="2"/>
      <c r="BZT119" s="2"/>
      <c r="BZU119" s="2"/>
      <c r="BZV119" s="2"/>
      <c r="BZW119" s="2"/>
      <c r="BZX119" s="2"/>
      <c r="BZY119" s="2"/>
      <c r="BZZ119" s="2"/>
      <c r="CAA119" s="2"/>
      <c r="CAB119" s="2"/>
      <c r="CAC119" s="2"/>
      <c r="CAD119" s="2"/>
      <c r="CAE119" s="2"/>
      <c r="CAF119" s="2"/>
      <c r="CAG119" s="2"/>
      <c r="CAH119" s="2"/>
      <c r="CAI119" s="2"/>
      <c r="CAJ119" s="2"/>
      <c r="CAK119" s="2"/>
      <c r="CAL119" s="2"/>
      <c r="CAM119" s="2"/>
      <c r="CAN119" s="2"/>
      <c r="CAO119" s="2"/>
      <c r="CAP119" s="2"/>
      <c r="CAQ119" s="2"/>
      <c r="CAR119" s="2"/>
      <c r="CAS119" s="2"/>
      <c r="CAT119" s="2"/>
      <c r="CAU119" s="2"/>
      <c r="CAV119" s="2"/>
      <c r="CAW119" s="2"/>
      <c r="CAX119" s="2"/>
      <c r="CAY119" s="2"/>
      <c r="CAZ119" s="2"/>
      <c r="CBA119" s="2"/>
      <c r="CBB119" s="2"/>
      <c r="CBC119" s="2"/>
      <c r="CBD119" s="2"/>
      <c r="CBE119" s="2"/>
      <c r="CBF119" s="2"/>
      <c r="CBG119" s="2"/>
      <c r="CBH119" s="2"/>
      <c r="CBI119" s="2"/>
      <c r="CBJ119" s="2"/>
      <c r="CBK119" s="2"/>
      <c r="CBL119" s="2"/>
      <c r="CBM119" s="2"/>
      <c r="CBN119" s="2"/>
      <c r="CBO119" s="2"/>
      <c r="CBP119" s="2"/>
      <c r="CBQ119" s="2"/>
      <c r="CBR119" s="2"/>
      <c r="CBS119" s="2"/>
      <c r="CBT119" s="2"/>
      <c r="CBU119" s="2"/>
      <c r="CBV119" s="2"/>
      <c r="CBW119" s="2"/>
      <c r="CBX119" s="2"/>
      <c r="CBY119" s="2"/>
      <c r="CBZ119" s="2"/>
      <c r="CCA119" s="2"/>
      <c r="CCB119" s="2"/>
      <c r="CCC119" s="2"/>
      <c r="CCD119" s="2"/>
      <c r="CCE119" s="2"/>
      <c r="CCF119" s="2"/>
      <c r="CCG119" s="2"/>
      <c r="CCH119" s="2"/>
      <c r="CCI119" s="2"/>
      <c r="CCJ119" s="2"/>
      <c r="CCK119" s="2"/>
      <c r="CCL119" s="2"/>
      <c r="CCM119" s="2"/>
      <c r="CCN119" s="2"/>
      <c r="CCO119" s="2"/>
      <c r="CCP119" s="2"/>
      <c r="CCQ119" s="2"/>
      <c r="CCR119" s="2"/>
      <c r="CCS119" s="2"/>
      <c r="CCT119" s="2"/>
      <c r="CCU119" s="2"/>
      <c r="CCV119" s="2"/>
      <c r="CCW119" s="2"/>
      <c r="CCX119" s="2"/>
      <c r="CCY119" s="2"/>
      <c r="CCZ119" s="2"/>
      <c r="CDA119" s="2"/>
      <c r="CDB119" s="2"/>
      <c r="CDC119" s="2"/>
      <c r="CDD119" s="2"/>
      <c r="CDE119" s="2"/>
      <c r="CDF119" s="2"/>
      <c r="CDG119" s="2"/>
      <c r="CDH119" s="2"/>
      <c r="CDI119" s="2"/>
      <c r="CDJ119" s="2"/>
      <c r="CDK119" s="2"/>
      <c r="CDL119" s="2"/>
      <c r="CDM119" s="2"/>
      <c r="CDN119" s="2"/>
      <c r="CDO119" s="2"/>
      <c r="CDP119" s="2"/>
      <c r="CDQ119" s="2"/>
      <c r="CDR119" s="2"/>
      <c r="CDS119" s="2"/>
      <c r="CDT119" s="2"/>
      <c r="CDU119" s="2"/>
      <c r="CDV119" s="2"/>
      <c r="CDW119" s="2"/>
      <c r="CDX119" s="2"/>
      <c r="CDY119" s="2"/>
      <c r="CDZ119" s="2"/>
      <c r="CEA119" s="2"/>
      <c r="CEB119" s="2"/>
      <c r="CEC119" s="2"/>
      <c r="CED119" s="2"/>
      <c r="CEE119" s="2"/>
      <c r="CEF119" s="2"/>
      <c r="CEG119" s="2"/>
      <c r="CEH119" s="2"/>
      <c r="CEI119" s="2"/>
      <c r="CEJ119" s="2"/>
      <c r="CEK119" s="2"/>
      <c r="CEL119" s="2"/>
      <c r="CEM119" s="2"/>
      <c r="CEN119" s="2"/>
      <c r="CEO119" s="2"/>
      <c r="CEP119" s="2"/>
      <c r="CEQ119" s="2"/>
      <c r="CER119" s="2"/>
      <c r="CES119" s="2"/>
      <c r="CET119" s="2"/>
      <c r="CEU119" s="2"/>
      <c r="CEV119" s="2"/>
      <c r="CEW119" s="2"/>
      <c r="CEX119" s="2"/>
      <c r="CEY119" s="2"/>
      <c r="CEZ119" s="2"/>
      <c r="CFA119" s="2"/>
      <c r="CFB119" s="2"/>
      <c r="CFC119" s="2"/>
      <c r="CFD119" s="2"/>
      <c r="CFE119" s="2"/>
      <c r="CFF119" s="2"/>
      <c r="CFG119" s="2"/>
      <c r="CFH119" s="2"/>
      <c r="CFI119" s="2"/>
      <c r="CFJ119" s="2"/>
      <c r="CFK119" s="2"/>
      <c r="CFL119" s="2"/>
      <c r="CFM119" s="2"/>
      <c r="CFN119" s="2"/>
      <c r="CFO119" s="2"/>
      <c r="CFP119" s="2"/>
      <c r="CFQ119" s="2"/>
      <c r="CFR119" s="2"/>
      <c r="CFS119" s="2"/>
      <c r="CFT119" s="2"/>
      <c r="CFU119" s="2"/>
      <c r="CFV119" s="2"/>
      <c r="CFW119" s="2"/>
      <c r="CFX119" s="2"/>
      <c r="CFY119" s="2"/>
      <c r="CFZ119" s="2"/>
      <c r="CGA119" s="2"/>
      <c r="CGB119" s="2"/>
      <c r="CGC119" s="2"/>
      <c r="CGD119" s="2"/>
      <c r="CGE119" s="2"/>
      <c r="CGF119" s="2"/>
      <c r="CGG119" s="2"/>
      <c r="CGH119" s="2"/>
      <c r="CGI119" s="2"/>
      <c r="CGJ119" s="2"/>
      <c r="CGK119" s="2"/>
      <c r="CGL119" s="2"/>
      <c r="CGM119" s="2"/>
      <c r="CGN119" s="2"/>
      <c r="CGO119" s="2"/>
      <c r="CGP119" s="2"/>
      <c r="CGQ119" s="2"/>
      <c r="CGR119" s="2"/>
      <c r="CGS119" s="2"/>
      <c r="CGT119" s="2"/>
      <c r="CGU119" s="2"/>
      <c r="CGV119" s="2"/>
      <c r="CGW119" s="2"/>
      <c r="CGX119" s="2"/>
      <c r="CGY119" s="2"/>
      <c r="CGZ119" s="2"/>
      <c r="CHA119" s="2"/>
      <c r="CHB119" s="2"/>
      <c r="CHC119" s="2"/>
      <c r="CHD119" s="2"/>
      <c r="CHE119" s="2"/>
      <c r="CHF119" s="2"/>
      <c r="CHG119" s="2"/>
      <c r="CHH119" s="2"/>
      <c r="CHI119" s="2"/>
      <c r="CHJ119" s="2"/>
      <c r="CHK119" s="2"/>
      <c r="CHL119" s="2"/>
      <c r="CHM119" s="2"/>
      <c r="CHN119" s="2"/>
      <c r="CHO119" s="2"/>
      <c r="CHP119" s="2"/>
      <c r="CHQ119" s="2"/>
      <c r="CHR119" s="2"/>
      <c r="CHS119" s="2"/>
      <c r="CHT119" s="2"/>
      <c r="CHU119" s="2"/>
      <c r="CHV119" s="2"/>
      <c r="CHW119" s="2"/>
      <c r="CHX119" s="2"/>
      <c r="CHY119" s="2"/>
      <c r="CHZ119" s="2"/>
      <c r="CIA119" s="2"/>
      <c r="CIB119" s="2"/>
      <c r="CIC119" s="2"/>
      <c r="CID119" s="2"/>
      <c r="CIE119" s="2"/>
      <c r="CIF119" s="2"/>
      <c r="CIG119" s="2"/>
      <c r="CIH119" s="2"/>
      <c r="CII119" s="2"/>
      <c r="CIJ119" s="2"/>
      <c r="CIK119" s="2"/>
      <c r="CIL119" s="2"/>
      <c r="CIM119" s="2"/>
      <c r="CIN119" s="2"/>
      <c r="CIO119" s="2"/>
      <c r="CIP119" s="2"/>
      <c r="CIQ119" s="2"/>
      <c r="CIR119" s="2"/>
      <c r="CIS119" s="2"/>
      <c r="CIT119" s="2"/>
      <c r="CIU119" s="2"/>
      <c r="CIV119" s="2"/>
      <c r="CIW119" s="2"/>
      <c r="CIX119" s="2"/>
      <c r="CIY119" s="2"/>
      <c r="CIZ119" s="2"/>
      <c r="CJA119" s="2"/>
      <c r="CJB119" s="2"/>
      <c r="CJC119" s="2"/>
      <c r="CJD119" s="2"/>
      <c r="CJE119" s="2"/>
      <c r="CJF119" s="2"/>
      <c r="CJG119" s="2"/>
      <c r="CJH119" s="2"/>
      <c r="CJI119" s="2"/>
      <c r="CJJ119" s="2"/>
      <c r="CJK119" s="2"/>
      <c r="CJL119" s="2"/>
      <c r="CJM119" s="2"/>
      <c r="CJN119" s="2"/>
      <c r="CJO119" s="2"/>
      <c r="CJP119" s="2"/>
      <c r="CJQ119" s="2"/>
      <c r="CJR119" s="2"/>
      <c r="CJS119" s="2"/>
      <c r="CJT119" s="2"/>
      <c r="CJU119" s="2"/>
      <c r="CJV119" s="2"/>
      <c r="CJW119" s="2"/>
      <c r="CJX119" s="2"/>
      <c r="CJY119" s="2"/>
      <c r="CJZ119" s="2"/>
      <c r="CKA119" s="2"/>
      <c r="CKB119" s="2"/>
      <c r="CKC119" s="2"/>
      <c r="CKD119" s="2"/>
      <c r="CKE119" s="2"/>
      <c r="CKF119" s="2"/>
      <c r="CKG119" s="2"/>
      <c r="CKH119" s="2"/>
      <c r="CKI119" s="2"/>
      <c r="CKJ119" s="2"/>
      <c r="CKK119" s="2"/>
      <c r="CKL119" s="2"/>
      <c r="CKM119" s="2"/>
      <c r="CKN119" s="2"/>
      <c r="CKO119" s="2"/>
      <c r="CKP119" s="2"/>
      <c r="CKQ119" s="2"/>
      <c r="CKR119" s="2"/>
      <c r="CKS119" s="2"/>
      <c r="CKT119" s="2"/>
      <c r="CKU119" s="2"/>
      <c r="CKV119" s="2"/>
      <c r="CKW119" s="2"/>
      <c r="CKX119" s="2"/>
      <c r="CKY119" s="2"/>
      <c r="CKZ119" s="2"/>
      <c r="CLA119" s="2"/>
      <c r="CLB119" s="2"/>
      <c r="CLC119" s="2"/>
      <c r="CLD119" s="2"/>
      <c r="CLE119" s="2"/>
      <c r="CLF119" s="2"/>
      <c r="CLG119" s="2"/>
      <c r="CLH119" s="2"/>
      <c r="CLI119" s="2"/>
      <c r="CLJ119" s="2"/>
      <c r="CLK119" s="2"/>
      <c r="CLL119" s="2"/>
      <c r="CLM119" s="2"/>
      <c r="CLN119" s="2"/>
      <c r="CLO119" s="2"/>
      <c r="CLP119" s="2"/>
      <c r="CLQ119" s="2"/>
      <c r="CLR119" s="2"/>
      <c r="CLS119" s="2"/>
      <c r="CLT119" s="2"/>
      <c r="CLU119" s="2"/>
      <c r="CLV119" s="2"/>
      <c r="CLW119" s="2"/>
      <c r="CLX119" s="2"/>
      <c r="CLY119" s="2"/>
      <c r="CLZ119" s="2"/>
      <c r="CMA119" s="2"/>
      <c r="CMB119" s="2"/>
      <c r="CMC119" s="2"/>
      <c r="CMD119" s="2"/>
      <c r="CME119" s="2"/>
      <c r="CMF119" s="2"/>
      <c r="CMG119" s="2"/>
      <c r="CMH119" s="2"/>
      <c r="CMI119" s="2"/>
      <c r="CMJ119" s="2"/>
      <c r="CMK119" s="2"/>
      <c r="CML119" s="2"/>
      <c r="CMM119" s="2"/>
      <c r="CMN119" s="2"/>
      <c r="CMO119" s="2"/>
      <c r="CMP119" s="2"/>
      <c r="CMQ119" s="2"/>
      <c r="CMR119" s="2"/>
      <c r="CMS119" s="2"/>
      <c r="CMT119" s="2"/>
      <c r="CMU119" s="2"/>
      <c r="CMV119" s="2"/>
      <c r="CMW119" s="2"/>
      <c r="CMX119" s="2"/>
      <c r="CMY119" s="2"/>
      <c r="CMZ119" s="2"/>
      <c r="CNA119" s="2"/>
      <c r="CNB119" s="2"/>
      <c r="CNC119" s="2"/>
      <c r="CND119" s="2"/>
      <c r="CNE119" s="2"/>
      <c r="CNF119" s="2"/>
      <c r="CNG119" s="2"/>
      <c r="CNH119" s="2"/>
      <c r="CNI119" s="2"/>
      <c r="CNJ119" s="2"/>
      <c r="CNK119" s="2"/>
      <c r="CNL119" s="2"/>
      <c r="CNM119" s="2"/>
      <c r="CNN119" s="2"/>
      <c r="CNO119" s="2"/>
      <c r="CNP119" s="2"/>
      <c r="CNQ119" s="2"/>
      <c r="CNR119" s="2"/>
      <c r="CNS119" s="2"/>
      <c r="CNT119" s="2"/>
      <c r="CNU119" s="2"/>
      <c r="CNV119" s="2"/>
      <c r="CNW119" s="2"/>
      <c r="CNX119" s="2"/>
      <c r="CNY119" s="2"/>
      <c r="CNZ119" s="2"/>
      <c r="COA119" s="2"/>
      <c r="COB119" s="2"/>
      <c r="COC119" s="2"/>
      <c r="COD119" s="2"/>
      <c r="COE119" s="2"/>
      <c r="COF119" s="2"/>
      <c r="COG119" s="2"/>
      <c r="COH119" s="2"/>
      <c r="COI119" s="2"/>
      <c r="COJ119" s="2"/>
      <c r="COK119" s="2"/>
      <c r="COL119" s="2"/>
      <c r="COM119" s="2"/>
      <c r="CON119" s="2"/>
      <c r="COO119" s="2"/>
      <c r="COP119" s="2"/>
      <c r="COQ119" s="2"/>
      <c r="COR119" s="2"/>
      <c r="COS119" s="2"/>
      <c r="COT119" s="2"/>
      <c r="COU119" s="2"/>
      <c r="COV119" s="2"/>
      <c r="COW119" s="2"/>
      <c r="COX119" s="2"/>
      <c r="COY119" s="2"/>
      <c r="COZ119" s="2"/>
      <c r="CPA119" s="2"/>
      <c r="CPB119" s="2"/>
      <c r="CPC119" s="2"/>
      <c r="CPD119" s="2"/>
      <c r="CPE119" s="2"/>
      <c r="CPF119" s="2"/>
      <c r="CPG119" s="2"/>
      <c r="CPH119" s="2"/>
      <c r="CPI119" s="2"/>
      <c r="CPJ119" s="2"/>
      <c r="CPK119" s="2"/>
      <c r="CPL119" s="2"/>
      <c r="CPM119" s="2"/>
      <c r="CPN119" s="2"/>
      <c r="CPO119" s="2"/>
      <c r="CPP119" s="2"/>
      <c r="CPQ119" s="2"/>
      <c r="CPR119" s="2"/>
      <c r="CPS119" s="2"/>
      <c r="CPT119" s="2"/>
      <c r="CPU119" s="2"/>
      <c r="CPV119" s="2"/>
      <c r="CPW119" s="2"/>
      <c r="CPX119" s="2"/>
      <c r="CPY119" s="2"/>
      <c r="CPZ119" s="2"/>
      <c r="CQA119" s="2"/>
      <c r="CQB119" s="2"/>
      <c r="CQC119" s="2"/>
      <c r="CQD119" s="2"/>
      <c r="CQE119" s="2"/>
      <c r="CQF119" s="2"/>
      <c r="CQG119" s="2"/>
      <c r="CQH119" s="2"/>
      <c r="CQI119" s="2"/>
      <c r="CQJ119" s="2"/>
      <c r="CQK119" s="2"/>
      <c r="CQL119" s="2"/>
      <c r="CQM119" s="2"/>
      <c r="CQN119" s="2"/>
      <c r="CQO119" s="2"/>
      <c r="CQP119" s="2"/>
      <c r="CQQ119" s="2"/>
      <c r="CQR119" s="2"/>
      <c r="CQS119" s="2"/>
      <c r="CQT119" s="2"/>
      <c r="CQU119" s="2"/>
      <c r="CQV119" s="2"/>
      <c r="CQW119" s="2"/>
      <c r="CQX119" s="2"/>
      <c r="CQY119" s="2"/>
      <c r="CQZ119" s="2"/>
      <c r="CRA119" s="2"/>
      <c r="CRB119" s="2"/>
      <c r="CRC119" s="2"/>
      <c r="CRD119" s="2"/>
      <c r="CRE119" s="2"/>
      <c r="CRF119" s="2"/>
      <c r="CRG119" s="2"/>
      <c r="CRH119" s="2"/>
      <c r="CRI119" s="2"/>
      <c r="CRJ119" s="2"/>
      <c r="CRK119" s="2"/>
      <c r="CRL119" s="2"/>
      <c r="CRM119" s="2"/>
      <c r="CRN119" s="2"/>
      <c r="CRO119" s="2"/>
      <c r="CRP119" s="2"/>
      <c r="CRQ119" s="2"/>
      <c r="CRR119" s="2"/>
      <c r="CRS119" s="2"/>
      <c r="CRT119" s="2"/>
      <c r="CRU119" s="2"/>
      <c r="CRV119" s="2"/>
      <c r="CRW119" s="2"/>
      <c r="CRX119" s="2"/>
      <c r="CRY119" s="2"/>
      <c r="CRZ119" s="2"/>
      <c r="CSA119" s="2"/>
      <c r="CSB119" s="2"/>
      <c r="CSC119" s="2"/>
      <c r="CSD119" s="2"/>
      <c r="CSE119" s="2"/>
      <c r="CSF119" s="2"/>
      <c r="CSG119" s="2"/>
      <c r="CSH119" s="2"/>
      <c r="CSI119" s="2"/>
      <c r="CSJ119" s="2"/>
      <c r="CSK119" s="2"/>
      <c r="CSL119" s="2"/>
      <c r="CSM119" s="2"/>
      <c r="CSN119" s="2"/>
      <c r="CSO119" s="2"/>
      <c r="CSP119" s="2"/>
      <c r="CSQ119" s="2"/>
      <c r="CSR119" s="2"/>
      <c r="CSS119" s="2"/>
      <c r="CST119" s="2"/>
      <c r="CSU119" s="2"/>
      <c r="CSV119" s="2"/>
      <c r="CSW119" s="2"/>
      <c r="CSX119" s="2"/>
      <c r="CSY119" s="2"/>
      <c r="CSZ119" s="2"/>
      <c r="CTA119" s="2"/>
      <c r="CTB119" s="2"/>
      <c r="CTC119" s="2"/>
      <c r="CTD119" s="2"/>
      <c r="CTE119" s="2"/>
      <c r="CTF119" s="2"/>
      <c r="CTG119" s="2"/>
      <c r="CTH119" s="2"/>
      <c r="CTI119" s="2"/>
      <c r="CTJ119" s="2"/>
      <c r="CTK119" s="2"/>
      <c r="CTL119" s="2"/>
      <c r="CTM119" s="2"/>
      <c r="CTN119" s="2"/>
      <c r="CTO119" s="2"/>
      <c r="CTP119" s="2"/>
      <c r="CTQ119" s="2"/>
      <c r="CTR119" s="2"/>
      <c r="CTS119" s="2"/>
      <c r="CTT119" s="2"/>
      <c r="CTU119" s="2"/>
      <c r="CTV119" s="2"/>
      <c r="CTW119" s="2"/>
      <c r="CTX119" s="2"/>
      <c r="CTY119" s="2"/>
      <c r="CTZ119" s="2"/>
      <c r="CUA119" s="2"/>
      <c r="CUB119" s="2"/>
      <c r="CUC119" s="2"/>
      <c r="CUD119" s="2"/>
      <c r="CUE119" s="2"/>
      <c r="CUF119" s="2"/>
      <c r="CUG119" s="2"/>
      <c r="CUH119" s="2"/>
      <c r="CUI119" s="2"/>
      <c r="CUJ119" s="2"/>
      <c r="CUK119" s="2"/>
      <c r="CUL119" s="2"/>
      <c r="CUM119" s="2"/>
      <c r="CUN119" s="2"/>
      <c r="CUO119" s="2"/>
      <c r="CUP119" s="2"/>
      <c r="CUQ119" s="2"/>
      <c r="CUR119" s="2"/>
      <c r="CUS119" s="2"/>
      <c r="CUT119" s="2"/>
      <c r="CUU119" s="2"/>
      <c r="CUV119" s="2"/>
      <c r="CUW119" s="2"/>
      <c r="CUX119" s="2"/>
      <c r="CUY119" s="2"/>
      <c r="CUZ119" s="2"/>
      <c r="CVA119" s="2"/>
      <c r="CVB119" s="2"/>
      <c r="CVC119" s="2"/>
      <c r="CVD119" s="2"/>
      <c r="CVE119" s="2"/>
      <c r="CVF119" s="2"/>
      <c r="CVG119" s="2"/>
      <c r="CVH119" s="2"/>
      <c r="CVI119" s="2"/>
      <c r="CVJ119" s="2"/>
      <c r="CVK119" s="2"/>
      <c r="CVL119" s="2"/>
      <c r="CVM119" s="2"/>
      <c r="CVN119" s="2"/>
      <c r="CVO119" s="2"/>
      <c r="CVP119" s="2"/>
      <c r="CVQ119" s="2"/>
      <c r="CVR119" s="2"/>
      <c r="CVS119" s="2"/>
      <c r="CVT119" s="2"/>
      <c r="CVU119" s="2"/>
      <c r="CVV119" s="2"/>
      <c r="CVW119" s="2"/>
      <c r="CVX119" s="2"/>
      <c r="CVY119" s="2"/>
      <c r="CVZ119" s="2"/>
      <c r="CWA119" s="2"/>
      <c r="CWB119" s="2"/>
      <c r="CWC119" s="2"/>
      <c r="CWD119" s="2"/>
      <c r="CWE119" s="2"/>
      <c r="CWF119" s="2"/>
      <c r="CWG119" s="2"/>
      <c r="CWH119" s="2"/>
      <c r="CWI119" s="2"/>
      <c r="CWJ119" s="2"/>
      <c r="CWK119" s="2"/>
      <c r="CWL119" s="2"/>
      <c r="CWM119" s="2"/>
      <c r="CWN119" s="2"/>
      <c r="CWO119" s="2"/>
      <c r="CWP119" s="2"/>
      <c r="CWQ119" s="2"/>
      <c r="CWR119" s="2"/>
      <c r="CWS119" s="2"/>
      <c r="CWT119" s="2"/>
      <c r="CWU119" s="2"/>
      <c r="CWV119" s="2"/>
      <c r="CWW119" s="2"/>
      <c r="CWX119" s="2"/>
      <c r="CWY119" s="2"/>
      <c r="CWZ119" s="2"/>
      <c r="CXA119" s="2"/>
      <c r="CXB119" s="2"/>
      <c r="CXC119" s="2"/>
      <c r="CXD119" s="2"/>
      <c r="CXE119" s="2"/>
      <c r="CXF119" s="2"/>
      <c r="CXG119" s="2"/>
      <c r="CXH119" s="2"/>
      <c r="CXI119" s="2"/>
      <c r="CXJ119" s="2"/>
      <c r="CXK119" s="2"/>
      <c r="CXL119" s="2"/>
      <c r="CXM119" s="2"/>
      <c r="CXN119" s="2"/>
      <c r="CXO119" s="2"/>
      <c r="CXP119" s="2"/>
      <c r="CXQ119" s="2"/>
      <c r="CXR119" s="2"/>
      <c r="CXS119" s="2"/>
      <c r="CXT119" s="2"/>
      <c r="CXU119" s="2"/>
      <c r="CXV119" s="2"/>
      <c r="CXW119" s="2"/>
      <c r="CXX119" s="2"/>
      <c r="CXY119" s="2"/>
      <c r="CXZ119" s="2"/>
      <c r="CYA119" s="2"/>
      <c r="CYB119" s="2"/>
      <c r="CYC119" s="2"/>
      <c r="CYD119" s="2"/>
      <c r="CYE119" s="2"/>
      <c r="CYF119" s="2"/>
      <c r="CYG119" s="2"/>
      <c r="CYH119" s="2"/>
      <c r="CYI119" s="2"/>
      <c r="CYJ119" s="2"/>
      <c r="CYK119" s="2"/>
      <c r="CYL119" s="2"/>
      <c r="CYM119" s="2"/>
      <c r="CYN119" s="2"/>
      <c r="CYO119" s="2"/>
      <c r="CYP119" s="2"/>
      <c r="CYQ119" s="2"/>
      <c r="CYR119" s="2"/>
      <c r="CYS119" s="2"/>
      <c r="CYT119" s="2"/>
      <c r="CYU119" s="2"/>
      <c r="CYV119" s="2"/>
      <c r="CYW119" s="2"/>
      <c r="CYX119" s="2"/>
      <c r="CYY119" s="2"/>
      <c r="CYZ119" s="2"/>
      <c r="CZA119" s="2"/>
      <c r="CZB119" s="2"/>
      <c r="CZC119" s="2"/>
      <c r="CZD119" s="2"/>
      <c r="CZE119" s="2"/>
      <c r="CZF119" s="2"/>
      <c r="CZG119" s="2"/>
      <c r="CZH119" s="2"/>
      <c r="CZI119" s="2"/>
      <c r="CZJ119" s="2"/>
      <c r="CZK119" s="2"/>
      <c r="CZL119" s="2"/>
      <c r="CZM119" s="2"/>
      <c r="CZN119" s="2"/>
      <c r="CZO119" s="2"/>
      <c r="CZP119" s="2"/>
      <c r="CZQ119" s="2"/>
      <c r="CZR119" s="2"/>
      <c r="CZS119" s="2"/>
      <c r="CZT119" s="2"/>
      <c r="CZU119" s="2"/>
      <c r="CZV119" s="2"/>
      <c r="CZW119" s="2"/>
      <c r="CZX119" s="2"/>
      <c r="CZY119" s="2"/>
      <c r="CZZ119" s="2"/>
      <c r="DAA119" s="2"/>
      <c r="DAB119" s="2"/>
      <c r="DAC119" s="2"/>
      <c r="DAD119" s="2"/>
      <c r="DAE119" s="2"/>
      <c r="DAF119" s="2"/>
      <c r="DAG119" s="2"/>
      <c r="DAH119" s="2"/>
      <c r="DAI119" s="2"/>
      <c r="DAJ119" s="2"/>
      <c r="DAK119" s="2"/>
      <c r="DAL119" s="2"/>
      <c r="DAM119" s="2"/>
      <c r="DAN119" s="2"/>
      <c r="DAO119" s="2"/>
      <c r="DAP119" s="2"/>
      <c r="DAQ119" s="2"/>
      <c r="DAR119" s="2"/>
      <c r="DAS119" s="2"/>
      <c r="DAT119" s="2"/>
      <c r="DAU119" s="2"/>
      <c r="DAV119" s="2"/>
      <c r="DAW119" s="2"/>
      <c r="DAX119" s="2"/>
      <c r="DAY119" s="2"/>
      <c r="DAZ119" s="2"/>
      <c r="DBA119" s="2"/>
      <c r="DBB119" s="2"/>
      <c r="DBC119" s="2"/>
      <c r="DBD119" s="2"/>
      <c r="DBE119" s="2"/>
      <c r="DBF119" s="2"/>
      <c r="DBG119" s="2"/>
      <c r="DBH119" s="2"/>
      <c r="DBI119" s="2"/>
      <c r="DBJ119" s="2"/>
      <c r="DBK119" s="2"/>
      <c r="DBL119" s="2"/>
      <c r="DBM119" s="2"/>
      <c r="DBN119" s="2"/>
      <c r="DBO119" s="2"/>
      <c r="DBP119" s="2"/>
      <c r="DBQ119" s="2"/>
      <c r="DBR119" s="2"/>
      <c r="DBS119" s="2"/>
      <c r="DBT119" s="2"/>
      <c r="DBU119" s="2"/>
      <c r="DBV119" s="2"/>
      <c r="DBW119" s="2"/>
      <c r="DBX119" s="2"/>
      <c r="DBY119" s="2"/>
      <c r="DBZ119" s="2"/>
      <c r="DCA119" s="2"/>
      <c r="DCB119" s="2"/>
      <c r="DCC119" s="2"/>
      <c r="DCD119" s="2"/>
      <c r="DCE119" s="2"/>
      <c r="DCF119" s="2"/>
      <c r="DCG119" s="2"/>
      <c r="DCH119" s="2"/>
      <c r="DCI119" s="2"/>
      <c r="DCJ119" s="2"/>
      <c r="DCK119" s="2"/>
      <c r="DCL119" s="2"/>
      <c r="DCM119" s="2"/>
      <c r="DCN119" s="2"/>
      <c r="DCO119" s="2"/>
      <c r="DCP119" s="2"/>
      <c r="DCQ119" s="2"/>
      <c r="DCR119" s="2"/>
      <c r="DCS119" s="2"/>
      <c r="DCT119" s="2"/>
      <c r="DCU119" s="2"/>
      <c r="DCV119" s="2"/>
      <c r="DCW119" s="2"/>
      <c r="DCX119" s="2"/>
      <c r="DCY119" s="2"/>
      <c r="DCZ119" s="2"/>
      <c r="DDA119" s="2"/>
      <c r="DDB119" s="2"/>
      <c r="DDC119" s="2"/>
      <c r="DDD119" s="2"/>
      <c r="DDE119" s="2"/>
      <c r="DDF119" s="2"/>
      <c r="DDG119" s="2"/>
      <c r="DDH119" s="2"/>
      <c r="DDI119" s="2"/>
      <c r="DDJ119" s="2"/>
      <c r="DDK119" s="2"/>
      <c r="DDL119" s="2"/>
      <c r="DDM119" s="2"/>
      <c r="DDN119" s="2"/>
      <c r="DDO119" s="2"/>
      <c r="DDP119" s="2"/>
      <c r="DDQ119" s="2"/>
      <c r="DDR119" s="2"/>
      <c r="DDS119" s="2"/>
      <c r="DDT119" s="2"/>
      <c r="DDU119" s="2"/>
      <c r="DDV119" s="2"/>
      <c r="DDW119" s="2"/>
      <c r="DDX119" s="2"/>
      <c r="DDY119" s="2"/>
      <c r="DDZ119" s="2"/>
      <c r="DEA119" s="2"/>
      <c r="DEB119" s="2"/>
      <c r="DEC119" s="2"/>
      <c r="DED119" s="2"/>
      <c r="DEE119" s="2"/>
      <c r="DEF119" s="2"/>
      <c r="DEG119" s="2"/>
      <c r="DEH119" s="2"/>
      <c r="DEI119" s="2"/>
      <c r="DEJ119" s="2"/>
      <c r="DEK119" s="2"/>
      <c r="DEL119" s="2"/>
      <c r="DEM119" s="2"/>
      <c r="DEN119" s="2"/>
      <c r="DEO119" s="2"/>
      <c r="DEP119" s="2"/>
      <c r="DEQ119" s="2"/>
      <c r="DER119" s="2"/>
      <c r="DES119" s="2"/>
      <c r="DET119" s="2"/>
      <c r="DEU119" s="2"/>
      <c r="DEV119" s="2"/>
      <c r="DEW119" s="2"/>
      <c r="DEX119" s="2"/>
      <c r="DEY119" s="2"/>
      <c r="DEZ119" s="2"/>
      <c r="DFA119" s="2"/>
      <c r="DFB119" s="2"/>
      <c r="DFC119" s="2"/>
      <c r="DFD119" s="2"/>
      <c r="DFE119" s="2"/>
      <c r="DFF119" s="2"/>
      <c r="DFG119" s="2"/>
      <c r="DFH119" s="2"/>
      <c r="DFI119" s="2"/>
      <c r="DFJ119" s="2"/>
      <c r="DFK119" s="2"/>
      <c r="DFL119" s="2"/>
      <c r="DFM119" s="2"/>
      <c r="DFN119" s="2"/>
      <c r="DFO119" s="2"/>
      <c r="DFP119" s="2"/>
      <c r="DFQ119" s="2"/>
      <c r="DFR119" s="2"/>
      <c r="DFS119" s="2"/>
      <c r="DFT119" s="2"/>
      <c r="DFU119" s="2"/>
      <c r="DFV119" s="2"/>
      <c r="DFW119" s="2"/>
      <c r="DFX119" s="2"/>
      <c r="DFY119" s="2"/>
      <c r="DFZ119" s="2"/>
      <c r="DGA119" s="2"/>
      <c r="DGB119" s="2"/>
      <c r="DGC119" s="2"/>
      <c r="DGD119" s="2"/>
      <c r="DGE119" s="2"/>
      <c r="DGF119" s="2"/>
      <c r="DGG119" s="2"/>
      <c r="DGH119" s="2"/>
      <c r="DGI119" s="2"/>
      <c r="DGJ119" s="2"/>
      <c r="DGK119" s="2"/>
      <c r="DGL119" s="2"/>
      <c r="DGM119" s="2"/>
      <c r="DGN119" s="2"/>
      <c r="DGO119" s="2"/>
      <c r="DGP119" s="2"/>
      <c r="DGQ119" s="2"/>
      <c r="DGR119" s="2"/>
      <c r="DGS119" s="2"/>
      <c r="DGT119" s="2"/>
      <c r="DGU119" s="2"/>
      <c r="DGV119" s="2"/>
      <c r="DGW119" s="2"/>
      <c r="DGX119" s="2"/>
      <c r="DGY119" s="2"/>
      <c r="DGZ119" s="2"/>
      <c r="DHA119" s="2"/>
      <c r="DHB119" s="2"/>
      <c r="DHC119" s="2"/>
      <c r="DHD119" s="2"/>
      <c r="DHE119" s="2"/>
      <c r="DHF119" s="2"/>
      <c r="DHG119" s="2"/>
      <c r="DHH119" s="2"/>
      <c r="DHI119" s="2"/>
      <c r="DHJ119" s="2"/>
      <c r="DHK119" s="2"/>
      <c r="DHL119" s="2"/>
      <c r="DHM119" s="2"/>
      <c r="DHN119" s="2"/>
      <c r="DHO119" s="2"/>
      <c r="DHP119" s="2"/>
      <c r="DHQ119" s="2"/>
      <c r="DHR119" s="2"/>
      <c r="DHS119" s="2"/>
      <c r="DHT119" s="2"/>
      <c r="DHU119" s="2"/>
      <c r="DHV119" s="2"/>
      <c r="DHW119" s="2"/>
      <c r="DHX119" s="2"/>
      <c r="DHY119" s="2"/>
      <c r="DHZ119" s="2"/>
      <c r="DIA119" s="2"/>
      <c r="DIB119" s="2"/>
      <c r="DIC119" s="2"/>
      <c r="DID119" s="2"/>
      <c r="DIE119" s="2"/>
      <c r="DIF119" s="2"/>
      <c r="DIG119" s="2"/>
      <c r="DIH119" s="2"/>
      <c r="DII119" s="2"/>
      <c r="DIJ119" s="2"/>
      <c r="DIK119" s="2"/>
      <c r="DIL119" s="2"/>
      <c r="DIM119" s="2"/>
      <c r="DIN119" s="2"/>
      <c r="DIO119" s="2"/>
      <c r="DIP119" s="2"/>
      <c r="DIQ119" s="2"/>
      <c r="DIR119" s="2"/>
      <c r="DIS119" s="2"/>
      <c r="DIT119" s="2"/>
      <c r="DIU119" s="2"/>
      <c r="DIV119" s="2"/>
      <c r="DIW119" s="2"/>
      <c r="DIX119" s="2"/>
      <c r="DIY119" s="2"/>
      <c r="DIZ119" s="2"/>
      <c r="DJA119" s="2"/>
      <c r="DJB119" s="2"/>
      <c r="DJC119" s="2"/>
      <c r="DJD119" s="2"/>
      <c r="DJE119" s="2"/>
      <c r="DJF119" s="2"/>
      <c r="DJG119" s="2"/>
      <c r="DJH119" s="2"/>
      <c r="DJI119" s="2"/>
      <c r="DJJ119" s="2"/>
      <c r="DJK119" s="2"/>
      <c r="DJL119" s="2"/>
      <c r="DJM119" s="2"/>
      <c r="DJN119" s="2"/>
      <c r="DJO119" s="2"/>
      <c r="DJP119" s="2"/>
      <c r="DJQ119" s="2"/>
      <c r="DJR119" s="2"/>
      <c r="DJS119" s="2"/>
      <c r="DJT119" s="2"/>
      <c r="DJU119" s="2"/>
      <c r="DJV119" s="2"/>
      <c r="DJW119" s="2"/>
      <c r="DJX119" s="2"/>
      <c r="DJY119" s="2"/>
      <c r="DJZ119" s="2"/>
      <c r="DKA119" s="2"/>
      <c r="DKB119" s="2"/>
      <c r="DKC119" s="2"/>
      <c r="DKD119" s="2"/>
      <c r="DKE119" s="2"/>
      <c r="DKF119" s="2"/>
      <c r="DKG119" s="2"/>
      <c r="DKH119" s="2"/>
      <c r="DKI119" s="2"/>
      <c r="DKJ119" s="2"/>
      <c r="DKK119" s="2"/>
      <c r="DKL119" s="2"/>
      <c r="DKM119" s="2"/>
      <c r="DKN119" s="2"/>
      <c r="DKO119" s="2"/>
      <c r="DKP119" s="2"/>
      <c r="DKQ119" s="2"/>
      <c r="DKR119" s="2"/>
      <c r="DKS119" s="2"/>
      <c r="DKT119" s="2"/>
      <c r="DKU119" s="2"/>
      <c r="DKV119" s="2"/>
      <c r="DKW119" s="2"/>
      <c r="DKX119" s="2"/>
      <c r="DKY119" s="2"/>
      <c r="DKZ119" s="2"/>
      <c r="DLA119" s="2"/>
      <c r="DLB119" s="2"/>
      <c r="DLC119" s="2"/>
      <c r="DLD119" s="2"/>
      <c r="DLE119" s="2"/>
      <c r="DLF119" s="2"/>
      <c r="DLG119" s="2"/>
      <c r="DLH119" s="2"/>
      <c r="DLI119" s="2"/>
      <c r="DLJ119" s="2"/>
      <c r="DLK119" s="2"/>
      <c r="DLL119" s="2"/>
      <c r="DLM119" s="2"/>
      <c r="DLN119" s="2"/>
      <c r="DLO119" s="2"/>
      <c r="DLP119" s="2"/>
      <c r="DLQ119" s="2"/>
      <c r="DLR119" s="2"/>
      <c r="DLS119" s="2"/>
      <c r="DLT119" s="2"/>
      <c r="DLU119" s="2"/>
      <c r="DLV119" s="2"/>
      <c r="DLW119" s="2"/>
      <c r="DLX119" s="2"/>
      <c r="DLY119" s="2"/>
      <c r="DLZ119" s="2"/>
      <c r="DMA119" s="2"/>
      <c r="DMB119" s="2"/>
      <c r="DMC119" s="2"/>
      <c r="DMD119" s="2"/>
      <c r="DME119" s="2"/>
      <c r="DMF119" s="2"/>
      <c r="DMG119" s="2"/>
      <c r="DMH119" s="2"/>
      <c r="DMI119" s="2"/>
      <c r="DMJ119" s="2"/>
      <c r="DMK119" s="2"/>
      <c r="DML119" s="2"/>
      <c r="DMM119" s="2"/>
      <c r="DMN119" s="2"/>
      <c r="DMO119" s="2"/>
      <c r="DMP119" s="2"/>
      <c r="DMQ119" s="2"/>
      <c r="DMR119" s="2"/>
      <c r="DMS119" s="2"/>
      <c r="DMT119" s="2"/>
      <c r="DMU119" s="2"/>
      <c r="DMV119" s="2"/>
      <c r="DMW119" s="2"/>
      <c r="DMX119" s="2"/>
      <c r="DMY119" s="2"/>
      <c r="DMZ119" s="2"/>
      <c r="DNA119" s="2"/>
      <c r="DNB119" s="2"/>
      <c r="DNC119" s="2"/>
      <c r="DND119" s="2"/>
      <c r="DNE119" s="2"/>
      <c r="DNF119" s="2"/>
      <c r="DNG119" s="2"/>
      <c r="DNH119" s="2"/>
      <c r="DNI119" s="2"/>
      <c r="DNJ119" s="2"/>
      <c r="DNK119" s="2"/>
      <c r="DNL119" s="2"/>
      <c r="DNM119" s="2"/>
      <c r="DNN119" s="2"/>
      <c r="DNO119" s="2"/>
      <c r="DNP119" s="2"/>
      <c r="DNQ119" s="2"/>
      <c r="DNR119" s="2"/>
      <c r="DNS119" s="2"/>
      <c r="DNT119" s="2"/>
      <c r="DNU119" s="2"/>
      <c r="DNV119" s="2"/>
      <c r="DNW119" s="2"/>
      <c r="DNX119" s="2"/>
      <c r="DNY119" s="2"/>
      <c r="DNZ119" s="2"/>
      <c r="DOA119" s="2"/>
      <c r="DOB119" s="2"/>
      <c r="DOC119" s="2"/>
      <c r="DOD119" s="2"/>
      <c r="DOE119" s="2"/>
      <c r="DOF119" s="2"/>
      <c r="DOG119" s="2"/>
      <c r="DOH119" s="2"/>
      <c r="DOI119" s="2"/>
      <c r="DOJ119" s="2"/>
      <c r="DOK119" s="2"/>
      <c r="DOL119" s="2"/>
      <c r="DOM119" s="2"/>
      <c r="DON119" s="2"/>
      <c r="DOO119" s="2"/>
      <c r="DOP119" s="2"/>
      <c r="DOQ119" s="2"/>
      <c r="DOR119" s="2"/>
      <c r="DOS119" s="2"/>
      <c r="DOT119" s="2"/>
      <c r="DOU119" s="2"/>
      <c r="DOV119" s="2"/>
      <c r="DOW119" s="2"/>
      <c r="DOX119" s="2"/>
      <c r="DOY119" s="2"/>
      <c r="DOZ119" s="2"/>
      <c r="DPA119" s="2"/>
      <c r="DPB119" s="2"/>
      <c r="DPC119" s="2"/>
      <c r="DPD119" s="2"/>
      <c r="DPE119" s="2"/>
      <c r="DPF119" s="2"/>
      <c r="DPG119" s="2"/>
      <c r="DPH119" s="2"/>
      <c r="DPI119" s="2"/>
      <c r="DPJ119" s="2"/>
      <c r="DPK119" s="2"/>
      <c r="DPL119" s="2"/>
      <c r="DPM119" s="2"/>
      <c r="DPN119" s="2"/>
      <c r="DPO119" s="2"/>
      <c r="DPP119" s="2"/>
      <c r="DPQ119" s="2"/>
      <c r="DPR119" s="2"/>
      <c r="DPS119" s="2"/>
      <c r="DPT119" s="2"/>
      <c r="DPU119" s="2"/>
      <c r="DPV119" s="2"/>
      <c r="DPW119" s="2"/>
      <c r="DPX119" s="2"/>
      <c r="DPY119" s="2"/>
      <c r="DPZ119" s="2"/>
      <c r="DQA119" s="2"/>
      <c r="DQB119" s="2"/>
      <c r="DQC119" s="2"/>
      <c r="DQD119" s="2"/>
      <c r="DQE119" s="2"/>
      <c r="DQF119" s="2"/>
      <c r="DQG119" s="2"/>
      <c r="DQH119" s="2"/>
      <c r="DQI119" s="2"/>
      <c r="DQJ119" s="2"/>
      <c r="DQK119" s="2"/>
      <c r="DQL119" s="2"/>
      <c r="DQM119" s="2"/>
      <c r="DQN119" s="2"/>
      <c r="DQO119" s="2"/>
      <c r="DQP119" s="2"/>
      <c r="DQQ119" s="2"/>
      <c r="DQR119" s="2"/>
      <c r="DQS119" s="2"/>
      <c r="DQT119" s="2"/>
      <c r="DQU119" s="2"/>
      <c r="DQV119" s="2"/>
      <c r="DQW119" s="2"/>
      <c r="DQX119" s="2"/>
      <c r="DQY119" s="2"/>
      <c r="DQZ119" s="2"/>
      <c r="DRA119" s="2"/>
      <c r="DRB119" s="2"/>
      <c r="DRC119" s="2"/>
      <c r="DRD119" s="2"/>
      <c r="DRE119" s="2"/>
      <c r="DRF119" s="2"/>
      <c r="DRG119" s="2"/>
      <c r="DRH119" s="2"/>
      <c r="DRI119" s="2"/>
      <c r="DRJ119" s="2"/>
      <c r="DRK119" s="2"/>
      <c r="DRL119" s="2"/>
      <c r="DRM119" s="2"/>
      <c r="DRN119" s="2"/>
      <c r="DRO119" s="2"/>
      <c r="DRP119" s="2"/>
      <c r="DRQ119" s="2"/>
      <c r="DRR119" s="2"/>
      <c r="DRS119" s="2"/>
      <c r="DRT119" s="2"/>
      <c r="DRU119" s="2"/>
      <c r="DRV119" s="2"/>
      <c r="DRW119" s="2"/>
      <c r="DRX119" s="2"/>
      <c r="DRY119" s="2"/>
      <c r="DRZ119" s="2"/>
      <c r="DSA119" s="2"/>
      <c r="DSB119" s="2"/>
      <c r="DSC119" s="2"/>
      <c r="DSD119" s="2"/>
      <c r="DSE119" s="2"/>
      <c r="DSF119" s="2"/>
      <c r="DSG119" s="2"/>
      <c r="DSH119" s="2"/>
      <c r="DSI119" s="2"/>
      <c r="DSJ119" s="2"/>
      <c r="DSK119" s="2"/>
      <c r="DSL119" s="2"/>
      <c r="DSM119" s="2"/>
      <c r="DSN119" s="2"/>
      <c r="DSO119" s="2"/>
      <c r="DSP119" s="2"/>
      <c r="DSQ119" s="2"/>
      <c r="DSR119" s="2"/>
      <c r="DSS119" s="2"/>
      <c r="DST119" s="2"/>
      <c r="DSU119" s="2"/>
      <c r="DSV119" s="2"/>
      <c r="DSW119" s="2"/>
      <c r="DSX119" s="2"/>
      <c r="DSY119" s="2"/>
      <c r="DSZ119" s="2"/>
      <c r="DTA119" s="2"/>
      <c r="DTB119" s="2"/>
      <c r="DTC119" s="2"/>
      <c r="DTD119" s="2"/>
      <c r="DTE119" s="2"/>
      <c r="DTF119" s="2"/>
      <c r="DTG119" s="2"/>
      <c r="DTH119" s="2"/>
      <c r="DTI119" s="2"/>
      <c r="DTJ119" s="2"/>
      <c r="DTK119" s="2"/>
      <c r="DTL119" s="2"/>
      <c r="DTM119" s="2"/>
      <c r="DTN119" s="2"/>
      <c r="DTO119" s="2"/>
      <c r="DTP119" s="2"/>
      <c r="DTQ119" s="2"/>
      <c r="DTR119" s="2"/>
      <c r="DTS119" s="2"/>
      <c r="DTT119" s="2"/>
      <c r="DTU119" s="2"/>
      <c r="DTV119" s="2"/>
      <c r="DTW119" s="2"/>
      <c r="DTX119" s="2"/>
      <c r="DTY119" s="2"/>
      <c r="DTZ119" s="2"/>
      <c r="DUA119" s="2"/>
      <c r="DUB119" s="2"/>
      <c r="DUC119" s="2"/>
      <c r="DUD119" s="2"/>
      <c r="DUE119" s="2"/>
      <c r="DUF119" s="2"/>
      <c r="DUG119" s="2"/>
      <c r="DUH119" s="2"/>
      <c r="DUI119" s="2"/>
      <c r="DUJ119" s="2"/>
      <c r="DUK119" s="2"/>
      <c r="DUL119" s="2"/>
      <c r="DUM119" s="2"/>
      <c r="DUN119" s="2"/>
      <c r="DUO119" s="2"/>
      <c r="DUP119" s="2"/>
      <c r="DUQ119" s="2"/>
      <c r="DUR119" s="2"/>
      <c r="DUS119" s="2"/>
      <c r="DUT119" s="2"/>
      <c r="DUU119" s="2"/>
      <c r="DUV119" s="2"/>
      <c r="DUW119" s="2"/>
      <c r="DUX119" s="2"/>
      <c r="DUY119" s="2"/>
      <c r="DUZ119" s="2"/>
      <c r="DVA119" s="2"/>
      <c r="DVB119" s="2"/>
      <c r="DVC119" s="2"/>
      <c r="DVD119" s="2"/>
      <c r="DVE119" s="2"/>
      <c r="DVF119" s="2"/>
      <c r="DVG119" s="2"/>
      <c r="DVH119" s="2"/>
      <c r="DVI119" s="2"/>
      <c r="DVJ119" s="2"/>
      <c r="DVK119" s="2"/>
      <c r="DVL119" s="2"/>
      <c r="DVM119" s="2"/>
      <c r="DVN119" s="2"/>
      <c r="DVO119" s="2"/>
      <c r="DVP119" s="2"/>
      <c r="DVQ119" s="2"/>
      <c r="DVR119" s="2"/>
      <c r="DVS119" s="2"/>
      <c r="DVT119" s="2"/>
      <c r="DVU119" s="2"/>
      <c r="DVV119" s="2"/>
      <c r="DVW119" s="2"/>
      <c r="DVX119" s="2"/>
      <c r="DVY119" s="2"/>
      <c r="DVZ119" s="2"/>
      <c r="DWA119" s="2"/>
      <c r="DWB119" s="2"/>
      <c r="DWC119" s="2"/>
      <c r="DWD119" s="2"/>
      <c r="DWE119" s="2"/>
      <c r="DWF119" s="2"/>
      <c r="DWG119" s="2"/>
      <c r="DWH119" s="2"/>
      <c r="DWI119" s="2"/>
      <c r="DWJ119" s="2"/>
      <c r="DWK119" s="2"/>
      <c r="DWL119" s="2"/>
      <c r="DWM119" s="2"/>
      <c r="DWN119" s="2"/>
      <c r="DWO119" s="2"/>
      <c r="DWP119" s="2"/>
      <c r="DWQ119" s="2"/>
      <c r="DWR119" s="2"/>
      <c r="DWS119" s="2"/>
      <c r="DWT119" s="2"/>
      <c r="DWU119" s="2"/>
      <c r="DWV119" s="2"/>
      <c r="DWW119" s="2"/>
      <c r="DWX119" s="2"/>
      <c r="DWY119" s="2"/>
      <c r="DWZ119" s="2"/>
      <c r="DXA119" s="2"/>
      <c r="DXB119" s="2"/>
      <c r="DXC119" s="2"/>
      <c r="DXD119" s="2"/>
      <c r="DXE119" s="2"/>
      <c r="DXF119" s="2"/>
      <c r="DXG119" s="2"/>
      <c r="DXH119" s="2"/>
      <c r="DXI119" s="2"/>
      <c r="DXJ119" s="2"/>
      <c r="DXK119" s="2"/>
      <c r="DXL119" s="2"/>
      <c r="DXM119" s="2"/>
      <c r="DXN119" s="2"/>
      <c r="DXO119" s="2"/>
      <c r="DXP119" s="2"/>
      <c r="DXQ119" s="2"/>
      <c r="DXR119" s="2"/>
      <c r="DXS119" s="2"/>
      <c r="DXT119" s="2"/>
      <c r="DXU119" s="2"/>
      <c r="DXV119" s="2"/>
      <c r="DXW119" s="2"/>
      <c r="DXX119" s="2"/>
      <c r="DXY119" s="2"/>
      <c r="DXZ119" s="2"/>
      <c r="DYA119" s="2"/>
      <c r="DYB119" s="2"/>
      <c r="DYC119" s="2"/>
      <c r="DYD119" s="2"/>
      <c r="DYE119" s="2"/>
      <c r="DYF119" s="2"/>
      <c r="DYG119" s="2"/>
      <c r="DYH119" s="2"/>
      <c r="DYI119" s="2"/>
      <c r="DYJ119" s="2"/>
      <c r="DYK119" s="2"/>
      <c r="DYL119" s="2"/>
      <c r="DYM119" s="2"/>
      <c r="DYN119" s="2"/>
      <c r="DYO119" s="2"/>
      <c r="DYP119" s="2"/>
      <c r="DYQ119" s="2"/>
      <c r="DYR119" s="2"/>
      <c r="DYS119" s="2"/>
      <c r="DYT119" s="2"/>
      <c r="DYU119" s="2"/>
      <c r="DYV119" s="2"/>
      <c r="DYW119" s="2"/>
      <c r="DYX119" s="2"/>
      <c r="DYY119" s="2"/>
      <c r="DYZ119" s="2"/>
      <c r="DZA119" s="2"/>
      <c r="DZB119" s="2"/>
      <c r="DZC119" s="2"/>
      <c r="DZD119" s="2"/>
      <c r="DZE119" s="2"/>
      <c r="DZF119" s="2"/>
      <c r="DZG119" s="2"/>
      <c r="DZH119" s="2"/>
      <c r="DZI119" s="2"/>
      <c r="DZJ119" s="2"/>
      <c r="DZK119" s="2"/>
      <c r="DZL119" s="2"/>
      <c r="DZM119" s="2"/>
      <c r="DZN119" s="2"/>
      <c r="DZO119" s="2"/>
      <c r="DZP119" s="2"/>
      <c r="DZQ119" s="2"/>
      <c r="DZR119" s="2"/>
      <c r="DZS119" s="2"/>
      <c r="DZT119" s="2"/>
      <c r="DZU119" s="2"/>
      <c r="DZV119" s="2"/>
      <c r="DZW119" s="2"/>
      <c r="DZX119" s="2"/>
      <c r="DZY119" s="2"/>
      <c r="DZZ119" s="2"/>
      <c r="EAA119" s="2"/>
      <c r="EAB119" s="2"/>
      <c r="EAC119" s="2"/>
      <c r="EAD119" s="2"/>
      <c r="EAE119" s="2"/>
      <c r="EAF119" s="2"/>
      <c r="EAG119" s="2"/>
      <c r="EAH119" s="2"/>
      <c r="EAI119" s="2"/>
      <c r="EAJ119" s="2"/>
      <c r="EAK119" s="2"/>
      <c r="EAL119" s="2"/>
      <c r="EAM119" s="2"/>
      <c r="EAN119" s="2"/>
      <c r="EAO119" s="2"/>
      <c r="EAP119" s="2"/>
      <c r="EAQ119" s="2"/>
      <c r="EAR119" s="2"/>
      <c r="EAS119" s="2"/>
      <c r="EAT119" s="2"/>
      <c r="EAU119" s="2"/>
      <c r="EAV119" s="2"/>
      <c r="EAW119" s="2"/>
      <c r="EAX119" s="2"/>
      <c r="EAY119" s="2"/>
      <c r="EAZ119" s="2"/>
      <c r="EBA119" s="2"/>
      <c r="EBB119" s="2"/>
      <c r="EBC119" s="2"/>
      <c r="EBD119" s="2"/>
      <c r="EBE119" s="2"/>
      <c r="EBF119" s="2"/>
      <c r="EBG119" s="2"/>
      <c r="EBH119" s="2"/>
      <c r="EBI119" s="2"/>
      <c r="EBJ119" s="2"/>
      <c r="EBK119" s="2"/>
      <c r="EBL119" s="2"/>
      <c r="EBM119" s="2"/>
      <c r="EBN119" s="2"/>
      <c r="EBO119" s="2"/>
      <c r="EBP119" s="2"/>
      <c r="EBQ119" s="2"/>
      <c r="EBR119" s="2"/>
      <c r="EBS119" s="2"/>
      <c r="EBT119" s="2"/>
      <c r="EBU119" s="2"/>
      <c r="EBV119" s="2"/>
      <c r="EBW119" s="2"/>
      <c r="EBX119" s="2"/>
      <c r="EBY119" s="2"/>
      <c r="EBZ119" s="2"/>
      <c r="ECA119" s="2"/>
      <c r="ECB119" s="2"/>
      <c r="ECC119" s="2"/>
      <c r="ECD119" s="2"/>
      <c r="ECE119" s="2"/>
      <c r="ECF119" s="2"/>
      <c r="ECG119" s="2"/>
      <c r="ECH119" s="2"/>
      <c r="ECI119" s="2"/>
      <c r="ECJ119" s="2"/>
      <c r="ECK119" s="2"/>
      <c r="ECL119" s="2"/>
      <c r="ECM119" s="2"/>
      <c r="ECN119" s="2"/>
      <c r="ECO119" s="2"/>
      <c r="ECP119" s="2"/>
      <c r="ECQ119" s="2"/>
      <c r="ECR119" s="2"/>
      <c r="ECS119" s="2"/>
      <c r="ECT119" s="2"/>
      <c r="ECU119" s="2"/>
      <c r="ECV119" s="2"/>
      <c r="ECW119" s="2"/>
      <c r="ECX119" s="2"/>
      <c r="ECY119" s="2"/>
      <c r="ECZ119" s="2"/>
      <c r="EDA119" s="2"/>
      <c r="EDB119" s="2"/>
      <c r="EDC119" s="2"/>
      <c r="EDD119" s="2"/>
      <c r="EDE119" s="2"/>
      <c r="EDF119" s="2"/>
      <c r="EDG119" s="2"/>
      <c r="EDH119" s="2"/>
      <c r="EDI119" s="2"/>
      <c r="EDJ119" s="2"/>
      <c r="EDK119" s="2"/>
      <c r="EDL119" s="2"/>
      <c r="EDM119" s="2"/>
      <c r="EDN119" s="2"/>
      <c r="EDO119" s="2"/>
      <c r="EDP119" s="2"/>
      <c r="EDQ119" s="2"/>
      <c r="EDR119" s="2"/>
      <c r="EDS119" s="2"/>
      <c r="EDT119" s="2"/>
      <c r="EDU119" s="2"/>
      <c r="EDV119" s="2"/>
      <c r="EDW119" s="2"/>
      <c r="EDX119" s="2"/>
      <c r="EDY119" s="2"/>
      <c r="EDZ119" s="2"/>
      <c r="EEA119" s="2"/>
      <c r="EEB119" s="2"/>
      <c r="EEC119" s="2"/>
      <c r="EED119" s="2"/>
      <c r="EEE119" s="2"/>
      <c r="EEF119" s="2"/>
      <c r="EEG119" s="2"/>
      <c r="EEH119" s="2"/>
      <c r="EEI119" s="2"/>
      <c r="EEJ119" s="2"/>
      <c r="EEK119" s="2"/>
      <c r="EEL119" s="2"/>
      <c r="EEM119" s="2"/>
      <c r="EEN119" s="2"/>
      <c r="EEO119" s="2"/>
      <c r="EEP119" s="2"/>
      <c r="EEQ119" s="2"/>
      <c r="EER119" s="2"/>
      <c r="EES119" s="2"/>
      <c r="EET119" s="2"/>
      <c r="EEU119" s="2"/>
      <c r="EEV119" s="2"/>
      <c r="EEW119" s="2"/>
      <c r="EEX119" s="2"/>
      <c r="EEY119" s="2"/>
      <c r="EEZ119" s="2"/>
      <c r="EFA119" s="2"/>
      <c r="EFB119" s="2"/>
      <c r="EFC119" s="2"/>
      <c r="EFD119" s="2"/>
      <c r="EFE119" s="2"/>
      <c r="EFF119" s="2"/>
      <c r="EFG119" s="2"/>
      <c r="EFH119" s="2"/>
      <c r="EFI119" s="2"/>
      <c r="EFJ119" s="2"/>
      <c r="EFK119" s="2"/>
      <c r="EFL119" s="2"/>
      <c r="EFM119" s="2"/>
      <c r="EFN119" s="2"/>
      <c r="EFO119" s="2"/>
      <c r="EFP119" s="2"/>
      <c r="EFQ119" s="2"/>
      <c r="EFR119" s="2"/>
      <c r="EFS119" s="2"/>
      <c r="EFT119" s="2"/>
      <c r="EFU119" s="2"/>
      <c r="EFV119" s="2"/>
      <c r="EFW119" s="2"/>
      <c r="EFX119" s="2"/>
      <c r="EFY119" s="2"/>
      <c r="EFZ119" s="2"/>
      <c r="EGA119" s="2"/>
      <c r="EGB119" s="2"/>
      <c r="EGC119" s="2"/>
      <c r="EGD119" s="2"/>
      <c r="EGE119" s="2"/>
      <c r="EGF119" s="2"/>
      <c r="EGG119" s="2"/>
      <c r="EGH119" s="2"/>
      <c r="EGI119" s="2"/>
      <c r="EGJ119" s="2"/>
      <c r="EGK119" s="2"/>
      <c r="EGL119" s="2"/>
      <c r="EGM119" s="2"/>
      <c r="EGN119" s="2"/>
      <c r="EGO119" s="2"/>
      <c r="EGP119" s="2"/>
      <c r="EGQ119" s="2"/>
      <c r="EGR119" s="2"/>
      <c r="EGS119" s="2"/>
      <c r="EGT119" s="2"/>
      <c r="EGU119" s="2"/>
      <c r="EGV119" s="2"/>
      <c r="EGW119" s="2"/>
      <c r="EGX119" s="2"/>
      <c r="EGY119" s="2"/>
      <c r="EGZ119" s="2"/>
      <c r="EHA119" s="2"/>
      <c r="EHB119" s="2"/>
      <c r="EHC119" s="2"/>
      <c r="EHD119" s="2"/>
      <c r="EHE119" s="2"/>
      <c r="EHF119" s="2"/>
      <c r="EHG119" s="2"/>
      <c r="EHH119" s="2"/>
      <c r="EHI119" s="2"/>
      <c r="EHJ119" s="2"/>
      <c r="EHK119" s="2"/>
      <c r="EHL119" s="2"/>
      <c r="EHM119" s="2"/>
      <c r="EHN119" s="2"/>
      <c r="EHO119" s="2"/>
      <c r="EHP119" s="2"/>
      <c r="EHQ119" s="2"/>
      <c r="EHR119" s="2"/>
      <c r="EHS119" s="2"/>
      <c r="EHT119" s="2"/>
      <c r="EHU119" s="2"/>
      <c r="EHV119" s="2"/>
      <c r="EHW119" s="2"/>
      <c r="EHX119" s="2"/>
      <c r="EHY119" s="2"/>
      <c r="EHZ119" s="2"/>
      <c r="EIA119" s="2"/>
      <c r="EIB119" s="2"/>
      <c r="EIC119" s="2"/>
      <c r="EID119" s="2"/>
      <c r="EIE119" s="2"/>
      <c r="EIF119" s="2"/>
      <c r="EIG119" s="2"/>
      <c r="EIH119" s="2"/>
      <c r="EII119" s="2"/>
      <c r="EIJ119" s="2"/>
      <c r="EIK119" s="2"/>
      <c r="EIL119" s="2"/>
      <c r="EIM119" s="2"/>
      <c r="EIN119" s="2"/>
      <c r="EIO119" s="2"/>
      <c r="EIP119" s="2"/>
      <c r="EIQ119" s="2"/>
      <c r="EIR119" s="2"/>
      <c r="EIS119" s="2"/>
      <c r="EIT119" s="2"/>
      <c r="EIU119" s="2"/>
      <c r="EIV119" s="2"/>
      <c r="EIW119" s="2"/>
      <c r="EIX119" s="2"/>
      <c r="EIY119" s="2"/>
      <c r="EIZ119" s="2"/>
      <c r="EJA119" s="2"/>
      <c r="EJB119" s="2"/>
      <c r="EJC119" s="2"/>
      <c r="EJD119" s="2"/>
      <c r="EJE119" s="2"/>
      <c r="EJF119" s="2"/>
      <c r="EJG119" s="2"/>
      <c r="EJH119" s="2"/>
      <c r="EJI119" s="2"/>
      <c r="EJJ119" s="2"/>
      <c r="EJK119" s="2"/>
      <c r="EJL119" s="2"/>
      <c r="EJM119" s="2"/>
      <c r="EJN119" s="2"/>
      <c r="EJO119" s="2"/>
      <c r="EJP119" s="2"/>
      <c r="EJQ119" s="2"/>
      <c r="EJR119" s="2"/>
      <c r="EJS119" s="2"/>
      <c r="EJT119" s="2"/>
      <c r="EJU119" s="2"/>
      <c r="EJV119" s="2"/>
      <c r="EJW119" s="2"/>
      <c r="EJX119" s="2"/>
      <c r="EJY119" s="2"/>
      <c r="EJZ119" s="2"/>
      <c r="EKA119" s="2"/>
      <c r="EKB119" s="2"/>
      <c r="EKC119" s="2"/>
      <c r="EKD119" s="2"/>
      <c r="EKE119" s="2"/>
      <c r="EKF119" s="2"/>
      <c r="EKG119" s="2"/>
      <c r="EKH119" s="2"/>
      <c r="EKI119" s="2"/>
      <c r="EKJ119" s="2"/>
      <c r="EKK119" s="2"/>
      <c r="EKL119" s="2"/>
      <c r="EKM119" s="2"/>
      <c r="EKN119" s="2"/>
      <c r="EKO119" s="2"/>
      <c r="EKP119" s="2"/>
      <c r="EKQ119" s="2"/>
      <c r="EKR119" s="2"/>
      <c r="EKS119" s="2"/>
      <c r="EKT119" s="2"/>
      <c r="EKU119" s="2"/>
      <c r="EKV119" s="2"/>
      <c r="EKW119" s="2"/>
      <c r="EKX119" s="2"/>
      <c r="EKY119" s="2"/>
      <c r="EKZ119" s="2"/>
      <c r="ELA119" s="2"/>
      <c r="ELB119" s="2"/>
      <c r="ELC119" s="2"/>
      <c r="ELD119" s="2"/>
      <c r="ELE119" s="2"/>
      <c r="ELF119" s="2"/>
      <c r="ELG119" s="2"/>
      <c r="ELH119" s="2"/>
      <c r="ELI119" s="2"/>
      <c r="ELJ119" s="2"/>
      <c r="ELK119" s="2"/>
      <c r="ELL119" s="2"/>
      <c r="ELM119" s="2"/>
      <c r="ELN119" s="2"/>
      <c r="ELO119" s="2"/>
      <c r="ELP119" s="2"/>
      <c r="ELQ119" s="2"/>
      <c r="ELR119" s="2"/>
      <c r="ELS119" s="2"/>
      <c r="ELT119" s="2"/>
      <c r="ELU119" s="2"/>
      <c r="ELV119" s="2"/>
      <c r="ELW119" s="2"/>
      <c r="ELX119" s="2"/>
      <c r="ELY119" s="2"/>
      <c r="ELZ119" s="2"/>
      <c r="EMA119" s="2"/>
      <c r="EMB119" s="2"/>
      <c r="EMC119" s="2"/>
      <c r="EMD119" s="2"/>
      <c r="EME119" s="2"/>
      <c r="EMF119" s="2"/>
      <c r="EMG119" s="2"/>
      <c r="EMH119" s="2"/>
      <c r="EMI119" s="2"/>
      <c r="EMJ119" s="2"/>
      <c r="EMK119" s="2"/>
      <c r="EML119" s="2"/>
      <c r="EMM119" s="2"/>
      <c r="EMN119" s="2"/>
      <c r="EMO119" s="2"/>
      <c r="EMP119" s="2"/>
      <c r="EMQ119" s="2"/>
      <c r="EMR119" s="2"/>
      <c r="EMS119" s="2"/>
      <c r="EMT119" s="2"/>
      <c r="EMU119" s="2"/>
      <c r="EMV119" s="2"/>
      <c r="EMW119" s="2"/>
      <c r="EMX119" s="2"/>
      <c r="EMY119" s="2"/>
      <c r="EMZ119" s="2"/>
      <c r="ENA119" s="2"/>
      <c r="ENB119" s="2"/>
      <c r="ENC119" s="2"/>
      <c r="END119" s="2"/>
      <c r="ENE119" s="2"/>
      <c r="ENF119" s="2"/>
      <c r="ENG119" s="2"/>
      <c r="ENH119" s="2"/>
      <c r="ENI119" s="2"/>
      <c r="ENJ119" s="2"/>
      <c r="ENK119" s="2"/>
      <c r="ENL119" s="2"/>
      <c r="ENM119" s="2"/>
      <c r="ENN119" s="2"/>
      <c r="ENO119" s="2"/>
      <c r="ENP119" s="2"/>
      <c r="ENQ119" s="2"/>
      <c r="ENR119" s="2"/>
      <c r="ENS119" s="2"/>
      <c r="ENT119" s="2"/>
      <c r="ENU119" s="2"/>
      <c r="ENV119" s="2"/>
      <c r="ENW119" s="2"/>
      <c r="ENX119" s="2"/>
      <c r="ENY119" s="2"/>
      <c r="ENZ119" s="2"/>
      <c r="EOA119" s="2"/>
      <c r="EOB119" s="2"/>
      <c r="EOC119" s="2"/>
      <c r="EOD119" s="2"/>
      <c r="EOE119" s="2"/>
      <c r="EOF119" s="2"/>
      <c r="EOG119" s="2"/>
      <c r="EOH119" s="2"/>
      <c r="EOI119" s="2"/>
      <c r="EOJ119" s="2"/>
      <c r="EOK119" s="2"/>
      <c r="EOL119" s="2"/>
      <c r="EOM119" s="2"/>
      <c r="EON119" s="2"/>
      <c r="EOO119" s="2"/>
      <c r="EOP119" s="2"/>
      <c r="EOQ119" s="2"/>
      <c r="EOR119" s="2"/>
      <c r="EOS119" s="2"/>
      <c r="EOT119" s="2"/>
      <c r="EOU119" s="2"/>
      <c r="EOV119" s="2"/>
      <c r="EOW119" s="2"/>
      <c r="EOX119" s="2"/>
      <c r="EOY119" s="2"/>
      <c r="EOZ119" s="2"/>
      <c r="EPA119" s="2"/>
      <c r="EPB119" s="2"/>
      <c r="EPC119" s="2"/>
      <c r="EPD119" s="2"/>
      <c r="EPE119" s="2"/>
      <c r="EPF119" s="2"/>
      <c r="EPG119" s="2"/>
      <c r="EPH119" s="2"/>
      <c r="EPI119" s="2"/>
      <c r="EPJ119" s="2"/>
      <c r="EPK119" s="2"/>
      <c r="EPL119" s="2"/>
      <c r="EPM119" s="2"/>
      <c r="EPN119" s="2"/>
      <c r="EPO119" s="2"/>
      <c r="EPP119" s="2"/>
      <c r="EPQ119" s="2"/>
      <c r="EPR119" s="2"/>
      <c r="EPS119" s="2"/>
      <c r="EPT119" s="2"/>
      <c r="EPU119" s="2"/>
      <c r="EPV119" s="2"/>
      <c r="EPW119" s="2"/>
      <c r="EPX119" s="2"/>
      <c r="EPY119" s="2"/>
      <c r="EPZ119" s="2"/>
      <c r="EQA119" s="2"/>
      <c r="EQB119" s="2"/>
      <c r="EQC119" s="2"/>
      <c r="EQD119" s="2"/>
      <c r="EQE119" s="2"/>
      <c r="EQF119" s="2"/>
      <c r="EQG119" s="2"/>
      <c r="EQH119" s="2"/>
      <c r="EQI119" s="2"/>
      <c r="EQJ119" s="2"/>
      <c r="EQK119" s="2"/>
      <c r="EQL119" s="2"/>
      <c r="EQM119" s="2"/>
      <c r="EQN119" s="2"/>
      <c r="EQO119" s="2"/>
      <c r="EQP119" s="2"/>
      <c r="EQQ119" s="2"/>
      <c r="EQR119" s="2"/>
      <c r="EQS119" s="2"/>
      <c r="EQT119" s="2"/>
      <c r="EQU119" s="2"/>
      <c r="EQV119" s="2"/>
      <c r="EQW119" s="2"/>
      <c r="EQX119" s="2"/>
      <c r="EQY119" s="2"/>
      <c r="EQZ119" s="2"/>
      <c r="ERA119" s="2"/>
      <c r="ERB119" s="2"/>
      <c r="ERC119" s="2"/>
      <c r="ERD119" s="2"/>
      <c r="ERE119" s="2"/>
      <c r="ERF119" s="2"/>
      <c r="ERG119" s="2"/>
      <c r="ERH119" s="2"/>
      <c r="ERI119" s="2"/>
      <c r="ERJ119" s="2"/>
      <c r="ERK119" s="2"/>
      <c r="ERL119" s="2"/>
      <c r="ERM119" s="2"/>
      <c r="ERN119" s="2"/>
      <c r="ERO119" s="2"/>
      <c r="ERP119" s="2"/>
      <c r="ERQ119" s="2"/>
      <c r="ERR119" s="2"/>
      <c r="ERS119" s="2"/>
      <c r="ERT119" s="2"/>
      <c r="ERU119" s="2"/>
      <c r="ERV119" s="2"/>
      <c r="ERW119" s="2"/>
      <c r="ERX119" s="2"/>
      <c r="ERY119" s="2"/>
      <c r="ERZ119" s="2"/>
      <c r="ESA119" s="2"/>
      <c r="ESB119" s="2"/>
      <c r="ESC119" s="2"/>
      <c r="ESD119" s="2"/>
      <c r="ESE119" s="2"/>
      <c r="ESF119" s="2"/>
      <c r="ESG119" s="2"/>
      <c r="ESH119" s="2"/>
      <c r="ESI119" s="2"/>
      <c r="ESJ119" s="2"/>
      <c r="ESK119" s="2"/>
      <c r="ESL119" s="2"/>
      <c r="ESM119" s="2"/>
      <c r="ESN119" s="2"/>
      <c r="ESO119" s="2"/>
      <c r="ESP119" s="2"/>
      <c r="ESQ119" s="2"/>
      <c r="ESR119" s="2"/>
      <c r="ESS119" s="2"/>
      <c r="EST119" s="2"/>
      <c r="ESU119" s="2"/>
      <c r="ESV119" s="2"/>
      <c r="ESW119" s="2"/>
      <c r="ESX119" s="2"/>
      <c r="ESY119" s="2"/>
      <c r="ESZ119" s="2"/>
      <c r="ETA119" s="2"/>
      <c r="ETB119" s="2"/>
      <c r="ETC119" s="2"/>
      <c r="ETD119" s="2"/>
      <c r="ETE119" s="2"/>
      <c r="ETF119" s="2"/>
      <c r="ETG119" s="2"/>
      <c r="ETH119" s="2"/>
      <c r="ETI119" s="2"/>
      <c r="ETJ119" s="2"/>
      <c r="ETK119" s="2"/>
      <c r="ETL119" s="2"/>
      <c r="ETM119" s="2"/>
      <c r="ETN119" s="2"/>
      <c r="ETO119" s="2"/>
      <c r="ETP119" s="2"/>
      <c r="ETQ119" s="2"/>
      <c r="ETR119" s="2"/>
      <c r="ETS119" s="2"/>
      <c r="ETT119" s="2"/>
      <c r="ETU119" s="2"/>
      <c r="ETV119" s="2"/>
      <c r="ETW119" s="2"/>
      <c r="ETX119" s="2"/>
      <c r="ETY119" s="2"/>
      <c r="ETZ119" s="2"/>
      <c r="EUA119" s="2"/>
      <c r="EUB119" s="2"/>
      <c r="EUC119" s="2"/>
      <c r="EUD119" s="2"/>
      <c r="EUE119" s="2"/>
      <c r="EUF119" s="2"/>
      <c r="EUG119" s="2"/>
      <c r="EUH119" s="2"/>
      <c r="EUI119" s="2"/>
      <c r="EUJ119" s="2"/>
      <c r="EUK119" s="2"/>
      <c r="EUL119" s="2"/>
      <c r="EUM119" s="2"/>
      <c r="EUN119" s="2"/>
      <c r="EUO119" s="2"/>
      <c r="EUP119" s="2"/>
      <c r="EUQ119" s="2"/>
      <c r="EUR119" s="2"/>
      <c r="EUS119" s="2"/>
      <c r="EUT119" s="2"/>
      <c r="EUU119" s="2"/>
      <c r="EUV119" s="2"/>
      <c r="EUW119" s="2"/>
      <c r="EUX119" s="2"/>
      <c r="EUY119" s="2"/>
      <c r="EUZ119" s="2"/>
      <c r="EVA119" s="2"/>
      <c r="EVB119" s="2"/>
      <c r="EVC119" s="2"/>
      <c r="EVD119" s="2"/>
      <c r="EVE119" s="2"/>
      <c r="EVF119" s="2"/>
      <c r="EVG119" s="2"/>
      <c r="EVH119" s="2"/>
      <c r="EVI119" s="2"/>
      <c r="EVJ119" s="2"/>
      <c r="EVK119" s="2"/>
      <c r="EVL119" s="2"/>
      <c r="EVM119" s="2"/>
      <c r="EVN119" s="2"/>
      <c r="EVO119" s="2"/>
      <c r="EVP119" s="2"/>
      <c r="EVQ119" s="2"/>
      <c r="EVR119" s="2"/>
      <c r="EVS119" s="2"/>
      <c r="EVT119" s="2"/>
      <c r="EVU119" s="2"/>
      <c r="EVV119" s="2"/>
      <c r="EVW119" s="2"/>
      <c r="EVX119" s="2"/>
      <c r="EVY119" s="2"/>
      <c r="EVZ119" s="2"/>
      <c r="EWA119" s="2"/>
      <c r="EWB119" s="2"/>
      <c r="EWC119" s="2"/>
      <c r="EWD119" s="2"/>
      <c r="EWE119" s="2"/>
      <c r="EWF119" s="2"/>
      <c r="EWG119" s="2"/>
      <c r="EWH119" s="2"/>
      <c r="EWI119" s="2"/>
      <c r="EWJ119" s="2"/>
      <c r="EWK119" s="2"/>
      <c r="EWL119" s="2"/>
      <c r="EWM119" s="2"/>
      <c r="EWN119" s="2"/>
      <c r="EWO119" s="2"/>
      <c r="EWP119" s="2"/>
      <c r="EWQ119" s="2"/>
      <c r="EWR119" s="2"/>
      <c r="EWS119" s="2"/>
      <c r="EWT119" s="2"/>
      <c r="EWU119" s="2"/>
      <c r="EWV119" s="2"/>
      <c r="EWW119" s="2"/>
      <c r="EWX119" s="2"/>
      <c r="EWY119" s="2"/>
      <c r="EWZ119" s="2"/>
      <c r="EXA119" s="2"/>
      <c r="EXB119" s="2"/>
      <c r="EXC119" s="2"/>
      <c r="EXD119" s="2"/>
      <c r="EXE119" s="2"/>
      <c r="EXF119" s="2"/>
      <c r="EXG119" s="2"/>
      <c r="EXH119" s="2"/>
      <c r="EXI119" s="2"/>
      <c r="EXJ119" s="2"/>
      <c r="EXK119" s="2"/>
      <c r="EXL119" s="2"/>
      <c r="EXM119" s="2"/>
      <c r="EXN119" s="2"/>
      <c r="EXO119" s="2"/>
      <c r="EXP119" s="2"/>
      <c r="EXQ119" s="2"/>
      <c r="EXR119" s="2"/>
      <c r="EXS119" s="2"/>
      <c r="EXT119" s="2"/>
      <c r="EXU119" s="2"/>
      <c r="EXV119" s="2"/>
      <c r="EXW119" s="2"/>
      <c r="EXX119" s="2"/>
      <c r="EXY119" s="2"/>
      <c r="EXZ119" s="2"/>
      <c r="EYA119" s="2"/>
      <c r="EYB119" s="2"/>
      <c r="EYC119" s="2"/>
      <c r="EYD119" s="2"/>
      <c r="EYE119" s="2"/>
      <c r="EYF119" s="2"/>
      <c r="EYG119" s="2"/>
      <c r="EYH119" s="2"/>
      <c r="EYI119" s="2"/>
      <c r="EYJ119" s="2"/>
      <c r="EYK119" s="2"/>
      <c r="EYL119" s="2"/>
      <c r="EYM119" s="2"/>
      <c r="EYN119" s="2"/>
      <c r="EYO119" s="2"/>
      <c r="EYP119" s="2"/>
      <c r="EYQ119" s="2"/>
      <c r="EYR119" s="2"/>
      <c r="EYS119" s="2"/>
      <c r="EYT119" s="2"/>
      <c r="EYU119" s="2"/>
      <c r="EYV119" s="2"/>
      <c r="EYW119" s="2"/>
      <c r="EYX119" s="2"/>
      <c r="EYY119" s="2"/>
      <c r="EYZ119" s="2"/>
      <c r="EZA119" s="2"/>
      <c r="EZB119" s="2"/>
      <c r="EZC119" s="2"/>
      <c r="EZD119" s="2"/>
      <c r="EZE119" s="2"/>
      <c r="EZF119" s="2"/>
      <c r="EZG119" s="2"/>
      <c r="EZH119" s="2"/>
      <c r="EZI119" s="2"/>
      <c r="EZJ119" s="2"/>
      <c r="EZK119" s="2"/>
      <c r="EZL119" s="2"/>
      <c r="EZM119" s="2"/>
      <c r="EZN119" s="2"/>
      <c r="EZO119" s="2"/>
      <c r="EZP119" s="2"/>
      <c r="EZQ119" s="2"/>
      <c r="EZR119" s="2"/>
      <c r="EZS119" s="2"/>
      <c r="EZT119" s="2"/>
      <c r="EZU119" s="2"/>
      <c r="EZV119" s="2"/>
      <c r="EZW119" s="2"/>
      <c r="EZX119" s="2"/>
      <c r="EZY119" s="2"/>
      <c r="EZZ119" s="2"/>
      <c r="FAA119" s="2"/>
      <c r="FAB119" s="2"/>
      <c r="FAC119" s="2"/>
      <c r="FAD119" s="2"/>
      <c r="FAE119" s="2"/>
      <c r="FAF119" s="2"/>
      <c r="FAG119" s="2"/>
      <c r="FAH119" s="2"/>
      <c r="FAI119" s="2"/>
      <c r="FAJ119" s="2"/>
      <c r="FAK119" s="2"/>
      <c r="FAL119" s="2"/>
      <c r="FAM119" s="2"/>
      <c r="FAN119" s="2"/>
      <c r="FAO119" s="2"/>
      <c r="FAP119" s="2"/>
      <c r="FAQ119" s="2"/>
      <c r="FAR119" s="2"/>
      <c r="FAS119" s="2"/>
      <c r="FAT119" s="2"/>
      <c r="FAU119" s="2"/>
      <c r="FAV119" s="2"/>
      <c r="FAW119" s="2"/>
      <c r="FAX119" s="2"/>
      <c r="FAY119" s="2"/>
      <c r="FAZ119" s="2"/>
      <c r="FBA119" s="2"/>
      <c r="FBB119" s="2"/>
      <c r="FBC119" s="2"/>
      <c r="FBD119" s="2"/>
      <c r="FBE119" s="2"/>
      <c r="FBF119" s="2"/>
      <c r="FBG119" s="2"/>
      <c r="FBH119" s="2"/>
      <c r="FBI119" s="2"/>
      <c r="FBJ119" s="2"/>
      <c r="FBK119" s="2"/>
      <c r="FBL119" s="2"/>
      <c r="FBM119" s="2"/>
      <c r="FBN119" s="2"/>
      <c r="FBO119" s="2"/>
      <c r="FBP119" s="2"/>
      <c r="FBQ119" s="2"/>
      <c r="FBR119" s="2"/>
      <c r="FBS119" s="2"/>
      <c r="FBT119" s="2"/>
      <c r="FBU119" s="2"/>
      <c r="FBV119" s="2"/>
      <c r="FBW119" s="2"/>
      <c r="FBX119" s="2"/>
      <c r="FBY119" s="2"/>
      <c r="FBZ119" s="2"/>
      <c r="FCA119" s="2"/>
      <c r="FCB119" s="2"/>
      <c r="FCC119" s="2"/>
      <c r="FCD119" s="2"/>
      <c r="FCE119" s="2"/>
      <c r="FCF119" s="2"/>
      <c r="FCG119" s="2"/>
      <c r="FCH119" s="2"/>
      <c r="FCI119" s="2"/>
      <c r="FCJ119" s="2"/>
      <c r="FCK119" s="2"/>
      <c r="FCL119" s="2"/>
      <c r="FCM119" s="2"/>
      <c r="FCN119" s="2"/>
      <c r="FCO119" s="2"/>
      <c r="FCP119" s="2"/>
      <c r="FCQ119" s="2"/>
      <c r="FCR119" s="2"/>
      <c r="FCS119" s="2"/>
      <c r="FCT119" s="2"/>
      <c r="FCU119" s="2"/>
      <c r="FCV119" s="2"/>
      <c r="FCW119" s="2"/>
      <c r="FCX119" s="2"/>
      <c r="FCY119" s="2"/>
      <c r="FCZ119" s="2"/>
      <c r="FDA119" s="2"/>
      <c r="FDB119" s="2"/>
      <c r="FDC119" s="2"/>
      <c r="FDD119" s="2"/>
      <c r="FDE119" s="2"/>
      <c r="FDF119" s="2"/>
      <c r="FDG119" s="2"/>
      <c r="FDH119" s="2"/>
      <c r="FDI119" s="2"/>
      <c r="FDJ119" s="2"/>
      <c r="FDK119" s="2"/>
      <c r="FDL119" s="2"/>
      <c r="FDM119" s="2"/>
      <c r="FDN119" s="2"/>
      <c r="FDO119" s="2"/>
      <c r="FDP119" s="2"/>
      <c r="FDQ119" s="2"/>
      <c r="FDR119" s="2"/>
      <c r="FDS119" s="2"/>
      <c r="FDT119" s="2"/>
      <c r="FDU119" s="2"/>
      <c r="FDV119" s="2"/>
      <c r="FDW119" s="2"/>
      <c r="FDX119" s="2"/>
      <c r="FDY119" s="2"/>
      <c r="FDZ119" s="2"/>
      <c r="FEA119" s="2"/>
      <c r="FEB119" s="2"/>
      <c r="FEC119" s="2"/>
      <c r="FED119" s="2"/>
      <c r="FEE119" s="2"/>
      <c r="FEF119" s="2"/>
      <c r="FEG119" s="2"/>
      <c r="FEH119" s="2"/>
      <c r="FEI119" s="2"/>
      <c r="FEJ119" s="2"/>
      <c r="FEK119" s="2"/>
      <c r="FEL119" s="2"/>
      <c r="FEM119" s="2"/>
      <c r="FEN119" s="2"/>
      <c r="FEO119" s="2"/>
      <c r="FEP119" s="2"/>
      <c r="FEQ119" s="2"/>
      <c r="FER119" s="2"/>
      <c r="FES119" s="2"/>
      <c r="FET119" s="2"/>
      <c r="FEU119" s="2"/>
      <c r="FEV119" s="2"/>
      <c r="FEW119" s="2"/>
      <c r="FEX119" s="2"/>
      <c r="FEY119" s="2"/>
      <c r="FEZ119" s="2"/>
      <c r="FFA119" s="2"/>
      <c r="FFB119" s="2"/>
      <c r="FFC119" s="2"/>
      <c r="FFD119" s="2"/>
      <c r="FFE119" s="2"/>
      <c r="FFF119" s="2"/>
      <c r="FFG119" s="2"/>
      <c r="FFH119" s="2"/>
      <c r="FFI119" s="2"/>
      <c r="FFJ119" s="2"/>
      <c r="FFK119" s="2"/>
      <c r="FFL119" s="2"/>
      <c r="FFM119" s="2"/>
      <c r="FFN119" s="2"/>
      <c r="FFO119" s="2"/>
      <c r="FFP119" s="2"/>
      <c r="FFQ119" s="2"/>
      <c r="FFR119" s="2"/>
      <c r="FFS119" s="2"/>
      <c r="FFT119" s="2"/>
      <c r="FFU119" s="2"/>
      <c r="FFV119" s="2"/>
      <c r="FFW119" s="2"/>
      <c r="FFX119" s="2"/>
      <c r="FFY119" s="2"/>
      <c r="FFZ119" s="2"/>
      <c r="FGA119" s="2"/>
      <c r="FGB119" s="2"/>
      <c r="FGC119" s="2"/>
      <c r="FGD119" s="2"/>
      <c r="FGE119" s="2"/>
      <c r="FGF119" s="2"/>
      <c r="FGG119" s="2"/>
      <c r="FGH119" s="2"/>
      <c r="FGI119" s="2"/>
      <c r="FGJ119" s="2"/>
      <c r="FGK119" s="2"/>
      <c r="FGL119" s="2"/>
      <c r="FGM119" s="2"/>
      <c r="FGN119" s="2"/>
      <c r="FGO119" s="2"/>
      <c r="FGP119" s="2"/>
      <c r="FGQ119" s="2"/>
      <c r="FGR119" s="2"/>
      <c r="FGS119" s="2"/>
      <c r="FGT119" s="2"/>
      <c r="FGU119" s="2"/>
      <c r="FGV119" s="2"/>
      <c r="FGW119" s="2"/>
      <c r="FGX119" s="2"/>
      <c r="FGY119" s="2"/>
      <c r="FGZ119" s="2"/>
      <c r="FHA119" s="2"/>
      <c r="FHB119" s="2"/>
      <c r="FHC119" s="2"/>
      <c r="FHD119" s="2"/>
      <c r="FHE119" s="2"/>
      <c r="FHF119" s="2"/>
      <c r="FHG119" s="2"/>
      <c r="FHH119" s="2"/>
      <c r="FHI119" s="2"/>
      <c r="FHJ119" s="2"/>
      <c r="FHK119" s="2"/>
      <c r="FHL119" s="2"/>
      <c r="FHM119" s="2"/>
      <c r="FHN119" s="2"/>
      <c r="FHO119" s="2"/>
      <c r="FHP119" s="2"/>
      <c r="FHQ119" s="2"/>
      <c r="FHR119" s="2"/>
      <c r="FHS119" s="2"/>
      <c r="FHT119" s="2"/>
      <c r="FHU119" s="2"/>
      <c r="FHV119" s="2"/>
      <c r="FHW119" s="2"/>
      <c r="FHX119" s="2"/>
      <c r="FHY119" s="2"/>
      <c r="FHZ119" s="2"/>
      <c r="FIA119" s="2"/>
      <c r="FIB119" s="2"/>
      <c r="FIC119" s="2"/>
      <c r="FID119" s="2"/>
      <c r="FIE119" s="2"/>
      <c r="FIF119" s="2"/>
      <c r="FIG119" s="2"/>
      <c r="FIH119" s="2"/>
      <c r="FII119" s="2"/>
      <c r="FIJ119" s="2"/>
      <c r="FIK119" s="2"/>
      <c r="FIL119" s="2"/>
      <c r="FIM119" s="2"/>
      <c r="FIN119" s="2"/>
      <c r="FIO119" s="2"/>
      <c r="FIP119" s="2"/>
      <c r="FIQ119" s="2"/>
      <c r="FIR119" s="2"/>
      <c r="FIS119" s="2"/>
      <c r="FIT119" s="2"/>
      <c r="FIU119" s="2"/>
      <c r="FIV119" s="2"/>
      <c r="FIW119" s="2"/>
      <c r="FIX119" s="2"/>
      <c r="FIY119" s="2"/>
      <c r="FIZ119" s="2"/>
      <c r="FJA119" s="2"/>
      <c r="FJB119" s="2"/>
      <c r="FJC119" s="2"/>
      <c r="FJD119" s="2"/>
      <c r="FJE119" s="2"/>
      <c r="FJF119" s="2"/>
      <c r="FJG119" s="2"/>
      <c r="FJH119" s="2"/>
      <c r="FJI119" s="2"/>
      <c r="FJJ119" s="2"/>
      <c r="FJK119" s="2"/>
      <c r="FJL119" s="2"/>
      <c r="FJM119" s="2"/>
      <c r="FJN119" s="2"/>
      <c r="FJO119" s="2"/>
      <c r="FJP119" s="2"/>
      <c r="FJQ119" s="2"/>
      <c r="FJR119" s="2"/>
      <c r="FJS119" s="2"/>
      <c r="FJT119" s="2"/>
      <c r="FJU119" s="2"/>
      <c r="FJV119" s="2"/>
      <c r="FJW119" s="2"/>
      <c r="FJX119" s="2"/>
      <c r="FJY119" s="2"/>
      <c r="FJZ119" s="2"/>
      <c r="FKA119" s="2"/>
      <c r="FKB119" s="2"/>
      <c r="FKC119" s="2"/>
      <c r="FKD119" s="2"/>
      <c r="FKE119" s="2"/>
      <c r="FKF119" s="2"/>
      <c r="FKG119" s="2"/>
      <c r="FKH119" s="2"/>
      <c r="FKI119" s="2"/>
      <c r="FKJ119" s="2"/>
      <c r="FKK119" s="2"/>
      <c r="FKL119" s="2"/>
      <c r="FKM119" s="2"/>
      <c r="FKN119" s="2"/>
      <c r="FKO119" s="2"/>
      <c r="FKP119" s="2"/>
      <c r="FKQ119" s="2"/>
      <c r="FKR119" s="2"/>
      <c r="FKS119" s="2"/>
      <c r="FKT119" s="2"/>
      <c r="FKU119" s="2"/>
      <c r="FKV119" s="2"/>
      <c r="FKW119" s="2"/>
      <c r="FKX119" s="2"/>
      <c r="FKY119" s="2"/>
      <c r="FKZ119" s="2"/>
      <c r="FLA119" s="2"/>
      <c r="FLB119" s="2"/>
      <c r="FLC119" s="2"/>
      <c r="FLD119" s="2"/>
      <c r="FLE119" s="2"/>
      <c r="FLF119" s="2"/>
      <c r="FLG119" s="2"/>
      <c r="FLH119" s="2"/>
      <c r="FLI119" s="2"/>
      <c r="FLJ119" s="2"/>
      <c r="FLK119" s="2"/>
      <c r="FLL119" s="2"/>
      <c r="FLM119" s="2"/>
      <c r="FLN119" s="2"/>
      <c r="FLO119" s="2"/>
      <c r="FLP119" s="2"/>
      <c r="FLQ119" s="2"/>
      <c r="FLR119" s="2"/>
      <c r="FLS119" s="2"/>
      <c r="FLT119" s="2"/>
      <c r="FLU119" s="2"/>
      <c r="FLV119" s="2"/>
      <c r="FLW119" s="2"/>
      <c r="FLX119" s="2"/>
      <c r="FLY119" s="2"/>
      <c r="FLZ119" s="2"/>
      <c r="FMA119" s="2"/>
      <c r="FMB119" s="2"/>
      <c r="FMC119" s="2"/>
      <c r="FMD119" s="2"/>
      <c r="FME119" s="2"/>
      <c r="FMF119" s="2"/>
      <c r="FMG119" s="2"/>
      <c r="FMH119" s="2"/>
      <c r="FMI119" s="2"/>
      <c r="FMJ119" s="2"/>
      <c r="FMK119" s="2"/>
      <c r="FML119" s="2"/>
      <c r="FMM119" s="2"/>
      <c r="FMN119" s="2"/>
      <c r="FMO119" s="2"/>
      <c r="FMP119" s="2"/>
      <c r="FMQ119" s="2"/>
      <c r="FMR119" s="2"/>
      <c r="FMS119" s="2"/>
      <c r="FMT119" s="2"/>
      <c r="FMU119" s="2"/>
      <c r="FMV119" s="2"/>
      <c r="FMW119" s="2"/>
      <c r="FMX119" s="2"/>
      <c r="FMY119" s="2"/>
      <c r="FMZ119" s="2"/>
      <c r="FNA119" s="2"/>
      <c r="FNB119" s="2"/>
      <c r="FNC119" s="2"/>
      <c r="FND119" s="2"/>
      <c r="FNE119" s="2"/>
      <c r="FNF119" s="2"/>
      <c r="FNG119" s="2"/>
      <c r="FNH119" s="2"/>
      <c r="FNI119" s="2"/>
      <c r="FNJ119" s="2"/>
      <c r="FNK119" s="2"/>
      <c r="FNL119" s="2"/>
      <c r="FNM119" s="2"/>
      <c r="FNN119" s="2"/>
      <c r="FNO119" s="2"/>
      <c r="FNP119" s="2"/>
      <c r="FNQ119" s="2"/>
      <c r="FNR119" s="2"/>
      <c r="FNS119" s="2"/>
      <c r="FNT119" s="2"/>
      <c r="FNU119" s="2"/>
      <c r="FNV119" s="2"/>
      <c r="FNW119" s="2"/>
      <c r="FNX119" s="2"/>
      <c r="FNY119" s="2"/>
      <c r="FNZ119" s="2"/>
      <c r="FOA119" s="2"/>
      <c r="FOB119" s="2"/>
      <c r="FOC119" s="2"/>
      <c r="FOD119" s="2"/>
      <c r="FOE119" s="2"/>
      <c r="FOF119" s="2"/>
      <c r="FOG119" s="2"/>
      <c r="FOH119" s="2"/>
      <c r="FOI119" s="2"/>
      <c r="FOJ119" s="2"/>
      <c r="FOK119" s="2"/>
      <c r="FOL119" s="2"/>
      <c r="FOM119" s="2"/>
      <c r="FON119" s="2"/>
      <c r="FOO119" s="2"/>
      <c r="FOP119" s="2"/>
      <c r="FOQ119" s="2"/>
      <c r="FOR119" s="2"/>
      <c r="FOS119" s="2"/>
      <c r="FOT119" s="2"/>
      <c r="FOU119" s="2"/>
      <c r="FOV119" s="2"/>
      <c r="FOW119" s="2"/>
      <c r="FOX119" s="2"/>
      <c r="FOY119" s="2"/>
      <c r="FOZ119" s="2"/>
      <c r="FPA119" s="2"/>
      <c r="FPB119" s="2"/>
      <c r="FPC119" s="2"/>
      <c r="FPD119" s="2"/>
      <c r="FPE119" s="2"/>
      <c r="FPF119" s="2"/>
      <c r="FPG119" s="2"/>
      <c r="FPH119" s="2"/>
      <c r="FPI119" s="2"/>
      <c r="FPJ119" s="2"/>
      <c r="FPK119" s="2"/>
      <c r="FPL119" s="2"/>
      <c r="FPM119" s="2"/>
      <c r="FPN119" s="2"/>
      <c r="FPO119" s="2"/>
      <c r="FPP119" s="2"/>
      <c r="FPQ119" s="2"/>
      <c r="FPR119" s="2"/>
      <c r="FPS119" s="2"/>
      <c r="FPT119" s="2"/>
      <c r="FPU119" s="2"/>
      <c r="FPV119" s="2"/>
      <c r="FPW119" s="2"/>
      <c r="FPX119" s="2"/>
      <c r="FPY119" s="2"/>
      <c r="FPZ119" s="2"/>
      <c r="FQA119" s="2"/>
      <c r="FQB119" s="2"/>
      <c r="FQC119" s="2"/>
      <c r="FQD119" s="2"/>
      <c r="FQE119" s="2"/>
      <c r="FQF119" s="2"/>
      <c r="FQG119" s="2"/>
      <c r="FQH119" s="2"/>
      <c r="FQI119" s="2"/>
      <c r="FQJ119" s="2"/>
      <c r="FQK119" s="2"/>
      <c r="FQL119" s="2"/>
      <c r="FQM119" s="2"/>
      <c r="FQN119" s="2"/>
      <c r="FQO119" s="2"/>
      <c r="FQP119" s="2"/>
      <c r="FQQ119" s="2"/>
      <c r="FQR119" s="2"/>
      <c r="FQS119" s="2"/>
      <c r="FQT119" s="2"/>
      <c r="FQU119" s="2"/>
      <c r="FQV119" s="2"/>
      <c r="FQW119" s="2"/>
      <c r="FQX119" s="2"/>
      <c r="FQY119" s="2"/>
      <c r="FQZ119" s="2"/>
      <c r="FRA119" s="2"/>
      <c r="FRB119" s="2"/>
      <c r="FRC119" s="2"/>
      <c r="FRD119" s="2"/>
      <c r="FRE119" s="2"/>
      <c r="FRF119" s="2"/>
      <c r="FRG119" s="2"/>
      <c r="FRH119" s="2"/>
      <c r="FRI119" s="2"/>
      <c r="FRJ119" s="2"/>
      <c r="FRK119" s="2"/>
      <c r="FRL119" s="2"/>
      <c r="FRM119" s="2"/>
      <c r="FRN119" s="2"/>
      <c r="FRO119" s="2"/>
      <c r="FRP119" s="2"/>
      <c r="FRQ119" s="2"/>
      <c r="FRR119" s="2"/>
      <c r="FRS119" s="2"/>
      <c r="FRT119" s="2"/>
      <c r="FRU119" s="2"/>
      <c r="FRV119" s="2"/>
      <c r="FRW119" s="2"/>
      <c r="FRX119" s="2"/>
      <c r="FRY119" s="2"/>
      <c r="FRZ119" s="2"/>
      <c r="FSA119" s="2"/>
      <c r="FSB119" s="2"/>
      <c r="FSC119" s="2"/>
      <c r="FSD119" s="2"/>
      <c r="FSE119" s="2"/>
      <c r="FSF119" s="2"/>
      <c r="FSG119" s="2"/>
      <c r="FSH119" s="2"/>
      <c r="FSI119" s="2"/>
      <c r="FSJ119" s="2"/>
      <c r="FSK119" s="2"/>
      <c r="FSL119" s="2"/>
      <c r="FSM119" s="2"/>
      <c r="FSN119" s="2"/>
      <c r="FSO119" s="2"/>
      <c r="FSP119" s="2"/>
      <c r="FSQ119" s="2"/>
      <c r="FSR119" s="2"/>
      <c r="FSS119" s="2"/>
      <c r="FST119" s="2"/>
      <c r="FSU119" s="2"/>
      <c r="FSV119" s="2"/>
      <c r="FSW119" s="2"/>
      <c r="FSX119" s="2"/>
      <c r="FSY119" s="2"/>
      <c r="FSZ119" s="2"/>
      <c r="FTA119" s="2"/>
      <c r="FTB119" s="2"/>
      <c r="FTC119" s="2"/>
      <c r="FTD119" s="2"/>
      <c r="FTE119" s="2"/>
      <c r="FTF119" s="2"/>
      <c r="FTG119" s="2"/>
      <c r="FTH119" s="2"/>
      <c r="FTI119" s="2"/>
      <c r="FTJ119" s="2"/>
      <c r="FTK119" s="2"/>
      <c r="FTL119" s="2"/>
      <c r="FTM119" s="2"/>
      <c r="FTN119" s="2"/>
      <c r="FTO119" s="2"/>
      <c r="FTP119" s="2"/>
      <c r="FTQ119" s="2"/>
      <c r="FTR119" s="2"/>
      <c r="FTS119" s="2"/>
      <c r="FTT119" s="2"/>
      <c r="FTU119" s="2"/>
      <c r="FTV119" s="2"/>
      <c r="FTW119" s="2"/>
      <c r="FTX119" s="2"/>
      <c r="FTY119" s="2"/>
      <c r="FTZ119" s="2"/>
      <c r="FUA119" s="2"/>
      <c r="FUB119" s="2"/>
      <c r="FUC119" s="2"/>
      <c r="FUD119" s="2"/>
      <c r="FUE119" s="2"/>
      <c r="FUF119" s="2"/>
      <c r="FUG119" s="2"/>
      <c r="FUH119" s="2"/>
      <c r="FUI119" s="2"/>
      <c r="FUJ119" s="2"/>
      <c r="FUK119" s="2"/>
      <c r="FUL119" s="2"/>
      <c r="FUM119" s="2"/>
      <c r="FUN119" s="2"/>
      <c r="FUO119" s="2"/>
      <c r="FUP119" s="2"/>
      <c r="FUQ119" s="2"/>
      <c r="FUR119" s="2"/>
      <c r="FUS119" s="2"/>
      <c r="FUT119" s="2"/>
      <c r="FUU119" s="2"/>
      <c r="FUV119" s="2"/>
      <c r="FUW119" s="2"/>
      <c r="FUX119" s="2"/>
      <c r="FUY119" s="2"/>
      <c r="FUZ119" s="2"/>
      <c r="FVA119" s="2"/>
      <c r="FVB119" s="2"/>
      <c r="FVC119" s="2"/>
      <c r="FVD119" s="2"/>
      <c r="FVE119" s="2"/>
      <c r="FVF119" s="2"/>
      <c r="FVG119" s="2"/>
      <c r="FVH119" s="2"/>
      <c r="FVI119" s="2"/>
      <c r="FVJ119" s="2"/>
      <c r="FVK119" s="2"/>
      <c r="FVL119" s="2"/>
      <c r="FVM119" s="2"/>
      <c r="FVN119" s="2"/>
      <c r="FVO119" s="2"/>
      <c r="FVP119" s="2"/>
      <c r="FVQ119" s="2"/>
      <c r="FVR119" s="2"/>
      <c r="FVS119" s="2"/>
      <c r="FVT119" s="2"/>
      <c r="FVU119" s="2"/>
      <c r="FVV119" s="2"/>
      <c r="FVW119" s="2"/>
      <c r="FVX119" s="2"/>
      <c r="FVY119" s="2"/>
      <c r="FVZ119" s="2"/>
      <c r="FWA119" s="2"/>
      <c r="FWB119" s="2"/>
      <c r="FWC119" s="2"/>
      <c r="FWD119" s="2"/>
      <c r="FWE119" s="2"/>
      <c r="FWF119" s="2"/>
      <c r="FWG119" s="2"/>
      <c r="FWH119" s="2"/>
      <c r="FWI119" s="2"/>
      <c r="FWJ119" s="2"/>
      <c r="FWK119" s="2"/>
      <c r="FWL119" s="2"/>
      <c r="FWM119" s="2"/>
      <c r="FWN119" s="2"/>
      <c r="FWO119" s="2"/>
      <c r="FWP119" s="2"/>
      <c r="FWQ119" s="2"/>
      <c r="FWR119" s="2"/>
      <c r="FWS119" s="2"/>
      <c r="FWT119" s="2"/>
      <c r="FWU119" s="2"/>
      <c r="FWV119" s="2"/>
      <c r="FWW119" s="2"/>
      <c r="FWX119" s="2"/>
      <c r="FWY119" s="2"/>
      <c r="FWZ119" s="2"/>
      <c r="FXA119" s="2"/>
      <c r="FXB119" s="2"/>
      <c r="FXC119" s="2"/>
      <c r="FXD119" s="2"/>
      <c r="FXE119" s="2"/>
      <c r="FXF119" s="2"/>
      <c r="FXG119" s="2"/>
      <c r="FXH119" s="2"/>
      <c r="FXI119" s="2"/>
      <c r="FXJ119" s="2"/>
      <c r="FXK119" s="2"/>
      <c r="FXL119" s="2"/>
      <c r="FXM119" s="2"/>
      <c r="FXN119" s="2"/>
      <c r="FXO119" s="2"/>
      <c r="FXP119" s="2"/>
      <c r="FXQ119" s="2"/>
      <c r="FXR119" s="2"/>
      <c r="FXS119" s="2"/>
      <c r="FXT119" s="2"/>
      <c r="FXU119" s="2"/>
      <c r="FXV119" s="2"/>
      <c r="FXW119" s="2"/>
      <c r="FXX119" s="2"/>
      <c r="FXY119" s="2"/>
      <c r="FXZ119" s="2"/>
      <c r="FYA119" s="2"/>
      <c r="FYB119" s="2"/>
      <c r="FYC119" s="2"/>
      <c r="FYD119" s="2"/>
      <c r="FYE119" s="2"/>
      <c r="FYF119" s="2"/>
      <c r="FYG119" s="2"/>
      <c r="FYH119" s="2"/>
      <c r="FYI119" s="2"/>
      <c r="FYJ119" s="2"/>
      <c r="FYK119" s="2"/>
      <c r="FYL119" s="2"/>
      <c r="FYM119" s="2"/>
      <c r="FYN119" s="2"/>
      <c r="FYO119" s="2"/>
      <c r="FYP119" s="2"/>
      <c r="FYQ119" s="2"/>
      <c r="FYR119" s="2"/>
      <c r="FYS119" s="2"/>
      <c r="FYT119" s="2"/>
      <c r="FYU119" s="2"/>
      <c r="FYV119" s="2"/>
      <c r="FYW119" s="2"/>
      <c r="FYX119" s="2"/>
      <c r="FYY119" s="2"/>
      <c r="FYZ119" s="2"/>
      <c r="FZA119" s="2"/>
      <c r="FZB119" s="2"/>
      <c r="FZC119" s="2"/>
      <c r="FZD119" s="2"/>
      <c r="FZE119" s="2"/>
      <c r="FZF119" s="2"/>
      <c r="FZG119" s="2"/>
      <c r="FZH119" s="2"/>
      <c r="FZI119" s="2"/>
      <c r="FZJ119" s="2"/>
      <c r="FZK119" s="2"/>
      <c r="FZL119" s="2"/>
      <c r="FZM119" s="2"/>
      <c r="FZN119" s="2"/>
      <c r="FZO119" s="2"/>
      <c r="FZP119" s="2"/>
      <c r="FZQ119" s="2"/>
      <c r="FZR119" s="2"/>
      <c r="FZS119" s="2"/>
      <c r="FZT119" s="2"/>
      <c r="FZU119" s="2"/>
      <c r="FZV119" s="2"/>
      <c r="FZW119" s="2"/>
      <c r="FZX119" s="2"/>
      <c r="FZY119" s="2"/>
      <c r="FZZ119" s="2"/>
      <c r="GAA119" s="2"/>
      <c r="GAB119" s="2"/>
      <c r="GAC119" s="2"/>
      <c r="GAD119" s="2"/>
      <c r="GAE119" s="2"/>
      <c r="GAF119" s="2"/>
      <c r="GAG119" s="2"/>
      <c r="GAH119" s="2"/>
      <c r="GAI119" s="2"/>
      <c r="GAJ119" s="2"/>
      <c r="GAK119" s="2"/>
      <c r="GAL119" s="2"/>
      <c r="GAM119" s="2"/>
      <c r="GAN119" s="2"/>
      <c r="GAO119" s="2"/>
      <c r="GAP119" s="2"/>
      <c r="GAQ119" s="2"/>
      <c r="GAR119" s="2"/>
      <c r="GAS119" s="2"/>
      <c r="GAT119" s="2"/>
      <c r="GAU119" s="2"/>
      <c r="GAV119" s="2"/>
      <c r="GAW119" s="2"/>
      <c r="GAX119" s="2"/>
      <c r="GAY119" s="2"/>
      <c r="GAZ119" s="2"/>
      <c r="GBA119" s="2"/>
      <c r="GBB119" s="2"/>
      <c r="GBC119" s="2"/>
      <c r="GBD119" s="2"/>
      <c r="GBE119" s="2"/>
      <c r="GBF119" s="2"/>
      <c r="GBG119" s="2"/>
      <c r="GBH119" s="2"/>
      <c r="GBI119" s="2"/>
      <c r="GBJ119" s="2"/>
      <c r="GBK119" s="2"/>
      <c r="GBL119" s="2"/>
      <c r="GBM119" s="2"/>
      <c r="GBN119" s="2"/>
      <c r="GBO119" s="2"/>
      <c r="GBP119" s="2"/>
      <c r="GBQ119" s="2"/>
      <c r="GBR119" s="2"/>
      <c r="GBS119" s="2"/>
      <c r="GBT119" s="2"/>
      <c r="GBU119" s="2"/>
      <c r="GBV119" s="2"/>
      <c r="GBW119" s="2"/>
      <c r="GBX119" s="2"/>
      <c r="GBY119" s="2"/>
      <c r="GBZ119" s="2"/>
      <c r="GCA119" s="2"/>
      <c r="GCB119" s="2"/>
      <c r="GCC119" s="2"/>
      <c r="GCD119" s="2"/>
      <c r="GCE119" s="2"/>
      <c r="GCF119" s="2"/>
      <c r="GCG119" s="2"/>
      <c r="GCH119" s="2"/>
      <c r="GCI119" s="2"/>
      <c r="GCJ119" s="2"/>
      <c r="GCK119" s="2"/>
      <c r="GCL119" s="2"/>
      <c r="GCM119" s="2"/>
      <c r="GCN119" s="2"/>
      <c r="GCO119" s="2"/>
      <c r="GCP119" s="2"/>
      <c r="GCQ119" s="2"/>
      <c r="GCR119" s="2"/>
      <c r="GCS119" s="2"/>
      <c r="GCT119" s="2"/>
      <c r="GCU119" s="2"/>
      <c r="GCV119" s="2"/>
      <c r="GCW119" s="2"/>
      <c r="GCX119" s="2"/>
      <c r="GCY119" s="2"/>
      <c r="GCZ119" s="2"/>
      <c r="GDA119" s="2"/>
      <c r="GDB119" s="2"/>
      <c r="GDC119" s="2"/>
      <c r="GDD119" s="2"/>
      <c r="GDE119" s="2"/>
      <c r="GDF119" s="2"/>
      <c r="GDG119" s="2"/>
      <c r="GDH119" s="2"/>
      <c r="GDI119" s="2"/>
      <c r="GDJ119" s="2"/>
      <c r="GDK119" s="2"/>
      <c r="GDL119" s="2"/>
      <c r="GDM119" s="2"/>
      <c r="GDN119" s="2"/>
      <c r="GDO119" s="2"/>
      <c r="GDP119" s="2"/>
      <c r="GDQ119" s="2"/>
      <c r="GDR119" s="2"/>
      <c r="GDS119" s="2"/>
      <c r="GDT119" s="2"/>
      <c r="GDU119" s="2"/>
      <c r="GDV119" s="2"/>
      <c r="GDW119" s="2"/>
      <c r="GDX119" s="2"/>
      <c r="GDY119" s="2"/>
      <c r="GDZ119" s="2"/>
      <c r="GEA119" s="2"/>
      <c r="GEB119" s="2"/>
      <c r="GEC119" s="2"/>
      <c r="GED119" s="2"/>
      <c r="GEE119" s="2"/>
      <c r="GEF119" s="2"/>
      <c r="GEG119" s="2"/>
      <c r="GEH119" s="2"/>
      <c r="GEI119" s="2"/>
      <c r="GEJ119" s="2"/>
      <c r="GEK119" s="2"/>
      <c r="GEL119" s="2"/>
      <c r="GEM119" s="2"/>
      <c r="GEN119" s="2"/>
      <c r="GEO119" s="2"/>
      <c r="GEP119" s="2"/>
      <c r="GEQ119" s="2"/>
      <c r="GER119" s="2"/>
      <c r="GES119" s="2"/>
      <c r="GET119" s="2"/>
      <c r="GEU119" s="2"/>
      <c r="GEV119" s="2"/>
      <c r="GEW119" s="2"/>
      <c r="GEX119" s="2"/>
      <c r="GEY119" s="2"/>
      <c r="GEZ119" s="2"/>
      <c r="GFA119" s="2"/>
      <c r="GFB119" s="2"/>
      <c r="GFC119" s="2"/>
      <c r="GFD119" s="2"/>
      <c r="GFE119" s="2"/>
      <c r="GFF119" s="2"/>
      <c r="GFG119" s="2"/>
      <c r="GFH119" s="2"/>
      <c r="GFI119" s="2"/>
      <c r="GFJ119" s="2"/>
      <c r="GFK119" s="2"/>
      <c r="GFL119" s="2"/>
      <c r="GFM119" s="2"/>
      <c r="GFN119" s="2"/>
      <c r="GFO119" s="2"/>
      <c r="GFP119" s="2"/>
      <c r="GFQ119" s="2"/>
      <c r="GFR119" s="2"/>
      <c r="GFS119" s="2"/>
      <c r="GFT119" s="2"/>
      <c r="GFU119" s="2"/>
      <c r="GFV119" s="2"/>
      <c r="GFW119" s="2"/>
      <c r="GFX119" s="2"/>
      <c r="GFY119" s="2"/>
      <c r="GFZ119" s="2"/>
      <c r="GGA119" s="2"/>
      <c r="GGB119" s="2"/>
      <c r="GGC119" s="2"/>
      <c r="GGD119" s="2"/>
      <c r="GGE119" s="2"/>
      <c r="GGF119" s="2"/>
      <c r="GGG119" s="2"/>
      <c r="GGH119" s="2"/>
      <c r="GGI119" s="2"/>
      <c r="GGJ119" s="2"/>
      <c r="GGK119" s="2"/>
      <c r="GGL119" s="2"/>
      <c r="GGM119" s="2"/>
      <c r="GGN119" s="2"/>
      <c r="GGO119" s="2"/>
      <c r="GGP119" s="2"/>
      <c r="GGQ119" s="2"/>
      <c r="GGR119" s="2"/>
      <c r="GGS119" s="2"/>
      <c r="GGT119" s="2"/>
      <c r="GGU119" s="2"/>
      <c r="GGV119" s="2"/>
      <c r="GGW119" s="2"/>
      <c r="GGX119" s="2"/>
      <c r="GGY119" s="2"/>
      <c r="GGZ119" s="2"/>
      <c r="GHA119" s="2"/>
      <c r="GHB119" s="2"/>
      <c r="GHC119" s="2"/>
      <c r="GHD119" s="2"/>
      <c r="GHE119" s="2"/>
      <c r="GHF119" s="2"/>
      <c r="GHG119" s="2"/>
      <c r="GHH119" s="2"/>
      <c r="GHI119" s="2"/>
      <c r="GHJ119" s="2"/>
      <c r="GHK119" s="2"/>
      <c r="GHL119" s="2"/>
      <c r="GHM119" s="2"/>
      <c r="GHN119" s="2"/>
      <c r="GHO119" s="2"/>
      <c r="GHP119" s="2"/>
      <c r="GHQ119" s="2"/>
      <c r="GHR119" s="2"/>
      <c r="GHS119" s="2"/>
      <c r="GHT119" s="2"/>
      <c r="GHU119" s="2"/>
      <c r="GHV119" s="2"/>
      <c r="GHW119" s="2"/>
      <c r="GHX119" s="2"/>
      <c r="GHY119" s="2"/>
      <c r="GHZ119" s="2"/>
      <c r="GIA119" s="2"/>
      <c r="GIB119" s="2"/>
      <c r="GIC119" s="2"/>
      <c r="GID119" s="2"/>
      <c r="GIE119" s="2"/>
      <c r="GIF119" s="2"/>
      <c r="GIG119" s="2"/>
      <c r="GIH119" s="2"/>
      <c r="GII119" s="2"/>
      <c r="GIJ119" s="2"/>
      <c r="GIK119" s="2"/>
      <c r="GIL119" s="2"/>
      <c r="GIM119" s="2"/>
      <c r="GIN119" s="2"/>
      <c r="GIO119" s="2"/>
      <c r="GIP119" s="2"/>
      <c r="GIQ119" s="2"/>
      <c r="GIR119" s="2"/>
      <c r="GIS119" s="2"/>
      <c r="GIT119" s="2"/>
      <c r="GIU119" s="2"/>
      <c r="GIV119" s="2"/>
      <c r="GIW119" s="2"/>
      <c r="GIX119" s="2"/>
      <c r="GIY119" s="2"/>
      <c r="GIZ119" s="2"/>
      <c r="GJA119" s="2"/>
      <c r="GJB119" s="2"/>
      <c r="GJC119" s="2"/>
      <c r="GJD119" s="2"/>
      <c r="GJE119" s="2"/>
      <c r="GJF119" s="2"/>
      <c r="GJG119" s="2"/>
      <c r="GJH119" s="2"/>
      <c r="GJI119" s="2"/>
      <c r="GJJ119" s="2"/>
      <c r="GJK119" s="2"/>
      <c r="GJL119" s="2"/>
      <c r="GJM119" s="2"/>
      <c r="GJN119" s="2"/>
      <c r="GJO119" s="2"/>
      <c r="GJP119" s="2"/>
      <c r="GJQ119" s="2"/>
      <c r="GJR119" s="2"/>
      <c r="GJS119" s="2"/>
      <c r="GJT119" s="2"/>
      <c r="GJU119" s="2"/>
      <c r="GJV119" s="2"/>
      <c r="GJW119" s="2"/>
      <c r="GJX119" s="2"/>
      <c r="GJY119" s="2"/>
      <c r="GJZ119" s="2"/>
      <c r="GKA119" s="2"/>
      <c r="GKB119" s="2"/>
      <c r="GKC119" s="2"/>
      <c r="GKD119" s="2"/>
      <c r="GKE119" s="2"/>
      <c r="GKF119" s="2"/>
      <c r="GKG119" s="2"/>
      <c r="GKH119" s="2"/>
      <c r="GKI119" s="2"/>
      <c r="GKJ119" s="2"/>
      <c r="GKK119" s="2"/>
      <c r="GKL119" s="2"/>
      <c r="GKM119" s="2"/>
      <c r="GKN119" s="2"/>
      <c r="GKO119" s="2"/>
      <c r="GKP119" s="2"/>
      <c r="GKQ119" s="2"/>
      <c r="GKR119" s="2"/>
      <c r="GKS119" s="2"/>
      <c r="GKT119" s="2"/>
      <c r="GKU119" s="2"/>
      <c r="GKV119" s="2"/>
      <c r="GKW119" s="2"/>
      <c r="GKX119" s="2"/>
      <c r="GKY119" s="2"/>
      <c r="GKZ119" s="2"/>
      <c r="GLA119" s="2"/>
      <c r="GLB119" s="2"/>
      <c r="GLC119" s="2"/>
      <c r="GLD119" s="2"/>
      <c r="GLE119" s="2"/>
      <c r="GLF119" s="2"/>
      <c r="GLG119" s="2"/>
      <c r="GLH119" s="2"/>
      <c r="GLI119" s="2"/>
      <c r="GLJ119" s="2"/>
      <c r="GLK119" s="2"/>
      <c r="GLL119" s="2"/>
      <c r="GLM119" s="2"/>
      <c r="GLN119" s="2"/>
      <c r="GLO119" s="2"/>
      <c r="GLP119" s="2"/>
      <c r="GLQ119" s="2"/>
      <c r="GLR119" s="2"/>
      <c r="GLS119" s="2"/>
      <c r="GLT119" s="2"/>
      <c r="GLU119" s="2"/>
      <c r="GLV119" s="2"/>
      <c r="GLW119" s="2"/>
      <c r="GLX119" s="2"/>
      <c r="GLY119" s="2"/>
      <c r="GLZ119" s="2"/>
      <c r="GMA119" s="2"/>
      <c r="GMB119" s="2"/>
      <c r="GMC119" s="2"/>
      <c r="GMD119" s="2"/>
      <c r="GME119" s="2"/>
      <c r="GMF119" s="2"/>
      <c r="GMG119" s="2"/>
      <c r="GMH119" s="2"/>
      <c r="GMI119" s="2"/>
      <c r="GMJ119" s="2"/>
      <c r="GMK119" s="2"/>
      <c r="GML119" s="2"/>
      <c r="GMM119" s="2"/>
      <c r="GMN119" s="2"/>
      <c r="GMO119" s="2"/>
      <c r="GMP119" s="2"/>
      <c r="GMQ119" s="2"/>
      <c r="GMR119" s="2"/>
      <c r="GMS119" s="2"/>
      <c r="GMT119" s="2"/>
      <c r="GMU119" s="2"/>
      <c r="GMV119" s="2"/>
      <c r="GMW119" s="2"/>
      <c r="GMX119" s="2"/>
      <c r="GMY119" s="2"/>
      <c r="GMZ119" s="2"/>
      <c r="GNA119" s="2"/>
      <c r="GNB119" s="2"/>
      <c r="GNC119" s="2"/>
      <c r="GND119" s="2"/>
      <c r="GNE119" s="2"/>
      <c r="GNF119" s="2"/>
      <c r="GNG119" s="2"/>
      <c r="GNH119" s="2"/>
      <c r="GNI119" s="2"/>
      <c r="GNJ119" s="2"/>
      <c r="GNK119" s="2"/>
      <c r="GNL119" s="2"/>
      <c r="GNM119" s="2"/>
      <c r="GNN119" s="2"/>
      <c r="GNO119" s="2"/>
      <c r="GNP119" s="2"/>
      <c r="GNQ119" s="2"/>
      <c r="GNR119" s="2"/>
      <c r="GNS119" s="2"/>
      <c r="GNT119" s="2"/>
      <c r="GNU119" s="2"/>
      <c r="GNV119" s="2"/>
      <c r="GNW119" s="2"/>
      <c r="GNX119" s="2"/>
      <c r="GNY119" s="2"/>
      <c r="GNZ119" s="2"/>
      <c r="GOA119" s="2"/>
      <c r="GOB119" s="2"/>
      <c r="GOC119" s="2"/>
      <c r="GOD119" s="2"/>
      <c r="GOE119" s="2"/>
      <c r="GOF119" s="2"/>
      <c r="GOG119" s="2"/>
      <c r="GOH119" s="2"/>
      <c r="GOI119" s="2"/>
      <c r="GOJ119" s="2"/>
      <c r="GOK119" s="2"/>
      <c r="GOL119" s="2"/>
      <c r="GOM119" s="2"/>
      <c r="GON119" s="2"/>
      <c r="GOO119" s="2"/>
      <c r="GOP119" s="2"/>
      <c r="GOQ119" s="2"/>
      <c r="GOR119" s="2"/>
      <c r="GOS119" s="2"/>
      <c r="GOT119" s="2"/>
      <c r="GOU119" s="2"/>
      <c r="GOV119" s="2"/>
      <c r="GOW119" s="2"/>
      <c r="GOX119" s="2"/>
      <c r="GOY119" s="2"/>
      <c r="GOZ119" s="2"/>
      <c r="GPA119" s="2"/>
      <c r="GPB119" s="2"/>
      <c r="GPC119" s="2"/>
      <c r="GPD119" s="2"/>
      <c r="GPE119" s="2"/>
      <c r="GPF119" s="2"/>
      <c r="GPG119" s="2"/>
      <c r="GPH119" s="2"/>
      <c r="GPI119" s="2"/>
      <c r="GPJ119" s="2"/>
      <c r="GPK119" s="2"/>
      <c r="GPL119" s="2"/>
      <c r="GPM119" s="2"/>
      <c r="GPN119" s="2"/>
      <c r="GPO119" s="2"/>
      <c r="GPP119" s="2"/>
      <c r="GPQ119" s="2"/>
      <c r="GPR119" s="2"/>
      <c r="GPS119" s="2"/>
      <c r="GPT119" s="2"/>
      <c r="GPU119" s="2"/>
      <c r="GPV119" s="2"/>
      <c r="GPW119" s="2"/>
      <c r="GPX119" s="2"/>
      <c r="GPY119" s="2"/>
      <c r="GPZ119" s="2"/>
      <c r="GQA119" s="2"/>
      <c r="GQB119" s="2"/>
      <c r="GQC119" s="2"/>
      <c r="GQD119" s="2"/>
      <c r="GQE119" s="2"/>
      <c r="GQF119" s="2"/>
      <c r="GQG119" s="2"/>
      <c r="GQH119" s="2"/>
      <c r="GQI119" s="2"/>
      <c r="GQJ119" s="2"/>
      <c r="GQK119" s="2"/>
      <c r="GQL119" s="2"/>
      <c r="GQM119" s="2"/>
      <c r="GQN119" s="2"/>
      <c r="GQO119" s="2"/>
      <c r="GQP119" s="2"/>
      <c r="GQQ119" s="2"/>
      <c r="GQR119" s="2"/>
      <c r="GQS119" s="2"/>
      <c r="GQT119" s="2"/>
      <c r="GQU119" s="2"/>
      <c r="GQV119" s="2"/>
      <c r="GQW119" s="2"/>
      <c r="GQX119" s="2"/>
      <c r="GQY119" s="2"/>
      <c r="GQZ119" s="2"/>
      <c r="GRA119" s="2"/>
      <c r="GRB119" s="2"/>
      <c r="GRC119" s="2"/>
      <c r="GRD119" s="2"/>
      <c r="GRE119" s="2"/>
      <c r="GRF119" s="2"/>
      <c r="GRG119" s="2"/>
      <c r="GRH119" s="2"/>
      <c r="GRI119" s="2"/>
      <c r="GRJ119" s="2"/>
      <c r="GRK119" s="2"/>
      <c r="GRL119" s="2"/>
      <c r="GRM119" s="2"/>
      <c r="GRN119" s="2"/>
      <c r="GRO119" s="2"/>
      <c r="GRP119" s="2"/>
      <c r="GRQ119" s="2"/>
      <c r="GRR119" s="2"/>
      <c r="GRS119" s="2"/>
      <c r="GRT119" s="2"/>
      <c r="GRU119" s="2"/>
      <c r="GRV119" s="2"/>
      <c r="GRW119" s="2"/>
      <c r="GRX119" s="2"/>
      <c r="GRY119" s="2"/>
      <c r="GRZ119" s="2"/>
      <c r="GSA119" s="2"/>
      <c r="GSB119" s="2"/>
      <c r="GSC119" s="2"/>
      <c r="GSD119" s="2"/>
      <c r="GSE119" s="2"/>
      <c r="GSF119" s="2"/>
      <c r="GSG119" s="2"/>
      <c r="GSH119" s="2"/>
      <c r="GSI119" s="2"/>
      <c r="GSJ119" s="2"/>
      <c r="GSK119" s="2"/>
      <c r="GSL119" s="2"/>
      <c r="GSM119" s="2"/>
      <c r="GSN119" s="2"/>
      <c r="GSO119" s="2"/>
      <c r="GSP119" s="2"/>
      <c r="GSQ119" s="2"/>
      <c r="GSR119" s="2"/>
      <c r="GSS119" s="2"/>
      <c r="GST119" s="2"/>
      <c r="GSU119" s="2"/>
      <c r="GSV119" s="2"/>
      <c r="GSW119" s="2"/>
      <c r="GSX119" s="2"/>
      <c r="GSY119" s="2"/>
      <c r="GSZ119" s="2"/>
      <c r="GTA119" s="2"/>
      <c r="GTB119" s="2"/>
      <c r="GTC119" s="2"/>
      <c r="GTD119" s="2"/>
      <c r="GTE119" s="2"/>
      <c r="GTF119" s="2"/>
      <c r="GTG119" s="2"/>
      <c r="GTH119" s="2"/>
      <c r="GTI119" s="2"/>
      <c r="GTJ119" s="2"/>
      <c r="GTK119" s="2"/>
      <c r="GTL119" s="2"/>
      <c r="GTM119" s="2"/>
      <c r="GTN119" s="2"/>
      <c r="GTO119" s="2"/>
      <c r="GTP119" s="2"/>
      <c r="GTQ119" s="2"/>
      <c r="GTR119" s="2"/>
      <c r="GTS119" s="2"/>
      <c r="GTT119" s="2"/>
      <c r="GTU119" s="2"/>
      <c r="GTV119" s="2"/>
      <c r="GTW119" s="2"/>
      <c r="GTX119" s="2"/>
      <c r="GTY119" s="2"/>
      <c r="GTZ119" s="2"/>
      <c r="GUA119" s="2"/>
      <c r="GUB119" s="2"/>
      <c r="GUC119" s="2"/>
      <c r="GUD119" s="2"/>
      <c r="GUE119" s="2"/>
      <c r="GUF119" s="2"/>
      <c r="GUG119" s="2"/>
      <c r="GUH119" s="2"/>
      <c r="GUI119" s="2"/>
      <c r="GUJ119" s="2"/>
      <c r="GUK119" s="2"/>
      <c r="GUL119" s="2"/>
      <c r="GUM119" s="2"/>
      <c r="GUN119" s="2"/>
      <c r="GUO119" s="2"/>
      <c r="GUP119" s="2"/>
      <c r="GUQ119" s="2"/>
      <c r="GUR119" s="2"/>
      <c r="GUS119" s="2"/>
      <c r="GUT119" s="2"/>
      <c r="GUU119" s="2"/>
      <c r="GUV119" s="2"/>
      <c r="GUW119" s="2"/>
      <c r="GUX119" s="2"/>
      <c r="GUY119" s="2"/>
      <c r="GUZ119" s="2"/>
      <c r="GVA119" s="2"/>
      <c r="GVB119" s="2"/>
      <c r="GVC119" s="2"/>
      <c r="GVD119" s="2"/>
      <c r="GVE119" s="2"/>
      <c r="GVF119" s="2"/>
      <c r="GVG119" s="2"/>
      <c r="GVH119" s="2"/>
      <c r="GVI119" s="2"/>
      <c r="GVJ119" s="2"/>
      <c r="GVK119" s="2"/>
      <c r="GVL119" s="2"/>
      <c r="GVM119" s="2"/>
      <c r="GVN119" s="2"/>
      <c r="GVO119" s="2"/>
      <c r="GVP119" s="2"/>
      <c r="GVQ119" s="2"/>
      <c r="GVR119" s="2"/>
      <c r="GVS119" s="2"/>
      <c r="GVT119" s="2"/>
      <c r="GVU119" s="2"/>
      <c r="GVV119" s="2"/>
      <c r="GVW119" s="2"/>
      <c r="GVX119" s="2"/>
      <c r="GVY119" s="2"/>
      <c r="GVZ119" s="2"/>
      <c r="GWA119" s="2"/>
      <c r="GWB119" s="2"/>
      <c r="GWC119" s="2"/>
      <c r="GWD119" s="2"/>
      <c r="GWE119" s="2"/>
      <c r="GWF119" s="2"/>
      <c r="GWG119" s="2"/>
      <c r="GWH119" s="2"/>
      <c r="GWI119" s="2"/>
      <c r="GWJ119" s="2"/>
      <c r="GWK119" s="2"/>
      <c r="GWL119" s="2"/>
      <c r="GWM119" s="2"/>
      <c r="GWN119" s="2"/>
      <c r="GWO119" s="2"/>
      <c r="GWP119" s="2"/>
      <c r="GWQ119" s="2"/>
      <c r="GWR119" s="2"/>
      <c r="GWS119" s="2"/>
      <c r="GWT119" s="2"/>
      <c r="GWU119" s="2"/>
      <c r="GWV119" s="2"/>
      <c r="GWW119" s="2"/>
      <c r="GWX119" s="2"/>
      <c r="GWY119" s="2"/>
      <c r="GWZ119" s="2"/>
      <c r="GXA119" s="2"/>
      <c r="GXB119" s="2"/>
      <c r="GXC119" s="2"/>
      <c r="GXD119" s="2"/>
      <c r="GXE119" s="2"/>
      <c r="GXF119" s="2"/>
      <c r="GXG119" s="2"/>
      <c r="GXH119" s="2"/>
      <c r="GXI119" s="2"/>
      <c r="GXJ119" s="2"/>
      <c r="GXK119" s="2"/>
      <c r="GXL119" s="2"/>
      <c r="GXM119" s="2"/>
      <c r="GXN119" s="2"/>
      <c r="GXO119" s="2"/>
      <c r="GXP119" s="2"/>
      <c r="GXQ119" s="2"/>
      <c r="GXR119" s="2"/>
      <c r="GXS119" s="2"/>
      <c r="GXT119" s="2"/>
      <c r="GXU119" s="2"/>
      <c r="GXV119" s="2"/>
      <c r="GXW119" s="2"/>
      <c r="GXX119" s="2"/>
      <c r="GXY119" s="2"/>
      <c r="GXZ119" s="2"/>
      <c r="GYA119" s="2"/>
      <c r="GYB119" s="2"/>
      <c r="GYC119" s="2"/>
      <c r="GYD119" s="2"/>
      <c r="GYE119" s="2"/>
      <c r="GYF119" s="2"/>
      <c r="GYG119" s="2"/>
      <c r="GYH119" s="2"/>
      <c r="GYI119" s="2"/>
      <c r="GYJ119" s="2"/>
      <c r="GYK119" s="2"/>
      <c r="GYL119" s="2"/>
      <c r="GYM119" s="2"/>
      <c r="GYN119" s="2"/>
      <c r="GYO119" s="2"/>
      <c r="GYP119" s="2"/>
      <c r="GYQ119" s="2"/>
      <c r="GYR119" s="2"/>
      <c r="GYS119" s="2"/>
      <c r="GYT119" s="2"/>
      <c r="GYU119" s="2"/>
      <c r="GYV119" s="2"/>
      <c r="GYW119" s="2"/>
      <c r="GYX119" s="2"/>
      <c r="GYY119" s="2"/>
      <c r="GYZ119" s="2"/>
      <c r="GZA119" s="2"/>
      <c r="GZB119" s="2"/>
      <c r="GZC119" s="2"/>
      <c r="GZD119" s="2"/>
      <c r="GZE119" s="2"/>
      <c r="GZF119" s="2"/>
      <c r="GZG119" s="2"/>
      <c r="GZH119" s="2"/>
      <c r="GZI119" s="2"/>
      <c r="GZJ119" s="2"/>
      <c r="GZK119" s="2"/>
      <c r="GZL119" s="2"/>
      <c r="GZM119" s="2"/>
      <c r="GZN119" s="2"/>
      <c r="GZO119" s="2"/>
      <c r="GZP119" s="2"/>
      <c r="GZQ119" s="2"/>
      <c r="GZR119" s="2"/>
      <c r="GZS119" s="2"/>
      <c r="GZT119" s="2"/>
      <c r="GZU119" s="2"/>
      <c r="GZV119" s="2"/>
      <c r="GZW119" s="2"/>
      <c r="GZX119" s="2"/>
      <c r="GZY119" s="2"/>
      <c r="GZZ119" s="2"/>
      <c r="HAA119" s="2"/>
      <c r="HAB119" s="2"/>
      <c r="HAC119" s="2"/>
      <c r="HAD119" s="2"/>
      <c r="HAE119" s="2"/>
      <c r="HAF119" s="2"/>
      <c r="HAG119" s="2"/>
      <c r="HAH119" s="2"/>
      <c r="HAI119" s="2"/>
      <c r="HAJ119" s="2"/>
      <c r="HAK119" s="2"/>
      <c r="HAL119" s="2"/>
      <c r="HAM119" s="2"/>
      <c r="HAN119" s="2"/>
      <c r="HAO119" s="2"/>
      <c r="HAP119" s="2"/>
      <c r="HAQ119" s="2"/>
      <c r="HAR119" s="2"/>
      <c r="HAS119" s="2"/>
      <c r="HAT119" s="2"/>
      <c r="HAU119" s="2"/>
      <c r="HAV119" s="2"/>
      <c r="HAW119" s="2"/>
      <c r="HAX119" s="2"/>
      <c r="HAY119" s="2"/>
      <c r="HAZ119" s="2"/>
      <c r="HBA119" s="2"/>
      <c r="HBB119" s="2"/>
      <c r="HBC119" s="2"/>
      <c r="HBD119" s="2"/>
      <c r="HBE119" s="2"/>
      <c r="HBF119" s="2"/>
      <c r="HBG119" s="2"/>
      <c r="HBH119" s="2"/>
      <c r="HBI119" s="2"/>
      <c r="HBJ119" s="2"/>
      <c r="HBK119" s="2"/>
      <c r="HBL119" s="2"/>
      <c r="HBM119" s="2"/>
      <c r="HBN119" s="2"/>
      <c r="HBO119" s="2"/>
      <c r="HBP119" s="2"/>
      <c r="HBQ119" s="2"/>
      <c r="HBR119" s="2"/>
      <c r="HBS119" s="2"/>
      <c r="HBT119" s="2"/>
      <c r="HBU119" s="2"/>
      <c r="HBV119" s="2"/>
      <c r="HBW119" s="2"/>
      <c r="HBX119" s="2"/>
      <c r="HBY119" s="2"/>
      <c r="HBZ119" s="2"/>
      <c r="HCA119" s="2"/>
      <c r="HCB119" s="2"/>
      <c r="HCC119" s="2"/>
      <c r="HCD119" s="2"/>
      <c r="HCE119" s="2"/>
      <c r="HCF119" s="2"/>
      <c r="HCG119" s="2"/>
      <c r="HCH119" s="2"/>
      <c r="HCI119" s="2"/>
      <c r="HCJ119" s="2"/>
      <c r="HCK119" s="2"/>
      <c r="HCL119" s="2"/>
      <c r="HCM119" s="2"/>
      <c r="HCN119" s="2"/>
      <c r="HCO119" s="2"/>
      <c r="HCP119" s="2"/>
      <c r="HCQ119" s="2"/>
      <c r="HCR119" s="2"/>
      <c r="HCS119" s="2"/>
      <c r="HCT119" s="2"/>
      <c r="HCU119" s="2"/>
      <c r="HCV119" s="2"/>
      <c r="HCW119" s="2"/>
      <c r="HCX119" s="2"/>
      <c r="HCY119" s="2"/>
      <c r="HCZ119" s="2"/>
      <c r="HDA119" s="2"/>
      <c r="HDB119" s="2"/>
      <c r="HDC119" s="2"/>
      <c r="HDD119" s="2"/>
      <c r="HDE119" s="2"/>
      <c r="HDF119" s="2"/>
      <c r="HDG119" s="2"/>
      <c r="HDH119" s="2"/>
      <c r="HDI119" s="2"/>
      <c r="HDJ119" s="2"/>
      <c r="HDK119" s="2"/>
      <c r="HDL119" s="2"/>
      <c r="HDM119" s="2"/>
      <c r="HDN119" s="2"/>
      <c r="HDO119" s="2"/>
      <c r="HDP119" s="2"/>
      <c r="HDQ119" s="2"/>
      <c r="HDR119" s="2"/>
      <c r="HDS119" s="2"/>
      <c r="HDT119" s="2"/>
      <c r="HDU119" s="2"/>
      <c r="HDV119" s="2"/>
      <c r="HDW119" s="2"/>
      <c r="HDX119" s="2"/>
      <c r="HDY119" s="2"/>
      <c r="HDZ119" s="2"/>
      <c r="HEA119" s="2"/>
      <c r="HEB119" s="2"/>
      <c r="HEC119" s="2"/>
      <c r="HED119" s="2"/>
      <c r="HEE119" s="2"/>
      <c r="HEF119" s="2"/>
      <c r="HEG119" s="2"/>
      <c r="HEH119" s="2"/>
      <c r="HEI119" s="2"/>
      <c r="HEJ119" s="2"/>
      <c r="HEK119" s="2"/>
      <c r="HEL119" s="2"/>
      <c r="HEM119" s="2"/>
      <c r="HEN119" s="2"/>
      <c r="HEO119" s="2"/>
      <c r="HEP119" s="2"/>
      <c r="HEQ119" s="2"/>
      <c r="HER119" s="2"/>
      <c r="HES119" s="2"/>
      <c r="HET119" s="2"/>
      <c r="HEU119" s="2"/>
      <c r="HEV119" s="2"/>
      <c r="HEW119" s="2"/>
      <c r="HEX119" s="2"/>
      <c r="HEY119" s="2"/>
      <c r="HEZ119" s="2"/>
      <c r="HFA119" s="2"/>
      <c r="HFB119" s="2"/>
      <c r="HFC119" s="2"/>
      <c r="HFD119" s="2"/>
      <c r="HFE119" s="2"/>
      <c r="HFF119" s="2"/>
      <c r="HFG119" s="2"/>
      <c r="HFH119" s="2"/>
      <c r="HFI119" s="2"/>
      <c r="HFJ119" s="2"/>
      <c r="HFK119" s="2"/>
      <c r="HFL119" s="2"/>
      <c r="HFM119" s="2"/>
      <c r="HFN119" s="2"/>
      <c r="HFO119" s="2"/>
      <c r="HFP119" s="2"/>
      <c r="HFQ119" s="2"/>
      <c r="HFR119" s="2"/>
      <c r="HFS119" s="2"/>
      <c r="HFT119" s="2"/>
      <c r="HFU119" s="2"/>
      <c r="HFV119" s="2"/>
      <c r="HFW119" s="2"/>
      <c r="HFX119" s="2"/>
      <c r="HFY119" s="2"/>
      <c r="HFZ119" s="2"/>
      <c r="HGA119" s="2"/>
      <c r="HGB119" s="2"/>
      <c r="HGC119" s="2"/>
      <c r="HGD119" s="2"/>
      <c r="HGE119" s="2"/>
      <c r="HGF119" s="2"/>
      <c r="HGG119" s="2"/>
      <c r="HGH119" s="2"/>
      <c r="HGI119" s="2"/>
      <c r="HGJ119" s="2"/>
      <c r="HGK119" s="2"/>
      <c r="HGL119" s="2"/>
      <c r="HGM119" s="2"/>
      <c r="HGN119" s="2"/>
      <c r="HGO119" s="2"/>
      <c r="HGP119" s="2"/>
      <c r="HGQ119" s="2"/>
      <c r="HGR119" s="2"/>
      <c r="HGS119" s="2"/>
      <c r="HGT119" s="2"/>
      <c r="HGU119" s="2"/>
      <c r="HGV119" s="2"/>
      <c r="HGW119" s="2"/>
      <c r="HGX119" s="2"/>
      <c r="HGY119" s="2"/>
      <c r="HGZ119" s="2"/>
      <c r="HHA119" s="2"/>
      <c r="HHB119" s="2"/>
      <c r="HHC119" s="2"/>
      <c r="HHD119" s="2"/>
      <c r="HHE119" s="2"/>
      <c r="HHF119" s="2"/>
      <c r="HHG119" s="2"/>
      <c r="HHH119" s="2"/>
      <c r="HHI119" s="2"/>
      <c r="HHJ119" s="2"/>
      <c r="HHK119" s="2"/>
      <c r="HHL119" s="2"/>
      <c r="HHM119" s="2"/>
      <c r="HHN119" s="2"/>
      <c r="HHO119" s="2"/>
      <c r="HHP119" s="2"/>
      <c r="HHQ119" s="2"/>
      <c r="HHR119" s="2"/>
      <c r="HHS119" s="2"/>
      <c r="HHT119" s="2"/>
      <c r="HHU119" s="2"/>
      <c r="HHV119" s="2"/>
      <c r="HHW119" s="2"/>
      <c r="HHX119" s="2"/>
      <c r="HHY119" s="2"/>
      <c r="HHZ119" s="2"/>
      <c r="HIA119" s="2"/>
      <c r="HIB119" s="2"/>
      <c r="HIC119" s="2"/>
      <c r="HID119" s="2"/>
      <c r="HIE119" s="2"/>
      <c r="HIF119" s="2"/>
      <c r="HIG119" s="2"/>
      <c r="HIH119" s="2"/>
      <c r="HII119" s="2"/>
      <c r="HIJ119" s="2"/>
      <c r="HIK119" s="2"/>
      <c r="HIL119" s="2"/>
      <c r="HIM119" s="2"/>
      <c r="HIN119" s="2"/>
      <c r="HIO119" s="2"/>
      <c r="HIP119" s="2"/>
      <c r="HIQ119" s="2"/>
      <c r="HIR119" s="2"/>
      <c r="HIS119" s="2"/>
      <c r="HIT119" s="2"/>
      <c r="HIU119" s="2"/>
      <c r="HIV119" s="2"/>
      <c r="HIW119" s="2"/>
      <c r="HIX119" s="2"/>
      <c r="HIY119" s="2"/>
      <c r="HIZ119" s="2"/>
      <c r="HJA119" s="2"/>
      <c r="HJB119" s="2"/>
      <c r="HJC119" s="2"/>
      <c r="HJD119" s="2"/>
      <c r="HJE119" s="2"/>
      <c r="HJF119" s="2"/>
      <c r="HJG119" s="2"/>
      <c r="HJH119" s="2"/>
      <c r="HJI119" s="2"/>
      <c r="HJJ119" s="2"/>
      <c r="HJK119" s="2"/>
      <c r="HJL119" s="2"/>
      <c r="HJM119" s="2"/>
      <c r="HJN119" s="2"/>
      <c r="HJO119" s="2"/>
      <c r="HJP119" s="2"/>
      <c r="HJQ119" s="2"/>
      <c r="HJR119" s="2"/>
      <c r="HJS119" s="2"/>
      <c r="HJT119" s="2"/>
      <c r="HJU119" s="2"/>
      <c r="HJV119" s="2"/>
      <c r="HJW119" s="2"/>
      <c r="HJX119" s="2"/>
      <c r="HJY119" s="2"/>
      <c r="HJZ119" s="2"/>
      <c r="HKA119" s="2"/>
      <c r="HKB119" s="2"/>
      <c r="HKC119" s="2"/>
      <c r="HKD119" s="2"/>
      <c r="HKE119" s="2"/>
      <c r="HKF119" s="2"/>
      <c r="HKG119" s="2"/>
      <c r="HKH119" s="2"/>
      <c r="HKI119" s="2"/>
      <c r="HKJ119" s="2"/>
      <c r="HKK119" s="2"/>
      <c r="HKL119" s="2"/>
      <c r="HKM119" s="2"/>
      <c r="HKN119" s="2"/>
      <c r="HKO119" s="2"/>
      <c r="HKP119" s="2"/>
      <c r="HKQ119" s="2"/>
      <c r="HKR119" s="2"/>
      <c r="HKS119" s="2"/>
      <c r="HKT119" s="2"/>
      <c r="HKU119" s="2"/>
      <c r="HKV119" s="2"/>
      <c r="HKW119" s="2"/>
      <c r="HKX119" s="2"/>
      <c r="HKY119" s="2"/>
      <c r="HKZ119" s="2"/>
      <c r="HLA119" s="2"/>
      <c r="HLB119" s="2"/>
      <c r="HLC119" s="2"/>
      <c r="HLD119" s="2"/>
      <c r="HLE119" s="2"/>
      <c r="HLF119" s="2"/>
      <c r="HLG119" s="2"/>
      <c r="HLH119" s="2"/>
      <c r="HLI119" s="2"/>
      <c r="HLJ119" s="2"/>
      <c r="HLK119" s="2"/>
      <c r="HLL119" s="2"/>
      <c r="HLM119" s="2"/>
      <c r="HLN119" s="2"/>
      <c r="HLO119" s="2"/>
      <c r="HLP119" s="2"/>
      <c r="HLQ119" s="2"/>
      <c r="HLR119" s="2"/>
      <c r="HLS119" s="2"/>
      <c r="HLT119" s="2"/>
      <c r="HLU119" s="2"/>
      <c r="HLV119" s="2"/>
      <c r="HLW119" s="2"/>
      <c r="HLX119" s="2"/>
      <c r="HLY119" s="2"/>
      <c r="HLZ119" s="2"/>
      <c r="HMA119" s="2"/>
      <c r="HMB119" s="2"/>
      <c r="HMC119" s="2"/>
      <c r="HMD119" s="2"/>
      <c r="HME119" s="2"/>
      <c r="HMF119" s="2"/>
      <c r="HMG119" s="2"/>
      <c r="HMH119" s="2"/>
      <c r="HMI119" s="2"/>
      <c r="HMJ119" s="2"/>
      <c r="HMK119" s="2"/>
      <c r="HML119" s="2"/>
      <c r="HMM119" s="2"/>
      <c r="HMN119" s="2"/>
      <c r="HMO119" s="2"/>
      <c r="HMP119" s="2"/>
      <c r="HMQ119" s="2"/>
      <c r="HMR119" s="2"/>
      <c r="HMS119" s="2"/>
      <c r="HMT119" s="2"/>
      <c r="HMU119" s="2"/>
      <c r="HMV119" s="2"/>
      <c r="HMW119" s="2"/>
      <c r="HMX119" s="2"/>
      <c r="HMY119" s="2"/>
      <c r="HMZ119" s="2"/>
      <c r="HNA119" s="2"/>
      <c r="HNB119" s="2"/>
      <c r="HNC119" s="2"/>
      <c r="HND119" s="2"/>
      <c r="HNE119" s="2"/>
      <c r="HNF119" s="2"/>
      <c r="HNG119" s="2"/>
      <c r="HNH119" s="2"/>
      <c r="HNI119" s="2"/>
      <c r="HNJ119" s="2"/>
      <c r="HNK119" s="2"/>
      <c r="HNL119" s="2"/>
      <c r="HNM119" s="2"/>
      <c r="HNN119" s="2"/>
      <c r="HNO119" s="2"/>
      <c r="HNP119" s="2"/>
      <c r="HNQ119" s="2"/>
      <c r="HNR119" s="2"/>
      <c r="HNS119" s="2"/>
      <c r="HNT119" s="2"/>
      <c r="HNU119" s="2"/>
      <c r="HNV119" s="2"/>
      <c r="HNW119" s="2"/>
      <c r="HNX119" s="2"/>
      <c r="HNY119" s="2"/>
      <c r="HNZ119" s="2"/>
      <c r="HOA119" s="2"/>
      <c r="HOB119" s="2"/>
      <c r="HOC119" s="2"/>
      <c r="HOD119" s="2"/>
      <c r="HOE119" s="2"/>
      <c r="HOF119" s="2"/>
      <c r="HOG119" s="2"/>
      <c r="HOH119" s="2"/>
      <c r="HOI119" s="2"/>
      <c r="HOJ119" s="2"/>
      <c r="HOK119" s="2"/>
      <c r="HOL119" s="2"/>
      <c r="HOM119" s="2"/>
      <c r="HON119" s="2"/>
      <c r="HOO119" s="2"/>
      <c r="HOP119" s="2"/>
      <c r="HOQ119" s="2"/>
      <c r="HOR119" s="2"/>
      <c r="HOS119" s="2"/>
      <c r="HOT119" s="2"/>
      <c r="HOU119" s="2"/>
      <c r="HOV119" s="2"/>
      <c r="HOW119" s="2"/>
      <c r="HOX119" s="2"/>
      <c r="HOY119" s="2"/>
      <c r="HOZ119" s="2"/>
      <c r="HPA119" s="2"/>
      <c r="HPB119" s="2"/>
      <c r="HPC119" s="2"/>
      <c r="HPD119" s="2"/>
      <c r="HPE119" s="2"/>
      <c r="HPF119" s="2"/>
      <c r="HPG119" s="2"/>
      <c r="HPH119" s="2"/>
      <c r="HPI119" s="2"/>
      <c r="HPJ119" s="2"/>
      <c r="HPK119" s="2"/>
      <c r="HPL119" s="2"/>
      <c r="HPM119" s="2"/>
      <c r="HPN119" s="2"/>
      <c r="HPO119" s="2"/>
      <c r="HPP119" s="2"/>
      <c r="HPQ119" s="2"/>
      <c r="HPR119" s="2"/>
      <c r="HPS119" s="2"/>
      <c r="HPT119" s="2"/>
      <c r="HPU119" s="2"/>
      <c r="HPV119" s="2"/>
      <c r="HPW119" s="2"/>
      <c r="HPX119" s="2"/>
      <c r="HPY119" s="2"/>
      <c r="HPZ119" s="2"/>
      <c r="HQA119" s="2"/>
      <c r="HQB119" s="2"/>
      <c r="HQC119" s="2"/>
      <c r="HQD119" s="2"/>
      <c r="HQE119" s="2"/>
      <c r="HQF119" s="2"/>
      <c r="HQG119" s="2"/>
      <c r="HQH119" s="2"/>
      <c r="HQI119" s="2"/>
      <c r="HQJ119" s="2"/>
      <c r="HQK119" s="2"/>
      <c r="HQL119" s="2"/>
      <c r="HQM119" s="2"/>
      <c r="HQN119" s="2"/>
      <c r="HQO119" s="2"/>
      <c r="HQP119" s="2"/>
      <c r="HQQ119" s="2"/>
      <c r="HQR119" s="2"/>
      <c r="HQS119" s="2"/>
      <c r="HQT119" s="2"/>
      <c r="HQU119" s="2"/>
      <c r="HQV119" s="2"/>
      <c r="HQW119" s="2"/>
      <c r="HQX119" s="2"/>
      <c r="HQY119" s="2"/>
      <c r="HQZ119" s="2"/>
      <c r="HRA119" s="2"/>
      <c r="HRB119" s="2"/>
      <c r="HRC119" s="2"/>
      <c r="HRD119" s="2"/>
      <c r="HRE119" s="2"/>
      <c r="HRF119" s="2"/>
      <c r="HRG119" s="2"/>
      <c r="HRH119" s="2"/>
      <c r="HRI119" s="2"/>
      <c r="HRJ119" s="2"/>
      <c r="HRK119" s="2"/>
      <c r="HRL119" s="2"/>
      <c r="HRM119" s="2"/>
      <c r="HRN119" s="2"/>
      <c r="HRO119" s="2"/>
      <c r="HRP119" s="2"/>
      <c r="HRQ119" s="2"/>
      <c r="HRR119" s="2"/>
      <c r="HRS119" s="2"/>
      <c r="HRT119" s="2"/>
      <c r="HRU119" s="2"/>
      <c r="HRV119" s="2"/>
      <c r="HRW119" s="2"/>
      <c r="HRX119" s="2"/>
      <c r="HRY119" s="2"/>
      <c r="HRZ119" s="2"/>
      <c r="HSA119" s="2"/>
      <c r="HSB119" s="2"/>
      <c r="HSC119" s="2"/>
      <c r="HSD119" s="2"/>
      <c r="HSE119" s="2"/>
      <c r="HSF119" s="2"/>
      <c r="HSG119" s="2"/>
      <c r="HSH119" s="2"/>
      <c r="HSI119" s="2"/>
      <c r="HSJ119" s="2"/>
      <c r="HSK119" s="2"/>
      <c r="HSL119" s="2"/>
      <c r="HSM119" s="2"/>
      <c r="HSN119" s="2"/>
      <c r="HSO119" s="2"/>
      <c r="HSP119" s="2"/>
      <c r="HSQ119" s="2"/>
      <c r="HSR119" s="2"/>
      <c r="HSS119" s="2"/>
      <c r="HST119" s="2"/>
      <c r="HSU119" s="2"/>
      <c r="HSV119" s="2"/>
      <c r="HSW119" s="2"/>
      <c r="HSX119" s="2"/>
      <c r="HSY119" s="2"/>
      <c r="HSZ119" s="2"/>
      <c r="HTA119" s="2"/>
      <c r="HTB119" s="2"/>
      <c r="HTC119" s="2"/>
      <c r="HTD119" s="2"/>
      <c r="HTE119" s="2"/>
      <c r="HTF119" s="2"/>
      <c r="HTG119" s="2"/>
      <c r="HTH119" s="2"/>
      <c r="HTI119" s="2"/>
      <c r="HTJ119" s="2"/>
      <c r="HTK119" s="2"/>
      <c r="HTL119" s="2"/>
      <c r="HTM119" s="2"/>
      <c r="HTN119" s="2"/>
      <c r="HTO119" s="2"/>
      <c r="HTP119" s="2"/>
      <c r="HTQ119" s="2"/>
      <c r="HTR119" s="2"/>
      <c r="HTS119" s="2"/>
      <c r="HTT119" s="2"/>
      <c r="HTU119" s="2"/>
      <c r="HTV119" s="2"/>
      <c r="HTW119" s="2"/>
      <c r="HTX119" s="2"/>
      <c r="HTY119" s="2"/>
      <c r="HTZ119" s="2"/>
      <c r="HUA119" s="2"/>
      <c r="HUB119" s="2"/>
      <c r="HUC119" s="2"/>
      <c r="HUD119" s="2"/>
      <c r="HUE119" s="2"/>
      <c r="HUF119" s="2"/>
      <c r="HUG119" s="2"/>
      <c r="HUH119" s="2"/>
      <c r="HUI119" s="2"/>
      <c r="HUJ119" s="2"/>
      <c r="HUK119" s="2"/>
      <c r="HUL119" s="2"/>
      <c r="HUM119" s="2"/>
      <c r="HUN119" s="2"/>
      <c r="HUO119" s="2"/>
      <c r="HUP119" s="2"/>
      <c r="HUQ119" s="2"/>
      <c r="HUR119" s="2"/>
      <c r="HUS119" s="2"/>
      <c r="HUT119" s="2"/>
      <c r="HUU119" s="2"/>
      <c r="HUV119" s="2"/>
      <c r="HUW119" s="2"/>
      <c r="HUX119" s="2"/>
      <c r="HUY119" s="2"/>
      <c r="HUZ119" s="2"/>
      <c r="HVA119" s="2"/>
      <c r="HVB119" s="2"/>
      <c r="HVC119" s="2"/>
      <c r="HVD119" s="2"/>
      <c r="HVE119" s="2"/>
      <c r="HVF119" s="2"/>
      <c r="HVG119" s="2"/>
      <c r="HVH119" s="2"/>
      <c r="HVI119" s="2"/>
      <c r="HVJ119" s="2"/>
      <c r="HVK119" s="2"/>
      <c r="HVL119" s="2"/>
      <c r="HVM119" s="2"/>
      <c r="HVN119" s="2"/>
      <c r="HVO119" s="2"/>
      <c r="HVP119" s="2"/>
      <c r="HVQ119" s="2"/>
      <c r="HVR119" s="2"/>
      <c r="HVS119" s="2"/>
      <c r="HVT119" s="2"/>
      <c r="HVU119" s="2"/>
      <c r="HVV119" s="2"/>
      <c r="HVW119" s="2"/>
      <c r="HVX119" s="2"/>
      <c r="HVY119" s="2"/>
      <c r="HVZ119" s="2"/>
      <c r="HWA119" s="2"/>
      <c r="HWB119" s="2"/>
      <c r="HWC119" s="2"/>
      <c r="HWD119" s="2"/>
      <c r="HWE119" s="2"/>
      <c r="HWF119" s="2"/>
      <c r="HWG119" s="2"/>
      <c r="HWH119" s="2"/>
      <c r="HWI119" s="2"/>
      <c r="HWJ119" s="2"/>
      <c r="HWK119" s="2"/>
      <c r="HWL119" s="2"/>
      <c r="HWM119" s="2"/>
      <c r="HWN119" s="2"/>
      <c r="HWO119" s="2"/>
      <c r="HWP119" s="2"/>
      <c r="HWQ119" s="2"/>
      <c r="HWR119" s="2"/>
      <c r="HWS119" s="2"/>
      <c r="HWT119" s="2"/>
      <c r="HWU119" s="2"/>
      <c r="HWV119" s="2"/>
      <c r="HWW119" s="2"/>
      <c r="HWX119" s="2"/>
      <c r="HWY119" s="2"/>
      <c r="HWZ119" s="2"/>
      <c r="HXA119" s="2"/>
      <c r="HXB119" s="2"/>
      <c r="HXC119" s="2"/>
      <c r="HXD119" s="2"/>
      <c r="HXE119" s="2"/>
      <c r="HXF119" s="2"/>
      <c r="HXG119" s="2"/>
      <c r="HXH119" s="2"/>
      <c r="HXI119" s="2"/>
      <c r="HXJ119" s="2"/>
      <c r="HXK119" s="2"/>
      <c r="HXL119" s="2"/>
      <c r="HXM119" s="2"/>
      <c r="HXN119" s="2"/>
      <c r="HXO119" s="2"/>
      <c r="HXP119" s="2"/>
      <c r="HXQ119" s="2"/>
      <c r="HXR119" s="2"/>
      <c r="HXS119" s="2"/>
      <c r="HXT119" s="2"/>
      <c r="HXU119" s="2"/>
      <c r="HXV119" s="2"/>
      <c r="HXW119" s="2"/>
      <c r="HXX119" s="2"/>
      <c r="HXY119" s="2"/>
      <c r="HXZ119" s="2"/>
      <c r="HYA119" s="2"/>
      <c r="HYB119" s="2"/>
      <c r="HYC119" s="2"/>
      <c r="HYD119" s="2"/>
      <c r="HYE119" s="2"/>
      <c r="HYF119" s="2"/>
      <c r="HYG119" s="2"/>
      <c r="HYH119" s="2"/>
      <c r="HYI119" s="2"/>
      <c r="HYJ119" s="2"/>
      <c r="HYK119" s="2"/>
      <c r="HYL119" s="2"/>
      <c r="HYM119" s="2"/>
      <c r="HYN119" s="2"/>
      <c r="HYO119" s="2"/>
      <c r="HYP119" s="2"/>
      <c r="HYQ119" s="2"/>
      <c r="HYR119" s="2"/>
      <c r="HYS119" s="2"/>
      <c r="HYT119" s="2"/>
      <c r="HYU119" s="2"/>
      <c r="HYV119" s="2"/>
      <c r="HYW119" s="2"/>
      <c r="HYX119" s="2"/>
      <c r="HYY119" s="2"/>
      <c r="HYZ119" s="2"/>
      <c r="HZA119" s="2"/>
      <c r="HZB119" s="2"/>
      <c r="HZC119" s="2"/>
      <c r="HZD119" s="2"/>
      <c r="HZE119" s="2"/>
      <c r="HZF119" s="2"/>
      <c r="HZG119" s="2"/>
      <c r="HZH119" s="2"/>
      <c r="HZI119" s="2"/>
      <c r="HZJ119" s="2"/>
      <c r="HZK119" s="2"/>
      <c r="HZL119" s="2"/>
      <c r="HZM119" s="2"/>
      <c r="HZN119" s="2"/>
      <c r="HZO119" s="2"/>
      <c r="HZP119" s="2"/>
      <c r="HZQ119" s="2"/>
      <c r="HZR119" s="2"/>
      <c r="HZS119" s="2"/>
      <c r="HZT119" s="2"/>
      <c r="HZU119" s="2"/>
      <c r="HZV119" s="2"/>
      <c r="HZW119" s="2"/>
      <c r="HZX119" s="2"/>
      <c r="HZY119" s="2"/>
      <c r="HZZ119" s="2"/>
      <c r="IAA119" s="2"/>
      <c r="IAB119" s="2"/>
      <c r="IAC119" s="2"/>
      <c r="IAD119" s="2"/>
      <c r="IAE119" s="2"/>
      <c r="IAF119" s="2"/>
      <c r="IAG119" s="2"/>
      <c r="IAH119" s="2"/>
      <c r="IAI119" s="2"/>
      <c r="IAJ119" s="2"/>
      <c r="IAK119" s="2"/>
      <c r="IAL119" s="2"/>
      <c r="IAM119" s="2"/>
      <c r="IAN119" s="2"/>
      <c r="IAO119" s="2"/>
      <c r="IAP119" s="2"/>
      <c r="IAQ119" s="2"/>
      <c r="IAR119" s="2"/>
      <c r="IAS119" s="2"/>
      <c r="IAT119" s="2"/>
      <c r="IAU119" s="2"/>
      <c r="IAV119" s="2"/>
      <c r="IAW119" s="2"/>
      <c r="IAX119" s="2"/>
      <c r="IAY119" s="2"/>
      <c r="IAZ119" s="2"/>
      <c r="IBA119" s="2"/>
      <c r="IBB119" s="2"/>
      <c r="IBC119" s="2"/>
      <c r="IBD119" s="2"/>
      <c r="IBE119" s="2"/>
      <c r="IBF119" s="2"/>
      <c r="IBG119" s="2"/>
      <c r="IBH119" s="2"/>
      <c r="IBI119" s="2"/>
      <c r="IBJ119" s="2"/>
      <c r="IBK119" s="2"/>
      <c r="IBL119" s="2"/>
      <c r="IBM119" s="2"/>
      <c r="IBN119" s="2"/>
      <c r="IBO119" s="2"/>
      <c r="IBP119" s="2"/>
      <c r="IBQ119" s="2"/>
      <c r="IBR119" s="2"/>
      <c r="IBS119" s="2"/>
      <c r="IBT119" s="2"/>
      <c r="IBU119" s="2"/>
      <c r="IBV119" s="2"/>
      <c r="IBW119" s="2"/>
      <c r="IBX119" s="2"/>
      <c r="IBY119" s="2"/>
      <c r="IBZ119" s="2"/>
      <c r="ICA119" s="2"/>
      <c r="ICB119" s="2"/>
      <c r="ICC119" s="2"/>
      <c r="ICD119" s="2"/>
      <c r="ICE119" s="2"/>
      <c r="ICF119" s="2"/>
      <c r="ICG119" s="2"/>
      <c r="ICH119" s="2"/>
      <c r="ICI119" s="2"/>
      <c r="ICJ119" s="2"/>
      <c r="ICK119" s="2"/>
      <c r="ICL119" s="2"/>
      <c r="ICM119" s="2"/>
      <c r="ICN119" s="2"/>
      <c r="ICO119" s="2"/>
      <c r="ICP119" s="2"/>
      <c r="ICQ119" s="2"/>
      <c r="ICR119" s="2"/>
      <c r="ICS119" s="2"/>
      <c r="ICT119" s="2"/>
      <c r="ICU119" s="2"/>
      <c r="ICV119" s="2"/>
      <c r="ICW119" s="2"/>
      <c r="ICX119" s="2"/>
      <c r="ICY119" s="2"/>
      <c r="ICZ119" s="2"/>
      <c r="IDA119" s="2"/>
      <c r="IDB119" s="2"/>
      <c r="IDC119" s="2"/>
      <c r="IDD119" s="2"/>
      <c r="IDE119" s="2"/>
      <c r="IDF119" s="2"/>
      <c r="IDG119" s="2"/>
      <c r="IDH119" s="2"/>
      <c r="IDI119" s="2"/>
      <c r="IDJ119" s="2"/>
      <c r="IDK119" s="2"/>
      <c r="IDL119" s="2"/>
      <c r="IDM119" s="2"/>
      <c r="IDN119" s="2"/>
      <c r="IDO119" s="2"/>
      <c r="IDP119" s="2"/>
      <c r="IDQ119" s="2"/>
      <c r="IDR119" s="2"/>
      <c r="IDS119" s="2"/>
      <c r="IDT119" s="2"/>
      <c r="IDU119" s="2"/>
      <c r="IDV119" s="2"/>
      <c r="IDW119" s="2"/>
      <c r="IDX119" s="2"/>
      <c r="IDY119" s="2"/>
      <c r="IDZ119" s="2"/>
      <c r="IEA119" s="2"/>
      <c r="IEB119" s="2"/>
      <c r="IEC119" s="2"/>
      <c r="IED119" s="2"/>
      <c r="IEE119" s="2"/>
      <c r="IEF119" s="2"/>
      <c r="IEG119" s="2"/>
      <c r="IEH119" s="2"/>
      <c r="IEI119" s="2"/>
      <c r="IEJ119" s="2"/>
      <c r="IEK119" s="2"/>
      <c r="IEL119" s="2"/>
      <c r="IEM119" s="2"/>
      <c r="IEN119" s="2"/>
      <c r="IEO119" s="2"/>
      <c r="IEP119" s="2"/>
      <c r="IEQ119" s="2"/>
      <c r="IER119" s="2"/>
      <c r="IES119" s="2"/>
      <c r="IET119" s="2"/>
      <c r="IEU119" s="2"/>
      <c r="IEV119" s="2"/>
      <c r="IEW119" s="2"/>
      <c r="IEX119" s="2"/>
      <c r="IEY119" s="2"/>
      <c r="IEZ119" s="2"/>
      <c r="IFA119" s="2"/>
      <c r="IFB119" s="2"/>
      <c r="IFC119" s="2"/>
      <c r="IFD119" s="2"/>
      <c r="IFE119" s="2"/>
      <c r="IFF119" s="2"/>
      <c r="IFG119" s="2"/>
      <c r="IFH119" s="2"/>
      <c r="IFI119" s="2"/>
      <c r="IFJ119" s="2"/>
      <c r="IFK119" s="2"/>
      <c r="IFL119" s="2"/>
      <c r="IFM119" s="2"/>
      <c r="IFN119" s="2"/>
      <c r="IFO119" s="2"/>
      <c r="IFP119" s="2"/>
      <c r="IFQ119" s="2"/>
      <c r="IFR119" s="2"/>
      <c r="IFS119" s="2"/>
      <c r="IFT119" s="2"/>
      <c r="IFU119" s="2"/>
      <c r="IFV119" s="2"/>
      <c r="IFW119" s="2"/>
      <c r="IFX119" s="2"/>
      <c r="IFY119" s="2"/>
      <c r="IFZ119" s="2"/>
      <c r="IGA119" s="2"/>
      <c r="IGB119" s="2"/>
      <c r="IGC119" s="2"/>
      <c r="IGD119" s="2"/>
      <c r="IGE119" s="2"/>
      <c r="IGF119" s="2"/>
      <c r="IGG119" s="2"/>
      <c r="IGH119" s="2"/>
      <c r="IGI119" s="2"/>
      <c r="IGJ119" s="2"/>
      <c r="IGK119" s="2"/>
      <c r="IGL119" s="2"/>
      <c r="IGM119" s="2"/>
      <c r="IGN119" s="2"/>
      <c r="IGO119" s="2"/>
      <c r="IGP119" s="2"/>
      <c r="IGQ119" s="2"/>
      <c r="IGR119" s="2"/>
      <c r="IGS119" s="2"/>
      <c r="IGT119" s="2"/>
      <c r="IGU119" s="2"/>
      <c r="IGV119" s="2"/>
      <c r="IGW119" s="2"/>
      <c r="IGX119" s="2"/>
      <c r="IGY119" s="2"/>
      <c r="IGZ119" s="2"/>
      <c r="IHA119" s="2"/>
      <c r="IHB119" s="2"/>
      <c r="IHC119" s="2"/>
      <c r="IHD119" s="2"/>
      <c r="IHE119" s="2"/>
      <c r="IHF119" s="2"/>
      <c r="IHG119" s="2"/>
      <c r="IHH119" s="2"/>
      <c r="IHI119" s="2"/>
      <c r="IHJ119" s="2"/>
      <c r="IHK119" s="2"/>
      <c r="IHL119" s="2"/>
      <c r="IHM119" s="2"/>
      <c r="IHN119" s="2"/>
      <c r="IHO119" s="2"/>
      <c r="IHP119" s="2"/>
      <c r="IHQ119" s="2"/>
      <c r="IHR119" s="2"/>
      <c r="IHS119" s="2"/>
      <c r="IHT119" s="2"/>
      <c r="IHU119" s="2"/>
      <c r="IHV119" s="2"/>
      <c r="IHW119" s="2"/>
      <c r="IHX119" s="2"/>
      <c r="IHY119" s="2"/>
      <c r="IHZ119" s="2"/>
      <c r="IIA119" s="2"/>
      <c r="IIB119" s="2"/>
      <c r="IIC119" s="2"/>
      <c r="IID119" s="2"/>
      <c r="IIE119" s="2"/>
      <c r="IIF119" s="2"/>
      <c r="IIG119" s="2"/>
      <c r="IIH119" s="2"/>
      <c r="III119" s="2"/>
      <c r="IIJ119" s="2"/>
      <c r="IIK119" s="2"/>
      <c r="IIL119" s="2"/>
      <c r="IIM119" s="2"/>
      <c r="IIN119" s="2"/>
      <c r="IIO119" s="2"/>
      <c r="IIP119" s="2"/>
      <c r="IIQ119" s="2"/>
      <c r="IIR119" s="2"/>
      <c r="IIS119" s="2"/>
      <c r="IIT119" s="2"/>
      <c r="IIU119" s="2"/>
      <c r="IIV119" s="2"/>
      <c r="IIW119" s="2"/>
      <c r="IIX119" s="2"/>
      <c r="IIY119" s="2"/>
      <c r="IIZ119" s="2"/>
      <c r="IJA119" s="2"/>
      <c r="IJB119" s="2"/>
      <c r="IJC119" s="2"/>
      <c r="IJD119" s="2"/>
      <c r="IJE119" s="2"/>
      <c r="IJF119" s="2"/>
      <c r="IJG119" s="2"/>
      <c r="IJH119" s="2"/>
      <c r="IJI119" s="2"/>
      <c r="IJJ119" s="2"/>
      <c r="IJK119" s="2"/>
      <c r="IJL119" s="2"/>
      <c r="IJM119" s="2"/>
      <c r="IJN119" s="2"/>
      <c r="IJO119" s="2"/>
      <c r="IJP119" s="2"/>
      <c r="IJQ119" s="2"/>
      <c r="IJR119" s="2"/>
      <c r="IJS119" s="2"/>
      <c r="IJT119" s="2"/>
      <c r="IJU119" s="2"/>
      <c r="IJV119" s="2"/>
      <c r="IJW119" s="2"/>
      <c r="IJX119" s="2"/>
      <c r="IJY119" s="2"/>
      <c r="IJZ119" s="2"/>
      <c r="IKA119" s="2"/>
      <c r="IKB119" s="2"/>
      <c r="IKC119" s="2"/>
      <c r="IKD119" s="2"/>
      <c r="IKE119" s="2"/>
      <c r="IKF119" s="2"/>
      <c r="IKG119" s="2"/>
      <c r="IKH119" s="2"/>
      <c r="IKI119" s="2"/>
      <c r="IKJ119" s="2"/>
      <c r="IKK119" s="2"/>
      <c r="IKL119" s="2"/>
      <c r="IKM119" s="2"/>
      <c r="IKN119" s="2"/>
      <c r="IKO119" s="2"/>
      <c r="IKP119" s="2"/>
      <c r="IKQ119" s="2"/>
      <c r="IKR119" s="2"/>
      <c r="IKS119" s="2"/>
      <c r="IKT119" s="2"/>
      <c r="IKU119" s="2"/>
      <c r="IKV119" s="2"/>
      <c r="IKW119" s="2"/>
      <c r="IKX119" s="2"/>
      <c r="IKY119" s="2"/>
      <c r="IKZ119" s="2"/>
      <c r="ILA119" s="2"/>
      <c r="ILB119" s="2"/>
      <c r="ILC119" s="2"/>
      <c r="ILD119" s="2"/>
      <c r="ILE119" s="2"/>
      <c r="ILF119" s="2"/>
      <c r="ILG119" s="2"/>
      <c r="ILH119" s="2"/>
      <c r="ILI119" s="2"/>
      <c r="ILJ119" s="2"/>
      <c r="ILK119" s="2"/>
      <c r="ILL119" s="2"/>
      <c r="ILM119" s="2"/>
      <c r="ILN119" s="2"/>
      <c r="ILO119" s="2"/>
      <c r="ILP119" s="2"/>
      <c r="ILQ119" s="2"/>
      <c r="ILR119" s="2"/>
      <c r="ILS119" s="2"/>
      <c r="ILT119" s="2"/>
      <c r="ILU119" s="2"/>
      <c r="ILV119" s="2"/>
      <c r="ILW119" s="2"/>
      <c r="ILX119" s="2"/>
      <c r="ILY119" s="2"/>
      <c r="ILZ119" s="2"/>
      <c r="IMA119" s="2"/>
      <c r="IMB119" s="2"/>
      <c r="IMC119" s="2"/>
      <c r="IMD119" s="2"/>
      <c r="IME119" s="2"/>
      <c r="IMF119" s="2"/>
      <c r="IMG119" s="2"/>
      <c r="IMH119" s="2"/>
      <c r="IMI119" s="2"/>
      <c r="IMJ119" s="2"/>
      <c r="IMK119" s="2"/>
      <c r="IML119" s="2"/>
      <c r="IMM119" s="2"/>
      <c r="IMN119" s="2"/>
      <c r="IMO119" s="2"/>
      <c r="IMP119" s="2"/>
      <c r="IMQ119" s="2"/>
      <c r="IMR119" s="2"/>
      <c r="IMS119" s="2"/>
      <c r="IMT119" s="2"/>
      <c r="IMU119" s="2"/>
      <c r="IMV119" s="2"/>
      <c r="IMW119" s="2"/>
      <c r="IMX119" s="2"/>
      <c r="IMY119" s="2"/>
      <c r="IMZ119" s="2"/>
      <c r="INA119" s="2"/>
      <c r="INB119" s="2"/>
      <c r="INC119" s="2"/>
      <c r="IND119" s="2"/>
      <c r="INE119" s="2"/>
      <c r="INF119" s="2"/>
      <c r="ING119" s="2"/>
      <c r="INH119" s="2"/>
      <c r="INI119" s="2"/>
      <c r="INJ119" s="2"/>
      <c r="INK119" s="2"/>
      <c r="INL119" s="2"/>
      <c r="INM119" s="2"/>
      <c r="INN119" s="2"/>
      <c r="INO119" s="2"/>
      <c r="INP119" s="2"/>
      <c r="INQ119" s="2"/>
      <c r="INR119" s="2"/>
      <c r="INS119" s="2"/>
      <c r="INT119" s="2"/>
      <c r="INU119" s="2"/>
      <c r="INV119" s="2"/>
      <c r="INW119" s="2"/>
      <c r="INX119" s="2"/>
      <c r="INY119" s="2"/>
      <c r="INZ119" s="2"/>
      <c r="IOA119" s="2"/>
      <c r="IOB119" s="2"/>
      <c r="IOC119" s="2"/>
      <c r="IOD119" s="2"/>
      <c r="IOE119" s="2"/>
      <c r="IOF119" s="2"/>
      <c r="IOG119" s="2"/>
      <c r="IOH119" s="2"/>
      <c r="IOI119" s="2"/>
      <c r="IOJ119" s="2"/>
      <c r="IOK119" s="2"/>
      <c r="IOL119" s="2"/>
      <c r="IOM119" s="2"/>
      <c r="ION119" s="2"/>
      <c r="IOO119" s="2"/>
      <c r="IOP119" s="2"/>
      <c r="IOQ119" s="2"/>
      <c r="IOR119" s="2"/>
      <c r="IOS119" s="2"/>
      <c r="IOT119" s="2"/>
      <c r="IOU119" s="2"/>
      <c r="IOV119" s="2"/>
      <c r="IOW119" s="2"/>
      <c r="IOX119" s="2"/>
      <c r="IOY119" s="2"/>
      <c r="IOZ119" s="2"/>
      <c r="IPA119" s="2"/>
      <c r="IPB119" s="2"/>
      <c r="IPC119" s="2"/>
      <c r="IPD119" s="2"/>
      <c r="IPE119" s="2"/>
      <c r="IPF119" s="2"/>
      <c r="IPG119" s="2"/>
      <c r="IPH119" s="2"/>
      <c r="IPI119" s="2"/>
      <c r="IPJ119" s="2"/>
      <c r="IPK119" s="2"/>
      <c r="IPL119" s="2"/>
      <c r="IPM119" s="2"/>
      <c r="IPN119" s="2"/>
      <c r="IPO119" s="2"/>
      <c r="IPP119" s="2"/>
      <c r="IPQ119" s="2"/>
      <c r="IPR119" s="2"/>
      <c r="IPS119" s="2"/>
      <c r="IPT119" s="2"/>
      <c r="IPU119" s="2"/>
      <c r="IPV119" s="2"/>
      <c r="IPW119" s="2"/>
      <c r="IPX119" s="2"/>
      <c r="IPY119" s="2"/>
      <c r="IPZ119" s="2"/>
      <c r="IQA119" s="2"/>
      <c r="IQB119" s="2"/>
      <c r="IQC119" s="2"/>
      <c r="IQD119" s="2"/>
      <c r="IQE119" s="2"/>
      <c r="IQF119" s="2"/>
      <c r="IQG119" s="2"/>
      <c r="IQH119" s="2"/>
      <c r="IQI119" s="2"/>
      <c r="IQJ119" s="2"/>
      <c r="IQK119" s="2"/>
      <c r="IQL119" s="2"/>
      <c r="IQM119" s="2"/>
      <c r="IQN119" s="2"/>
      <c r="IQO119" s="2"/>
      <c r="IQP119" s="2"/>
      <c r="IQQ119" s="2"/>
      <c r="IQR119" s="2"/>
      <c r="IQS119" s="2"/>
      <c r="IQT119" s="2"/>
      <c r="IQU119" s="2"/>
      <c r="IQV119" s="2"/>
      <c r="IQW119" s="2"/>
      <c r="IQX119" s="2"/>
      <c r="IQY119" s="2"/>
      <c r="IQZ119" s="2"/>
      <c r="IRA119" s="2"/>
      <c r="IRB119" s="2"/>
      <c r="IRC119" s="2"/>
      <c r="IRD119" s="2"/>
      <c r="IRE119" s="2"/>
      <c r="IRF119" s="2"/>
      <c r="IRG119" s="2"/>
      <c r="IRH119" s="2"/>
      <c r="IRI119" s="2"/>
      <c r="IRJ119" s="2"/>
      <c r="IRK119" s="2"/>
      <c r="IRL119" s="2"/>
      <c r="IRM119" s="2"/>
      <c r="IRN119" s="2"/>
      <c r="IRO119" s="2"/>
      <c r="IRP119" s="2"/>
      <c r="IRQ119" s="2"/>
      <c r="IRR119" s="2"/>
      <c r="IRS119" s="2"/>
      <c r="IRT119" s="2"/>
      <c r="IRU119" s="2"/>
      <c r="IRV119" s="2"/>
      <c r="IRW119" s="2"/>
      <c r="IRX119" s="2"/>
      <c r="IRY119" s="2"/>
      <c r="IRZ119" s="2"/>
      <c r="ISA119" s="2"/>
      <c r="ISB119" s="2"/>
      <c r="ISC119" s="2"/>
      <c r="ISD119" s="2"/>
      <c r="ISE119" s="2"/>
      <c r="ISF119" s="2"/>
      <c r="ISG119" s="2"/>
      <c r="ISH119" s="2"/>
      <c r="ISI119" s="2"/>
      <c r="ISJ119" s="2"/>
      <c r="ISK119" s="2"/>
      <c r="ISL119" s="2"/>
      <c r="ISM119" s="2"/>
      <c r="ISN119" s="2"/>
      <c r="ISO119" s="2"/>
      <c r="ISP119" s="2"/>
      <c r="ISQ119" s="2"/>
      <c r="ISR119" s="2"/>
      <c r="ISS119" s="2"/>
      <c r="IST119" s="2"/>
      <c r="ISU119" s="2"/>
      <c r="ISV119" s="2"/>
      <c r="ISW119" s="2"/>
      <c r="ISX119" s="2"/>
      <c r="ISY119" s="2"/>
      <c r="ISZ119" s="2"/>
      <c r="ITA119" s="2"/>
      <c r="ITB119" s="2"/>
      <c r="ITC119" s="2"/>
      <c r="ITD119" s="2"/>
      <c r="ITE119" s="2"/>
      <c r="ITF119" s="2"/>
      <c r="ITG119" s="2"/>
      <c r="ITH119" s="2"/>
      <c r="ITI119" s="2"/>
      <c r="ITJ119" s="2"/>
      <c r="ITK119" s="2"/>
      <c r="ITL119" s="2"/>
      <c r="ITM119" s="2"/>
      <c r="ITN119" s="2"/>
      <c r="ITO119" s="2"/>
      <c r="ITP119" s="2"/>
      <c r="ITQ119" s="2"/>
      <c r="ITR119" s="2"/>
      <c r="ITS119" s="2"/>
      <c r="ITT119" s="2"/>
      <c r="ITU119" s="2"/>
      <c r="ITV119" s="2"/>
      <c r="ITW119" s="2"/>
      <c r="ITX119" s="2"/>
      <c r="ITY119" s="2"/>
      <c r="ITZ119" s="2"/>
      <c r="IUA119" s="2"/>
      <c r="IUB119" s="2"/>
      <c r="IUC119" s="2"/>
      <c r="IUD119" s="2"/>
      <c r="IUE119" s="2"/>
      <c r="IUF119" s="2"/>
      <c r="IUG119" s="2"/>
      <c r="IUH119" s="2"/>
      <c r="IUI119" s="2"/>
      <c r="IUJ119" s="2"/>
      <c r="IUK119" s="2"/>
      <c r="IUL119" s="2"/>
      <c r="IUM119" s="2"/>
      <c r="IUN119" s="2"/>
      <c r="IUO119" s="2"/>
      <c r="IUP119" s="2"/>
      <c r="IUQ119" s="2"/>
      <c r="IUR119" s="2"/>
      <c r="IUS119" s="2"/>
      <c r="IUT119" s="2"/>
      <c r="IUU119" s="2"/>
      <c r="IUV119" s="2"/>
      <c r="IUW119" s="2"/>
      <c r="IUX119" s="2"/>
      <c r="IUY119" s="2"/>
      <c r="IUZ119" s="2"/>
      <c r="IVA119" s="2"/>
      <c r="IVB119" s="2"/>
      <c r="IVC119" s="2"/>
      <c r="IVD119" s="2"/>
      <c r="IVE119" s="2"/>
      <c r="IVF119" s="2"/>
      <c r="IVG119" s="2"/>
      <c r="IVH119" s="2"/>
      <c r="IVI119" s="2"/>
      <c r="IVJ119" s="2"/>
      <c r="IVK119" s="2"/>
      <c r="IVL119" s="2"/>
      <c r="IVM119" s="2"/>
      <c r="IVN119" s="2"/>
      <c r="IVO119" s="2"/>
      <c r="IVP119" s="2"/>
      <c r="IVQ119" s="2"/>
      <c r="IVR119" s="2"/>
      <c r="IVS119" s="2"/>
      <c r="IVT119" s="2"/>
      <c r="IVU119" s="2"/>
      <c r="IVV119" s="2"/>
      <c r="IVW119" s="2"/>
      <c r="IVX119" s="2"/>
      <c r="IVY119" s="2"/>
      <c r="IVZ119" s="2"/>
      <c r="IWA119" s="2"/>
      <c r="IWB119" s="2"/>
      <c r="IWC119" s="2"/>
      <c r="IWD119" s="2"/>
      <c r="IWE119" s="2"/>
      <c r="IWF119" s="2"/>
      <c r="IWG119" s="2"/>
      <c r="IWH119" s="2"/>
      <c r="IWI119" s="2"/>
      <c r="IWJ119" s="2"/>
      <c r="IWK119" s="2"/>
      <c r="IWL119" s="2"/>
      <c r="IWM119" s="2"/>
      <c r="IWN119" s="2"/>
      <c r="IWO119" s="2"/>
      <c r="IWP119" s="2"/>
      <c r="IWQ119" s="2"/>
      <c r="IWR119" s="2"/>
      <c r="IWS119" s="2"/>
      <c r="IWT119" s="2"/>
      <c r="IWU119" s="2"/>
      <c r="IWV119" s="2"/>
      <c r="IWW119" s="2"/>
      <c r="IWX119" s="2"/>
      <c r="IWY119" s="2"/>
      <c r="IWZ119" s="2"/>
      <c r="IXA119" s="2"/>
      <c r="IXB119" s="2"/>
      <c r="IXC119" s="2"/>
      <c r="IXD119" s="2"/>
      <c r="IXE119" s="2"/>
      <c r="IXF119" s="2"/>
      <c r="IXG119" s="2"/>
      <c r="IXH119" s="2"/>
      <c r="IXI119" s="2"/>
      <c r="IXJ119" s="2"/>
      <c r="IXK119" s="2"/>
      <c r="IXL119" s="2"/>
      <c r="IXM119" s="2"/>
      <c r="IXN119" s="2"/>
      <c r="IXO119" s="2"/>
      <c r="IXP119" s="2"/>
      <c r="IXQ119" s="2"/>
      <c r="IXR119" s="2"/>
      <c r="IXS119" s="2"/>
      <c r="IXT119" s="2"/>
      <c r="IXU119" s="2"/>
      <c r="IXV119" s="2"/>
      <c r="IXW119" s="2"/>
      <c r="IXX119" s="2"/>
      <c r="IXY119" s="2"/>
      <c r="IXZ119" s="2"/>
      <c r="IYA119" s="2"/>
      <c r="IYB119" s="2"/>
      <c r="IYC119" s="2"/>
      <c r="IYD119" s="2"/>
      <c r="IYE119" s="2"/>
      <c r="IYF119" s="2"/>
      <c r="IYG119" s="2"/>
      <c r="IYH119" s="2"/>
      <c r="IYI119" s="2"/>
      <c r="IYJ119" s="2"/>
      <c r="IYK119" s="2"/>
      <c r="IYL119" s="2"/>
      <c r="IYM119" s="2"/>
      <c r="IYN119" s="2"/>
      <c r="IYO119" s="2"/>
      <c r="IYP119" s="2"/>
      <c r="IYQ119" s="2"/>
      <c r="IYR119" s="2"/>
      <c r="IYS119" s="2"/>
      <c r="IYT119" s="2"/>
      <c r="IYU119" s="2"/>
      <c r="IYV119" s="2"/>
      <c r="IYW119" s="2"/>
      <c r="IYX119" s="2"/>
      <c r="IYY119" s="2"/>
      <c r="IYZ119" s="2"/>
      <c r="IZA119" s="2"/>
      <c r="IZB119" s="2"/>
      <c r="IZC119" s="2"/>
      <c r="IZD119" s="2"/>
      <c r="IZE119" s="2"/>
      <c r="IZF119" s="2"/>
      <c r="IZG119" s="2"/>
      <c r="IZH119" s="2"/>
      <c r="IZI119" s="2"/>
      <c r="IZJ119" s="2"/>
      <c r="IZK119" s="2"/>
      <c r="IZL119" s="2"/>
      <c r="IZM119" s="2"/>
      <c r="IZN119" s="2"/>
      <c r="IZO119" s="2"/>
      <c r="IZP119" s="2"/>
      <c r="IZQ119" s="2"/>
      <c r="IZR119" s="2"/>
      <c r="IZS119" s="2"/>
      <c r="IZT119" s="2"/>
      <c r="IZU119" s="2"/>
      <c r="IZV119" s="2"/>
      <c r="IZW119" s="2"/>
      <c r="IZX119" s="2"/>
      <c r="IZY119" s="2"/>
      <c r="IZZ119" s="2"/>
      <c r="JAA119" s="2"/>
      <c r="JAB119" s="2"/>
      <c r="JAC119" s="2"/>
      <c r="JAD119" s="2"/>
      <c r="JAE119" s="2"/>
      <c r="JAF119" s="2"/>
      <c r="JAG119" s="2"/>
      <c r="JAH119" s="2"/>
      <c r="JAI119" s="2"/>
      <c r="JAJ119" s="2"/>
      <c r="JAK119" s="2"/>
      <c r="JAL119" s="2"/>
      <c r="JAM119" s="2"/>
      <c r="JAN119" s="2"/>
      <c r="JAO119" s="2"/>
      <c r="JAP119" s="2"/>
      <c r="JAQ119" s="2"/>
      <c r="JAR119" s="2"/>
      <c r="JAS119" s="2"/>
      <c r="JAT119" s="2"/>
      <c r="JAU119" s="2"/>
      <c r="JAV119" s="2"/>
      <c r="JAW119" s="2"/>
      <c r="JAX119" s="2"/>
      <c r="JAY119" s="2"/>
      <c r="JAZ119" s="2"/>
      <c r="JBA119" s="2"/>
      <c r="JBB119" s="2"/>
      <c r="JBC119" s="2"/>
      <c r="JBD119" s="2"/>
      <c r="JBE119" s="2"/>
      <c r="JBF119" s="2"/>
      <c r="JBG119" s="2"/>
      <c r="JBH119" s="2"/>
      <c r="JBI119" s="2"/>
      <c r="JBJ119" s="2"/>
      <c r="JBK119" s="2"/>
      <c r="JBL119" s="2"/>
      <c r="JBM119" s="2"/>
      <c r="JBN119" s="2"/>
      <c r="JBO119" s="2"/>
      <c r="JBP119" s="2"/>
      <c r="JBQ119" s="2"/>
      <c r="JBR119" s="2"/>
      <c r="JBS119" s="2"/>
      <c r="JBT119" s="2"/>
      <c r="JBU119" s="2"/>
      <c r="JBV119" s="2"/>
      <c r="JBW119" s="2"/>
      <c r="JBX119" s="2"/>
      <c r="JBY119" s="2"/>
      <c r="JBZ119" s="2"/>
      <c r="JCA119" s="2"/>
      <c r="JCB119" s="2"/>
      <c r="JCC119" s="2"/>
      <c r="JCD119" s="2"/>
      <c r="JCE119" s="2"/>
      <c r="JCF119" s="2"/>
      <c r="JCG119" s="2"/>
      <c r="JCH119" s="2"/>
      <c r="JCI119" s="2"/>
      <c r="JCJ119" s="2"/>
      <c r="JCK119" s="2"/>
      <c r="JCL119" s="2"/>
      <c r="JCM119" s="2"/>
      <c r="JCN119" s="2"/>
      <c r="JCO119" s="2"/>
      <c r="JCP119" s="2"/>
      <c r="JCQ119" s="2"/>
      <c r="JCR119" s="2"/>
      <c r="JCS119" s="2"/>
      <c r="JCT119" s="2"/>
      <c r="JCU119" s="2"/>
      <c r="JCV119" s="2"/>
      <c r="JCW119" s="2"/>
      <c r="JCX119" s="2"/>
      <c r="JCY119" s="2"/>
      <c r="JCZ119" s="2"/>
      <c r="JDA119" s="2"/>
      <c r="JDB119" s="2"/>
      <c r="JDC119" s="2"/>
      <c r="JDD119" s="2"/>
      <c r="JDE119" s="2"/>
      <c r="JDF119" s="2"/>
      <c r="JDG119" s="2"/>
      <c r="JDH119" s="2"/>
      <c r="JDI119" s="2"/>
      <c r="JDJ119" s="2"/>
      <c r="JDK119" s="2"/>
      <c r="JDL119" s="2"/>
      <c r="JDM119" s="2"/>
      <c r="JDN119" s="2"/>
      <c r="JDO119" s="2"/>
      <c r="JDP119" s="2"/>
      <c r="JDQ119" s="2"/>
      <c r="JDR119" s="2"/>
      <c r="JDS119" s="2"/>
      <c r="JDT119" s="2"/>
      <c r="JDU119" s="2"/>
      <c r="JDV119" s="2"/>
      <c r="JDW119" s="2"/>
      <c r="JDX119" s="2"/>
      <c r="JDY119" s="2"/>
      <c r="JDZ119" s="2"/>
      <c r="JEA119" s="2"/>
      <c r="JEB119" s="2"/>
      <c r="JEC119" s="2"/>
      <c r="JED119" s="2"/>
      <c r="JEE119" s="2"/>
      <c r="JEF119" s="2"/>
      <c r="JEG119" s="2"/>
      <c r="JEH119" s="2"/>
      <c r="JEI119" s="2"/>
      <c r="JEJ119" s="2"/>
      <c r="JEK119" s="2"/>
      <c r="JEL119" s="2"/>
      <c r="JEM119" s="2"/>
      <c r="JEN119" s="2"/>
      <c r="JEO119" s="2"/>
      <c r="JEP119" s="2"/>
      <c r="JEQ119" s="2"/>
      <c r="JER119" s="2"/>
      <c r="JES119" s="2"/>
      <c r="JET119" s="2"/>
      <c r="JEU119" s="2"/>
      <c r="JEV119" s="2"/>
      <c r="JEW119" s="2"/>
      <c r="JEX119" s="2"/>
      <c r="JEY119" s="2"/>
      <c r="JEZ119" s="2"/>
      <c r="JFA119" s="2"/>
      <c r="JFB119" s="2"/>
      <c r="JFC119" s="2"/>
      <c r="JFD119" s="2"/>
      <c r="JFE119" s="2"/>
      <c r="JFF119" s="2"/>
      <c r="JFG119" s="2"/>
      <c r="JFH119" s="2"/>
      <c r="JFI119" s="2"/>
      <c r="JFJ119" s="2"/>
      <c r="JFK119" s="2"/>
      <c r="JFL119" s="2"/>
      <c r="JFM119" s="2"/>
      <c r="JFN119" s="2"/>
      <c r="JFO119" s="2"/>
      <c r="JFP119" s="2"/>
      <c r="JFQ119" s="2"/>
      <c r="JFR119" s="2"/>
      <c r="JFS119" s="2"/>
      <c r="JFT119" s="2"/>
      <c r="JFU119" s="2"/>
      <c r="JFV119" s="2"/>
      <c r="JFW119" s="2"/>
      <c r="JFX119" s="2"/>
      <c r="JFY119" s="2"/>
      <c r="JFZ119" s="2"/>
      <c r="JGA119" s="2"/>
      <c r="JGB119" s="2"/>
      <c r="JGC119" s="2"/>
      <c r="JGD119" s="2"/>
      <c r="JGE119" s="2"/>
      <c r="JGF119" s="2"/>
      <c r="JGG119" s="2"/>
      <c r="JGH119" s="2"/>
      <c r="JGI119" s="2"/>
      <c r="JGJ119" s="2"/>
      <c r="JGK119" s="2"/>
      <c r="JGL119" s="2"/>
      <c r="JGM119" s="2"/>
      <c r="JGN119" s="2"/>
      <c r="JGO119" s="2"/>
      <c r="JGP119" s="2"/>
      <c r="JGQ119" s="2"/>
      <c r="JGR119" s="2"/>
      <c r="JGS119" s="2"/>
      <c r="JGT119" s="2"/>
      <c r="JGU119" s="2"/>
      <c r="JGV119" s="2"/>
      <c r="JGW119" s="2"/>
      <c r="JGX119" s="2"/>
      <c r="JGY119" s="2"/>
      <c r="JGZ119" s="2"/>
      <c r="JHA119" s="2"/>
      <c r="JHB119" s="2"/>
      <c r="JHC119" s="2"/>
      <c r="JHD119" s="2"/>
      <c r="JHE119" s="2"/>
      <c r="JHF119" s="2"/>
      <c r="JHG119" s="2"/>
      <c r="JHH119" s="2"/>
      <c r="JHI119" s="2"/>
      <c r="JHJ119" s="2"/>
      <c r="JHK119" s="2"/>
      <c r="JHL119" s="2"/>
      <c r="JHM119" s="2"/>
      <c r="JHN119" s="2"/>
      <c r="JHO119" s="2"/>
      <c r="JHP119" s="2"/>
      <c r="JHQ119" s="2"/>
      <c r="JHR119" s="2"/>
      <c r="JHS119" s="2"/>
      <c r="JHT119" s="2"/>
      <c r="JHU119" s="2"/>
      <c r="JHV119" s="2"/>
      <c r="JHW119" s="2"/>
      <c r="JHX119" s="2"/>
      <c r="JHY119" s="2"/>
      <c r="JHZ119" s="2"/>
      <c r="JIA119" s="2"/>
      <c r="JIB119" s="2"/>
      <c r="JIC119" s="2"/>
      <c r="JID119" s="2"/>
      <c r="JIE119" s="2"/>
      <c r="JIF119" s="2"/>
      <c r="JIG119" s="2"/>
      <c r="JIH119" s="2"/>
      <c r="JII119" s="2"/>
      <c r="JIJ119" s="2"/>
      <c r="JIK119" s="2"/>
      <c r="JIL119" s="2"/>
      <c r="JIM119" s="2"/>
      <c r="JIN119" s="2"/>
      <c r="JIO119" s="2"/>
      <c r="JIP119" s="2"/>
      <c r="JIQ119" s="2"/>
      <c r="JIR119" s="2"/>
      <c r="JIS119" s="2"/>
      <c r="JIT119" s="2"/>
      <c r="JIU119" s="2"/>
      <c r="JIV119" s="2"/>
      <c r="JIW119" s="2"/>
      <c r="JIX119" s="2"/>
      <c r="JIY119" s="2"/>
      <c r="JIZ119" s="2"/>
      <c r="JJA119" s="2"/>
      <c r="JJB119" s="2"/>
      <c r="JJC119" s="2"/>
      <c r="JJD119" s="2"/>
      <c r="JJE119" s="2"/>
      <c r="JJF119" s="2"/>
      <c r="JJG119" s="2"/>
      <c r="JJH119" s="2"/>
      <c r="JJI119" s="2"/>
      <c r="JJJ119" s="2"/>
      <c r="JJK119" s="2"/>
      <c r="JJL119" s="2"/>
      <c r="JJM119" s="2"/>
      <c r="JJN119" s="2"/>
      <c r="JJO119" s="2"/>
      <c r="JJP119" s="2"/>
      <c r="JJQ119" s="2"/>
      <c r="JJR119" s="2"/>
      <c r="JJS119" s="2"/>
      <c r="JJT119" s="2"/>
      <c r="JJU119" s="2"/>
      <c r="JJV119" s="2"/>
      <c r="JJW119" s="2"/>
      <c r="JJX119" s="2"/>
      <c r="JJY119" s="2"/>
      <c r="JJZ119" s="2"/>
      <c r="JKA119" s="2"/>
      <c r="JKB119" s="2"/>
      <c r="JKC119" s="2"/>
      <c r="JKD119" s="2"/>
      <c r="JKE119" s="2"/>
      <c r="JKF119" s="2"/>
      <c r="JKG119" s="2"/>
      <c r="JKH119" s="2"/>
      <c r="JKI119" s="2"/>
      <c r="JKJ119" s="2"/>
      <c r="JKK119" s="2"/>
      <c r="JKL119" s="2"/>
      <c r="JKM119" s="2"/>
      <c r="JKN119" s="2"/>
      <c r="JKO119" s="2"/>
      <c r="JKP119" s="2"/>
      <c r="JKQ119" s="2"/>
      <c r="JKR119" s="2"/>
      <c r="JKS119" s="2"/>
      <c r="JKT119" s="2"/>
      <c r="JKU119" s="2"/>
      <c r="JKV119" s="2"/>
      <c r="JKW119" s="2"/>
      <c r="JKX119" s="2"/>
      <c r="JKY119" s="2"/>
      <c r="JKZ119" s="2"/>
      <c r="JLA119" s="2"/>
      <c r="JLB119" s="2"/>
      <c r="JLC119" s="2"/>
      <c r="JLD119" s="2"/>
      <c r="JLE119" s="2"/>
      <c r="JLF119" s="2"/>
      <c r="JLG119" s="2"/>
      <c r="JLH119" s="2"/>
      <c r="JLI119" s="2"/>
      <c r="JLJ119" s="2"/>
      <c r="JLK119" s="2"/>
      <c r="JLL119" s="2"/>
      <c r="JLM119" s="2"/>
      <c r="JLN119" s="2"/>
      <c r="JLO119" s="2"/>
      <c r="JLP119" s="2"/>
      <c r="JLQ119" s="2"/>
      <c r="JLR119" s="2"/>
      <c r="JLS119" s="2"/>
      <c r="JLT119" s="2"/>
      <c r="JLU119" s="2"/>
      <c r="JLV119" s="2"/>
      <c r="JLW119" s="2"/>
      <c r="JLX119" s="2"/>
      <c r="JLY119" s="2"/>
      <c r="JLZ119" s="2"/>
      <c r="JMA119" s="2"/>
      <c r="JMB119" s="2"/>
      <c r="JMC119" s="2"/>
      <c r="JMD119" s="2"/>
      <c r="JME119" s="2"/>
      <c r="JMF119" s="2"/>
      <c r="JMG119" s="2"/>
      <c r="JMH119" s="2"/>
      <c r="JMI119" s="2"/>
      <c r="JMJ119" s="2"/>
      <c r="JMK119" s="2"/>
      <c r="JML119" s="2"/>
      <c r="JMM119" s="2"/>
      <c r="JMN119" s="2"/>
      <c r="JMO119" s="2"/>
      <c r="JMP119" s="2"/>
      <c r="JMQ119" s="2"/>
      <c r="JMR119" s="2"/>
      <c r="JMS119" s="2"/>
      <c r="JMT119" s="2"/>
      <c r="JMU119" s="2"/>
      <c r="JMV119" s="2"/>
      <c r="JMW119" s="2"/>
      <c r="JMX119" s="2"/>
      <c r="JMY119" s="2"/>
      <c r="JMZ119" s="2"/>
      <c r="JNA119" s="2"/>
      <c r="JNB119" s="2"/>
      <c r="JNC119" s="2"/>
      <c r="JND119" s="2"/>
      <c r="JNE119" s="2"/>
      <c r="JNF119" s="2"/>
      <c r="JNG119" s="2"/>
      <c r="JNH119" s="2"/>
      <c r="JNI119" s="2"/>
      <c r="JNJ119" s="2"/>
      <c r="JNK119" s="2"/>
      <c r="JNL119" s="2"/>
      <c r="JNM119" s="2"/>
      <c r="JNN119" s="2"/>
      <c r="JNO119" s="2"/>
      <c r="JNP119" s="2"/>
      <c r="JNQ119" s="2"/>
      <c r="JNR119" s="2"/>
      <c r="JNS119" s="2"/>
      <c r="JNT119" s="2"/>
      <c r="JNU119" s="2"/>
      <c r="JNV119" s="2"/>
      <c r="JNW119" s="2"/>
      <c r="JNX119" s="2"/>
      <c r="JNY119" s="2"/>
      <c r="JNZ119" s="2"/>
      <c r="JOA119" s="2"/>
      <c r="JOB119" s="2"/>
      <c r="JOC119" s="2"/>
      <c r="JOD119" s="2"/>
      <c r="JOE119" s="2"/>
      <c r="JOF119" s="2"/>
      <c r="JOG119" s="2"/>
      <c r="JOH119" s="2"/>
      <c r="JOI119" s="2"/>
      <c r="JOJ119" s="2"/>
      <c r="JOK119" s="2"/>
      <c r="JOL119" s="2"/>
      <c r="JOM119" s="2"/>
      <c r="JON119" s="2"/>
      <c r="JOO119" s="2"/>
      <c r="JOP119" s="2"/>
      <c r="JOQ119" s="2"/>
      <c r="JOR119" s="2"/>
      <c r="JOS119" s="2"/>
      <c r="JOT119" s="2"/>
      <c r="JOU119" s="2"/>
      <c r="JOV119" s="2"/>
      <c r="JOW119" s="2"/>
      <c r="JOX119" s="2"/>
      <c r="JOY119" s="2"/>
      <c r="JOZ119" s="2"/>
      <c r="JPA119" s="2"/>
      <c r="JPB119" s="2"/>
      <c r="JPC119" s="2"/>
      <c r="JPD119" s="2"/>
      <c r="JPE119" s="2"/>
      <c r="JPF119" s="2"/>
      <c r="JPG119" s="2"/>
      <c r="JPH119" s="2"/>
      <c r="JPI119" s="2"/>
      <c r="JPJ119" s="2"/>
      <c r="JPK119" s="2"/>
      <c r="JPL119" s="2"/>
      <c r="JPM119" s="2"/>
      <c r="JPN119" s="2"/>
      <c r="JPO119" s="2"/>
      <c r="JPP119" s="2"/>
      <c r="JPQ119" s="2"/>
      <c r="JPR119" s="2"/>
      <c r="JPS119" s="2"/>
      <c r="JPT119" s="2"/>
      <c r="JPU119" s="2"/>
      <c r="JPV119" s="2"/>
      <c r="JPW119" s="2"/>
      <c r="JPX119" s="2"/>
      <c r="JPY119" s="2"/>
      <c r="JPZ119" s="2"/>
      <c r="JQA119" s="2"/>
      <c r="JQB119" s="2"/>
      <c r="JQC119" s="2"/>
      <c r="JQD119" s="2"/>
      <c r="JQE119" s="2"/>
      <c r="JQF119" s="2"/>
      <c r="JQG119" s="2"/>
      <c r="JQH119" s="2"/>
      <c r="JQI119" s="2"/>
      <c r="JQJ119" s="2"/>
      <c r="JQK119" s="2"/>
      <c r="JQL119" s="2"/>
      <c r="JQM119" s="2"/>
      <c r="JQN119" s="2"/>
      <c r="JQO119" s="2"/>
      <c r="JQP119" s="2"/>
      <c r="JQQ119" s="2"/>
      <c r="JQR119" s="2"/>
      <c r="JQS119" s="2"/>
      <c r="JQT119" s="2"/>
      <c r="JQU119" s="2"/>
      <c r="JQV119" s="2"/>
      <c r="JQW119" s="2"/>
      <c r="JQX119" s="2"/>
      <c r="JQY119" s="2"/>
      <c r="JQZ119" s="2"/>
      <c r="JRA119" s="2"/>
      <c r="JRB119" s="2"/>
      <c r="JRC119" s="2"/>
      <c r="JRD119" s="2"/>
      <c r="JRE119" s="2"/>
      <c r="JRF119" s="2"/>
      <c r="JRG119" s="2"/>
      <c r="JRH119" s="2"/>
      <c r="JRI119" s="2"/>
      <c r="JRJ119" s="2"/>
      <c r="JRK119" s="2"/>
      <c r="JRL119" s="2"/>
      <c r="JRM119" s="2"/>
      <c r="JRN119" s="2"/>
      <c r="JRO119" s="2"/>
      <c r="JRP119" s="2"/>
      <c r="JRQ119" s="2"/>
      <c r="JRR119" s="2"/>
      <c r="JRS119" s="2"/>
      <c r="JRT119" s="2"/>
      <c r="JRU119" s="2"/>
      <c r="JRV119" s="2"/>
      <c r="JRW119" s="2"/>
      <c r="JRX119" s="2"/>
      <c r="JRY119" s="2"/>
      <c r="JRZ119" s="2"/>
      <c r="JSA119" s="2"/>
      <c r="JSB119" s="2"/>
      <c r="JSC119" s="2"/>
      <c r="JSD119" s="2"/>
      <c r="JSE119" s="2"/>
      <c r="JSF119" s="2"/>
      <c r="JSG119" s="2"/>
      <c r="JSH119" s="2"/>
      <c r="JSI119" s="2"/>
      <c r="JSJ119" s="2"/>
      <c r="JSK119" s="2"/>
      <c r="JSL119" s="2"/>
      <c r="JSM119" s="2"/>
      <c r="JSN119" s="2"/>
      <c r="JSO119" s="2"/>
      <c r="JSP119" s="2"/>
      <c r="JSQ119" s="2"/>
      <c r="JSR119" s="2"/>
      <c r="JSS119" s="2"/>
      <c r="JST119" s="2"/>
      <c r="JSU119" s="2"/>
      <c r="JSV119" s="2"/>
      <c r="JSW119" s="2"/>
      <c r="JSX119" s="2"/>
      <c r="JSY119" s="2"/>
      <c r="JSZ119" s="2"/>
      <c r="JTA119" s="2"/>
      <c r="JTB119" s="2"/>
      <c r="JTC119" s="2"/>
      <c r="JTD119" s="2"/>
      <c r="JTE119" s="2"/>
      <c r="JTF119" s="2"/>
      <c r="JTG119" s="2"/>
      <c r="JTH119" s="2"/>
      <c r="JTI119" s="2"/>
      <c r="JTJ119" s="2"/>
      <c r="JTK119" s="2"/>
      <c r="JTL119" s="2"/>
      <c r="JTM119" s="2"/>
      <c r="JTN119" s="2"/>
      <c r="JTO119" s="2"/>
      <c r="JTP119" s="2"/>
      <c r="JTQ119" s="2"/>
      <c r="JTR119" s="2"/>
      <c r="JTS119" s="2"/>
      <c r="JTT119" s="2"/>
      <c r="JTU119" s="2"/>
      <c r="JTV119" s="2"/>
      <c r="JTW119" s="2"/>
      <c r="JTX119" s="2"/>
      <c r="JTY119" s="2"/>
      <c r="JTZ119" s="2"/>
      <c r="JUA119" s="2"/>
      <c r="JUB119" s="2"/>
      <c r="JUC119" s="2"/>
      <c r="JUD119" s="2"/>
      <c r="JUE119" s="2"/>
      <c r="JUF119" s="2"/>
      <c r="JUG119" s="2"/>
      <c r="JUH119" s="2"/>
      <c r="JUI119" s="2"/>
      <c r="JUJ119" s="2"/>
      <c r="JUK119" s="2"/>
      <c r="JUL119" s="2"/>
      <c r="JUM119" s="2"/>
      <c r="JUN119" s="2"/>
      <c r="JUO119" s="2"/>
      <c r="JUP119" s="2"/>
      <c r="JUQ119" s="2"/>
      <c r="JUR119" s="2"/>
      <c r="JUS119" s="2"/>
      <c r="JUT119" s="2"/>
      <c r="JUU119" s="2"/>
      <c r="JUV119" s="2"/>
      <c r="JUW119" s="2"/>
      <c r="JUX119" s="2"/>
      <c r="JUY119" s="2"/>
      <c r="JUZ119" s="2"/>
      <c r="JVA119" s="2"/>
      <c r="JVB119" s="2"/>
      <c r="JVC119" s="2"/>
      <c r="JVD119" s="2"/>
      <c r="JVE119" s="2"/>
      <c r="JVF119" s="2"/>
      <c r="JVG119" s="2"/>
      <c r="JVH119" s="2"/>
      <c r="JVI119" s="2"/>
      <c r="JVJ119" s="2"/>
      <c r="JVK119" s="2"/>
      <c r="JVL119" s="2"/>
      <c r="JVM119" s="2"/>
      <c r="JVN119" s="2"/>
      <c r="JVO119" s="2"/>
      <c r="JVP119" s="2"/>
      <c r="JVQ119" s="2"/>
      <c r="JVR119" s="2"/>
      <c r="JVS119" s="2"/>
      <c r="JVT119" s="2"/>
      <c r="JVU119" s="2"/>
      <c r="JVV119" s="2"/>
      <c r="JVW119" s="2"/>
      <c r="JVX119" s="2"/>
      <c r="JVY119" s="2"/>
      <c r="JVZ119" s="2"/>
      <c r="JWA119" s="2"/>
      <c r="JWB119" s="2"/>
      <c r="JWC119" s="2"/>
      <c r="JWD119" s="2"/>
      <c r="JWE119" s="2"/>
      <c r="JWF119" s="2"/>
      <c r="JWG119" s="2"/>
      <c r="JWH119" s="2"/>
      <c r="JWI119" s="2"/>
      <c r="JWJ119" s="2"/>
      <c r="JWK119" s="2"/>
      <c r="JWL119" s="2"/>
      <c r="JWM119" s="2"/>
      <c r="JWN119" s="2"/>
      <c r="JWO119" s="2"/>
      <c r="JWP119" s="2"/>
      <c r="JWQ119" s="2"/>
      <c r="JWR119" s="2"/>
      <c r="JWS119" s="2"/>
      <c r="JWT119" s="2"/>
      <c r="JWU119" s="2"/>
      <c r="JWV119" s="2"/>
      <c r="JWW119" s="2"/>
      <c r="JWX119" s="2"/>
      <c r="JWY119" s="2"/>
      <c r="JWZ119" s="2"/>
      <c r="JXA119" s="2"/>
      <c r="JXB119" s="2"/>
      <c r="JXC119" s="2"/>
      <c r="JXD119" s="2"/>
      <c r="JXE119" s="2"/>
      <c r="JXF119" s="2"/>
      <c r="JXG119" s="2"/>
      <c r="JXH119" s="2"/>
      <c r="JXI119" s="2"/>
      <c r="JXJ119" s="2"/>
      <c r="JXK119" s="2"/>
      <c r="JXL119" s="2"/>
      <c r="JXM119" s="2"/>
      <c r="JXN119" s="2"/>
      <c r="JXO119" s="2"/>
      <c r="JXP119" s="2"/>
      <c r="JXQ119" s="2"/>
      <c r="JXR119" s="2"/>
      <c r="JXS119" s="2"/>
      <c r="JXT119" s="2"/>
      <c r="JXU119" s="2"/>
      <c r="JXV119" s="2"/>
      <c r="JXW119" s="2"/>
      <c r="JXX119" s="2"/>
      <c r="JXY119" s="2"/>
      <c r="JXZ119" s="2"/>
      <c r="JYA119" s="2"/>
      <c r="JYB119" s="2"/>
      <c r="JYC119" s="2"/>
      <c r="JYD119" s="2"/>
      <c r="JYE119" s="2"/>
      <c r="JYF119" s="2"/>
      <c r="JYG119" s="2"/>
      <c r="JYH119" s="2"/>
      <c r="JYI119" s="2"/>
      <c r="JYJ119" s="2"/>
      <c r="JYK119" s="2"/>
      <c r="JYL119" s="2"/>
      <c r="JYM119" s="2"/>
      <c r="JYN119" s="2"/>
      <c r="JYO119" s="2"/>
      <c r="JYP119" s="2"/>
      <c r="JYQ119" s="2"/>
      <c r="JYR119" s="2"/>
      <c r="JYS119" s="2"/>
      <c r="JYT119" s="2"/>
      <c r="JYU119" s="2"/>
      <c r="JYV119" s="2"/>
      <c r="JYW119" s="2"/>
      <c r="JYX119" s="2"/>
      <c r="JYY119" s="2"/>
      <c r="JYZ119" s="2"/>
      <c r="JZA119" s="2"/>
      <c r="JZB119" s="2"/>
      <c r="JZC119" s="2"/>
      <c r="JZD119" s="2"/>
      <c r="JZE119" s="2"/>
      <c r="JZF119" s="2"/>
      <c r="JZG119" s="2"/>
      <c r="JZH119" s="2"/>
      <c r="JZI119" s="2"/>
      <c r="JZJ119" s="2"/>
      <c r="JZK119" s="2"/>
      <c r="JZL119" s="2"/>
      <c r="JZM119" s="2"/>
      <c r="JZN119" s="2"/>
      <c r="JZO119" s="2"/>
      <c r="JZP119" s="2"/>
      <c r="JZQ119" s="2"/>
      <c r="JZR119" s="2"/>
      <c r="JZS119" s="2"/>
      <c r="JZT119" s="2"/>
      <c r="JZU119" s="2"/>
      <c r="JZV119" s="2"/>
      <c r="JZW119" s="2"/>
      <c r="JZX119" s="2"/>
      <c r="JZY119" s="2"/>
      <c r="JZZ119" s="2"/>
      <c r="KAA119" s="2"/>
      <c r="KAB119" s="2"/>
      <c r="KAC119" s="2"/>
      <c r="KAD119" s="2"/>
      <c r="KAE119" s="2"/>
      <c r="KAF119" s="2"/>
      <c r="KAG119" s="2"/>
      <c r="KAH119" s="2"/>
      <c r="KAI119" s="2"/>
      <c r="KAJ119" s="2"/>
      <c r="KAK119" s="2"/>
      <c r="KAL119" s="2"/>
      <c r="KAM119" s="2"/>
      <c r="KAN119" s="2"/>
      <c r="KAO119" s="2"/>
      <c r="KAP119" s="2"/>
      <c r="KAQ119" s="2"/>
      <c r="KAR119" s="2"/>
      <c r="KAS119" s="2"/>
      <c r="KAT119" s="2"/>
      <c r="KAU119" s="2"/>
      <c r="KAV119" s="2"/>
      <c r="KAW119" s="2"/>
      <c r="KAX119" s="2"/>
      <c r="KAY119" s="2"/>
      <c r="KAZ119" s="2"/>
      <c r="KBA119" s="2"/>
      <c r="KBB119" s="2"/>
      <c r="KBC119" s="2"/>
      <c r="KBD119" s="2"/>
      <c r="KBE119" s="2"/>
      <c r="KBF119" s="2"/>
      <c r="KBG119" s="2"/>
      <c r="KBH119" s="2"/>
      <c r="KBI119" s="2"/>
      <c r="KBJ119" s="2"/>
      <c r="KBK119" s="2"/>
      <c r="KBL119" s="2"/>
      <c r="KBM119" s="2"/>
      <c r="KBN119" s="2"/>
      <c r="KBO119" s="2"/>
      <c r="KBP119" s="2"/>
      <c r="KBQ119" s="2"/>
      <c r="KBR119" s="2"/>
      <c r="KBS119" s="2"/>
      <c r="KBT119" s="2"/>
      <c r="KBU119" s="2"/>
      <c r="KBV119" s="2"/>
      <c r="KBW119" s="2"/>
      <c r="KBX119" s="2"/>
      <c r="KBY119" s="2"/>
      <c r="KBZ119" s="2"/>
      <c r="KCA119" s="2"/>
      <c r="KCB119" s="2"/>
      <c r="KCC119" s="2"/>
      <c r="KCD119" s="2"/>
      <c r="KCE119" s="2"/>
      <c r="KCF119" s="2"/>
      <c r="KCG119" s="2"/>
      <c r="KCH119" s="2"/>
      <c r="KCI119" s="2"/>
      <c r="KCJ119" s="2"/>
      <c r="KCK119" s="2"/>
      <c r="KCL119" s="2"/>
      <c r="KCM119" s="2"/>
      <c r="KCN119" s="2"/>
      <c r="KCO119" s="2"/>
      <c r="KCP119" s="2"/>
      <c r="KCQ119" s="2"/>
      <c r="KCR119" s="2"/>
      <c r="KCS119" s="2"/>
      <c r="KCT119" s="2"/>
      <c r="KCU119" s="2"/>
      <c r="KCV119" s="2"/>
      <c r="KCW119" s="2"/>
      <c r="KCX119" s="2"/>
      <c r="KCY119" s="2"/>
      <c r="KCZ119" s="2"/>
      <c r="KDA119" s="2"/>
      <c r="KDB119" s="2"/>
      <c r="KDC119" s="2"/>
      <c r="KDD119" s="2"/>
      <c r="KDE119" s="2"/>
      <c r="KDF119" s="2"/>
      <c r="KDG119" s="2"/>
      <c r="KDH119" s="2"/>
      <c r="KDI119" s="2"/>
      <c r="KDJ119" s="2"/>
      <c r="KDK119" s="2"/>
      <c r="KDL119" s="2"/>
      <c r="KDM119" s="2"/>
      <c r="KDN119" s="2"/>
      <c r="KDO119" s="2"/>
      <c r="KDP119" s="2"/>
      <c r="KDQ119" s="2"/>
      <c r="KDR119" s="2"/>
      <c r="KDS119" s="2"/>
      <c r="KDT119" s="2"/>
      <c r="KDU119" s="2"/>
      <c r="KDV119" s="2"/>
      <c r="KDW119" s="2"/>
      <c r="KDX119" s="2"/>
      <c r="KDY119" s="2"/>
      <c r="KDZ119" s="2"/>
      <c r="KEA119" s="2"/>
      <c r="KEB119" s="2"/>
      <c r="KEC119" s="2"/>
      <c r="KED119" s="2"/>
      <c r="KEE119" s="2"/>
      <c r="KEF119" s="2"/>
      <c r="KEG119" s="2"/>
      <c r="KEH119" s="2"/>
      <c r="KEI119" s="2"/>
      <c r="KEJ119" s="2"/>
      <c r="KEK119" s="2"/>
      <c r="KEL119" s="2"/>
      <c r="KEM119" s="2"/>
      <c r="KEN119" s="2"/>
      <c r="KEO119" s="2"/>
      <c r="KEP119" s="2"/>
      <c r="KEQ119" s="2"/>
      <c r="KER119" s="2"/>
      <c r="KES119" s="2"/>
      <c r="KET119" s="2"/>
      <c r="KEU119" s="2"/>
      <c r="KEV119" s="2"/>
      <c r="KEW119" s="2"/>
      <c r="KEX119" s="2"/>
      <c r="KEY119" s="2"/>
      <c r="KEZ119" s="2"/>
      <c r="KFA119" s="2"/>
      <c r="KFB119" s="2"/>
      <c r="KFC119" s="2"/>
      <c r="KFD119" s="2"/>
      <c r="KFE119" s="2"/>
      <c r="KFF119" s="2"/>
      <c r="KFG119" s="2"/>
      <c r="KFH119" s="2"/>
      <c r="KFI119" s="2"/>
      <c r="KFJ119" s="2"/>
      <c r="KFK119" s="2"/>
      <c r="KFL119" s="2"/>
      <c r="KFM119" s="2"/>
      <c r="KFN119" s="2"/>
      <c r="KFO119" s="2"/>
      <c r="KFP119" s="2"/>
      <c r="KFQ119" s="2"/>
      <c r="KFR119" s="2"/>
      <c r="KFS119" s="2"/>
      <c r="KFT119" s="2"/>
      <c r="KFU119" s="2"/>
      <c r="KFV119" s="2"/>
      <c r="KFW119" s="2"/>
      <c r="KFX119" s="2"/>
      <c r="KFY119" s="2"/>
      <c r="KFZ119" s="2"/>
      <c r="KGA119" s="2"/>
      <c r="KGB119" s="2"/>
      <c r="KGC119" s="2"/>
      <c r="KGD119" s="2"/>
      <c r="KGE119" s="2"/>
      <c r="KGF119" s="2"/>
      <c r="KGG119" s="2"/>
      <c r="KGH119" s="2"/>
      <c r="KGI119" s="2"/>
      <c r="KGJ119" s="2"/>
      <c r="KGK119" s="2"/>
      <c r="KGL119" s="2"/>
      <c r="KGM119" s="2"/>
      <c r="KGN119" s="2"/>
      <c r="KGO119" s="2"/>
      <c r="KGP119" s="2"/>
      <c r="KGQ119" s="2"/>
      <c r="KGR119" s="2"/>
      <c r="KGS119" s="2"/>
      <c r="KGT119" s="2"/>
      <c r="KGU119" s="2"/>
      <c r="KGV119" s="2"/>
      <c r="KGW119" s="2"/>
      <c r="KGX119" s="2"/>
      <c r="KGY119" s="2"/>
      <c r="KGZ119" s="2"/>
      <c r="KHA119" s="2"/>
      <c r="KHB119" s="2"/>
      <c r="KHC119" s="2"/>
      <c r="KHD119" s="2"/>
      <c r="KHE119" s="2"/>
      <c r="KHF119" s="2"/>
      <c r="KHG119" s="2"/>
      <c r="KHH119" s="2"/>
      <c r="KHI119" s="2"/>
      <c r="KHJ119" s="2"/>
      <c r="KHK119" s="2"/>
      <c r="KHL119" s="2"/>
      <c r="KHM119" s="2"/>
      <c r="KHN119" s="2"/>
      <c r="KHO119" s="2"/>
      <c r="KHP119" s="2"/>
      <c r="KHQ119" s="2"/>
      <c r="KHR119" s="2"/>
      <c r="KHS119" s="2"/>
      <c r="KHT119" s="2"/>
      <c r="KHU119" s="2"/>
      <c r="KHV119" s="2"/>
      <c r="KHW119" s="2"/>
      <c r="KHX119" s="2"/>
      <c r="KHY119" s="2"/>
      <c r="KHZ119" s="2"/>
      <c r="KIA119" s="2"/>
      <c r="KIB119" s="2"/>
      <c r="KIC119" s="2"/>
      <c r="KID119" s="2"/>
      <c r="KIE119" s="2"/>
      <c r="KIF119" s="2"/>
      <c r="KIG119" s="2"/>
      <c r="KIH119" s="2"/>
      <c r="KII119" s="2"/>
      <c r="KIJ119" s="2"/>
      <c r="KIK119" s="2"/>
      <c r="KIL119" s="2"/>
      <c r="KIM119" s="2"/>
      <c r="KIN119" s="2"/>
      <c r="KIO119" s="2"/>
      <c r="KIP119" s="2"/>
      <c r="KIQ119" s="2"/>
      <c r="KIR119" s="2"/>
      <c r="KIS119" s="2"/>
      <c r="KIT119" s="2"/>
      <c r="KIU119" s="2"/>
      <c r="KIV119" s="2"/>
      <c r="KIW119" s="2"/>
      <c r="KIX119" s="2"/>
      <c r="KIY119" s="2"/>
      <c r="KIZ119" s="2"/>
      <c r="KJA119" s="2"/>
      <c r="KJB119" s="2"/>
      <c r="KJC119" s="2"/>
      <c r="KJD119" s="2"/>
      <c r="KJE119" s="2"/>
      <c r="KJF119" s="2"/>
      <c r="KJG119" s="2"/>
      <c r="KJH119" s="2"/>
      <c r="KJI119" s="2"/>
      <c r="KJJ119" s="2"/>
      <c r="KJK119" s="2"/>
      <c r="KJL119" s="2"/>
      <c r="KJM119" s="2"/>
      <c r="KJN119" s="2"/>
      <c r="KJO119" s="2"/>
      <c r="KJP119" s="2"/>
      <c r="KJQ119" s="2"/>
      <c r="KJR119" s="2"/>
      <c r="KJS119" s="2"/>
      <c r="KJT119" s="2"/>
      <c r="KJU119" s="2"/>
      <c r="KJV119" s="2"/>
      <c r="KJW119" s="2"/>
      <c r="KJX119" s="2"/>
      <c r="KJY119" s="2"/>
      <c r="KJZ119" s="2"/>
      <c r="KKA119" s="2"/>
      <c r="KKB119" s="2"/>
      <c r="KKC119" s="2"/>
      <c r="KKD119" s="2"/>
      <c r="KKE119" s="2"/>
      <c r="KKF119" s="2"/>
      <c r="KKG119" s="2"/>
      <c r="KKH119" s="2"/>
      <c r="KKI119" s="2"/>
      <c r="KKJ119" s="2"/>
      <c r="KKK119" s="2"/>
      <c r="KKL119" s="2"/>
      <c r="KKM119" s="2"/>
      <c r="KKN119" s="2"/>
      <c r="KKO119" s="2"/>
      <c r="KKP119" s="2"/>
      <c r="KKQ119" s="2"/>
      <c r="KKR119" s="2"/>
      <c r="KKS119" s="2"/>
      <c r="KKT119" s="2"/>
      <c r="KKU119" s="2"/>
      <c r="KKV119" s="2"/>
      <c r="KKW119" s="2"/>
      <c r="KKX119" s="2"/>
      <c r="KKY119" s="2"/>
      <c r="KKZ119" s="2"/>
      <c r="KLA119" s="2"/>
      <c r="KLB119" s="2"/>
      <c r="KLC119" s="2"/>
      <c r="KLD119" s="2"/>
      <c r="KLE119" s="2"/>
      <c r="KLF119" s="2"/>
      <c r="KLG119" s="2"/>
      <c r="KLH119" s="2"/>
      <c r="KLI119" s="2"/>
      <c r="KLJ119" s="2"/>
      <c r="KLK119" s="2"/>
      <c r="KLL119" s="2"/>
      <c r="KLM119" s="2"/>
      <c r="KLN119" s="2"/>
      <c r="KLO119" s="2"/>
      <c r="KLP119" s="2"/>
      <c r="KLQ119" s="2"/>
      <c r="KLR119" s="2"/>
      <c r="KLS119" s="2"/>
      <c r="KLT119" s="2"/>
      <c r="KLU119" s="2"/>
      <c r="KLV119" s="2"/>
      <c r="KLW119" s="2"/>
      <c r="KLX119" s="2"/>
      <c r="KLY119" s="2"/>
      <c r="KLZ119" s="2"/>
      <c r="KMA119" s="2"/>
      <c r="KMB119" s="2"/>
      <c r="KMC119" s="2"/>
      <c r="KMD119" s="2"/>
      <c r="KME119" s="2"/>
      <c r="KMF119" s="2"/>
      <c r="KMG119" s="2"/>
      <c r="KMH119" s="2"/>
      <c r="KMI119" s="2"/>
      <c r="KMJ119" s="2"/>
      <c r="KMK119" s="2"/>
      <c r="KML119" s="2"/>
      <c r="KMM119" s="2"/>
      <c r="KMN119" s="2"/>
      <c r="KMO119" s="2"/>
      <c r="KMP119" s="2"/>
      <c r="KMQ119" s="2"/>
      <c r="KMR119" s="2"/>
      <c r="KMS119" s="2"/>
      <c r="KMT119" s="2"/>
      <c r="KMU119" s="2"/>
      <c r="KMV119" s="2"/>
      <c r="KMW119" s="2"/>
      <c r="KMX119" s="2"/>
      <c r="KMY119" s="2"/>
      <c r="KMZ119" s="2"/>
      <c r="KNA119" s="2"/>
      <c r="KNB119" s="2"/>
      <c r="KNC119" s="2"/>
      <c r="KND119" s="2"/>
      <c r="KNE119" s="2"/>
      <c r="KNF119" s="2"/>
      <c r="KNG119" s="2"/>
      <c r="KNH119" s="2"/>
      <c r="KNI119" s="2"/>
      <c r="KNJ119" s="2"/>
      <c r="KNK119" s="2"/>
      <c r="KNL119" s="2"/>
      <c r="KNM119" s="2"/>
      <c r="KNN119" s="2"/>
      <c r="KNO119" s="2"/>
      <c r="KNP119" s="2"/>
      <c r="KNQ119" s="2"/>
      <c r="KNR119" s="2"/>
      <c r="KNS119" s="2"/>
      <c r="KNT119" s="2"/>
      <c r="KNU119" s="2"/>
      <c r="KNV119" s="2"/>
      <c r="KNW119" s="2"/>
      <c r="KNX119" s="2"/>
      <c r="KNY119" s="2"/>
      <c r="KNZ119" s="2"/>
      <c r="KOA119" s="2"/>
      <c r="KOB119" s="2"/>
      <c r="KOC119" s="2"/>
      <c r="KOD119" s="2"/>
      <c r="KOE119" s="2"/>
      <c r="KOF119" s="2"/>
      <c r="KOG119" s="2"/>
      <c r="KOH119" s="2"/>
      <c r="KOI119" s="2"/>
      <c r="KOJ119" s="2"/>
      <c r="KOK119" s="2"/>
      <c r="KOL119" s="2"/>
      <c r="KOM119" s="2"/>
      <c r="KON119" s="2"/>
      <c r="KOO119" s="2"/>
      <c r="KOP119" s="2"/>
      <c r="KOQ119" s="2"/>
      <c r="KOR119" s="2"/>
      <c r="KOS119" s="2"/>
      <c r="KOT119" s="2"/>
      <c r="KOU119" s="2"/>
      <c r="KOV119" s="2"/>
      <c r="KOW119" s="2"/>
      <c r="KOX119" s="2"/>
      <c r="KOY119" s="2"/>
      <c r="KOZ119" s="2"/>
      <c r="KPA119" s="2"/>
      <c r="KPB119" s="2"/>
      <c r="KPC119" s="2"/>
      <c r="KPD119" s="2"/>
      <c r="KPE119" s="2"/>
      <c r="KPF119" s="2"/>
      <c r="KPG119" s="2"/>
      <c r="KPH119" s="2"/>
      <c r="KPI119" s="2"/>
      <c r="KPJ119" s="2"/>
      <c r="KPK119" s="2"/>
      <c r="KPL119" s="2"/>
      <c r="KPM119" s="2"/>
      <c r="KPN119" s="2"/>
      <c r="KPO119" s="2"/>
      <c r="KPP119" s="2"/>
      <c r="KPQ119" s="2"/>
      <c r="KPR119" s="2"/>
      <c r="KPS119" s="2"/>
      <c r="KPT119" s="2"/>
      <c r="KPU119" s="2"/>
      <c r="KPV119" s="2"/>
      <c r="KPW119" s="2"/>
      <c r="KPX119" s="2"/>
      <c r="KPY119" s="2"/>
      <c r="KPZ119" s="2"/>
      <c r="KQA119" s="2"/>
      <c r="KQB119" s="2"/>
      <c r="KQC119" s="2"/>
      <c r="KQD119" s="2"/>
      <c r="KQE119" s="2"/>
      <c r="KQF119" s="2"/>
      <c r="KQG119" s="2"/>
      <c r="KQH119" s="2"/>
      <c r="KQI119" s="2"/>
      <c r="KQJ119" s="2"/>
      <c r="KQK119" s="2"/>
      <c r="KQL119" s="2"/>
      <c r="KQM119" s="2"/>
      <c r="KQN119" s="2"/>
      <c r="KQO119" s="2"/>
      <c r="KQP119" s="2"/>
      <c r="KQQ119" s="2"/>
      <c r="KQR119" s="2"/>
      <c r="KQS119" s="2"/>
      <c r="KQT119" s="2"/>
      <c r="KQU119" s="2"/>
      <c r="KQV119" s="2"/>
      <c r="KQW119" s="2"/>
      <c r="KQX119" s="2"/>
      <c r="KQY119" s="2"/>
      <c r="KQZ119" s="2"/>
      <c r="KRA119" s="2"/>
      <c r="KRB119" s="2"/>
      <c r="KRC119" s="2"/>
      <c r="KRD119" s="2"/>
      <c r="KRE119" s="2"/>
      <c r="KRF119" s="2"/>
      <c r="KRG119" s="2"/>
      <c r="KRH119" s="2"/>
      <c r="KRI119" s="2"/>
      <c r="KRJ119" s="2"/>
      <c r="KRK119" s="2"/>
      <c r="KRL119" s="2"/>
      <c r="KRM119" s="2"/>
      <c r="KRN119" s="2"/>
      <c r="KRO119" s="2"/>
      <c r="KRP119" s="2"/>
      <c r="KRQ119" s="2"/>
      <c r="KRR119" s="2"/>
      <c r="KRS119" s="2"/>
      <c r="KRT119" s="2"/>
      <c r="KRU119" s="2"/>
      <c r="KRV119" s="2"/>
      <c r="KRW119" s="2"/>
      <c r="KRX119" s="2"/>
      <c r="KRY119" s="2"/>
      <c r="KRZ119" s="2"/>
      <c r="KSA119" s="2"/>
      <c r="KSB119" s="2"/>
      <c r="KSC119" s="2"/>
      <c r="KSD119" s="2"/>
      <c r="KSE119" s="2"/>
      <c r="KSF119" s="2"/>
      <c r="KSG119" s="2"/>
      <c r="KSH119" s="2"/>
      <c r="KSI119" s="2"/>
      <c r="KSJ119" s="2"/>
      <c r="KSK119" s="2"/>
      <c r="KSL119" s="2"/>
      <c r="KSM119" s="2"/>
      <c r="KSN119" s="2"/>
      <c r="KSO119" s="2"/>
      <c r="KSP119" s="2"/>
      <c r="KSQ119" s="2"/>
      <c r="KSR119" s="2"/>
      <c r="KSS119" s="2"/>
      <c r="KST119" s="2"/>
      <c r="KSU119" s="2"/>
      <c r="KSV119" s="2"/>
      <c r="KSW119" s="2"/>
      <c r="KSX119" s="2"/>
      <c r="KSY119" s="2"/>
      <c r="KSZ119" s="2"/>
      <c r="KTA119" s="2"/>
      <c r="KTB119" s="2"/>
      <c r="KTC119" s="2"/>
      <c r="KTD119" s="2"/>
      <c r="KTE119" s="2"/>
      <c r="KTF119" s="2"/>
      <c r="KTG119" s="2"/>
      <c r="KTH119" s="2"/>
      <c r="KTI119" s="2"/>
      <c r="KTJ119" s="2"/>
      <c r="KTK119" s="2"/>
      <c r="KTL119" s="2"/>
      <c r="KTM119" s="2"/>
      <c r="KTN119" s="2"/>
      <c r="KTO119" s="2"/>
      <c r="KTP119" s="2"/>
      <c r="KTQ119" s="2"/>
      <c r="KTR119" s="2"/>
      <c r="KTS119" s="2"/>
      <c r="KTT119" s="2"/>
      <c r="KTU119" s="2"/>
      <c r="KTV119" s="2"/>
      <c r="KTW119" s="2"/>
      <c r="KTX119" s="2"/>
      <c r="KTY119" s="2"/>
      <c r="KTZ119" s="2"/>
      <c r="KUA119" s="2"/>
      <c r="KUB119" s="2"/>
      <c r="KUC119" s="2"/>
      <c r="KUD119" s="2"/>
      <c r="KUE119" s="2"/>
      <c r="KUF119" s="2"/>
      <c r="KUG119" s="2"/>
      <c r="KUH119" s="2"/>
      <c r="KUI119" s="2"/>
      <c r="KUJ119" s="2"/>
      <c r="KUK119" s="2"/>
      <c r="KUL119" s="2"/>
      <c r="KUM119" s="2"/>
      <c r="KUN119" s="2"/>
      <c r="KUO119" s="2"/>
      <c r="KUP119" s="2"/>
      <c r="KUQ119" s="2"/>
      <c r="KUR119" s="2"/>
      <c r="KUS119" s="2"/>
      <c r="KUT119" s="2"/>
      <c r="KUU119" s="2"/>
      <c r="KUV119" s="2"/>
      <c r="KUW119" s="2"/>
      <c r="KUX119" s="2"/>
      <c r="KUY119" s="2"/>
      <c r="KUZ119" s="2"/>
      <c r="KVA119" s="2"/>
      <c r="KVB119" s="2"/>
      <c r="KVC119" s="2"/>
      <c r="KVD119" s="2"/>
      <c r="KVE119" s="2"/>
      <c r="KVF119" s="2"/>
      <c r="KVG119" s="2"/>
      <c r="KVH119" s="2"/>
      <c r="KVI119" s="2"/>
      <c r="KVJ119" s="2"/>
      <c r="KVK119" s="2"/>
      <c r="KVL119" s="2"/>
      <c r="KVM119" s="2"/>
      <c r="KVN119" s="2"/>
      <c r="KVO119" s="2"/>
      <c r="KVP119" s="2"/>
      <c r="KVQ119" s="2"/>
      <c r="KVR119" s="2"/>
      <c r="KVS119" s="2"/>
      <c r="KVT119" s="2"/>
      <c r="KVU119" s="2"/>
      <c r="KVV119" s="2"/>
      <c r="KVW119" s="2"/>
      <c r="KVX119" s="2"/>
      <c r="KVY119" s="2"/>
      <c r="KVZ119" s="2"/>
      <c r="KWA119" s="2"/>
      <c r="KWB119" s="2"/>
      <c r="KWC119" s="2"/>
      <c r="KWD119" s="2"/>
      <c r="KWE119" s="2"/>
      <c r="KWF119" s="2"/>
      <c r="KWG119" s="2"/>
      <c r="KWH119" s="2"/>
      <c r="KWI119" s="2"/>
      <c r="KWJ119" s="2"/>
      <c r="KWK119" s="2"/>
      <c r="KWL119" s="2"/>
      <c r="KWM119" s="2"/>
      <c r="KWN119" s="2"/>
      <c r="KWO119" s="2"/>
      <c r="KWP119" s="2"/>
      <c r="KWQ119" s="2"/>
      <c r="KWR119" s="2"/>
      <c r="KWS119" s="2"/>
      <c r="KWT119" s="2"/>
      <c r="KWU119" s="2"/>
      <c r="KWV119" s="2"/>
      <c r="KWW119" s="2"/>
      <c r="KWX119" s="2"/>
      <c r="KWY119" s="2"/>
      <c r="KWZ119" s="2"/>
      <c r="KXA119" s="2"/>
      <c r="KXB119" s="2"/>
      <c r="KXC119" s="2"/>
      <c r="KXD119" s="2"/>
      <c r="KXE119" s="2"/>
      <c r="KXF119" s="2"/>
      <c r="KXG119" s="2"/>
      <c r="KXH119" s="2"/>
      <c r="KXI119" s="2"/>
      <c r="KXJ119" s="2"/>
      <c r="KXK119" s="2"/>
      <c r="KXL119" s="2"/>
      <c r="KXM119" s="2"/>
      <c r="KXN119" s="2"/>
      <c r="KXO119" s="2"/>
      <c r="KXP119" s="2"/>
      <c r="KXQ119" s="2"/>
      <c r="KXR119" s="2"/>
      <c r="KXS119" s="2"/>
      <c r="KXT119" s="2"/>
      <c r="KXU119" s="2"/>
      <c r="KXV119" s="2"/>
      <c r="KXW119" s="2"/>
      <c r="KXX119" s="2"/>
      <c r="KXY119" s="2"/>
      <c r="KXZ119" s="2"/>
      <c r="KYA119" s="2"/>
      <c r="KYB119" s="2"/>
      <c r="KYC119" s="2"/>
      <c r="KYD119" s="2"/>
      <c r="KYE119" s="2"/>
      <c r="KYF119" s="2"/>
      <c r="KYG119" s="2"/>
      <c r="KYH119" s="2"/>
      <c r="KYI119" s="2"/>
      <c r="KYJ119" s="2"/>
      <c r="KYK119" s="2"/>
      <c r="KYL119" s="2"/>
      <c r="KYM119" s="2"/>
      <c r="KYN119" s="2"/>
      <c r="KYO119" s="2"/>
      <c r="KYP119" s="2"/>
      <c r="KYQ119" s="2"/>
      <c r="KYR119" s="2"/>
      <c r="KYS119" s="2"/>
      <c r="KYT119" s="2"/>
      <c r="KYU119" s="2"/>
      <c r="KYV119" s="2"/>
      <c r="KYW119" s="2"/>
      <c r="KYX119" s="2"/>
      <c r="KYY119" s="2"/>
      <c r="KYZ119" s="2"/>
      <c r="KZA119" s="2"/>
      <c r="KZB119" s="2"/>
      <c r="KZC119" s="2"/>
      <c r="KZD119" s="2"/>
      <c r="KZE119" s="2"/>
      <c r="KZF119" s="2"/>
      <c r="KZG119" s="2"/>
      <c r="KZH119" s="2"/>
      <c r="KZI119" s="2"/>
      <c r="KZJ119" s="2"/>
      <c r="KZK119" s="2"/>
      <c r="KZL119" s="2"/>
      <c r="KZM119" s="2"/>
      <c r="KZN119" s="2"/>
      <c r="KZO119" s="2"/>
      <c r="KZP119" s="2"/>
      <c r="KZQ119" s="2"/>
      <c r="KZR119" s="2"/>
      <c r="KZS119" s="2"/>
      <c r="KZT119" s="2"/>
      <c r="KZU119" s="2"/>
      <c r="KZV119" s="2"/>
      <c r="KZW119" s="2"/>
      <c r="KZX119" s="2"/>
      <c r="KZY119" s="2"/>
      <c r="KZZ119" s="2"/>
      <c r="LAA119" s="2"/>
      <c r="LAB119" s="2"/>
      <c r="LAC119" s="2"/>
      <c r="LAD119" s="2"/>
      <c r="LAE119" s="2"/>
      <c r="LAF119" s="2"/>
      <c r="LAG119" s="2"/>
      <c r="LAH119" s="2"/>
      <c r="LAI119" s="2"/>
      <c r="LAJ119" s="2"/>
      <c r="LAK119" s="2"/>
      <c r="LAL119" s="2"/>
      <c r="LAM119" s="2"/>
      <c r="LAN119" s="2"/>
      <c r="LAO119" s="2"/>
      <c r="LAP119" s="2"/>
      <c r="LAQ119" s="2"/>
      <c r="LAR119" s="2"/>
      <c r="LAS119" s="2"/>
      <c r="LAT119" s="2"/>
      <c r="LAU119" s="2"/>
      <c r="LAV119" s="2"/>
      <c r="LAW119" s="2"/>
      <c r="LAX119" s="2"/>
      <c r="LAY119" s="2"/>
      <c r="LAZ119" s="2"/>
      <c r="LBA119" s="2"/>
      <c r="LBB119" s="2"/>
      <c r="LBC119" s="2"/>
      <c r="LBD119" s="2"/>
      <c r="LBE119" s="2"/>
      <c r="LBF119" s="2"/>
      <c r="LBG119" s="2"/>
      <c r="LBH119" s="2"/>
      <c r="LBI119" s="2"/>
      <c r="LBJ119" s="2"/>
      <c r="LBK119" s="2"/>
      <c r="LBL119" s="2"/>
      <c r="LBM119" s="2"/>
      <c r="LBN119" s="2"/>
      <c r="LBO119" s="2"/>
      <c r="LBP119" s="2"/>
      <c r="LBQ119" s="2"/>
      <c r="LBR119" s="2"/>
      <c r="LBS119" s="2"/>
      <c r="LBT119" s="2"/>
      <c r="LBU119" s="2"/>
      <c r="LBV119" s="2"/>
      <c r="LBW119" s="2"/>
      <c r="LBX119" s="2"/>
      <c r="LBY119" s="2"/>
      <c r="LBZ119" s="2"/>
      <c r="LCA119" s="2"/>
      <c r="LCB119" s="2"/>
      <c r="LCC119" s="2"/>
      <c r="LCD119" s="2"/>
      <c r="LCE119" s="2"/>
      <c r="LCF119" s="2"/>
      <c r="LCG119" s="2"/>
      <c r="LCH119" s="2"/>
      <c r="LCI119" s="2"/>
      <c r="LCJ119" s="2"/>
      <c r="LCK119" s="2"/>
      <c r="LCL119" s="2"/>
      <c r="LCM119" s="2"/>
      <c r="LCN119" s="2"/>
      <c r="LCO119" s="2"/>
      <c r="LCP119" s="2"/>
      <c r="LCQ119" s="2"/>
      <c r="LCR119" s="2"/>
      <c r="LCS119" s="2"/>
      <c r="LCT119" s="2"/>
      <c r="LCU119" s="2"/>
      <c r="LCV119" s="2"/>
      <c r="LCW119" s="2"/>
      <c r="LCX119" s="2"/>
      <c r="LCY119" s="2"/>
      <c r="LCZ119" s="2"/>
      <c r="LDA119" s="2"/>
      <c r="LDB119" s="2"/>
      <c r="LDC119" s="2"/>
      <c r="LDD119" s="2"/>
      <c r="LDE119" s="2"/>
      <c r="LDF119" s="2"/>
      <c r="LDG119" s="2"/>
      <c r="LDH119" s="2"/>
      <c r="LDI119" s="2"/>
      <c r="LDJ119" s="2"/>
      <c r="LDK119" s="2"/>
      <c r="LDL119" s="2"/>
      <c r="LDM119" s="2"/>
      <c r="LDN119" s="2"/>
      <c r="LDO119" s="2"/>
      <c r="LDP119" s="2"/>
      <c r="LDQ119" s="2"/>
      <c r="LDR119" s="2"/>
      <c r="LDS119" s="2"/>
      <c r="LDT119" s="2"/>
      <c r="LDU119" s="2"/>
      <c r="LDV119" s="2"/>
      <c r="LDW119" s="2"/>
      <c r="LDX119" s="2"/>
      <c r="LDY119" s="2"/>
      <c r="LDZ119" s="2"/>
      <c r="LEA119" s="2"/>
      <c r="LEB119" s="2"/>
      <c r="LEC119" s="2"/>
      <c r="LED119" s="2"/>
      <c r="LEE119" s="2"/>
      <c r="LEF119" s="2"/>
      <c r="LEG119" s="2"/>
      <c r="LEH119" s="2"/>
      <c r="LEI119" s="2"/>
      <c r="LEJ119" s="2"/>
      <c r="LEK119" s="2"/>
      <c r="LEL119" s="2"/>
      <c r="LEM119" s="2"/>
      <c r="LEN119" s="2"/>
      <c r="LEO119" s="2"/>
      <c r="LEP119" s="2"/>
      <c r="LEQ119" s="2"/>
      <c r="LER119" s="2"/>
      <c r="LES119" s="2"/>
      <c r="LET119" s="2"/>
      <c r="LEU119" s="2"/>
      <c r="LEV119" s="2"/>
      <c r="LEW119" s="2"/>
      <c r="LEX119" s="2"/>
      <c r="LEY119" s="2"/>
      <c r="LEZ119" s="2"/>
      <c r="LFA119" s="2"/>
      <c r="LFB119" s="2"/>
      <c r="LFC119" s="2"/>
      <c r="LFD119" s="2"/>
      <c r="LFE119" s="2"/>
      <c r="LFF119" s="2"/>
      <c r="LFG119" s="2"/>
      <c r="LFH119" s="2"/>
      <c r="LFI119" s="2"/>
      <c r="LFJ119" s="2"/>
      <c r="LFK119" s="2"/>
      <c r="LFL119" s="2"/>
      <c r="LFM119" s="2"/>
      <c r="LFN119" s="2"/>
      <c r="LFO119" s="2"/>
      <c r="LFP119" s="2"/>
      <c r="LFQ119" s="2"/>
      <c r="LFR119" s="2"/>
      <c r="LFS119" s="2"/>
      <c r="LFT119" s="2"/>
      <c r="LFU119" s="2"/>
      <c r="LFV119" s="2"/>
      <c r="LFW119" s="2"/>
      <c r="LFX119" s="2"/>
      <c r="LFY119" s="2"/>
      <c r="LFZ119" s="2"/>
      <c r="LGA119" s="2"/>
      <c r="LGB119" s="2"/>
      <c r="LGC119" s="2"/>
      <c r="LGD119" s="2"/>
      <c r="LGE119" s="2"/>
      <c r="LGF119" s="2"/>
      <c r="LGG119" s="2"/>
      <c r="LGH119" s="2"/>
      <c r="LGI119" s="2"/>
      <c r="LGJ119" s="2"/>
      <c r="LGK119" s="2"/>
      <c r="LGL119" s="2"/>
      <c r="LGM119" s="2"/>
      <c r="LGN119" s="2"/>
      <c r="LGO119" s="2"/>
      <c r="LGP119" s="2"/>
      <c r="LGQ119" s="2"/>
      <c r="LGR119" s="2"/>
      <c r="LGS119" s="2"/>
      <c r="LGT119" s="2"/>
      <c r="LGU119" s="2"/>
      <c r="LGV119" s="2"/>
      <c r="LGW119" s="2"/>
      <c r="LGX119" s="2"/>
      <c r="LGY119" s="2"/>
      <c r="LGZ119" s="2"/>
      <c r="LHA119" s="2"/>
      <c r="LHB119" s="2"/>
      <c r="LHC119" s="2"/>
      <c r="LHD119" s="2"/>
      <c r="LHE119" s="2"/>
      <c r="LHF119" s="2"/>
      <c r="LHG119" s="2"/>
      <c r="LHH119" s="2"/>
      <c r="LHI119" s="2"/>
      <c r="LHJ119" s="2"/>
      <c r="LHK119" s="2"/>
      <c r="LHL119" s="2"/>
      <c r="LHM119" s="2"/>
      <c r="LHN119" s="2"/>
      <c r="LHO119" s="2"/>
      <c r="LHP119" s="2"/>
      <c r="LHQ119" s="2"/>
      <c r="LHR119" s="2"/>
      <c r="LHS119" s="2"/>
      <c r="LHT119" s="2"/>
      <c r="LHU119" s="2"/>
      <c r="LHV119" s="2"/>
      <c r="LHW119" s="2"/>
      <c r="LHX119" s="2"/>
      <c r="LHY119" s="2"/>
      <c r="LHZ119" s="2"/>
      <c r="LIA119" s="2"/>
      <c r="LIB119" s="2"/>
      <c r="LIC119" s="2"/>
      <c r="LID119" s="2"/>
      <c r="LIE119" s="2"/>
      <c r="LIF119" s="2"/>
      <c r="LIG119" s="2"/>
      <c r="LIH119" s="2"/>
      <c r="LII119" s="2"/>
      <c r="LIJ119" s="2"/>
      <c r="LIK119" s="2"/>
      <c r="LIL119" s="2"/>
      <c r="LIM119" s="2"/>
      <c r="LIN119" s="2"/>
      <c r="LIO119" s="2"/>
      <c r="LIP119" s="2"/>
      <c r="LIQ119" s="2"/>
      <c r="LIR119" s="2"/>
      <c r="LIS119" s="2"/>
      <c r="LIT119" s="2"/>
      <c r="LIU119" s="2"/>
      <c r="LIV119" s="2"/>
      <c r="LIW119" s="2"/>
      <c r="LIX119" s="2"/>
      <c r="LIY119" s="2"/>
      <c r="LIZ119" s="2"/>
      <c r="LJA119" s="2"/>
      <c r="LJB119" s="2"/>
      <c r="LJC119" s="2"/>
      <c r="LJD119" s="2"/>
      <c r="LJE119" s="2"/>
      <c r="LJF119" s="2"/>
      <c r="LJG119" s="2"/>
      <c r="LJH119" s="2"/>
      <c r="LJI119" s="2"/>
      <c r="LJJ119" s="2"/>
      <c r="LJK119" s="2"/>
      <c r="LJL119" s="2"/>
      <c r="LJM119" s="2"/>
      <c r="LJN119" s="2"/>
      <c r="LJO119" s="2"/>
      <c r="LJP119" s="2"/>
      <c r="LJQ119" s="2"/>
      <c r="LJR119" s="2"/>
      <c r="LJS119" s="2"/>
      <c r="LJT119" s="2"/>
      <c r="LJU119" s="2"/>
      <c r="LJV119" s="2"/>
      <c r="LJW119" s="2"/>
      <c r="LJX119" s="2"/>
      <c r="LJY119" s="2"/>
      <c r="LJZ119" s="2"/>
      <c r="LKA119" s="2"/>
      <c r="LKB119" s="2"/>
      <c r="LKC119" s="2"/>
      <c r="LKD119" s="2"/>
      <c r="LKE119" s="2"/>
      <c r="LKF119" s="2"/>
      <c r="LKG119" s="2"/>
      <c r="LKH119" s="2"/>
      <c r="LKI119" s="2"/>
      <c r="LKJ119" s="2"/>
      <c r="LKK119" s="2"/>
      <c r="LKL119" s="2"/>
      <c r="LKM119" s="2"/>
      <c r="LKN119" s="2"/>
      <c r="LKO119" s="2"/>
      <c r="LKP119" s="2"/>
      <c r="LKQ119" s="2"/>
      <c r="LKR119" s="2"/>
      <c r="LKS119" s="2"/>
      <c r="LKT119" s="2"/>
      <c r="LKU119" s="2"/>
      <c r="LKV119" s="2"/>
      <c r="LKW119" s="2"/>
      <c r="LKX119" s="2"/>
      <c r="LKY119" s="2"/>
      <c r="LKZ119" s="2"/>
      <c r="LLA119" s="2"/>
      <c r="LLB119" s="2"/>
      <c r="LLC119" s="2"/>
      <c r="LLD119" s="2"/>
      <c r="LLE119" s="2"/>
      <c r="LLF119" s="2"/>
      <c r="LLG119" s="2"/>
      <c r="LLH119" s="2"/>
      <c r="LLI119" s="2"/>
      <c r="LLJ119" s="2"/>
      <c r="LLK119" s="2"/>
      <c r="LLL119" s="2"/>
      <c r="LLM119" s="2"/>
      <c r="LLN119" s="2"/>
      <c r="LLO119" s="2"/>
      <c r="LLP119" s="2"/>
      <c r="LLQ119" s="2"/>
      <c r="LLR119" s="2"/>
      <c r="LLS119" s="2"/>
      <c r="LLT119" s="2"/>
      <c r="LLU119" s="2"/>
      <c r="LLV119" s="2"/>
      <c r="LLW119" s="2"/>
      <c r="LLX119" s="2"/>
      <c r="LLY119" s="2"/>
      <c r="LLZ119" s="2"/>
      <c r="LMA119" s="2"/>
      <c r="LMB119" s="2"/>
      <c r="LMC119" s="2"/>
      <c r="LMD119" s="2"/>
      <c r="LME119" s="2"/>
      <c r="LMF119" s="2"/>
      <c r="LMG119" s="2"/>
      <c r="LMH119" s="2"/>
      <c r="LMI119" s="2"/>
      <c r="LMJ119" s="2"/>
      <c r="LMK119" s="2"/>
      <c r="LML119" s="2"/>
      <c r="LMM119" s="2"/>
      <c r="LMN119" s="2"/>
      <c r="LMO119" s="2"/>
      <c r="LMP119" s="2"/>
      <c r="LMQ119" s="2"/>
      <c r="LMR119" s="2"/>
      <c r="LMS119" s="2"/>
      <c r="LMT119" s="2"/>
      <c r="LMU119" s="2"/>
      <c r="LMV119" s="2"/>
      <c r="LMW119" s="2"/>
      <c r="LMX119" s="2"/>
      <c r="LMY119" s="2"/>
      <c r="LMZ119" s="2"/>
      <c r="LNA119" s="2"/>
      <c r="LNB119" s="2"/>
      <c r="LNC119" s="2"/>
      <c r="LND119" s="2"/>
      <c r="LNE119" s="2"/>
      <c r="LNF119" s="2"/>
      <c r="LNG119" s="2"/>
      <c r="LNH119" s="2"/>
      <c r="LNI119" s="2"/>
      <c r="LNJ119" s="2"/>
      <c r="LNK119" s="2"/>
      <c r="LNL119" s="2"/>
      <c r="LNM119" s="2"/>
      <c r="LNN119" s="2"/>
      <c r="LNO119" s="2"/>
      <c r="LNP119" s="2"/>
      <c r="LNQ119" s="2"/>
      <c r="LNR119" s="2"/>
      <c r="LNS119" s="2"/>
      <c r="LNT119" s="2"/>
      <c r="LNU119" s="2"/>
      <c r="LNV119" s="2"/>
      <c r="LNW119" s="2"/>
      <c r="LNX119" s="2"/>
      <c r="LNY119" s="2"/>
      <c r="LNZ119" s="2"/>
      <c r="LOA119" s="2"/>
      <c r="LOB119" s="2"/>
      <c r="LOC119" s="2"/>
      <c r="LOD119" s="2"/>
      <c r="LOE119" s="2"/>
      <c r="LOF119" s="2"/>
      <c r="LOG119" s="2"/>
      <c r="LOH119" s="2"/>
      <c r="LOI119" s="2"/>
      <c r="LOJ119" s="2"/>
      <c r="LOK119" s="2"/>
      <c r="LOL119" s="2"/>
      <c r="LOM119" s="2"/>
      <c r="LON119" s="2"/>
      <c r="LOO119" s="2"/>
      <c r="LOP119" s="2"/>
      <c r="LOQ119" s="2"/>
      <c r="LOR119" s="2"/>
      <c r="LOS119" s="2"/>
      <c r="LOT119" s="2"/>
      <c r="LOU119" s="2"/>
      <c r="LOV119" s="2"/>
      <c r="LOW119" s="2"/>
      <c r="LOX119" s="2"/>
      <c r="LOY119" s="2"/>
      <c r="LOZ119" s="2"/>
      <c r="LPA119" s="2"/>
      <c r="LPB119" s="2"/>
      <c r="LPC119" s="2"/>
      <c r="LPD119" s="2"/>
      <c r="LPE119" s="2"/>
      <c r="LPF119" s="2"/>
      <c r="LPG119" s="2"/>
      <c r="LPH119" s="2"/>
      <c r="LPI119" s="2"/>
      <c r="LPJ119" s="2"/>
      <c r="LPK119" s="2"/>
      <c r="LPL119" s="2"/>
      <c r="LPM119" s="2"/>
      <c r="LPN119" s="2"/>
      <c r="LPO119" s="2"/>
      <c r="LPP119" s="2"/>
      <c r="LPQ119" s="2"/>
      <c r="LPR119" s="2"/>
      <c r="LPS119" s="2"/>
      <c r="LPT119" s="2"/>
      <c r="LPU119" s="2"/>
      <c r="LPV119" s="2"/>
      <c r="LPW119" s="2"/>
      <c r="LPX119" s="2"/>
      <c r="LPY119" s="2"/>
      <c r="LPZ119" s="2"/>
      <c r="LQA119" s="2"/>
      <c r="LQB119" s="2"/>
      <c r="LQC119" s="2"/>
      <c r="LQD119" s="2"/>
      <c r="LQE119" s="2"/>
      <c r="LQF119" s="2"/>
      <c r="LQG119" s="2"/>
      <c r="LQH119" s="2"/>
      <c r="LQI119" s="2"/>
      <c r="LQJ119" s="2"/>
      <c r="LQK119" s="2"/>
      <c r="LQL119" s="2"/>
      <c r="LQM119" s="2"/>
      <c r="LQN119" s="2"/>
      <c r="LQO119" s="2"/>
      <c r="LQP119" s="2"/>
      <c r="LQQ119" s="2"/>
      <c r="LQR119" s="2"/>
      <c r="LQS119" s="2"/>
      <c r="LQT119" s="2"/>
      <c r="LQU119" s="2"/>
      <c r="LQV119" s="2"/>
      <c r="LQW119" s="2"/>
      <c r="LQX119" s="2"/>
      <c r="LQY119" s="2"/>
      <c r="LQZ119" s="2"/>
      <c r="LRA119" s="2"/>
      <c r="LRB119" s="2"/>
      <c r="LRC119" s="2"/>
      <c r="LRD119" s="2"/>
      <c r="LRE119" s="2"/>
      <c r="LRF119" s="2"/>
      <c r="LRG119" s="2"/>
      <c r="LRH119" s="2"/>
      <c r="LRI119" s="2"/>
      <c r="LRJ119" s="2"/>
      <c r="LRK119" s="2"/>
      <c r="LRL119" s="2"/>
      <c r="LRM119" s="2"/>
      <c r="LRN119" s="2"/>
      <c r="LRO119" s="2"/>
      <c r="LRP119" s="2"/>
      <c r="LRQ119" s="2"/>
      <c r="LRR119" s="2"/>
      <c r="LRS119" s="2"/>
      <c r="LRT119" s="2"/>
      <c r="LRU119" s="2"/>
      <c r="LRV119" s="2"/>
      <c r="LRW119" s="2"/>
      <c r="LRX119" s="2"/>
      <c r="LRY119" s="2"/>
      <c r="LRZ119" s="2"/>
      <c r="LSA119" s="2"/>
      <c r="LSB119" s="2"/>
      <c r="LSC119" s="2"/>
      <c r="LSD119" s="2"/>
      <c r="LSE119" s="2"/>
      <c r="LSF119" s="2"/>
      <c r="LSG119" s="2"/>
      <c r="LSH119" s="2"/>
      <c r="LSI119" s="2"/>
      <c r="LSJ119" s="2"/>
      <c r="LSK119" s="2"/>
      <c r="LSL119" s="2"/>
      <c r="LSM119" s="2"/>
      <c r="LSN119" s="2"/>
      <c r="LSO119" s="2"/>
      <c r="LSP119" s="2"/>
      <c r="LSQ119" s="2"/>
      <c r="LSR119" s="2"/>
      <c r="LSS119" s="2"/>
      <c r="LST119" s="2"/>
      <c r="LSU119" s="2"/>
      <c r="LSV119" s="2"/>
      <c r="LSW119" s="2"/>
      <c r="LSX119" s="2"/>
      <c r="LSY119" s="2"/>
      <c r="LSZ119" s="2"/>
      <c r="LTA119" s="2"/>
      <c r="LTB119" s="2"/>
      <c r="LTC119" s="2"/>
      <c r="LTD119" s="2"/>
      <c r="LTE119" s="2"/>
      <c r="LTF119" s="2"/>
      <c r="LTG119" s="2"/>
      <c r="LTH119" s="2"/>
      <c r="LTI119" s="2"/>
      <c r="LTJ119" s="2"/>
      <c r="LTK119" s="2"/>
      <c r="LTL119" s="2"/>
      <c r="LTM119" s="2"/>
      <c r="LTN119" s="2"/>
      <c r="LTO119" s="2"/>
      <c r="LTP119" s="2"/>
      <c r="LTQ119" s="2"/>
      <c r="LTR119" s="2"/>
      <c r="LTS119" s="2"/>
      <c r="LTT119" s="2"/>
      <c r="LTU119" s="2"/>
      <c r="LTV119" s="2"/>
      <c r="LTW119" s="2"/>
      <c r="LTX119" s="2"/>
      <c r="LTY119" s="2"/>
      <c r="LTZ119" s="2"/>
      <c r="LUA119" s="2"/>
      <c r="LUB119" s="2"/>
      <c r="LUC119" s="2"/>
      <c r="LUD119" s="2"/>
      <c r="LUE119" s="2"/>
      <c r="LUF119" s="2"/>
      <c r="LUG119" s="2"/>
      <c r="LUH119" s="2"/>
      <c r="LUI119" s="2"/>
      <c r="LUJ119" s="2"/>
      <c r="LUK119" s="2"/>
      <c r="LUL119" s="2"/>
      <c r="LUM119" s="2"/>
      <c r="LUN119" s="2"/>
      <c r="LUO119" s="2"/>
      <c r="LUP119" s="2"/>
      <c r="LUQ119" s="2"/>
      <c r="LUR119" s="2"/>
      <c r="LUS119" s="2"/>
      <c r="LUT119" s="2"/>
      <c r="LUU119" s="2"/>
      <c r="LUV119" s="2"/>
      <c r="LUW119" s="2"/>
      <c r="LUX119" s="2"/>
      <c r="LUY119" s="2"/>
      <c r="LUZ119" s="2"/>
      <c r="LVA119" s="2"/>
      <c r="LVB119" s="2"/>
      <c r="LVC119" s="2"/>
      <c r="LVD119" s="2"/>
      <c r="LVE119" s="2"/>
      <c r="LVF119" s="2"/>
      <c r="LVG119" s="2"/>
      <c r="LVH119" s="2"/>
      <c r="LVI119" s="2"/>
      <c r="LVJ119" s="2"/>
      <c r="LVK119" s="2"/>
      <c r="LVL119" s="2"/>
      <c r="LVM119" s="2"/>
      <c r="LVN119" s="2"/>
      <c r="LVO119" s="2"/>
      <c r="LVP119" s="2"/>
      <c r="LVQ119" s="2"/>
      <c r="LVR119" s="2"/>
      <c r="LVS119" s="2"/>
      <c r="LVT119" s="2"/>
      <c r="LVU119" s="2"/>
      <c r="LVV119" s="2"/>
      <c r="LVW119" s="2"/>
      <c r="LVX119" s="2"/>
      <c r="LVY119" s="2"/>
      <c r="LVZ119" s="2"/>
      <c r="LWA119" s="2"/>
      <c r="LWB119" s="2"/>
      <c r="LWC119" s="2"/>
      <c r="LWD119" s="2"/>
      <c r="LWE119" s="2"/>
      <c r="LWF119" s="2"/>
      <c r="LWG119" s="2"/>
      <c r="LWH119" s="2"/>
      <c r="LWI119" s="2"/>
      <c r="LWJ119" s="2"/>
      <c r="LWK119" s="2"/>
      <c r="LWL119" s="2"/>
      <c r="LWM119" s="2"/>
      <c r="LWN119" s="2"/>
      <c r="LWO119" s="2"/>
      <c r="LWP119" s="2"/>
      <c r="LWQ119" s="2"/>
      <c r="LWR119" s="2"/>
      <c r="LWS119" s="2"/>
      <c r="LWT119" s="2"/>
      <c r="LWU119" s="2"/>
      <c r="LWV119" s="2"/>
      <c r="LWW119" s="2"/>
      <c r="LWX119" s="2"/>
      <c r="LWY119" s="2"/>
      <c r="LWZ119" s="2"/>
      <c r="LXA119" s="2"/>
      <c r="LXB119" s="2"/>
      <c r="LXC119" s="2"/>
      <c r="LXD119" s="2"/>
      <c r="LXE119" s="2"/>
      <c r="LXF119" s="2"/>
      <c r="LXG119" s="2"/>
      <c r="LXH119" s="2"/>
      <c r="LXI119" s="2"/>
      <c r="LXJ119" s="2"/>
      <c r="LXK119" s="2"/>
      <c r="LXL119" s="2"/>
      <c r="LXM119" s="2"/>
      <c r="LXN119" s="2"/>
      <c r="LXO119" s="2"/>
      <c r="LXP119" s="2"/>
      <c r="LXQ119" s="2"/>
      <c r="LXR119" s="2"/>
      <c r="LXS119" s="2"/>
      <c r="LXT119" s="2"/>
      <c r="LXU119" s="2"/>
      <c r="LXV119" s="2"/>
      <c r="LXW119" s="2"/>
      <c r="LXX119" s="2"/>
      <c r="LXY119" s="2"/>
      <c r="LXZ119" s="2"/>
      <c r="LYA119" s="2"/>
      <c r="LYB119" s="2"/>
      <c r="LYC119" s="2"/>
      <c r="LYD119" s="2"/>
      <c r="LYE119" s="2"/>
      <c r="LYF119" s="2"/>
      <c r="LYG119" s="2"/>
      <c r="LYH119" s="2"/>
      <c r="LYI119" s="2"/>
      <c r="LYJ119" s="2"/>
      <c r="LYK119" s="2"/>
      <c r="LYL119" s="2"/>
      <c r="LYM119" s="2"/>
      <c r="LYN119" s="2"/>
      <c r="LYO119" s="2"/>
      <c r="LYP119" s="2"/>
      <c r="LYQ119" s="2"/>
      <c r="LYR119" s="2"/>
      <c r="LYS119" s="2"/>
      <c r="LYT119" s="2"/>
      <c r="LYU119" s="2"/>
      <c r="LYV119" s="2"/>
      <c r="LYW119" s="2"/>
      <c r="LYX119" s="2"/>
      <c r="LYY119" s="2"/>
      <c r="LYZ119" s="2"/>
      <c r="LZA119" s="2"/>
      <c r="LZB119" s="2"/>
      <c r="LZC119" s="2"/>
      <c r="LZD119" s="2"/>
      <c r="LZE119" s="2"/>
      <c r="LZF119" s="2"/>
      <c r="LZG119" s="2"/>
      <c r="LZH119" s="2"/>
      <c r="LZI119" s="2"/>
      <c r="LZJ119" s="2"/>
      <c r="LZK119" s="2"/>
      <c r="LZL119" s="2"/>
      <c r="LZM119" s="2"/>
      <c r="LZN119" s="2"/>
      <c r="LZO119" s="2"/>
      <c r="LZP119" s="2"/>
      <c r="LZQ119" s="2"/>
      <c r="LZR119" s="2"/>
      <c r="LZS119" s="2"/>
      <c r="LZT119" s="2"/>
      <c r="LZU119" s="2"/>
      <c r="LZV119" s="2"/>
      <c r="LZW119" s="2"/>
      <c r="LZX119" s="2"/>
      <c r="LZY119" s="2"/>
      <c r="LZZ119" s="2"/>
      <c r="MAA119" s="2"/>
      <c r="MAB119" s="2"/>
      <c r="MAC119" s="2"/>
      <c r="MAD119" s="2"/>
      <c r="MAE119" s="2"/>
      <c r="MAF119" s="2"/>
      <c r="MAG119" s="2"/>
      <c r="MAH119" s="2"/>
      <c r="MAI119" s="2"/>
      <c r="MAJ119" s="2"/>
      <c r="MAK119" s="2"/>
      <c r="MAL119" s="2"/>
      <c r="MAM119" s="2"/>
      <c r="MAN119" s="2"/>
      <c r="MAO119" s="2"/>
      <c r="MAP119" s="2"/>
      <c r="MAQ119" s="2"/>
      <c r="MAR119" s="2"/>
      <c r="MAS119" s="2"/>
      <c r="MAT119" s="2"/>
      <c r="MAU119" s="2"/>
      <c r="MAV119" s="2"/>
      <c r="MAW119" s="2"/>
      <c r="MAX119" s="2"/>
      <c r="MAY119" s="2"/>
      <c r="MAZ119" s="2"/>
      <c r="MBA119" s="2"/>
      <c r="MBB119" s="2"/>
      <c r="MBC119" s="2"/>
      <c r="MBD119" s="2"/>
      <c r="MBE119" s="2"/>
      <c r="MBF119" s="2"/>
      <c r="MBG119" s="2"/>
      <c r="MBH119" s="2"/>
      <c r="MBI119" s="2"/>
      <c r="MBJ119" s="2"/>
      <c r="MBK119" s="2"/>
      <c r="MBL119" s="2"/>
      <c r="MBM119" s="2"/>
      <c r="MBN119" s="2"/>
      <c r="MBO119" s="2"/>
      <c r="MBP119" s="2"/>
      <c r="MBQ119" s="2"/>
      <c r="MBR119" s="2"/>
      <c r="MBS119" s="2"/>
      <c r="MBT119" s="2"/>
      <c r="MBU119" s="2"/>
      <c r="MBV119" s="2"/>
      <c r="MBW119" s="2"/>
      <c r="MBX119" s="2"/>
      <c r="MBY119" s="2"/>
      <c r="MBZ119" s="2"/>
      <c r="MCA119" s="2"/>
      <c r="MCB119" s="2"/>
      <c r="MCC119" s="2"/>
      <c r="MCD119" s="2"/>
      <c r="MCE119" s="2"/>
      <c r="MCF119" s="2"/>
      <c r="MCG119" s="2"/>
      <c r="MCH119" s="2"/>
      <c r="MCI119" s="2"/>
      <c r="MCJ119" s="2"/>
      <c r="MCK119" s="2"/>
      <c r="MCL119" s="2"/>
      <c r="MCM119" s="2"/>
      <c r="MCN119" s="2"/>
      <c r="MCO119" s="2"/>
      <c r="MCP119" s="2"/>
      <c r="MCQ119" s="2"/>
      <c r="MCR119" s="2"/>
      <c r="MCS119" s="2"/>
      <c r="MCT119" s="2"/>
      <c r="MCU119" s="2"/>
      <c r="MCV119" s="2"/>
      <c r="MCW119" s="2"/>
      <c r="MCX119" s="2"/>
      <c r="MCY119" s="2"/>
      <c r="MCZ119" s="2"/>
      <c r="MDA119" s="2"/>
      <c r="MDB119" s="2"/>
      <c r="MDC119" s="2"/>
      <c r="MDD119" s="2"/>
      <c r="MDE119" s="2"/>
      <c r="MDF119" s="2"/>
      <c r="MDG119" s="2"/>
      <c r="MDH119" s="2"/>
      <c r="MDI119" s="2"/>
      <c r="MDJ119" s="2"/>
      <c r="MDK119" s="2"/>
      <c r="MDL119" s="2"/>
      <c r="MDM119" s="2"/>
      <c r="MDN119" s="2"/>
      <c r="MDO119" s="2"/>
      <c r="MDP119" s="2"/>
      <c r="MDQ119" s="2"/>
      <c r="MDR119" s="2"/>
      <c r="MDS119" s="2"/>
      <c r="MDT119" s="2"/>
      <c r="MDU119" s="2"/>
      <c r="MDV119" s="2"/>
      <c r="MDW119" s="2"/>
      <c r="MDX119" s="2"/>
      <c r="MDY119" s="2"/>
      <c r="MDZ119" s="2"/>
      <c r="MEA119" s="2"/>
      <c r="MEB119" s="2"/>
      <c r="MEC119" s="2"/>
      <c r="MED119" s="2"/>
      <c r="MEE119" s="2"/>
      <c r="MEF119" s="2"/>
      <c r="MEG119" s="2"/>
      <c r="MEH119" s="2"/>
      <c r="MEI119" s="2"/>
      <c r="MEJ119" s="2"/>
      <c r="MEK119" s="2"/>
      <c r="MEL119" s="2"/>
      <c r="MEM119" s="2"/>
      <c r="MEN119" s="2"/>
      <c r="MEO119" s="2"/>
      <c r="MEP119" s="2"/>
      <c r="MEQ119" s="2"/>
      <c r="MER119" s="2"/>
      <c r="MES119" s="2"/>
      <c r="MET119" s="2"/>
      <c r="MEU119" s="2"/>
      <c r="MEV119" s="2"/>
      <c r="MEW119" s="2"/>
      <c r="MEX119" s="2"/>
      <c r="MEY119" s="2"/>
      <c r="MEZ119" s="2"/>
      <c r="MFA119" s="2"/>
      <c r="MFB119" s="2"/>
      <c r="MFC119" s="2"/>
      <c r="MFD119" s="2"/>
      <c r="MFE119" s="2"/>
      <c r="MFF119" s="2"/>
      <c r="MFG119" s="2"/>
      <c r="MFH119" s="2"/>
      <c r="MFI119" s="2"/>
      <c r="MFJ119" s="2"/>
      <c r="MFK119" s="2"/>
      <c r="MFL119" s="2"/>
      <c r="MFM119" s="2"/>
      <c r="MFN119" s="2"/>
      <c r="MFO119" s="2"/>
      <c r="MFP119" s="2"/>
      <c r="MFQ119" s="2"/>
      <c r="MFR119" s="2"/>
      <c r="MFS119" s="2"/>
      <c r="MFT119" s="2"/>
      <c r="MFU119" s="2"/>
      <c r="MFV119" s="2"/>
      <c r="MFW119" s="2"/>
      <c r="MFX119" s="2"/>
      <c r="MFY119" s="2"/>
      <c r="MFZ119" s="2"/>
      <c r="MGA119" s="2"/>
      <c r="MGB119" s="2"/>
      <c r="MGC119" s="2"/>
      <c r="MGD119" s="2"/>
      <c r="MGE119" s="2"/>
      <c r="MGF119" s="2"/>
      <c r="MGG119" s="2"/>
      <c r="MGH119" s="2"/>
      <c r="MGI119" s="2"/>
      <c r="MGJ119" s="2"/>
      <c r="MGK119" s="2"/>
      <c r="MGL119" s="2"/>
      <c r="MGM119" s="2"/>
      <c r="MGN119" s="2"/>
      <c r="MGO119" s="2"/>
      <c r="MGP119" s="2"/>
      <c r="MGQ119" s="2"/>
      <c r="MGR119" s="2"/>
      <c r="MGS119" s="2"/>
      <c r="MGT119" s="2"/>
      <c r="MGU119" s="2"/>
      <c r="MGV119" s="2"/>
      <c r="MGW119" s="2"/>
      <c r="MGX119" s="2"/>
      <c r="MGY119" s="2"/>
      <c r="MGZ119" s="2"/>
      <c r="MHA119" s="2"/>
      <c r="MHB119" s="2"/>
      <c r="MHC119" s="2"/>
      <c r="MHD119" s="2"/>
      <c r="MHE119" s="2"/>
      <c r="MHF119" s="2"/>
      <c r="MHG119" s="2"/>
      <c r="MHH119" s="2"/>
      <c r="MHI119" s="2"/>
      <c r="MHJ119" s="2"/>
      <c r="MHK119" s="2"/>
      <c r="MHL119" s="2"/>
      <c r="MHM119" s="2"/>
      <c r="MHN119" s="2"/>
      <c r="MHO119" s="2"/>
      <c r="MHP119" s="2"/>
      <c r="MHQ119" s="2"/>
      <c r="MHR119" s="2"/>
      <c r="MHS119" s="2"/>
      <c r="MHT119" s="2"/>
      <c r="MHU119" s="2"/>
      <c r="MHV119" s="2"/>
      <c r="MHW119" s="2"/>
      <c r="MHX119" s="2"/>
      <c r="MHY119" s="2"/>
      <c r="MHZ119" s="2"/>
      <c r="MIA119" s="2"/>
      <c r="MIB119" s="2"/>
      <c r="MIC119" s="2"/>
      <c r="MID119" s="2"/>
      <c r="MIE119" s="2"/>
      <c r="MIF119" s="2"/>
      <c r="MIG119" s="2"/>
      <c r="MIH119" s="2"/>
      <c r="MII119" s="2"/>
      <c r="MIJ119" s="2"/>
      <c r="MIK119" s="2"/>
      <c r="MIL119" s="2"/>
      <c r="MIM119" s="2"/>
      <c r="MIN119" s="2"/>
      <c r="MIO119" s="2"/>
      <c r="MIP119" s="2"/>
      <c r="MIQ119" s="2"/>
      <c r="MIR119" s="2"/>
      <c r="MIS119" s="2"/>
      <c r="MIT119" s="2"/>
      <c r="MIU119" s="2"/>
      <c r="MIV119" s="2"/>
      <c r="MIW119" s="2"/>
      <c r="MIX119" s="2"/>
      <c r="MIY119" s="2"/>
      <c r="MIZ119" s="2"/>
      <c r="MJA119" s="2"/>
      <c r="MJB119" s="2"/>
      <c r="MJC119" s="2"/>
      <c r="MJD119" s="2"/>
      <c r="MJE119" s="2"/>
      <c r="MJF119" s="2"/>
      <c r="MJG119" s="2"/>
      <c r="MJH119" s="2"/>
      <c r="MJI119" s="2"/>
      <c r="MJJ119" s="2"/>
      <c r="MJK119" s="2"/>
      <c r="MJL119" s="2"/>
      <c r="MJM119" s="2"/>
      <c r="MJN119" s="2"/>
      <c r="MJO119" s="2"/>
      <c r="MJP119" s="2"/>
      <c r="MJQ119" s="2"/>
      <c r="MJR119" s="2"/>
      <c r="MJS119" s="2"/>
      <c r="MJT119" s="2"/>
      <c r="MJU119" s="2"/>
      <c r="MJV119" s="2"/>
      <c r="MJW119" s="2"/>
      <c r="MJX119" s="2"/>
      <c r="MJY119" s="2"/>
      <c r="MJZ119" s="2"/>
      <c r="MKA119" s="2"/>
      <c r="MKB119" s="2"/>
      <c r="MKC119" s="2"/>
      <c r="MKD119" s="2"/>
      <c r="MKE119" s="2"/>
      <c r="MKF119" s="2"/>
      <c r="MKG119" s="2"/>
      <c r="MKH119" s="2"/>
      <c r="MKI119" s="2"/>
      <c r="MKJ119" s="2"/>
      <c r="MKK119" s="2"/>
      <c r="MKL119" s="2"/>
      <c r="MKM119" s="2"/>
      <c r="MKN119" s="2"/>
      <c r="MKO119" s="2"/>
      <c r="MKP119" s="2"/>
      <c r="MKQ119" s="2"/>
      <c r="MKR119" s="2"/>
      <c r="MKS119" s="2"/>
      <c r="MKT119" s="2"/>
      <c r="MKU119" s="2"/>
      <c r="MKV119" s="2"/>
      <c r="MKW119" s="2"/>
      <c r="MKX119" s="2"/>
      <c r="MKY119" s="2"/>
      <c r="MKZ119" s="2"/>
      <c r="MLA119" s="2"/>
      <c r="MLB119" s="2"/>
      <c r="MLC119" s="2"/>
      <c r="MLD119" s="2"/>
      <c r="MLE119" s="2"/>
      <c r="MLF119" s="2"/>
      <c r="MLG119" s="2"/>
      <c r="MLH119" s="2"/>
      <c r="MLI119" s="2"/>
      <c r="MLJ119" s="2"/>
      <c r="MLK119" s="2"/>
      <c r="MLL119" s="2"/>
      <c r="MLM119" s="2"/>
      <c r="MLN119" s="2"/>
      <c r="MLO119" s="2"/>
      <c r="MLP119" s="2"/>
      <c r="MLQ119" s="2"/>
      <c r="MLR119" s="2"/>
      <c r="MLS119" s="2"/>
      <c r="MLT119" s="2"/>
      <c r="MLU119" s="2"/>
      <c r="MLV119" s="2"/>
      <c r="MLW119" s="2"/>
      <c r="MLX119" s="2"/>
      <c r="MLY119" s="2"/>
      <c r="MLZ119" s="2"/>
      <c r="MMA119" s="2"/>
      <c r="MMB119" s="2"/>
      <c r="MMC119" s="2"/>
      <c r="MMD119" s="2"/>
      <c r="MME119" s="2"/>
      <c r="MMF119" s="2"/>
      <c r="MMG119" s="2"/>
      <c r="MMH119" s="2"/>
      <c r="MMI119" s="2"/>
      <c r="MMJ119" s="2"/>
      <c r="MMK119" s="2"/>
      <c r="MML119" s="2"/>
      <c r="MMM119" s="2"/>
      <c r="MMN119" s="2"/>
      <c r="MMO119" s="2"/>
      <c r="MMP119" s="2"/>
      <c r="MMQ119" s="2"/>
      <c r="MMR119" s="2"/>
      <c r="MMS119" s="2"/>
      <c r="MMT119" s="2"/>
      <c r="MMU119" s="2"/>
      <c r="MMV119" s="2"/>
      <c r="MMW119" s="2"/>
      <c r="MMX119" s="2"/>
      <c r="MMY119" s="2"/>
      <c r="MMZ119" s="2"/>
      <c r="MNA119" s="2"/>
      <c r="MNB119" s="2"/>
      <c r="MNC119" s="2"/>
      <c r="MND119" s="2"/>
      <c r="MNE119" s="2"/>
      <c r="MNF119" s="2"/>
      <c r="MNG119" s="2"/>
      <c r="MNH119" s="2"/>
      <c r="MNI119" s="2"/>
      <c r="MNJ119" s="2"/>
      <c r="MNK119" s="2"/>
      <c r="MNL119" s="2"/>
      <c r="MNM119" s="2"/>
      <c r="MNN119" s="2"/>
      <c r="MNO119" s="2"/>
      <c r="MNP119" s="2"/>
      <c r="MNQ119" s="2"/>
      <c r="MNR119" s="2"/>
      <c r="MNS119" s="2"/>
      <c r="MNT119" s="2"/>
      <c r="MNU119" s="2"/>
      <c r="MNV119" s="2"/>
      <c r="MNW119" s="2"/>
      <c r="MNX119" s="2"/>
      <c r="MNY119" s="2"/>
      <c r="MNZ119" s="2"/>
      <c r="MOA119" s="2"/>
      <c r="MOB119" s="2"/>
      <c r="MOC119" s="2"/>
      <c r="MOD119" s="2"/>
      <c r="MOE119" s="2"/>
      <c r="MOF119" s="2"/>
      <c r="MOG119" s="2"/>
      <c r="MOH119" s="2"/>
      <c r="MOI119" s="2"/>
      <c r="MOJ119" s="2"/>
      <c r="MOK119" s="2"/>
      <c r="MOL119" s="2"/>
      <c r="MOM119" s="2"/>
      <c r="MON119" s="2"/>
      <c r="MOO119" s="2"/>
      <c r="MOP119" s="2"/>
      <c r="MOQ119" s="2"/>
      <c r="MOR119" s="2"/>
      <c r="MOS119" s="2"/>
      <c r="MOT119" s="2"/>
      <c r="MOU119" s="2"/>
      <c r="MOV119" s="2"/>
      <c r="MOW119" s="2"/>
      <c r="MOX119" s="2"/>
      <c r="MOY119" s="2"/>
      <c r="MOZ119" s="2"/>
      <c r="MPA119" s="2"/>
      <c r="MPB119" s="2"/>
      <c r="MPC119" s="2"/>
      <c r="MPD119" s="2"/>
      <c r="MPE119" s="2"/>
      <c r="MPF119" s="2"/>
      <c r="MPG119" s="2"/>
      <c r="MPH119" s="2"/>
      <c r="MPI119" s="2"/>
      <c r="MPJ119" s="2"/>
      <c r="MPK119" s="2"/>
      <c r="MPL119" s="2"/>
      <c r="MPM119" s="2"/>
      <c r="MPN119" s="2"/>
      <c r="MPO119" s="2"/>
      <c r="MPP119" s="2"/>
      <c r="MPQ119" s="2"/>
      <c r="MPR119" s="2"/>
      <c r="MPS119" s="2"/>
      <c r="MPT119" s="2"/>
      <c r="MPU119" s="2"/>
      <c r="MPV119" s="2"/>
      <c r="MPW119" s="2"/>
      <c r="MPX119" s="2"/>
      <c r="MPY119" s="2"/>
      <c r="MPZ119" s="2"/>
      <c r="MQA119" s="2"/>
      <c r="MQB119" s="2"/>
      <c r="MQC119" s="2"/>
      <c r="MQD119" s="2"/>
      <c r="MQE119" s="2"/>
      <c r="MQF119" s="2"/>
      <c r="MQG119" s="2"/>
      <c r="MQH119" s="2"/>
      <c r="MQI119" s="2"/>
      <c r="MQJ119" s="2"/>
      <c r="MQK119" s="2"/>
      <c r="MQL119" s="2"/>
      <c r="MQM119" s="2"/>
      <c r="MQN119" s="2"/>
      <c r="MQO119" s="2"/>
      <c r="MQP119" s="2"/>
      <c r="MQQ119" s="2"/>
      <c r="MQR119" s="2"/>
      <c r="MQS119" s="2"/>
      <c r="MQT119" s="2"/>
      <c r="MQU119" s="2"/>
      <c r="MQV119" s="2"/>
      <c r="MQW119" s="2"/>
      <c r="MQX119" s="2"/>
      <c r="MQY119" s="2"/>
      <c r="MQZ119" s="2"/>
      <c r="MRA119" s="2"/>
      <c r="MRB119" s="2"/>
      <c r="MRC119" s="2"/>
      <c r="MRD119" s="2"/>
      <c r="MRE119" s="2"/>
      <c r="MRF119" s="2"/>
      <c r="MRG119" s="2"/>
      <c r="MRH119" s="2"/>
      <c r="MRI119" s="2"/>
      <c r="MRJ119" s="2"/>
      <c r="MRK119" s="2"/>
      <c r="MRL119" s="2"/>
      <c r="MRM119" s="2"/>
      <c r="MRN119" s="2"/>
      <c r="MRO119" s="2"/>
      <c r="MRP119" s="2"/>
      <c r="MRQ119" s="2"/>
      <c r="MRR119" s="2"/>
      <c r="MRS119" s="2"/>
      <c r="MRT119" s="2"/>
      <c r="MRU119" s="2"/>
      <c r="MRV119" s="2"/>
      <c r="MRW119" s="2"/>
      <c r="MRX119" s="2"/>
      <c r="MRY119" s="2"/>
      <c r="MRZ119" s="2"/>
      <c r="MSA119" s="2"/>
      <c r="MSB119" s="2"/>
      <c r="MSC119" s="2"/>
      <c r="MSD119" s="2"/>
      <c r="MSE119" s="2"/>
      <c r="MSF119" s="2"/>
      <c r="MSG119" s="2"/>
      <c r="MSH119" s="2"/>
      <c r="MSI119" s="2"/>
      <c r="MSJ119" s="2"/>
      <c r="MSK119" s="2"/>
      <c r="MSL119" s="2"/>
      <c r="MSM119" s="2"/>
      <c r="MSN119" s="2"/>
      <c r="MSO119" s="2"/>
      <c r="MSP119" s="2"/>
      <c r="MSQ119" s="2"/>
      <c r="MSR119" s="2"/>
      <c r="MSS119" s="2"/>
      <c r="MST119" s="2"/>
      <c r="MSU119" s="2"/>
      <c r="MSV119" s="2"/>
      <c r="MSW119" s="2"/>
      <c r="MSX119" s="2"/>
      <c r="MSY119" s="2"/>
      <c r="MSZ119" s="2"/>
      <c r="MTA119" s="2"/>
      <c r="MTB119" s="2"/>
      <c r="MTC119" s="2"/>
      <c r="MTD119" s="2"/>
      <c r="MTE119" s="2"/>
      <c r="MTF119" s="2"/>
      <c r="MTG119" s="2"/>
      <c r="MTH119" s="2"/>
      <c r="MTI119" s="2"/>
      <c r="MTJ119" s="2"/>
      <c r="MTK119" s="2"/>
      <c r="MTL119" s="2"/>
      <c r="MTM119" s="2"/>
      <c r="MTN119" s="2"/>
      <c r="MTO119" s="2"/>
      <c r="MTP119" s="2"/>
      <c r="MTQ119" s="2"/>
      <c r="MTR119" s="2"/>
      <c r="MTS119" s="2"/>
      <c r="MTT119" s="2"/>
      <c r="MTU119" s="2"/>
      <c r="MTV119" s="2"/>
      <c r="MTW119" s="2"/>
      <c r="MTX119" s="2"/>
      <c r="MTY119" s="2"/>
      <c r="MTZ119" s="2"/>
      <c r="MUA119" s="2"/>
      <c r="MUB119" s="2"/>
      <c r="MUC119" s="2"/>
      <c r="MUD119" s="2"/>
      <c r="MUE119" s="2"/>
      <c r="MUF119" s="2"/>
      <c r="MUG119" s="2"/>
      <c r="MUH119" s="2"/>
      <c r="MUI119" s="2"/>
      <c r="MUJ119" s="2"/>
      <c r="MUK119" s="2"/>
      <c r="MUL119" s="2"/>
      <c r="MUM119" s="2"/>
      <c r="MUN119" s="2"/>
      <c r="MUO119" s="2"/>
      <c r="MUP119" s="2"/>
      <c r="MUQ119" s="2"/>
      <c r="MUR119" s="2"/>
      <c r="MUS119" s="2"/>
      <c r="MUT119" s="2"/>
      <c r="MUU119" s="2"/>
      <c r="MUV119" s="2"/>
      <c r="MUW119" s="2"/>
      <c r="MUX119" s="2"/>
      <c r="MUY119" s="2"/>
      <c r="MUZ119" s="2"/>
      <c r="MVA119" s="2"/>
      <c r="MVB119" s="2"/>
      <c r="MVC119" s="2"/>
      <c r="MVD119" s="2"/>
      <c r="MVE119" s="2"/>
      <c r="MVF119" s="2"/>
      <c r="MVG119" s="2"/>
      <c r="MVH119" s="2"/>
      <c r="MVI119" s="2"/>
      <c r="MVJ119" s="2"/>
      <c r="MVK119" s="2"/>
      <c r="MVL119" s="2"/>
      <c r="MVM119" s="2"/>
      <c r="MVN119" s="2"/>
      <c r="MVO119" s="2"/>
      <c r="MVP119" s="2"/>
      <c r="MVQ119" s="2"/>
      <c r="MVR119" s="2"/>
      <c r="MVS119" s="2"/>
      <c r="MVT119" s="2"/>
      <c r="MVU119" s="2"/>
      <c r="MVV119" s="2"/>
      <c r="MVW119" s="2"/>
      <c r="MVX119" s="2"/>
      <c r="MVY119" s="2"/>
      <c r="MVZ119" s="2"/>
      <c r="MWA119" s="2"/>
      <c r="MWB119" s="2"/>
      <c r="MWC119" s="2"/>
      <c r="MWD119" s="2"/>
      <c r="MWE119" s="2"/>
      <c r="MWF119" s="2"/>
      <c r="MWG119" s="2"/>
      <c r="MWH119" s="2"/>
      <c r="MWI119" s="2"/>
      <c r="MWJ119" s="2"/>
      <c r="MWK119" s="2"/>
      <c r="MWL119" s="2"/>
      <c r="MWM119" s="2"/>
      <c r="MWN119" s="2"/>
      <c r="MWO119" s="2"/>
      <c r="MWP119" s="2"/>
      <c r="MWQ119" s="2"/>
      <c r="MWR119" s="2"/>
      <c r="MWS119" s="2"/>
      <c r="MWT119" s="2"/>
      <c r="MWU119" s="2"/>
      <c r="MWV119" s="2"/>
      <c r="MWW119" s="2"/>
      <c r="MWX119" s="2"/>
      <c r="MWY119" s="2"/>
      <c r="MWZ119" s="2"/>
      <c r="MXA119" s="2"/>
      <c r="MXB119" s="2"/>
      <c r="MXC119" s="2"/>
      <c r="MXD119" s="2"/>
      <c r="MXE119" s="2"/>
      <c r="MXF119" s="2"/>
      <c r="MXG119" s="2"/>
      <c r="MXH119" s="2"/>
      <c r="MXI119" s="2"/>
      <c r="MXJ119" s="2"/>
      <c r="MXK119" s="2"/>
      <c r="MXL119" s="2"/>
      <c r="MXM119" s="2"/>
      <c r="MXN119" s="2"/>
      <c r="MXO119" s="2"/>
      <c r="MXP119" s="2"/>
      <c r="MXQ119" s="2"/>
      <c r="MXR119" s="2"/>
      <c r="MXS119" s="2"/>
      <c r="MXT119" s="2"/>
      <c r="MXU119" s="2"/>
      <c r="MXV119" s="2"/>
      <c r="MXW119" s="2"/>
      <c r="MXX119" s="2"/>
      <c r="MXY119" s="2"/>
      <c r="MXZ119" s="2"/>
      <c r="MYA119" s="2"/>
      <c r="MYB119" s="2"/>
      <c r="MYC119" s="2"/>
      <c r="MYD119" s="2"/>
      <c r="MYE119" s="2"/>
      <c r="MYF119" s="2"/>
      <c r="MYG119" s="2"/>
      <c r="MYH119" s="2"/>
      <c r="MYI119" s="2"/>
      <c r="MYJ119" s="2"/>
      <c r="MYK119" s="2"/>
      <c r="MYL119" s="2"/>
      <c r="MYM119" s="2"/>
      <c r="MYN119" s="2"/>
      <c r="MYO119" s="2"/>
      <c r="MYP119" s="2"/>
      <c r="MYQ119" s="2"/>
      <c r="MYR119" s="2"/>
      <c r="MYS119" s="2"/>
      <c r="MYT119" s="2"/>
      <c r="MYU119" s="2"/>
      <c r="MYV119" s="2"/>
      <c r="MYW119" s="2"/>
      <c r="MYX119" s="2"/>
      <c r="MYY119" s="2"/>
      <c r="MYZ119" s="2"/>
      <c r="MZA119" s="2"/>
      <c r="MZB119" s="2"/>
      <c r="MZC119" s="2"/>
      <c r="MZD119" s="2"/>
      <c r="MZE119" s="2"/>
      <c r="MZF119" s="2"/>
      <c r="MZG119" s="2"/>
      <c r="MZH119" s="2"/>
      <c r="MZI119" s="2"/>
      <c r="MZJ119" s="2"/>
      <c r="MZK119" s="2"/>
      <c r="MZL119" s="2"/>
      <c r="MZM119" s="2"/>
      <c r="MZN119" s="2"/>
      <c r="MZO119" s="2"/>
      <c r="MZP119" s="2"/>
      <c r="MZQ119" s="2"/>
      <c r="MZR119" s="2"/>
      <c r="MZS119" s="2"/>
      <c r="MZT119" s="2"/>
      <c r="MZU119" s="2"/>
      <c r="MZV119" s="2"/>
      <c r="MZW119" s="2"/>
      <c r="MZX119" s="2"/>
      <c r="MZY119" s="2"/>
      <c r="MZZ119" s="2"/>
      <c r="NAA119" s="2"/>
      <c r="NAB119" s="2"/>
      <c r="NAC119" s="2"/>
      <c r="NAD119" s="2"/>
      <c r="NAE119" s="2"/>
      <c r="NAF119" s="2"/>
      <c r="NAG119" s="2"/>
      <c r="NAH119" s="2"/>
      <c r="NAI119" s="2"/>
      <c r="NAJ119" s="2"/>
      <c r="NAK119" s="2"/>
      <c r="NAL119" s="2"/>
      <c r="NAM119" s="2"/>
      <c r="NAN119" s="2"/>
      <c r="NAO119" s="2"/>
      <c r="NAP119" s="2"/>
      <c r="NAQ119" s="2"/>
      <c r="NAR119" s="2"/>
      <c r="NAS119" s="2"/>
      <c r="NAT119" s="2"/>
      <c r="NAU119" s="2"/>
      <c r="NAV119" s="2"/>
      <c r="NAW119" s="2"/>
      <c r="NAX119" s="2"/>
      <c r="NAY119" s="2"/>
      <c r="NAZ119" s="2"/>
      <c r="NBA119" s="2"/>
      <c r="NBB119" s="2"/>
      <c r="NBC119" s="2"/>
      <c r="NBD119" s="2"/>
      <c r="NBE119" s="2"/>
      <c r="NBF119" s="2"/>
      <c r="NBG119" s="2"/>
      <c r="NBH119" s="2"/>
      <c r="NBI119" s="2"/>
      <c r="NBJ119" s="2"/>
      <c r="NBK119" s="2"/>
      <c r="NBL119" s="2"/>
      <c r="NBM119" s="2"/>
      <c r="NBN119" s="2"/>
      <c r="NBO119" s="2"/>
      <c r="NBP119" s="2"/>
      <c r="NBQ119" s="2"/>
      <c r="NBR119" s="2"/>
      <c r="NBS119" s="2"/>
      <c r="NBT119" s="2"/>
      <c r="NBU119" s="2"/>
      <c r="NBV119" s="2"/>
      <c r="NBW119" s="2"/>
      <c r="NBX119" s="2"/>
      <c r="NBY119" s="2"/>
      <c r="NBZ119" s="2"/>
      <c r="NCA119" s="2"/>
      <c r="NCB119" s="2"/>
      <c r="NCC119" s="2"/>
      <c r="NCD119" s="2"/>
      <c r="NCE119" s="2"/>
      <c r="NCF119" s="2"/>
      <c r="NCG119" s="2"/>
      <c r="NCH119" s="2"/>
      <c r="NCI119" s="2"/>
      <c r="NCJ119" s="2"/>
      <c r="NCK119" s="2"/>
      <c r="NCL119" s="2"/>
      <c r="NCM119" s="2"/>
      <c r="NCN119" s="2"/>
      <c r="NCO119" s="2"/>
      <c r="NCP119" s="2"/>
      <c r="NCQ119" s="2"/>
      <c r="NCR119" s="2"/>
      <c r="NCS119" s="2"/>
      <c r="NCT119" s="2"/>
      <c r="NCU119" s="2"/>
      <c r="NCV119" s="2"/>
      <c r="NCW119" s="2"/>
      <c r="NCX119" s="2"/>
      <c r="NCY119" s="2"/>
      <c r="NCZ119" s="2"/>
      <c r="NDA119" s="2"/>
      <c r="NDB119" s="2"/>
      <c r="NDC119" s="2"/>
      <c r="NDD119" s="2"/>
      <c r="NDE119" s="2"/>
      <c r="NDF119" s="2"/>
      <c r="NDG119" s="2"/>
      <c r="NDH119" s="2"/>
      <c r="NDI119" s="2"/>
      <c r="NDJ119" s="2"/>
      <c r="NDK119" s="2"/>
      <c r="NDL119" s="2"/>
      <c r="NDM119" s="2"/>
      <c r="NDN119" s="2"/>
      <c r="NDO119" s="2"/>
      <c r="NDP119" s="2"/>
      <c r="NDQ119" s="2"/>
      <c r="NDR119" s="2"/>
      <c r="NDS119" s="2"/>
      <c r="NDT119" s="2"/>
      <c r="NDU119" s="2"/>
      <c r="NDV119" s="2"/>
      <c r="NDW119" s="2"/>
      <c r="NDX119" s="2"/>
      <c r="NDY119" s="2"/>
      <c r="NDZ119" s="2"/>
      <c r="NEA119" s="2"/>
      <c r="NEB119" s="2"/>
      <c r="NEC119" s="2"/>
      <c r="NED119" s="2"/>
      <c r="NEE119" s="2"/>
      <c r="NEF119" s="2"/>
      <c r="NEG119" s="2"/>
      <c r="NEH119" s="2"/>
      <c r="NEI119" s="2"/>
      <c r="NEJ119" s="2"/>
      <c r="NEK119" s="2"/>
      <c r="NEL119" s="2"/>
      <c r="NEM119" s="2"/>
      <c r="NEN119" s="2"/>
      <c r="NEO119" s="2"/>
      <c r="NEP119" s="2"/>
      <c r="NEQ119" s="2"/>
      <c r="NER119" s="2"/>
      <c r="NES119" s="2"/>
      <c r="NET119" s="2"/>
      <c r="NEU119" s="2"/>
      <c r="NEV119" s="2"/>
      <c r="NEW119" s="2"/>
      <c r="NEX119" s="2"/>
      <c r="NEY119" s="2"/>
      <c r="NEZ119" s="2"/>
      <c r="NFA119" s="2"/>
      <c r="NFB119" s="2"/>
      <c r="NFC119" s="2"/>
      <c r="NFD119" s="2"/>
      <c r="NFE119" s="2"/>
      <c r="NFF119" s="2"/>
      <c r="NFG119" s="2"/>
      <c r="NFH119" s="2"/>
      <c r="NFI119" s="2"/>
      <c r="NFJ119" s="2"/>
      <c r="NFK119" s="2"/>
      <c r="NFL119" s="2"/>
      <c r="NFM119" s="2"/>
      <c r="NFN119" s="2"/>
      <c r="NFO119" s="2"/>
      <c r="NFP119" s="2"/>
      <c r="NFQ119" s="2"/>
      <c r="NFR119" s="2"/>
      <c r="NFS119" s="2"/>
      <c r="NFT119" s="2"/>
      <c r="NFU119" s="2"/>
      <c r="NFV119" s="2"/>
      <c r="NFW119" s="2"/>
      <c r="NFX119" s="2"/>
      <c r="NFY119" s="2"/>
      <c r="NFZ119" s="2"/>
      <c r="NGA119" s="2"/>
      <c r="NGB119" s="2"/>
      <c r="NGC119" s="2"/>
      <c r="NGD119" s="2"/>
      <c r="NGE119" s="2"/>
      <c r="NGF119" s="2"/>
      <c r="NGG119" s="2"/>
      <c r="NGH119" s="2"/>
      <c r="NGI119" s="2"/>
      <c r="NGJ119" s="2"/>
      <c r="NGK119" s="2"/>
      <c r="NGL119" s="2"/>
      <c r="NGM119" s="2"/>
      <c r="NGN119" s="2"/>
      <c r="NGO119" s="2"/>
      <c r="NGP119" s="2"/>
      <c r="NGQ119" s="2"/>
      <c r="NGR119" s="2"/>
      <c r="NGS119" s="2"/>
      <c r="NGT119" s="2"/>
      <c r="NGU119" s="2"/>
      <c r="NGV119" s="2"/>
      <c r="NGW119" s="2"/>
      <c r="NGX119" s="2"/>
      <c r="NGY119" s="2"/>
      <c r="NGZ119" s="2"/>
      <c r="NHA119" s="2"/>
      <c r="NHB119" s="2"/>
      <c r="NHC119" s="2"/>
      <c r="NHD119" s="2"/>
      <c r="NHE119" s="2"/>
      <c r="NHF119" s="2"/>
      <c r="NHG119" s="2"/>
      <c r="NHH119" s="2"/>
      <c r="NHI119" s="2"/>
      <c r="NHJ119" s="2"/>
      <c r="NHK119" s="2"/>
      <c r="NHL119" s="2"/>
      <c r="NHM119" s="2"/>
      <c r="NHN119" s="2"/>
      <c r="NHO119" s="2"/>
      <c r="NHP119" s="2"/>
      <c r="NHQ119" s="2"/>
      <c r="NHR119" s="2"/>
      <c r="NHS119" s="2"/>
      <c r="NHT119" s="2"/>
      <c r="NHU119" s="2"/>
      <c r="NHV119" s="2"/>
      <c r="NHW119" s="2"/>
      <c r="NHX119" s="2"/>
      <c r="NHY119" s="2"/>
      <c r="NHZ119" s="2"/>
      <c r="NIA119" s="2"/>
      <c r="NIB119" s="2"/>
      <c r="NIC119" s="2"/>
      <c r="NID119" s="2"/>
      <c r="NIE119" s="2"/>
      <c r="NIF119" s="2"/>
      <c r="NIG119" s="2"/>
      <c r="NIH119" s="2"/>
      <c r="NII119" s="2"/>
      <c r="NIJ119" s="2"/>
      <c r="NIK119" s="2"/>
      <c r="NIL119" s="2"/>
      <c r="NIM119" s="2"/>
      <c r="NIN119" s="2"/>
      <c r="NIO119" s="2"/>
      <c r="NIP119" s="2"/>
      <c r="NIQ119" s="2"/>
      <c r="NIR119" s="2"/>
      <c r="NIS119" s="2"/>
      <c r="NIT119" s="2"/>
      <c r="NIU119" s="2"/>
      <c r="NIV119" s="2"/>
      <c r="NIW119" s="2"/>
      <c r="NIX119" s="2"/>
      <c r="NIY119" s="2"/>
      <c r="NIZ119" s="2"/>
      <c r="NJA119" s="2"/>
      <c r="NJB119" s="2"/>
      <c r="NJC119" s="2"/>
      <c r="NJD119" s="2"/>
      <c r="NJE119" s="2"/>
      <c r="NJF119" s="2"/>
      <c r="NJG119" s="2"/>
      <c r="NJH119" s="2"/>
      <c r="NJI119" s="2"/>
      <c r="NJJ119" s="2"/>
      <c r="NJK119" s="2"/>
      <c r="NJL119" s="2"/>
      <c r="NJM119" s="2"/>
      <c r="NJN119" s="2"/>
      <c r="NJO119" s="2"/>
      <c r="NJP119" s="2"/>
      <c r="NJQ119" s="2"/>
      <c r="NJR119" s="2"/>
      <c r="NJS119" s="2"/>
      <c r="NJT119" s="2"/>
      <c r="NJU119" s="2"/>
      <c r="NJV119" s="2"/>
      <c r="NJW119" s="2"/>
      <c r="NJX119" s="2"/>
      <c r="NJY119" s="2"/>
      <c r="NJZ119" s="2"/>
      <c r="NKA119" s="2"/>
      <c r="NKB119" s="2"/>
      <c r="NKC119" s="2"/>
      <c r="NKD119" s="2"/>
      <c r="NKE119" s="2"/>
      <c r="NKF119" s="2"/>
      <c r="NKG119" s="2"/>
      <c r="NKH119" s="2"/>
      <c r="NKI119" s="2"/>
      <c r="NKJ119" s="2"/>
      <c r="NKK119" s="2"/>
      <c r="NKL119" s="2"/>
      <c r="NKM119" s="2"/>
      <c r="NKN119" s="2"/>
      <c r="NKO119" s="2"/>
      <c r="NKP119" s="2"/>
      <c r="NKQ119" s="2"/>
      <c r="NKR119" s="2"/>
      <c r="NKS119" s="2"/>
      <c r="NKT119" s="2"/>
      <c r="NKU119" s="2"/>
      <c r="NKV119" s="2"/>
      <c r="NKW119" s="2"/>
      <c r="NKX119" s="2"/>
      <c r="NKY119" s="2"/>
      <c r="NKZ119" s="2"/>
      <c r="NLA119" s="2"/>
      <c r="NLB119" s="2"/>
      <c r="NLC119" s="2"/>
      <c r="NLD119" s="2"/>
      <c r="NLE119" s="2"/>
      <c r="NLF119" s="2"/>
      <c r="NLG119" s="2"/>
      <c r="NLH119" s="2"/>
      <c r="NLI119" s="2"/>
      <c r="NLJ119" s="2"/>
      <c r="NLK119" s="2"/>
      <c r="NLL119" s="2"/>
      <c r="NLM119" s="2"/>
      <c r="NLN119" s="2"/>
      <c r="NLO119" s="2"/>
      <c r="NLP119" s="2"/>
      <c r="NLQ119" s="2"/>
      <c r="NLR119" s="2"/>
      <c r="NLS119" s="2"/>
      <c r="NLT119" s="2"/>
      <c r="NLU119" s="2"/>
      <c r="NLV119" s="2"/>
      <c r="NLW119" s="2"/>
      <c r="NLX119" s="2"/>
      <c r="NLY119" s="2"/>
      <c r="NLZ119" s="2"/>
      <c r="NMA119" s="2"/>
      <c r="NMB119" s="2"/>
      <c r="NMC119" s="2"/>
      <c r="NMD119" s="2"/>
      <c r="NME119" s="2"/>
      <c r="NMF119" s="2"/>
      <c r="NMG119" s="2"/>
      <c r="NMH119" s="2"/>
      <c r="NMI119" s="2"/>
      <c r="NMJ119" s="2"/>
      <c r="NMK119" s="2"/>
      <c r="NML119" s="2"/>
      <c r="NMM119" s="2"/>
      <c r="NMN119" s="2"/>
      <c r="NMO119" s="2"/>
      <c r="NMP119" s="2"/>
      <c r="NMQ119" s="2"/>
      <c r="NMR119" s="2"/>
      <c r="NMS119" s="2"/>
      <c r="NMT119" s="2"/>
      <c r="NMU119" s="2"/>
      <c r="NMV119" s="2"/>
      <c r="NMW119" s="2"/>
      <c r="NMX119" s="2"/>
      <c r="NMY119" s="2"/>
      <c r="NMZ119" s="2"/>
      <c r="NNA119" s="2"/>
      <c r="NNB119" s="2"/>
      <c r="NNC119" s="2"/>
      <c r="NND119" s="2"/>
      <c r="NNE119" s="2"/>
      <c r="NNF119" s="2"/>
      <c r="NNG119" s="2"/>
      <c r="NNH119" s="2"/>
      <c r="NNI119" s="2"/>
      <c r="NNJ119" s="2"/>
      <c r="NNK119" s="2"/>
      <c r="NNL119" s="2"/>
      <c r="NNM119" s="2"/>
      <c r="NNN119" s="2"/>
      <c r="NNO119" s="2"/>
      <c r="NNP119" s="2"/>
      <c r="NNQ119" s="2"/>
      <c r="NNR119" s="2"/>
      <c r="NNS119" s="2"/>
      <c r="NNT119" s="2"/>
      <c r="NNU119" s="2"/>
      <c r="NNV119" s="2"/>
      <c r="NNW119" s="2"/>
      <c r="NNX119" s="2"/>
      <c r="NNY119" s="2"/>
      <c r="NNZ119" s="2"/>
      <c r="NOA119" s="2"/>
      <c r="NOB119" s="2"/>
      <c r="NOC119" s="2"/>
      <c r="NOD119" s="2"/>
      <c r="NOE119" s="2"/>
      <c r="NOF119" s="2"/>
      <c r="NOG119" s="2"/>
      <c r="NOH119" s="2"/>
      <c r="NOI119" s="2"/>
      <c r="NOJ119" s="2"/>
      <c r="NOK119" s="2"/>
      <c r="NOL119" s="2"/>
      <c r="NOM119" s="2"/>
      <c r="NON119" s="2"/>
      <c r="NOO119" s="2"/>
      <c r="NOP119" s="2"/>
      <c r="NOQ119" s="2"/>
      <c r="NOR119" s="2"/>
      <c r="NOS119" s="2"/>
      <c r="NOT119" s="2"/>
      <c r="NOU119" s="2"/>
      <c r="NOV119" s="2"/>
      <c r="NOW119" s="2"/>
      <c r="NOX119" s="2"/>
      <c r="NOY119" s="2"/>
      <c r="NOZ119" s="2"/>
      <c r="NPA119" s="2"/>
      <c r="NPB119" s="2"/>
      <c r="NPC119" s="2"/>
      <c r="NPD119" s="2"/>
      <c r="NPE119" s="2"/>
      <c r="NPF119" s="2"/>
      <c r="NPG119" s="2"/>
      <c r="NPH119" s="2"/>
      <c r="NPI119" s="2"/>
      <c r="NPJ119" s="2"/>
      <c r="NPK119" s="2"/>
      <c r="NPL119" s="2"/>
      <c r="NPM119" s="2"/>
      <c r="NPN119" s="2"/>
      <c r="NPO119" s="2"/>
      <c r="NPP119" s="2"/>
      <c r="NPQ119" s="2"/>
      <c r="NPR119" s="2"/>
      <c r="NPS119" s="2"/>
      <c r="NPT119" s="2"/>
      <c r="NPU119" s="2"/>
      <c r="NPV119" s="2"/>
      <c r="NPW119" s="2"/>
      <c r="NPX119" s="2"/>
      <c r="NPY119" s="2"/>
      <c r="NPZ119" s="2"/>
      <c r="NQA119" s="2"/>
      <c r="NQB119" s="2"/>
      <c r="NQC119" s="2"/>
      <c r="NQD119" s="2"/>
      <c r="NQE119" s="2"/>
      <c r="NQF119" s="2"/>
      <c r="NQG119" s="2"/>
      <c r="NQH119" s="2"/>
      <c r="NQI119" s="2"/>
      <c r="NQJ119" s="2"/>
      <c r="NQK119" s="2"/>
      <c r="NQL119" s="2"/>
      <c r="NQM119" s="2"/>
      <c r="NQN119" s="2"/>
      <c r="NQO119" s="2"/>
      <c r="NQP119" s="2"/>
      <c r="NQQ119" s="2"/>
      <c r="NQR119" s="2"/>
      <c r="NQS119" s="2"/>
      <c r="NQT119" s="2"/>
      <c r="NQU119" s="2"/>
      <c r="NQV119" s="2"/>
      <c r="NQW119" s="2"/>
      <c r="NQX119" s="2"/>
      <c r="NQY119" s="2"/>
      <c r="NQZ119" s="2"/>
      <c r="NRA119" s="2"/>
      <c r="NRB119" s="2"/>
      <c r="NRC119" s="2"/>
      <c r="NRD119" s="2"/>
      <c r="NRE119" s="2"/>
      <c r="NRF119" s="2"/>
      <c r="NRG119" s="2"/>
      <c r="NRH119" s="2"/>
      <c r="NRI119" s="2"/>
      <c r="NRJ119" s="2"/>
      <c r="NRK119" s="2"/>
      <c r="NRL119" s="2"/>
      <c r="NRM119" s="2"/>
      <c r="NRN119" s="2"/>
      <c r="NRO119" s="2"/>
      <c r="NRP119" s="2"/>
      <c r="NRQ119" s="2"/>
      <c r="NRR119" s="2"/>
      <c r="NRS119" s="2"/>
      <c r="NRT119" s="2"/>
      <c r="NRU119" s="2"/>
      <c r="NRV119" s="2"/>
      <c r="NRW119" s="2"/>
      <c r="NRX119" s="2"/>
      <c r="NRY119" s="2"/>
      <c r="NRZ119" s="2"/>
      <c r="NSA119" s="2"/>
      <c r="NSB119" s="2"/>
      <c r="NSC119" s="2"/>
      <c r="NSD119" s="2"/>
      <c r="NSE119" s="2"/>
      <c r="NSF119" s="2"/>
      <c r="NSG119" s="2"/>
      <c r="NSH119" s="2"/>
      <c r="NSI119" s="2"/>
      <c r="NSJ119" s="2"/>
      <c r="NSK119" s="2"/>
      <c r="NSL119" s="2"/>
      <c r="NSM119" s="2"/>
      <c r="NSN119" s="2"/>
      <c r="NSO119" s="2"/>
      <c r="NSP119" s="2"/>
      <c r="NSQ119" s="2"/>
      <c r="NSR119" s="2"/>
      <c r="NSS119" s="2"/>
      <c r="NST119" s="2"/>
      <c r="NSU119" s="2"/>
      <c r="NSV119" s="2"/>
      <c r="NSW119" s="2"/>
      <c r="NSX119" s="2"/>
      <c r="NSY119" s="2"/>
      <c r="NSZ119" s="2"/>
      <c r="NTA119" s="2"/>
      <c r="NTB119" s="2"/>
      <c r="NTC119" s="2"/>
      <c r="NTD119" s="2"/>
      <c r="NTE119" s="2"/>
      <c r="NTF119" s="2"/>
      <c r="NTG119" s="2"/>
      <c r="NTH119" s="2"/>
      <c r="NTI119" s="2"/>
      <c r="NTJ119" s="2"/>
      <c r="NTK119" s="2"/>
      <c r="NTL119" s="2"/>
      <c r="NTM119" s="2"/>
      <c r="NTN119" s="2"/>
      <c r="NTO119" s="2"/>
      <c r="NTP119" s="2"/>
      <c r="NTQ119" s="2"/>
      <c r="NTR119" s="2"/>
      <c r="NTS119" s="2"/>
      <c r="NTT119" s="2"/>
      <c r="NTU119" s="2"/>
      <c r="NTV119" s="2"/>
      <c r="NTW119" s="2"/>
      <c r="NTX119" s="2"/>
      <c r="NTY119" s="2"/>
      <c r="NTZ119" s="2"/>
      <c r="NUA119" s="2"/>
      <c r="NUB119" s="2"/>
      <c r="NUC119" s="2"/>
      <c r="NUD119" s="2"/>
      <c r="NUE119" s="2"/>
      <c r="NUF119" s="2"/>
      <c r="NUG119" s="2"/>
      <c r="NUH119" s="2"/>
      <c r="NUI119" s="2"/>
      <c r="NUJ119" s="2"/>
      <c r="NUK119" s="2"/>
      <c r="NUL119" s="2"/>
      <c r="NUM119" s="2"/>
      <c r="NUN119" s="2"/>
      <c r="NUO119" s="2"/>
      <c r="NUP119" s="2"/>
      <c r="NUQ119" s="2"/>
      <c r="NUR119" s="2"/>
      <c r="NUS119" s="2"/>
      <c r="NUT119" s="2"/>
      <c r="NUU119" s="2"/>
      <c r="NUV119" s="2"/>
      <c r="NUW119" s="2"/>
      <c r="NUX119" s="2"/>
      <c r="NUY119" s="2"/>
      <c r="NUZ119" s="2"/>
      <c r="NVA119" s="2"/>
      <c r="NVB119" s="2"/>
      <c r="NVC119" s="2"/>
      <c r="NVD119" s="2"/>
      <c r="NVE119" s="2"/>
      <c r="NVF119" s="2"/>
      <c r="NVG119" s="2"/>
      <c r="NVH119" s="2"/>
      <c r="NVI119" s="2"/>
      <c r="NVJ119" s="2"/>
      <c r="NVK119" s="2"/>
      <c r="NVL119" s="2"/>
      <c r="NVM119" s="2"/>
      <c r="NVN119" s="2"/>
      <c r="NVO119" s="2"/>
      <c r="NVP119" s="2"/>
      <c r="NVQ119" s="2"/>
      <c r="NVR119" s="2"/>
      <c r="NVS119" s="2"/>
      <c r="NVT119" s="2"/>
      <c r="NVU119" s="2"/>
      <c r="NVV119" s="2"/>
      <c r="NVW119" s="2"/>
      <c r="NVX119" s="2"/>
      <c r="NVY119" s="2"/>
      <c r="NVZ119" s="2"/>
      <c r="NWA119" s="2"/>
      <c r="NWB119" s="2"/>
      <c r="NWC119" s="2"/>
      <c r="NWD119" s="2"/>
      <c r="NWE119" s="2"/>
      <c r="NWF119" s="2"/>
      <c r="NWG119" s="2"/>
      <c r="NWH119" s="2"/>
      <c r="NWI119" s="2"/>
      <c r="NWJ119" s="2"/>
      <c r="NWK119" s="2"/>
      <c r="NWL119" s="2"/>
      <c r="NWM119" s="2"/>
      <c r="NWN119" s="2"/>
      <c r="NWO119" s="2"/>
      <c r="NWP119" s="2"/>
      <c r="NWQ119" s="2"/>
      <c r="NWR119" s="2"/>
      <c r="NWS119" s="2"/>
      <c r="NWT119" s="2"/>
      <c r="NWU119" s="2"/>
      <c r="NWV119" s="2"/>
      <c r="NWW119" s="2"/>
      <c r="NWX119" s="2"/>
      <c r="NWY119" s="2"/>
      <c r="NWZ119" s="2"/>
      <c r="NXA119" s="2"/>
      <c r="NXB119" s="2"/>
      <c r="NXC119" s="2"/>
      <c r="NXD119" s="2"/>
      <c r="NXE119" s="2"/>
      <c r="NXF119" s="2"/>
      <c r="NXG119" s="2"/>
      <c r="NXH119" s="2"/>
      <c r="NXI119" s="2"/>
      <c r="NXJ119" s="2"/>
      <c r="NXK119" s="2"/>
      <c r="NXL119" s="2"/>
      <c r="NXM119" s="2"/>
      <c r="NXN119" s="2"/>
      <c r="NXO119" s="2"/>
      <c r="NXP119" s="2"/>
      <c r="NXQ119" s="2"/>
      <c r="NXR119" s="2"/>
      <c r="NXS119" s="2"/>
      <c r="NXT119" s="2"/>
      <c r="NXU119" s="2"/>
      <c r="NXV119" s="2"/>
      <c r="NXW119" s="2"/>
      <c r="NXX119" s="2"/>
      <c r="NXY119" s="2"/>
      <c r="NXZ119" s="2"/>
      <c r="NYA119" s="2"/>
      <c r="NYB119" s="2"/>
      <c r="NYC119" s="2"/>
      <c r="NYD119" s="2"/>
      <c r="NYE119" s="2"/>
      <c r="NYF119" s="2"/>
      <c r="NYG119" s="2"/>
      <c r="NYH119" s="2"/>
      <c r="NYI119" s="2"/>
      <c r="NYJ119" s="2"/>
      <c r="NYK119" s="2"/>
      <c r="NYL119" s="2"/>
      <c r="NYM119" s="2"/>
      <c r="NYN119" s="2"/>
      <c r="NYO119" s="2"/>
      <c r="NYP119" s="2"/>
      <c r="NYQ119" s="2"/>
      <c r="NYR119" s="2"/>
      <c r="NYS119" s="2"/>
      <c r="NYT119" s="2"/>
      <c r="NYU119" s="2"/>
      <c r="NYV119" s="2"/>
      <c r="NYW119" s="2"/>
      <c r="NYX119" s="2"/>
      <c r="NYY119" s="2"/>
      <c r="NYZ119" s="2"/>
      <c r="NZA119" s="2"/>
      <c r="NZB119" s="2"/>
      <c r="NZC119" s="2"/>
      <c r="NZD119" s="2"/>
      <c r="NZE119" s="2"/>
      <c r="NZF119" s="2"/>
      <c r="NZG119" s="2"/>
      <c r="NZH119" s="2"/>
      <c r="NZI119" s="2"/>
      <c r="NZJ119" s="2"/>
      <c r="NZK119" s="2"/>
      <c r="NZL119" s="2"/>
      <c r="NZM119" s="2"/>
      <c r="NZN119" s="2"/>
      <c r="NZO119" s="2"/>
      <c r="NZP119" s="2"/>
      <c r="NZQ119" s="2"/>
      <c r="NZR119" s="2"/>
      <c r="NZS119" s="2"/>
      <c r="NZT119" s="2"/>
      <c r="NZU119" s="2"/>
      <c r="NZV119" s="2"/>
      <c r="NZW119" s="2"/>
      <c r="NZX119" s="2"/>
      <c r="NZY119" s="2"/>
      <c r="NZZ119" s="2"/>
      <c r="OAA119" s="2"/>
      <c r="OAB119" s="2"/>
      <c r="OAC119" s="2"/>
      <c r="OAD119" s="2"/>
      <c r="OAE119" s="2"/>
      <c r="OAF119" s="2"/>
      <c r="OAG119" s="2"/>
      <c r="OAH119" s="2"/>
      <c r="OAI119" s="2"/>
      <c r="OAJ119" s="2"/>
      <c r="OAK119" s="2"/>
      <c r="OAL119" s="2"/>
      <c r="OAM119" s="2"/>
      <c r="OAN119" s="2"/>
      <c r="OAO119" s="2"/>
      <c r="OAP119" s="2"/>
      <c r="OAQ119" s="2"/>
      <c r="OAR119" s="2"/>
      <c r="OAS119" s="2"/>
      <c r="OAT119" s="2"/>
      <c r="OAU119" s="2"/>
      <c r="OAV119" s="2"/>
      <c r="OAW119" s="2"/>
      <c r="OAX119" s="2"/>
      <c r="OAY119" s="2"/>
      <c r="OAZ119" s="2"/>
      <c r="OBA119" s="2"/>
      <c r="OBB119" s="2"/>
      <c r="OBC119" s="2"/>
      <c r="OBD119" s="2"/>
      <c r="OBE119" s="2"/>
      <c r="OBF119" s="2"/>
      <c r="OBG119" s="2"/>
      <c r="OBH119" s="2"/>
      <c r="OBI119" s="2"/>
      <c r="OBJ119" s="2"/>
      <c r="OBK119" s="2"/>
      <c r="OBL119" s="2"/>
      <c r="OBM119" s="2"/>
      <c r="OBN119" s="2"/>
      <c r="OBO119" s="2"/>
      <c r="OBP119" s="2"/>
      <c r="OBQ119" s="2"/>
      <c r="OBR119" s="2"/>
      <c r="OBS119" s="2"/>
      <c r="OBT119" s="2"/>
      <c r="OBU119" s="2"/>
      <c r="OBV119" s="2"/>
      <c r="OBW119" s="2"/>
      <c r="OBX119" s="2"/>
      <c r="OBY119" s="2"/>
      <c r="OBZ119" s="2"/>
      <c r="OCA119" s="2"/>
      <c r="OCB119" s="2"/>
      <c r="OCC119" s="2"/>
      <c r="OCD119" s="2"/>
      <c r="OCE119" s="2"/>
      <c r="OCF119" s="2"/>
      <c r="OCG119" s="2"/>
      <c r="OCH119" s="2"/>
      <c r="OCI119" s="2"/>
      <c r="OCJ119" s="2"/>
      <c r="OCK119" s="2"/>
      <c r="OCL119" s="2"/>
      <c r="OCM119" s="2"/>
      <c r="OCN119" s="2"/>
      <c r="OCO119" s="2"/>
      <c r="OCP119" s="2"/>
      <c r="OCQ119" s="2"/>
      <c r="OCR119" s="2"/>
      <c r="OCS119" s="2"/>
      <c r="OCT119" s="2"/>
      <c r="OCU119" s="2"/>
      <c r="OCV119" s="2"/>
      <c r="OCW119" s="2"/>
      <c r="OCX119" s="2"/>
      <c r="OCY119" s="2"/>
      <c r="OCZ119" s="2"/>
      <c r="ODA119" s="2"/>
      <c r="ODB119" s="2"/>
      <c r="ODC119" s="2"/>
      <c r="ODD119" s="2"/>
      <c r="ODE119" s="2"/>
      <c r="ODF119" s="2"/>
      <c r="ODG119" s="2"/>
      <c r="ODH119" s="2"/>
      <c r="ODI119" s="2"/>
      <c r="ODJ119" s="2"/>
      <c r="ODK119" s="2"/>
      <c r="ODL119" s="2"/>
      <c r="ODM119" s="2"/>
      <c r="ODN119" s="2"/>
      <c r="ODO119" s="2"/>
      <c r="ODP119" s="2"/>
      <c r="ODQ119" s="2"/>
      <c r="ODR119" s="2"/>
      <c r="ODS119" s="2"/>
      <c r="ODT119" s="2"/>
      <c r="ODU119" s="2"/>
      <c r="ODV119" s="2"/>
      <c r="ODW119" s="2"/>
      <c r="ODX119" s="2"/>
      <c r="ODY119" s="2"/>
      <c r="ODZ119" s="2"/>
      <c r="OEA119" s="2"/>
      <c r="OEB119" s="2"/>
      <c r="OEC119" s="2"/>
      <c r="OED119" s="2"/>
      <c r="OEE119" s="2"/>
      <c r="OEF119" s="2"/>
      <c r="OEG119" s="2"/>
      <c r="OEH119" s="2"/>
      <c r="OEI119" s="2"/>
      <c r="OEJ119" s="2"/>
      <c r="OEK119" s="2"/>
      <c r="OEL119" s="2"/>
      <c r="OEM119" s="2"/>
      <c r="OEN119" s="2"/>
      <c r="OEO119" s="2"/>
      <c r="OEP119" s="2"/>
      <c r="OEQ119" s="2"/>
      <c r="OER119" s="2"/>
      <c r="OES119" s="2"/>
      <c r="OET119" s="2"/>
      <c r="OEU119" s="2"/>
      <c r="OEV119" s="2"/>
      <c r="OEW119" s="2"/>
      <c r="OEX119" s="2"/>
      <c r="OEY119" s="2"/>
      <c r="OEZ119" s="2"/>
      <c r="OFA119" s="2"/>
      <c r="OFB119" s="2"/>
      <c r="OFC119" s="2"/>
      <c r="OFD119" s="2"/>
      <c r="OFE119" s="2"/>
      <c r="OFF119" s="2"/>
      <c r="OFG119" s="2"/>
      <c r="OFH119" s="2"/>
      <c r="OFI119" s="2"/>
      <c r="OFJ119" s="2"/>
      <c r="OFK119" s="2"/>
      <c r="OFL119" s="2"/>
      <c r="OFM119" s="2"/>
      <c r="OFN119" s="2"/>
      <c r="OFO119" s="2"/>
      <c r="OFP119" s="2"/>
      <c r="OFQ119" s="2"/>
      <c r="OFR119" s="2"/>
      <c r="OFS119" s="2"/>
      <c r="OFT119" s="2"/>
      <c r="OFU119" s="2"/>
      <c r="OFV119" s="2"/>
      <c r="OFW119" s="2"/>
      <c r="OFX119" s="2"/>
      <c r="OFY119" s="2"/>
      <c r="OFZ119" s="2"/>
      <c r="OGA119" s="2"/>
      <c r="OGB119" s="2"/>
      <c r="OGC119" s="2"/>
      <c r="OGD119" s="2"/>
      <c r="OGE119" s="2"/>
      <c r="OGF119" s="2"/>
      <c r="OGG119" s="2"/>
      <c r="OGH119" s="2"/>
      <c r="OGI119" s="2"/>
      <c r="OGJ119" s="2"/>
      <c r="OGK119" s="2"/>
      <c r="OGL119" s="2"/>
      <c r="OGM119" s="2"/>
      <c r="OGN119" s="2"/>
      <c r="OGO119" s="2"/>
      <c r="OGP119" s="2"/>
      <c r="OGQ119" s="2"/>
      <c r="OGR119" s="2"/>
      <c r="OGS119" s="2"/>
      <c r="OGT119" s="2"/>
      <c r="OGU119" s="2"/>
      <c r="OGV119" s="2"/>
      <c r="OGW119" s="2"/>
      <c r="OGX119" s="2"/>
      <c r="OGY119" s="2"/>
      <c r="OGZ119" s="2"/>
      <c r="OHA119" s="2"/>
      <c r="OHB119" s="2"/>
      <c r="OHC119" s="2"/>
      <c r="OHD119" s="2"/>
      <c r="OHE119" s="2"/>
      <c r="OHF119" s="2"/>
      <c r="OHG119" s="2"/>
      <c r="OHH119" s="2"/>
      <c r="OHI119" s="2"/>
      <c r="OHJ119" s="2"/>
      <c r="OHK119" s="2"/>
      <c r="OHL119" s="2"/>
      <c r="OHM119" s="2"/>
      <c r="OHN119" s="2"/>
      <c r="OHO119" s="2"/>
      <c r="OHP119" s="2"/>
      <c r="OHQ119" s="2"/>
      <c r="OHR119" s="2"/>
      <c r="OHS119" s="2"/>
      <c r="OHT119" s="2"/>
      <c r="OHU119" s="2"/>
      <c r="OHV119" s="2"/>
      <c r="OHW119" s="2"/>
      <c r="OHX119" s="2"/>
      <c r="OHY119" s="2"/>
      <c r="OHZ119" s="2"/>
      <c r="OIA119" s="2"/>
      <c r="OIB119" s="2"/>
      <c r="OIC119" s="2"/>
      <c r="OID119" s="2"/>
      <c r="OIE119" s="2"/>
      <c r="OIF119" s="2"/>
      <c r="OIG119" s="2"/>
      <c r="OIH119" s="2"/>
      <c r="OII119" s="2"/>
      <c r="OIJ119" s="2"/>
      <c r="OIK119" s="2"/>
      <c r="OIL119" s="2"/>
      <c r="OIM119" s="2"/>
      <c r="OIN119" s="2"/>
      <c r="OIO119" s="2"/>
      <c r="OIP119" s="2"/>
      <c r="OIQ119" s="2"/>
      <c r="OIR119" s="2"/>
      <c r="OIS119" s="2"/>
      <c r="OIT119" s="2"/>
      <c r="OIU119" s="2"/>
      <c r="OIV119" s="2"/>
      <c r="OIW119" s="2"/>
      <c r="OIX119" s="2"/>
      <c r="OIY119" s="2"/>
      <c r="OIZ119" s="2"/>
      <c r="OJA119" s="2"/>
      <c r="OJB119" s="2"/>
      <c r="OJC119" s="2"/>
      <c r="OJD119" s="2"/>
      <c r="OJE119" s="2"/>
      <c r="OJF119" s="2"/>
      <c r="OJG119" s="2"/>
      <c r="OJH119" s="2"/>
      <c r="OJI119" s="2"/>
      <c r="OJJ119" s="2"/>
      <c r="OJK119" s="2"/>
      <c r="OJL119" s="2"/>
      <c r="OJM119" s="2"/>
      <c r="OJN119" s="2"/>
      <c r="OJO119" s="2"/>
      <c r="OJP119" s="2"/>
      <c r="OJQ119" s="2"/>
      <c r="OJR119" s="2"/>
      <c r="OJS119" s="2"/>
      <c r="OJT119" s="2"/>
      <c r="OJU119" s="2"/>
      <c r="OJV119" s="2"/>
      <c r="OJW119" s="2"/>
      <c r="OJX119" s="2"/>
      <c r="OJY119" s="2"/>
      <c r="OJZ119" s="2"/>
      <c r="OKA119" s="2"/>
      <c r="OKB119" s="2"/>
      <c r="OKC119" s="2"/>
      <c r="OKD119" s="2"/>
      <c r="OKE119" s="2"/>
      <c r="OKF119" s="2"/>
      <c r="OKG119" s="2"/>
      <c r="OKH119" s="2"/>
      <c r="OKI119" s="2"/>
      <c r="OKJ119" s="2"/>
      <c r="OKK119" s="2"/>
      <c r="OKL119" s="2"/>
      <c r="OKM119" s="2"/>
      <c r="OKN119" s="2"/>
      <c r="OKO119" s="2"/>
      <c r="OKP119" s="2"/>
      <c r="OKQ119" s="2"/>
      <c r="OKR119" s="2"/>
      <c r="OKS119" s="2"/>
      <c r="OKT119" s="2"/>
      <c r="OKU119" s="2"/>
      <c r="OKV119" s="2"/>
      <c r="OKW119" s="2"/>
      <c r="OKX119" s="2"/>
      <c r="OKY119" s="2"/>
      <c r="OKZ119" s="2"/>
      <c r="OLA119" s="2"/>
      <c r="OLB119" s="2"/>
      <c r="OLC119" s="2"/>
      <c r="OLD119" s="2"/>
      <c r="OLE119" s="2"/>
      <c r="OLF119" s="2"/>
      <c r="OLG119" s="2"/>
      <c r="OLH119" s="2"/>
      <c r="OLI119" s="2"/>
      <c r="OLJ119" s="2"/>
      <c r="OLK119" s="2"/>
      <c r="OLL119" s="2"/>
      <c r="OLM119" s="2"/>
      <c r="OLN119" s="2"/>
      <c r="OLO119" s="2"/>
      <c r="OLP119" s="2"/>
      <c r="OLQ119" s="2"/>
      <c r="OLR119" s="2"/>
      <c r="OLS119" s="2"/>
      <c r="OLT119" s="2"/>
      <c r="OLU119" s="2"/>
      <c r="OLV119" s="2"/>
      <c r="OLW119" s="2"/>
      <c r="OLX119" s="2"/>
      <c r="OLY119" s="2"/>
      <c r="OLZ119" s="2"/>
      <c r="OMA119" s="2"/>
      <c r="OMB119" s="2"/>
      <c r="OMC119" s="2"/>
      <c r="OMD119" s="2"/>
      <c r="OME119" s="2"/>
      <c r="OMF119" s="2"/>
      <c r="OMG119" s="2"/>
      <c r="OMH119" s="2"/>
      <c r="OMI119" s="2"/>
      <c r="OMJ119" s="2"/>
      <c r="OMK119" s="2"/>
      <c r="OML119" s="2"/>
      <c r="OMM119" s="2"/>
      <c r="OMN119" s="2"/>
      <c r="OMO119" s="2"/>
      <c r="OMP119" s="2"/>
      <c r="OMQ119" s="2"/>
      <c r="OMR119" s="2"/>
      <c r="OMS119" s="2"/>
      <c r="OMT119" s="2"/>
      <c r="OMU119" s="2"/>
      <c r="OMV119" s="2"/>
      <c r="OMW119" s="2"/>
      <c r="OMX119" s="2"/>
      <c r="OMY119" s="2"/>
      <c r="OMZ119" s="2"/>
      <c r="ONA119" s="2"/>
      <c r="ONB119" s="2"/>
      <c r="ONC119" s="2"/>
      <c r="OND119" s="2"/>
      <c r="ONE119" s="2"/>
      <c r="ONF119" s="2"/>
      <c r="ONG119" s="2"/>
      <c r="ONH119" s="2"/>
      <c r="ONI119" s="2"/>
      <c r="ONJ119" s="2"/>
      <c r="ONK119" s="2"/>
      <c r="ONL119" s="2"/>
      <c r="ONM119" s="2"/>
      <c r="ONN119" s="2"/>
      <c r="ONO119" s="2"/>
      <c r="ONP119" s="2"/>
      <c r="ONQ119" s="2"/>
      <c r="ONR119" s="2"/>
      <c r="ONS119" s="2"/>
      <c r="ONT119" s="2"/>
      <c r="ONU119" s="2"/>
      <c r="ONV119" s="2"/>
      <c r="ONW119" s="2"/>
      <c r="ONX119" s="2"/>
      <c r="ONY119" s="2"/>
      <c r="ONZ119" s="2"/>
      <c r="OOA119" s="2"/>
      <c r="OOB119" s="2"/>
      <c r="OOC119" s="2"/>
      <c r="OOD119" s="2"/>
      <c r="OOE119" s="2"/>
      <c r="OOF119" s="2"/>
      <c r="OOG119" s="2"/>
      <c r="OOH119" s="2"/>
      <c r="OOI119" s="2"/>
      <c r="OOJ119" s="2"/>
      <c r="OOK119" s="2"/>
      <c r="OOL119" s="2"/>
      <c r="OOM119" s="2"/>
      <c r="OON119" s="2"/>
      <c r="OOO119" s="2"/>
      <c r="OOP119" s="2"/>
      <c r="OOQ119" s="2"/>
      <c r="OOR119" s="2"/>
      <c r="OOS119" s="2"/>
      <c r="OOT119" s="2"/>
      <c r="OOU119" s="2"/>
      <c r="OOV119" s="2"/>
      <c r="OOW119" s="2"/>
      <c r="OOX119" s="2"/>
      <c r="OOY119" s="2"/>
      <c r="OOZ119" s="2"/>
      <c r="OPA119" s="2"/>
      <c r="OPB119" s="2"/>
      <c r="OPC119" s="2"/>
      <c r="OPD119" s="2"/>
      <c r="OPE119" s="2"/>
      <c r="OPF119" s="2"/>
      <c r="OPG119" s="2"/>
      <c r="OPH119" s="2"/>
      <c r="OPI119" s="2"/>
      <c r="OPJ119" s="2"/>
      <c r="OPK119" s="2"/>
      <c r="OPL119" s="2"/>
      <c r="OPM119" s="2"/>
      <c r="OPN119" s="2"/>
      <c r="OPO119" s="2"/>
      <c r="OPP119" s="2"/>
      <c r="OPQ119" s="2"/>
      <c r="OPR119" s="2"/>
      <c r="OPS119" s="2"/>
      <c r="OPT119" s="2"/>
      <c r="OPU119" s="2"/>
      <c r="OPV119" s="2"/>
      <c r="OPW119" s="2"/>
      <c r="OPX119" s="2"/>
      <c r="OPY119" s="2"/>
      <c r="OPZ119" s="2"/>
      <c r="OQA119" s="2"/>
      <c r="OQB119" s="2"/>
      <c r="OQC119" s="2"/>
      <c r="OQD119" s="2"/>
      <c r="OQE119" s="2"/>
      <c r="OQF119" s="2"/>
      <c r="OQG119" s="2"/>
      <c r="OQH119" s="2"/>
      <c r="OQI119" s="2"/>
      <c r="OQJ119" s="2"/>
      <c r="OQK119" s="2"/>
      <c r="OQL119" s="2"/>
      <c r="OQM119" s="2"/>
      <c r="OQN119" s="2"/>
      <c r="OQO119" s="2"/>
      <c r="OQP119" s="2"/>
      <c r="OQQ119" s="2"/>
      <c r="OQR119" s="2"/>
      <c r="OQS119" s="2"/>
      <c r="OQT119" s="2"/>
      <c r="OQU119" s="2"/>
      <c r="OQV119" s="2"/>
      <c r="OQW119" s="2"/>
      <c r="OQX119" s="2"/>
      <c r="OQY119" s="2"/>
      <c r="OQZ119" s="2"/>
      <c r="ORA119" s="2"/>
      <c r="ORB119" s="2"/>
      <c r="ORC119" s="2"/>
      <c r="ORD119" s="2"/>
      <c r="ORE119" s="2"/>
      <c r="ORF119" s="2"/>
      <c r="ORG119" s="2"/>
      <c r="ORH119" s="2"/>
      <c r="ORI119" s="2"/>
      <c r="ORJ119" s="2"/>
      <c r="ORK119" s="2"/>
      <c r="ORL119" s="2"/>
      <c r="ORM119" s="2"/>
      <c r="ORN119" s="2"/>
      <c r="ORO119" s="2"/>
      <c r="ORP119" s="2"/>
      <c r="ORQ119" s="2"/>
      <c r="ORR119" s="2"/>
      <c r="ORS119" s="2"/>
      <c r="ORT119" s="2"/>
      <c r="ORU119" s="2"/>
      <c r="ORV119" s="2"/>
      <c r="ORW119" s="2"/>
      <c r="ORX119" s="2"/>
      <c r="ORY119" s="2"/>
      <c r="ORZ119" s="2"/>
      <c r="OSA119" s="2"/>
      <c r="OSB119" s="2"/>
      <c r="OSC119" s="2"/>
      <c r="OSD119" s="2"/>
      <c r="OSE119" s="2"/>
      <c r="OSF119" s="2"/>
      <c r="OSG119" s="2"/>
      <c r="OSH119" s="2"/>
      <c r="OSI119" s="2"/>
      <c r="OSJ119" s="2"/>
      <c r="OSK119" s="2"/>
      <c r="OSL119" s="2"/>
      <c r="OSM119" s="2"/>
      <c r="OSN119" s="2"/>
      <c r="OSO119" s="2"/>
      <c r="OSP119" s="2"/>
      <c r="OSQ119" s="2"/>
      <c r="OSR119" s="2"/>
      <c r="OSS119" s="2"/>
      <c r="OST119" s="2"/>
      <c r="OSU119" s="2"/>
      <c r="OSV119" s="2"/>
      <c r="OSW119" s="2"/>
      <c r="OSX119" s="2"/>
      <c r="OSY119" s="2"/>
      <c r="OSZ119" s="2"/>
      <c r="OTA119" s="2"/>
      <c r="OTB119" s="2"/>
      <c r="OTC119" s="2"/>
      <c r="OTD119" s="2"/>
      <c r="OTE119" s="2"/>
      <c r="OTF119" s="2"/>
      <c r="OTG119" s="2"/>
      <c r="OTH119" s="2"/>
      <c r="OTI119" s="2"/>
      <c r="OTJ119" s="2"/>
      <c r="OTK119" s="2"/>
      <c r="OTL119" s="2"/>
      <c r="OTM119" s="2"/>
      <c r="OTN119" s="2"/>
      <c r="OTO119" s="2"/>
      <c r="OTP119" s="2"/>
      <c r="OTQ119" s="2"/>
      <c r="OTR119" s="2"/>
      <c r="OTS119" s="2"/>
      <c r="OTT119" s="2"/>
      <c r="OTU119" s="2"/>
      <c r="OTV119" s="2"/>
      <c r="OTW119" s="2"/>
      <c r="OTX119" s="2"/>
      <c r="OTY119" s="2"/>
      <c r="OTZ119" s="2"/>
      <c r="OUA119" s="2"/>
      <c r="OUB119" s="2"/>
      <c r="OUC119" s="2"/>
      <c r="OUD119" s="2"/>
      <c r="OUE119" s="2"/>
      <c r="OUF119" s="2"/>
      <c r="OUG119" s="2"/>
      <c r="OUH119" s="2"/>
      <c r="OUI119" s="2"/>
      <c r="OUJ119" s="2"/>
      <c r="OUK119" s="2"/>
      <c r="OUL119" s="2"/>
      <c r="OUM119" s="2"/>
      <c r="OUN119" s="2"/>
      <c r="OUO119" s="2"/>
      <c r="OUP119" s="2"/>
      <c r="OUQ119" s="2"/>
      <c r="OUR119" s="2"/>
      <c r="OUS119" s="2"/>
      <c r="OUT119" s="2"/>
      <c r="OUU119" s="2"/>
      <c r="OUV119" s="2"/>
      <c r="OUW119" s="2"/>
      <c r="OUX119" s="2"/>
      <c r="OUY119" s="2"/>
      <c r="OUZ119" s="2"/>
      <c r="OVA119" s="2"/>
      <c r="OVB119" s="2"/>
      <c r="OVC119" s="2"/>
      <c r="OVD119" s="2"/>
      <c r="OVE119" s="2"/>
      <c r="OVF119" s="2"/>
      <c r="OVG119" s="2"/>
      <c r="OVH119" s="2"/>
      <c r="OVI119" s="2"/>
      <c r="OVJ119" s="2"/>
      <c r="OVK119" s="2"/>
      <c r="OVL119" s="2"/>
      <c r="OVM119" s="2"/>
      <c r="OVN119" s="2"/>
      <c r="OVO119" s="2"/>
      <c r="OVP119" s="2"/>
      <c r="OVQ119" s="2"/>
      <c r="OVR119" s="2"/>
      <c r="OVS119" s="2"/>
      <c r="OVT119" s="2"/>
      <c r="OVU119" s="2"/>
      <c r="OVV119" s="2"/>
      <c r="OVW119" s="2"/>
      <c r="OVX119" s="2"/>
      <c r="OVY119" s="2"/>
      <c r="OVZ119" s="2"/>
      <c r="OWA119" s="2"/>
      <c r="OWB119" s="2"/>
      <c r="OWC119" s="2"/>
      <c r="OWD119" s="2"/>
      <c r="OWE119" s="2"/>
      <c r="OWF119" s="2"/>
      <c r="OWG119" s="2"/>
      <c r="OWH119" s="2"/>
      <c r="OWI119" s="2"/>
      <c r="OWJ119" s="2"/>
      <c r="OWK119" s="2"/>
      <c r="OWL119" s="2"/>
      <c r="OWM119" s="2"/>
      <c r="OWN119" s="2"/>
      <c r="OWO119" s="2"/>
      <c r="OWP119" s="2"/>
      <c r="OWQ119" s="2"/>
      <c r="OWR119" s="2"/>
      <c r="OWS119" s="2"/>
      <c r="OWT119" s="2"/>
      <c r="OWU119" s="2"/>
      <c r="OWV119" s="2"/>
      <c r="OWW119" s="2"/>
      <c r="OWX119" s="2"/>
      <c r="OWY119" s="2"/>
      <c r="OWZ119" s="2"/>
      <c r="OXA119" s="2"/>
      <c r="OXB119" s="2"/>
      <c r="OXC119" s="2"/>
      <c r="OXD119" s="2"/>
      <c r="OXE119" s="2"/>
      <c r="OXF119" s="2"/>
      <c r="OXG119" s="2"/>
      <c r="OXH119" s="2"/>
      <c r="OXI119" s="2"/>
      <c r="OXJ119" s="2"/>
      <c r="OXK119" s="2"/>
      <c r="OXL119" s="2"/>
      <c r="OXM119" s="2"/>
      <c r="OXN119" s="2"/>
      <c r="OXO119" s="2"/>
      <c r="OXP119" s="2"/>
      <c r="OXQ119" s="2"/>
      <c r="OXR119" s="2"/>
      <c r="OXS119" s="2"/>
      <c r="OXT119" s="2"/>
      <c r="OXU119" s="2"/>
      <c r="OXV119" s="2"/>
      <c r="OXW119" s="2"/>
      <c r="OXX119" s="2"/>
      <c r="OXY119" s="2"/>
      <c r="OXZ119" s="2"/>
      <c r="OYA119" s="2"/>
      <c r="OYB119" s="2"/>
      <c r="OYC119" s="2"/>
      <c r="OYD119" s="2"/>
      <c r="OYE119" s="2"/>
      <c r="OYF119" s="2"/>
      <c r="OYG119" s="2"/>
      <c r="OYH119" s="2"/>
      <c r="OYI119" s="2"/>
      <c r="OYJ119" s="2"/>
      <c r="OYK119" s="2"/>
      <c r="OYL119" s="2"/>
      <c r="OYM119" s="2"/>
      <c r="OYN119" s="2"/>
      <c r="OYO119" s="2"/>
      <c r="OYP119" s="2"/>
      <c r="OYQ119" s="2"/>
      <c r="OYR119" s="2"/>
      <c r="OYS119" s="2"/>
      <c r="OYT119" s="2"/>
      <c r="OYU119" s="2"/>
      <c r="OYV119" s="2"/>
      <c r="OYW119" s="2"/>
      <c r="OYX119" s="2"/>
      <c r="OYY119" s="2"/>
      <c r="OYZ119" s="2"/>
      <c r="OZA119" s="2"/>
      <c r="OZB119" s="2"/>
      <c r="OZC119" s="2"/>
      <c r="OZD119" s="2"/>
      <c r="OZE119" s="2"/>
      <c r="OZF119" s="2"/>
      <c r="OZG119" s="2"/>
      <c r="OZH119" s="2"/>
      <c r="OZI119" s="2"/>
      <c r="OZJ119" s="2"/>
      <c r="OZK119" s="2"/>
      <c r="OZL119" s="2"/>
      <c r="OZM119" s="2"/>
      <c r="OZN119" s="2"/>
      <c r="OZO119" s="2"/>
      <c r="OZP119" s="2"/>
      <c r="OZQ119" s="2"/>
      <c r="OZR119" s="2"/>
      <c r="OZS119" s="2"/>
      <c r="OZT119" s="2"/>
      <c r="OZU119" s="2"/>
      <c r="OZV119" s="2"/>
      <c r="OZW119" s="2"/>
      <c r="OZX119" s="2"/>
      <c r="OZY119" s="2"/>
      <c r="OZZ119" s="2"/>
      <c r="PAA119" s="2"/>
      <c r="PAB119" s="2"/>
      <c r="PAC119" s="2"/>
      <c r="PAD119" s="2"/>
      <c r="PAE119" s="2"/>
      <c r="PAF119" s="2"/>
      <c r="PAG119" s="2"/>
      <c r="PAH119" s="2"/>
      <c r="PAI119" s="2"/>
      <c r="PAJ119" s="2"/>
      <c r="PAK119" s="2"/>
      <c r="PAL119" s="2"/>
      <c r="PAM119" s="2"/>
      <c r="PAN119" s="2"/>
      <c r="PAO119" s="2"/>
      <c r="PAP119" s="2"/>
      <c r="PAQ119" s="2"/>
      <c r="PAR119" s="2"/>
      <c r="PAS119" s="2"/>
      <c r="PAT119" s="2"/>
      <c r="PAU119" s="2"/>
      <c r="PAV119" s="2"/>
      <c r="PAW119" s="2"/>
      <c r="PAX119" s="2"/>
      <c r="PAY119" s="2"/>
      <c r="PAZ119" s="2"/>
      <c r="PBA119" s="2"/>
      <c r="PBB119" s="2"/>
      <c r="PBC119" s="2"/>
      <c r="PBD119" s="2"/>
      <c r="PBE119" s="2"/>
      <c r="PBF119" s="2"/>
      <c r="PBG119" s="2"/>
      <c r="PBH119" s="2"/>
      <c r="PBI119" s="2"/>
      <c r="PBJ119" s="2"/>
      <c r="PBK119" s="2"/>
      <c r="PBL119" s="2"/>
      <c r="PBM119" s="2"/>
      <c r="PBN119" s="2"/>
      <c r="PBO119" s="2"/>
      <c r="PBP119" s="2"/>
      <c r="PBQ119" s="2"/>
      <c r="PBR119" s="2"/>
      <c r="PBS119" s="2"/>
      <c r="PBT119" s="2"/>
      <c r="PBU119" s="2"/>
      <c r="PBV119" s="2"/>
      <c r="PBW119" s="2"/>
      <c r="PBX119" s="2"/>
      <c r="PBY119" s="2"/>
      <c r="PBZ119" s="2"/>
      <c r="PCA119" s="2"/>
      <c r="PCB119" s="2"/>
      <c r="PCC119" s="2"/>
      <c r="PCD119" s="2"/>
      <c r="PCE119" s="2"/>
      <c r="PCF119" s="2"/>
      <c r="PCG119" s="2"/>
      <c r="PCH119" s="2"/>
      <c r="PCI119" s="2"/>
      <c r="PCJ119" s="2"/>
      <c r="PCK119" s="2"/>
      <c r="PCL119" s="2"/>
      <c r="PCM119" s="2"/>
      <c r="PCN119" s="2"/>
      <c r="PCO119" s="2"/>
      <c r="PCP119" s="2"/>
      <c r="PCQ119" s="2"/>
      <c r="PCR119" s="2"/>
      <c r="PCS119" s="2"/>
      <c r="PCT119" s="2"/>
      <c r="PCU119" s="2"/>
      <c r="PCV119" s="2"/>
      <c r="PCW119" s="2"/>
      <c r="PCX119" s="2"/>
      <c r="PCY119" s="2"/>
      <c r="PCZ119" s="2"/>
      <c r="PDA119" s="2"/>
      <c r="PDB119" s="2"/>
      <c r="PDC119" s="2"/>
      <c r="PDD119" s="2"/>
      <c r="PDE119" s="2"/>
      <c r="PDF119" s="2"/>
      <c r="PDG119" s="2"/>
      <c r="PDH119" s="2"/>
      <c r="PDI119" s="2"/>
      <c r="PDJ119" s="2"/>
      <c r="PDK119" s="2"/>
      <c r="PDL119" s="2"/>
      <c r="PDM119" s="2"/>
      <c r="PDN119" s="2"/>
      <c r="PDO119" s="2"/>
      <c r="PDP119" s="2"/>
      <c r="PDQ119" s="2"/>
      <c r="PDR119" s="2"/>
      <c r="PDS119" s="2"/>
      <c r="PDT119" s="2"/>
      <c r="PDU119" s="2"/>
      <c r="PDV119" s="2"/>
      <c r="PDW119" s="2"/>
      <c r="PDX119" s="2"/>
      <c r="PDY119" s="2"/>
      <c r="PDZ119" s="2"/>
      <c r="PEA119" s="2"/>
      <c r="PEB119" s="2"/>
      <c r="PEC119" s="2"/>
      <c r="PED119" s="2"/>
      <c r="PEE119" s="2"/>
      <c r="PEF119" s="2"/>
      <c r="PEG119" s="2"/>
      <c r="PEH119" s="2"/>
      <c r="PEI119" s="2"/>
      <c r="PEJ119" s="2"/>
      <c r="PEK119" s="2"/>
      <c r="PEL119" s="2"/>
      <c r="PEM119" s="2"/>
      <c r="PEN119" s="2"/>
      <c r="PEO119" s="2"/>
      <c r="PEP119" s="2"/>
      <c r="PEQ119" s="2"/>
      <c r="PER119" s="2"/>
      <c r="PES119" s="2"/>
      <c r="PET119" s="2"/>
      <c r="PEU119" s="2"/>
      <c r="PEV119" s="2"/>
      <c r="PEW119" s="2"/>
      <c r="PEX119" s="2"/>
      <c r="PEY119" s="2"/>
      <c r="PEZ119" s="2"/>
      <c r="PFA119" s="2"/>
      <c r="PFB119" s="2"/>
      <c r="PFC119" s="2"/>
      <c r="PFD119" s="2"/>
      <c r="PFE119" s="2"/>
      <c r="PFF119" s="2"/>
      <c r="PFG119" s="2"/>
      <c r="PFH119" s="2"/>
      <c r="PFI119" s="2"/>
      <c r="PFJ119" s="2"/>
      <c r="PFK119" s="2"/>
      <c r="PFL119" s="2"/>
      <c r="PFM119" s="2"/>
      <c r="PFN119" s="2"/>
      <c r="PFO119" s="2"/>
      <c r="PFP119" s="2"/>
      <c r="PFQ119" s="2"/>
      <c r="PFR119" s="2"/>
      <c r="PFS119" s="2"/>
      <c r="PFT119" s="2"/>
      <c r="PFU119" s="2"/>
      <c r="PFV119" s="2"/>
      <c r="PFW119" s="2"/>
      <c r="PFX119" s="2"/>
      <c r="PFY119" s="2"/>
      <c r="PFZ119" s="2"/>
      <c r="PGA119" s="2"/>
      <c r="PGB119" s="2"/>
      <c r="PGC119" s="2"/>
      <c r="PGD119" s="2"/>
      <c r="PGE119" s="2"/>
      <c r="PGF119" s="2"/>
      <c r="PGG119" s="2"/>
      <c r="PGH119" s="2"/>
      <c r="PGI119" s="2"/>
      <c r="PGJ119" s="2"/>
      <c r="PGK119" s="2"/>
      <c r="PGL119" s="2"/>
      <c r="PGM119" s="2"/>
      <c r="PGN119" s="2"/>
      <c r="PGO119" s="2"/>
      <c r="PGP119" s="2"/>
      <c r="PGQ119" s="2"/>
      <c r="PGR119" s="2"/>
      <c r="PGS119" s="2"/>
      <c r="PGT119" s="2"/>
      <c r="PGU119" s="2"/>
      <c r="PGV119" s="2"/>
      <c r="PGW119" s="2"/>
      <c r="PGX119" s="2"/>
      <c r="PGY119" s="2"/>
      <c r="PGZ119" s="2"/>
      <c r="PHA119" s="2"/>
      <c r="PHB119" s="2"/>
      <c r="PHC119" s="2"/>
      <c r="PHD119" s="2"/>
      <c r="PHE119" s="2"/>
      <c r="PHF119" s="2"/>
      <c r="PHG119" s="2"/>
      <c r="PHH119" s="2"/>
      <c r="PHI119" s="2"/>
      <c r="PHJ119" s="2"/>
      <c r="PHK119" s="2"/>
      <c r="PHL119" s="2"/>
      <c r="PHM119" s="2"/>
      <c r="PHN119" s="2"/>
      <c r="PHO119" s="2"/>
      <c r="PHP119" s="2"/>
      <c r="PHQ119" s="2"/>
      <c r="PHR119" s="2"/>
      <c r="PHS119" s="2"/>
      <c r="PHT119" s="2"/>
      <c r="PHU119" s="2"/>
      <c r="PHV119" s="2"/>
      <c r="PHW119" s="2"/>
      <c r="PHX119" s="2"/>
      <c r="PHY119" s="2"/>
      <c r="PHZ119" s="2"/>
      <c r="PIA119" s="2"/>
      <c r="PIB119" s="2"/>
      <c r="PIC119" s="2"/>
      <c r="PID119" s="2"/>
      <c r="PIE119" s="2"/>
      <c r="PIF119" s="2"/>
      <c r="PIG119" s="2"/>
      <c r="PIH119" s="2"/>
      <c r="PII119" s="2"/>
      <c r="PIJ119" s="2"/>
      <c r="PIK119" s="2"/>
      <c r="PIL119" s="2"/>
      <c r="PIM119" s="2"/>
      <c r="PIN119" s="2"/>
      <c r="PIO119" s="2"/>
      <c r="PIP119" s="2"/>
      <c r="PIQ119" s="2"/>
      <c r="PIR119" s="2"/>
      <c r="PIS119" s="2"/>
      <c r="PIT119" s="2"/>
      <c r="PIU119" s="2"/>
      <c r="PIV119" s="2"/>
      <c r="PIW119" s="2"/>
      <c r="PIX119" s="2"/>
      <c r="PIY119" s="2"/>
      <c r="PIZ119" s="2"/>
      <c r="PJA119" s="2"/>
      <c r="PJB119" s="2"/>
      <c r="PJC119" s="2"/>
      <c r="PJD119" s="2"/>
      <c r="PJE119" s="2"/>
      <c r="PJF119" s="2"/>
      <c r="PJG119" s="2"/>
      <c r="PJH119" s="2"/>
      <c r="PJI119" s="2"/>
      <c r="PJJ119" s="2"/>
      <c r="PJK119" s="2"/>
      <c r="PJL119" s="2"/>
      <c r="PJM119" s="2"/>
      <c r="PJN119" s="2"/>
      <c r="PJO119" s="2"/>
      <c r="PJP119" s="2"/>
      <c r="PJQ119" s="2"/>
      <c r="PJR119" s="2"/>
      <c r="PJS119" s="2"/>
      <c r="PJT119" s="2"/>
      <c r="PJU119" s="2"/>
      <c r="PJV119" s="2"/>
      <c r="PJW119" s="2"/>
      <c r="PJX119" s="2"/>
      <c r="PJY119" s="2"/>
      <c r="PJZ119" s="2"/>
      <c r="PKA119" s="2"/>
      <c r="PKB119" s="2"/>
      <c r="PKC119" s="2"/>
      <c r="PKD119" s="2"/>
      <c r="PKE119" s="2"/>
      <c r="PKF119" s="2"/>
      <c r="PKG119" s="2"/>
      <c r="PKH119" s="2"/>
      <c r="PKI119" s="2"/>
      <c r="PKJ119" s="2"/>
      <c r="PKK119" s="2"/>
      <c r="PKL119" s="2"/>
      <c r="PKM119" s="2"/>
      <c r="PKN119" s="2"/>
      <c r="PKO119" s="2"/>
      <c r="PKP119" s="2"/>
      <c r="PKQ119" s="2"/>
      <c r="PKR119" s="2"/>
      <c r="PKS119" s="2"/>
      <c r="PKT119" s="2"/>
      <c r="PKU119" s="2"/>
      <c r="PKV119" s="2"/>
      <c r="PKW119" s="2"/>
      <c r="PKX119" s="2"/>
      <c r="PKY119" s="2"/>
      <c r="PKZ119" s="2"/>
      <c r="PLA119" s="2"/>
      <c r="PLB119" s="2"/>
      <c r="PLC119" s="2"/>
      <c r="PLD119" s="2"/>
      <c r="PLE119" s="2"/>
      <c r="PLF119" s="2"/>
      <c r="PLG119" s="2"/>
      <c r="PLH119" s="2"/>
      <c r="PLI119" s="2"/>
      <c r="PLJ119" s="2"/>
      <c r="PLK119" s="2"/>
      <c r="PLL119" s="2"/>
      <c r="PLM119" s="2"/>
      <c r="PLN119" s="2"/>
      <c r="PLO119" s="2"/>
      <c r="PLP119" s="2"/>
      <c r="PLQ119" s="2"/>
      <c r="PLR119" s="2"/>
      <c r="PLS119" s="2"/>
      <c r="PLT119" s="2"/>
      <c r="PLU119" s="2"/>
      <c r="PLV119" s="2"/>
      <c r="PLW119" s="2"/>
      <c r="PLX119" s="2"/>
      <c r="PLY119" s="2"/>
      <c r="PLZ119" s="2"/>
      <c r="PMA119" s="2"/>
      <c r="PMB119" s="2"/>
      <c r="PMC119" s="2"/>
      <c r="PMD119" s="2"/>
      <c r="PME119" s="2"/>
      <c r="PMF119" s="2"/>
      <c r="PMG119" s="2"/>
      <c r="PMH119" s="2"/>
      <c r="PMI119" s="2"/>
      <c r="PMJ119" s="2"/>
      <c r="PMK119" s="2"/>
      <c r="PML119" s="2"/>
      <c r="PMM119" s="2"/>
      <c r="PMN119" s="2"/>
      <c r="PMO119" s="2"/>
      <c r="PMP119" s="2"/>
      <c r="PMQ119" s="2"/>
      <c r="PMR119" s="2"/>
      <c r="PMS119" s="2"/>
      <c r="PMT119" s="2"/>
      <c r="PMU119" s="2"/>
      <c r="PMV119" s="2"/>
      <c r="PMW119" s="2"/>
      <c r="PMX119" s="2"/>
      <c r="PMY119" s="2"/>
      <c r="PMZ119" s="2"/>
      <c r="PNA119" s="2"/>
      <c r="PNB119" s="2"/>
      <c r="PNC119" s="2"/>
      <c r="PND119" s="2"/>
      <c r="PNE119" s="2"/>
      <c r="PNF119" s="2"/>
      <c r="PNG119" s="2"/>
      <c r="PNH119" s="2"/>
      <c r="PNI119" s="2"/>
      <c r="PNJ119" s="2"/>
      <c r="PNK119" s="2"/>
      <c r="PNL119" s="2"/>
      <c r="PNM119" s="2"/>
      <c r="PNN119" s="2"/>
      <c r="PNO119" s="2"/>
      <c r="PNP119" s="2"/>
      <c r="PNQ119" s="2"/>
      <c r="PNR119" s="2"/>
      <c r="PNS119" s="2"/>
      <c r="PNT119" s="2"/>
      <c r="PNU119" s="2"/>
      <c r="PNV119" s="2"/>
      <c r="PNW119" s="2"/>
      <c r="PNX119" s="2"/>
      <c r="PNY119" s="2"/>
      <c r="PNZ119" s="2"/>
      <c r="POA119" s="2"/>
      <c r="POB119" s="2"/>
      <c r="POC119" s="2"/>
      <c r="POD119" s="2"/>
      <c r="POE119" s="2"/>
      <c r="POF119" s="2"/>
      <c r="POG119" s="2"/>
      <c r="POH119" s="2"/>
      <c r="POI119" s="2"/>
      <c r="POJ119" s="2"/>
      <c r="POK119" s="2"/>
      <c r="POL119" s="2"/>
      <c r="POM119" s="2"/>
      <c r="PON119" s="2"/>
      <c r="POO119" s="2"/>
      <c r="POP119" s="2"/>
      <c r="POQ119" s="2"/>
      <c r="POR119" s="2"/>
      <c r="POS119" s="2"/>
      <c r="POT119" s="2"/>
      <c r="POU119" s="2"/>
      <c r="POV119" s="2"/>
      <c r="POW119" s="2"/>
      <c r="POX119" s="2"/>
      <c r="POY119" s="2"/>
      <c r="POZ119" s="2"/>
      <c r="PPA119" s="2"/>
      <c r="PPB119" s="2"/>
      <c r="PPC119" s="2"/>
      <c r="PPD119" s="2"/>
      <c r="PPE119" s="2"/>
      <c r="PPF119" s="2"/>
      <c r="PPG119" s="2"/>
      <c r="PPH119" s="2"/>
      <c r="PPI119" s="2"/>
      <c r="PPJ119" s="2"/>
      <c r="PPK119" s="2"/>
      <c r="PPL119" s="2"/>
      <c r="PPM119" s="2"/>
      <c r="PPN119" s="2"/>
      <c r="PPO119" s="2"/>
      <c r="PPP119" s="2"/>
      <c r="PPQ119" s="2"/>
      <c r="PPR119" s="2"/>
      <c r="PPS119" s="2"/>
      <c r="PPT119" s="2"/>
      <c r="PPU119" s="2"/>
      <c r="PPV119" s="2"/>
      <c r="PPW119" s="2"/>
      <c r="PPX119" s="2"/>
      <c r="PPY119" s="2"/>
      <c r="PPZ119" s="2"/>
      <c r="PQA119" s="2"/>
      <c r="PQB119" s="2"/>
      <c r="PQC119" s="2"/>
      <c r="PQD119" s="2"/>
      <c r="PQE119" s="2"/>
      <c r="PQF119" s="2"/>
      <c r="PQG119" s="2"/>
      <c r="PQH119" s="2"/>
      <c r="PQI119" s="2"/>
      <c r="PQJ119" s="2"/>
      <c r="PQK119" s="2"/>
      <c r="PQL119" s="2"/>
      <c r="PQM119" s="2"/>
      <c r="PQN119" s="2"/>
      <c r="PQO119" s="2"/>
      <c r="PQP119" s="2"/>
      <c r="PQQ119" s="2"/>
      <c r="PQR119" s="2"/>
      <c r="PQS119" s="2"/>
      <c r="PQT119" s="2"/>
      <c r="PQU119" s="2"/>
      <c r="PQV119" s="2"/>
      <c r="PQW119" s="2"/>
      <c r="PQX119" s="2"/>
      <c r="PQY119" s="2"/>
      <c r="PQZ119" s="2"/>
      <c r="PRA119" s="2"/>
      <c r="PRB119" s="2"/>
      <c r="PRC119" s="2"/>
      <c r="PRD119" s="2"/>
      <c r="PRE119" s="2"/>
      <c r="PRF119" s="2"/>
      <c r="PRG119" s="2"/>
      <c r="PRH119" s="2"/>
      <c r="PRI119" s="2"/>
      <c r="PRJ119" s="2"/>
      <c r="PRK119" s="2"/>
      <c r="PRL119" s="2"/>
      <c r="PRM119" s="2"/>
      <c r="PRN119" s="2"/>
      <c r="PRO119" s="2"/>
      <c r="PRP119" s="2"/>
      <c r="PRQ119" s="2"/>
      <c r="PRR119" s="2"/>
      <c r="PRS119" s="2"/>
      <c r="PRT119" s="2"/>
      <c r="PRU119" s="2"/>
      <c r="PRV119" s="2"/>
      <c r="PRW119" s="2"/>
      <c r="PRX119" s="2"/>
      <c r="PRY119" s="2"/>
      <c r="PRZ119" s="2"/>
      <c r="PSA119" s="2"/>
      <c r="PSB119" s="2"/>
      <c r="PSC119" s="2"/>
      <c r="PSD119" s="2"/>
      <c r="PSE119" s="2"/>
      <c r="PSF119" s="2"/>
      <c r="PSG119" s="2"/>
      <c r="PSH119" s="2"/>
      <c r="PSI119" s="2"/>
      <c r="PSJ119" s="2"/>
      <c r="PSK119" s="2"/>
      <c r="PSL119" s="2"/>
      <c r="PSM119" s="2"/>
      <c r="PSN119" s="2"/>
      <c r="PSO119" s="2"/>
      <c r="PSP119" s="2"/>
      <c r="PSQ119" s="2"/>
      <c r="PSR119" s="2"/>
      <c r="PSS119" s="2"/>
      <c r="PST119" s="2"/>
      <c r="PSU119" s="2"/>
      <c r="PSV119" s="2"/>
      <c r="PSW119" s="2"/>
      <c r="PSX119" s="2"/>
      <c r="PSY119" s="2"/>
      <c r="PSZ119" s="2"/>
      <c r="PTA119" s="2"/>
      <c r="PTB119" s="2"/>
      <c r="PTC119" s="2"/>
      <c r="PTD119" s="2"/>
      <c r="PTE119" s="2"/>
      <c r="PTF119" s="2"/>
      <c r="PTG119" s="2"/>
      <c r="PTH119" s="2"/>
      <c r="PTI119" s="2"/>
      <c r="PTJ119" s="2"/>
      <c r="PTK119" s="2"/>
      <c r="PTL119" s="2"/>
      <c r="PTM119" s="2"/>
      <c r="PTN119" s="2"/>
      <c r="PTO119" s="2"/>
      <c r="PTP119" s="2"/>
      <c r="PTQ119" s="2"/>
      <c r="PTR119" s="2"/>
      <c r="PTS119" s="2"/>
      <c r="PTT119" s="2"/>
      <c r="PTU119" s="2"/>
      <c r="PTV119" s="2"/>
      <c r="PTW119" s="2"/>
      <c r="PTX119" s="2"/>
      <c r="PTY119" s="2"/>
      <c r="PTZ119" s="2"/>
      <c r="PUA119" s="2"/>
      <c r="PUB119" s="2"/>
      <c r="PUC119" s="2"/>
      <c r="PUD119" s="2"/>
      <c r="PUE119" s="2"/>
      <c r="PUF119" s="2"/>
      <c r="PUG119" s="2"/>
      <c r="PUH119" s="2"/>
      <c r="PUI119" s="2"/>
      <c r="PUJ119" s="2"/>
      <c r="PUK119" s="2"/>
      <c r="PUL119" s="2"/>
      <c r="PUM119" s="2"/>
      <c r="PUN119" s="2"/>
      <c r="PUO119" s="2"/>
      <c r="PUP119" s="2"/>
      <c r="PUQ119" s="2"/>
      <c r="PUR119" s="2"/>
      <c r="PUS119" s="2"/>
      <c r="PUT119" s="2"/>
      <c r="PUU119" s="2"/>
      <c r="PUV119" s="2"/>
      <c r="PUW119" s="2"/>
      <c r="PUX119" s="2"/>
      <c r="PUY119" s="2"/>
      <c r="PUZ119" s="2"/>
      <c r="PVA119" s="2"/>
      <c r="PVB119" s="2"/>
      <c r="PVC119" s="2"/>
      <c r="PVD119" s="2"/>
      <c r="PVE119" s="2"/>
      <c r="PVF119" s="2"/>
      <c r="PVG119" s="2"/>
      <c r="PVH119" s="2"/>
      <c r="PVI119" s="2"/>
      <c r="PVJ119" s="2"/>
      <c r="PVK119" s="2"/>
      <c r="PVL119" s="2"/>
      <c r="PVM119" s="2"/>
      <c r="PVN119" s="2"/>
      <c r="PVO119" s="2"/>
      <c r="PVP119" s="2"/>
      <c r="PVQ119" s="2"/>
      <c r="PVR119" s="2"/>
      <c r="PVS119" s="2"/>
      <c r="PVT119" s="2"/>
      <c r="PVU119" s="2"/>
      <c r="PVV119" s="2"/>
      <c r="PVW119" s="2"/>
      <c r="PVX119" s="2"/>
      <c r="PVY119" s="2"/>
      <c r="PVZ119" s="2"/>
      <c r="PWA119" s="2"/>
      <c r="PWB119" s="2"/>
      <c r="PWC119" s="2"/>
      <c r="PWD119" s="2"/>
      <c r="PWE119" s="2"/>
      <c r="PWF119" s="2"/>
      <c r="PWG119" s="2"/>
      <c r="PWH119" s="2"/>
      <c r="PWI119" s="2"/>
      <c r="PWJ119" s="2"/>
      <c r="PWK119" s="2"/>
      <c r="PWL119" s="2"/>
      <c r="PWM119" s="2"/>
      <c r="PWN119" s="2"/>
      <c r="PWO119" s="2"/>
      <c r="PWP119" s="2"/>
      <c r="PWQ119" s="2"/>
      <c r="PWR119" s="2"/>
      <c r="PWS119" s="2"/>
      <c r="PWT119" s="2"/>
      <c r="PWU119" s="2"/>
      <c r="PWV119" s="2"/>
      <c r="PWW119" s="2"/>
      <c r="PWX119" s="2"/>
      <c r="PWY119" s="2"/>
      <c r="PWZ119" s="2"/>
      <c r="PXA119" s="2"/>
      <c r="PXB119" s="2"/>
      <c r="PXC119" s="2"/>
      <c r="PXD119" s="2"/>
      <c r="PXE119" s="2"/>
      <c r="PXF119" s="2"/>
      <c r="PXG119" s="2"/>
      <c r="PXH119" s="2"/>
      <c r="PXI119" s="2"/>
      <c r="PXJ119" s="2"/>
      <c r="PXK119" s="2"/>
      <c r="PXL119" s="2"/>
      <c r="PXM119" s="2"/>
      <c r="PXN119" s="2"/>
      <c r="PXO119" s="2"/>
      <c r="PXP119" s="2"/>
      <c r="PXQ119" s="2"/>
      <c r="PXR119" s="2"/>
      <c r="PXS119" s="2"/>
      <c r="PXT119" s="2"/>
      <c r="PXU119" s="2"/>
      <c r="PXV119" s="2"/>
      <c r="PXW119" s="2"/>
      <c r="PXX119" s="2"/>
      <c r="PXY119" s="2"/>
      <c r="PXZ119" s="2"/>
      <c r="PYA119" s="2"/>
      <c r="PYB119" s="2"/>
      <c r="PYC119" s="2"/>
      <c r="PYD119" s="2"/>
      <c r="PYE119" s="2"/>
      <c r="PYF119" s="2"/>
      <c r="PYG119" s="2"/>
      <c r="PYH119" s="2"/>
      <c r="PYI119" s="2"/>
      <c r="PYJ119" s="2"/>
      <c r="PYK119" s="2"/>
      <c r="PYL119" s="2"/>
      <c r="PYM119" s="2"/>
      <c r="PYN119" s="2"/>
      <c r="PYO119" s="2"/>
      <c r="PYP119" s="2"/>
      <c r="PYQ119" s="2"/>
      <c r="PYR119" s="2"/>
      <c r="PYS119" s="2"/>
      <c r="PYT119" s="2"/>
      <c r="PYU119" s="2"/>
      <c r="PYV119" s="2"/>
      <c r="PYW119" s="2"/>
      <c r="PYX119" s="2"/>
      <c r="PYY119" s="2"/>
      <c r="PYZ119" s="2"/>
      <c r="PZA119" s="2"/>
      <c r="PZB119" s="2"/>
      <c r="PZC119" s="2"/>
      <c r="PZD119" s="2"/>
      <c r="PZE119" s="2"/>
      <c r="PZF119" s="2"/>
      <c r="PZG119" s="2"/>
      <c r="PZH119" s="2"/>
      <c r="PZI119" s="2"/>
      <c r="PZJ119" s="2"/>
      <c r="PZK119" s="2"/>
      <c r="PZL119" s="2"/>
      <c r="PZM119" s="2"/>
      <c r="PZN119" s="2"/>
      <c r="PZO119" s="2"/>
      <c r="PZP119" s="2"/>
      <c r="PZQ119" s="2"/>
      <c r="PZR119" s="2"/>
      <c r="PZS119" s="2"/>
      <c r="PZT119" s="2"/>
      <c r="PZU119" s="2"/>
      <c r="PZV119" s="2"/>
      <c r="PZW119" s="2"/>
      <c r="PZX119" s="2"/>
      <c r="PZY119" s="2"/>
      <c r="PZZ119" s="2"/>
      <c r="QAA119" s="2"/>
      <c r="QAB119" s="2"/>
      <c r="QAC119" s="2"/>
      <c r="QAD119" s="2"/>
      <c r="QAE119" s="2"/>
      <c r="QAF119" s="2"/>
      <c r="QAG119" s="2"/>
      <c r="QAH119" s="2"/>
      <c r="QAI119" s="2"/>
      <c r="QAJ119" s="2"/>
      <c r="QAK119" s="2"/>
      <c r="QAL119" s="2"/>
      <c r="QAM119" s="2"/>
      <c r="QAN119" s="2"/>
      <c r="QAO119" s="2"/>
      <c r="QAP119" s="2"/>
      <c r="QAQ119" s="2"/>
      <c r="QAR119" s="2"/>
      <c r="QAS119" s="2"/>
      <c r="QAT119" s="2"/>
      <c r="QAU119" s="2"/>
      <c r="QAV119" s="2"/>
      <c r="QAW119" s="2"/>
      <c r="QAX119" s="2"/>
      <c r="QAY119" s="2"/>
      <c r="QAZ119" s="2"/>
      <c r="QBA119" s="2"/>
      <c r="QBB119" s="2"/>
      <c r="QBC119" s="2"/>
      <c r="QBD119" s="2"/>
      <c r="QBE119" s="2"/>
      <c r="QBF119" s="2"/>
      <c r="QBG119" s="2"/>
      <c r="QBH119" s="2"/>
      <c r="QBI119" s="2"/>
      <c r="QBJ119" s="2"/>
      <c r="QBK119" s="2"/>
      <c r="QBL119" s="2"/>
      <c r="QBM119" s="2"/>
      <c r="QBN119" s="2"/>
      <c r="QBO119" s="2"/>
      <c r="QBP119" s="2"/>
      <c r="QBQ119" s="2"/>
      <c r="QBR119" s="2"/>
      <c r="QBS119" s="2"/>
      <c r="QBT119" s="2"/>
      <c r="QBU119" s="2"/>
      <c r="QBV119" s="2"/>
      <c r="QBW119" s="2"/>
      <c r="QBX119" s="2"/>
      <c r="QBY119" s="2"/>
      <c r="QBZ119" s="2"/>
      <c r="QCA119" s="2"/>
      <c r="QCB119" s="2"/>
      <c r="QCC119" s="2"/>
      <c r="QCD119" s="2"/>
      <c r="QCE119" s="2"/>
      <c r="QCF119" s="2"/>
      <c r="QCG119" s="2"/>
      <c r="QCH119" s="2"/>
      <c r="QCI119" s="2"/>
      <c r="QCJ119" s="2"/>
      <c r="QCK119" s="2"/>
      <c r="QCL119" s="2"/>
      <c r="QCM119" s="2"/>
      <c r="QCN119" s="2"/>
      <c r="QCO119" s="2"/>
      <c r="QCP119" s="2"/>
      <c r="QCQ119" s="2"/>
      <c r="QCR119" s="2"/>
      <c r="QCS119" s="2"/>
      <c r="QCT119" s="2"/>
      <c r="QCU119" s="2"/>
      <c r="QCV119" s="2"/>
      <c r="QCW119" s="2"/>
      <c r="QCX119" s="2"/>
      <c r="QCY119" s="2"/>
      <c r="QCZ119" s="2"/>
      <c r="QDA119" s="2"/>
      <c r="QDB119" s="2"/>
      <c r="QDC119" s="2"/>
      <c r="QDD119" s="2"/>
      <c r="QDE119" s="2"/>
      <c r="QDF119" s="2"/>
      <c r="QDG119" s="2"/>
      <c r="QDH119" s="2"/>
      <c r="QDI119" s="2"/>
      <c r="QDJ119" s="2"/>
      <c r="QDK119" s="2"/>
      <c r="QDL119" s="2"/>
      <c r="QDM119" s="2"/>
      <c r="QDN119" s="2"/>
      <c r="QDO119" s="2"/>
      <c r="QDP119" s="2"/>
      <c r="QDQ119" s="2"/>
      <c r="QDR119" s="2"/>
      <c r="QDS119" s="2"/>
      <c r="QDT119" s="2"/>
      <c r="QDU119" s="2"/>
      <c r="QDV119" s="2"/>
      <c r="QDW119" s="2"/>
      <c r="QDX119" s="2"/>
      <c r="QDY119" s="2"/>
      <c r="QDZ119" s="2"/>
      <c r="QEA119" s="2"/>
      <c r="QEB119" s="2"/>
      <c r="QEC119" s="2"/>
      <c r="QED119" s="2"/>
      <c r="QEE119" s="2"/>
      <c r="QEF119" s="2"/>
      <c r="QEG119" s="2"/>
      <c r="QEH119" s="2"/>
      <c r="QEI119" s="2"/>
      <c r="QEJ119" s="2"/>
      <c r="QEK119" s="2"/>
      <c r="QEL119" s="2"/>
      <c r="QEM119" s="2"/>
      <c r="QEN119" s="2"/>
      <c r="QEO119" s="2"/>
      <c r="QEP119" s="2"/>
      <c r="QEQ119" s="2"/>
      <c r="QER119" s="2"/>
      <c r="QES119" s="2"/>
      <c r="QET119" s="2"/>
      <c r="QEU119" s="2"/>
      <c r="QEV119" s="2"/>
      <c r="QEW119" s="2"/>
      <c r="QEX119" s="2"/>
      <c r="QEY119" s="2"/>
      <c r="QEZ119" s="2"/>
      <c r="QFA119" s="2"/>
      <c r="QFB119" s="2"/>
      <c r="QFC119" s="2"/>
      <c r="QFD119" s="2"/>
      <c r="QFE119" s="2"/>
      <c r="QFF119" s="2"/>
      <c r="QFG119" s="2"/>
      <c r="QFH119" s="2"/>
      <c r="QFI119" s="2"/>
      <c r="QFJ119" s="2"/>
      <c r="QFK119" s="2"/>
      <c r="QFL119" s="2"/>
      <c r="QFM119" s="2"/>
      <c r="QFN119" s="2"/>
      <c r="QFO119" s="2"/>
      <c r="QFP119" s="2"/>
      <c r="QFQ119" s="2"/>
      <c r="QFR119" s="2"/>
      <c r="QFS119" s="2"/>
      <c r="QFT119" s="2"/>
      <c r="QFU119" s="2"/>
      <c r="QFV119" s="2"/>
      <c r="QFW119" s="2"/>
      <c r="QFX119" s="2"/>
      <c r="QFY119" s="2"/>
      <c r="QFZ119" s="2"/>
      <c r="QGA119" s="2"/>
      <c r="QGB119" s="2"/>
      <c r="QGC119" s="2"/>
      <c r="QGD119" s="2"/>
      <c r="QGE119" s="2"/>
      <c r="QGF119" s="2"/>
      <c r="QGG119" s="2"/>
      <c r="QGH119" s="2"/>
      <c r="QGI119" s="2"/>
      <c r="QGJ119" s="2"/>
      <c r="QGK119" s="2"/>
      <c r="QGL119" s="2"/>
      <c r="QGM119" s="2"/>
      <c r="QGN119" s="2"/>
      <c r="QGO119" s="2"/>
      <c r="QGP119" s="2"/>
      <c r="QGQ119" s="2"/>
      <c r="QGR119" s="2"/>
      <c r="QGS119" s="2"/>
      <c r="QGT119" s="2"/>
      <c r="QGU119" s="2"/>
      <c r="QGV119" s="2"/>
      <c r="QGW119" s="2"/>
      <c r="QGX119" s="2"/>
      <c r="QGY119" s="2"/>
      <c r="QGZ119" s="2"/>
      <c r="QHA119" s="2"/>
      <c r="QHB119" s="2"/>
      <c r="QHC119" s="2"/>
      <c r="QHD119" s="2"/>
      <c r="QHE119" s="2"/>
      <c r="QHF119" s="2"/>
      <c r="QHG119" s="2"/>
      <c r="QHH119" s="2"/>
      <c r="QHI119" s="2"/>
      <c r="QHJ119" s="2"/>
      <c r="QHK119" s="2"/>
      <c r="QHL119" s="2"/>
      <c r="QHM119" s="2"/>
      <c r="QHN119" s="2"/>
      <c r="QHO119" s="2"/>
      <c r="QHP119" s="2"/>
      <c r="QHQ119" s="2"/>
      <c r="QHR119" s="2"/>
      <c r="QHS119" s="2"/>
      <c r="QHT119" s="2"/>
      <c r="QHU119" s="2"/>
      <c r="QHV119" s="2"/>
      <c r="QHW119" s="2"/>
      <c r="QHX119" s="2"/>
      <c r="QHY119" s="2"/>
      <c r="QHZ119" s="2"/>
      <c r="QIA119" s="2"/>
      <c r="QIB119" s="2"/>
      <c r="QIC119" s="2"/>
      <c r="QID119" s="2"/>
      <c r="QIE119" s="2"/>
      <c r="QIF119" s="2"/>
      <c r="QIG119" s="2"/>
      <c r="QIH119" s="2"/>
      <c r="QII119" s="2"/>
      <c r="QIJ119" s="2"/>
      <c r="QIK119" s="2"/>
      <c r="QIL119" s="2"/>
      <c r="QIM119" s="2"/>
      <c r="QIN119" s="2"/>
      <c r="QIO119" s="2"/>
      <c r="QIP119" s="2"/>
      <c r="QIQ119" s="2"/>
      <c r="QIR119" s="2"/>
      <c r="QIS119" s="2"/>
      <c r="QIT119" s="2"/>
      <c r="QIU119" s="2"/>
      <c r="QIV119" s="2"/>
      <c r="QIW119" s="2"/>
      <c r="QIX119" s="2"/>
      <c r="QIY119" s="2"/>
      <c r="QIZ119" s="2"/>
      <c r="QJA119" s="2"/>
      <c r="QJB119" s="2"/>
      <c r="QJC119" s="2"/>
      <c r="QJD119" s="2"/>
      <c r="QJE119" s="2"/>
      <c r="QJF119" s="2"/>
      <c r="QJG119" s="2"/>
      <c r="QJH119" s="2"/>
      <c r="QJI119" s="2"/>
      <c r="QJJ119" s="2"/>
      <c r="QJK119" s="2"/>
      <c r="QJL119" s="2"/>
      <c r="QJM119" s="2"/>
      <c r="QJN119" s="2"/>
      <c r="QJO119" s="2"/>
      <c r="QJP119" s="2"/>
      <c r="QJQ119" s="2"/>
      <c r="QJR119" s="2"/>
      <c r="QJS119" s="2"/>
      <c r="QJT119" s="2"/>
      <c r="QJU119" s="2"/>
      <c r="QJV119" s="2"/>
      <c r="QJW119" s="2"/>
      <c r="QJX119" s="2"/>
      <c r="QJY119" s="2"/>
      <c r="QJZ119" s="2"/>
      <c r="QKA119" s="2"/>
      <c r="QKB119" s="2"/>
      <c r="QKC119" s="2"/>
      <c r="QKD119" s="2"/>
      <c r="QKE119" s="2"/>
      <c r="QKF119" s="2"/>
      <c r="QKG119" s="2"/>
      <c r="QKH119" s="2"/>
      <c r="QKI119" s="2"/>
      <c r="QKJ119" s="2"/>
      <c r="QKK119" s="2"/>
      <c r="QKL119" s="2"/>
      <c r="QKM119" s="2"/>
      <c r="QKN119" s="2"/>
      <c r="QKO119" s="2"/>
      <c r="QKP119" s="2"/>
      <c r="QKQ119" s="2"/>
      <c r="QKR119" s="2"/>
      <c r="QKS119" s="2"/>
      <c r="QKT119" s="2"/>
      <c r="QKU119" s="2"/>
      <c r="QKV119" s="2"/>
      <c r="QKW119" s="2"/>
      <c r="QKX119" s="2"/>
      <c r="QKY119" s="2"/>
      <c r="QKZ119" s="2"/>
      <c r="QLA119" s="2"/>
      <c r="QLB119" s="2"/>
      <c r="QLC119" s="2"/>
      <c r="QLD119" s="2"/>
      <c r="QLE119" s="2"/>
      <c r="QLF119" s="2"/>
      <c r="QLG119" s="2"/>
      <c r="QLH119" s="2"/>
      <c r="QLI119" s="2"/>
      <c r="QLJ119" s="2"/>
      <c r="QLK119" s="2"/>
      <c r="QLL119" s="2"/>
      <c r="QLM119" s="2"/>
      <c r="QLN119" s="2"/>
      <c r="QLO119" s="2"/>
      <c r="QLP119" s="2"/>
      <c r="QLQ119" s="2"/>
      <c r="QLR119" s="2"/>
      <c r="QLS119" s="2"/>
      <c r="QLT119" s="2"/>
      <c r="QLU119" s="2"/>
      <c r="QLV119" s="2"/>
      <c r="QLW119" s="2"/>
      <c r="QLX119" s="2"/>
      <c r="QLY119" s="2"/>
      <c r="QLZ119" s="2"/>
      <c r="QMA119" s="2"/>
      <c r="QMB119" s="2"/>
      <c r="QMC119" s="2"/>
      <c r="QMD119" s="2"/>
      <c r="QME119" s="2"/>
      <c r="QMF119" s="2"/>
      <c r="QMG119" s="2"/>
      <c r="QMH119" s="2"/>
      <c r="QMI119" s="2"/>
      <c r="QMJ119" s="2"/>
      <c r="QMK119" s="2"/>
      <c r="QML119" s="2"/>
      <c r="QMM119" s="2"/>
      <c r="QMN119" s="2"/>
      <c r="QMO119" s="2"/>
      <c r="QMP119" s="2"/>
      <c r="QMQ119" s="2"/>
      <c r="QMR119" s="2"/>
      <c r="QMS119" s="2"/>
      <c r="QMT119" s="2"/>
      <c r="QMU119" s="2"/>
      <c r="QMV119" s="2"/>
      <c r="QMW119" s="2"/>
      <c r="QMX119" s="2"/>
      <c r="QMY119" s="2"/>
      <c r="QMZ119" s="2"/>
      <c r="QNA119" s="2"/>
      <c r="QNB119" s="2"/>
      <c r="QNC119" s="2"/>
      <c r="QND119" s="2"/>
      <c r="QNE119" s="2"/>
      <c r="QNF119" s="2"/>
      <c r="QNG119" s="2"/>
      <c r="QNH119" s="2"/>
      <c r="QNI119" s="2"/>
      <c r="QNJ119" s="2"/>
      <c r="QNK119" s="2"/>
      <c r="QNL119" s="2"/>
      <c r="QNM119" s="2"/>
      <c r="QNN119" s="2"/>
      <c r="QNO119" s="2"/>
      <c r="QNP119" s="2"/>
      <c r="QNQ119" s="2"/>
      <c r="QNR119" s="2"/>
      <c r="QNS119" s="2"/>
      <c r="QNT119" s="2"/>
      <c r="QNU119" s="2"/>
      <c r="QNV119" s="2"/>
      <c r="QNW119" s="2"/>
      <c r="QNX119" s="2"/>
      <c r="QNY119" s="2"/>
      <c r="QNZ119" s="2"/>
      <c r="QOA119" s="2"/>
      <c r="QOB119" s="2"/>
      <c r="QOC119" s="2"/>
      <c r="QOD119" s="2"/>
      <c r="QOE119" s="2"/>
      <c r="QOF119" s="2"/>
      <c r="QOG119" s="2"/>
      <c r="QOH119" s="2"/>
      <c r="QOI119" s="2"/>
      <c r="QOJ119" s="2"/>
      <c r="QOK119" s="2"/>
      <c r="QOL119" s="2"/>
      <c r="QOM119" s="2"/>
      <c r="QON119" s="2"/>
      <c r="QOO119" s="2"/>
      <c r="QOP119" s="2"/>
      <c r="QOQ119" s="2"/>
      <c r="QOR119" s="2"/>
      <c r="QOS119" s="2"/>
      <c r="QOT119" s="2"/>
      <c r="QOU119" s="2"/>
      <c r="QOV119" s="2"/>
      <c r="QOW119" s="2"/>
      <c r="QOX119" s="2"/>
      <c r="QOY119" s="2"/>
      <c r="QOZ119" s="2"/>
      <c r="QPA119" s="2"/>
      <c r="QPB119" s="2"/>
      <c r="QPC119" s="2"/>
      <c r="QPD119" s="2"/>
      <c r="QPE119" s="2"/>
      <c r="QPF119" s="2"/>
      <c r="QPG119" s="2"/>
      <c r="QPH119" s="2"/>
      <c r="QPI119" s="2"/>
      <c r="QPJ119" s="2"/>
      <c r="QPK119" s="2"/>
      <c r="QPL119" s="2"/>
      <c r="QPM119" s="2"/>
      <c r="QPN119" s="2"/>
      <c r="QPO119" s="2"/>
      <c r="QPP119" s="2"/>
      <c r="QPQ119" s="2"/>
      <c r="QPR119" s="2"/>
      <c r="QPS119" s="2"/>
      <c r="QPT119" s="2"/>
      <c r="QPU119" s="2"/>
      <c r="QPV119" s="2"/>
      <c r="QPW119" s="2"/>
      <c r="QPX119" s="2"/>
      <c r="QPY119" s="2"/>
      <c r="QPZ119" s="2"/>
      <c r="QQA119" s="2"/>
      <c r="QQB119" s="2"/>
      <c r="QQC119" s="2"/>
      <c r="QQD119" s="2"/>
      <c r="QQE119" s="2"/>
      <c r="QQF119" s="2"/>
      <c r="QQG119" s="2"/>
      <c r="QQH119" s="2"/>
      <c r="QQI119" s="2"/>
      <c r="QQJ119" s="2"/>
      <c r="QQK119" s="2"/>
      <c r="QQL119" s="2"/>
      <c r="QQM119" s="2"/>
      <c r="QQN119" s="2"/>
      <c r="QQO119" s="2"/>
      <c r="QQP119" s="2"/>
      <c r="QQQ119" s="2"/>
      <c r="QQR119" s="2"/>
      <c r="QQS119" s="2"/>
      <c r="QQT119" s="2"/>
      <c r="QQU119" s="2"/>
      <c r="QQV119" s="2"/>
      <c r="QQW119" s="2"/>
      <c r="QQX119" s="2"/>
      <c r="QQY119" s="2"/>
      <c r="QQZ119" s="2"/>
      <c r="QRA119" s="2"/>
      <c r="QRB119" s="2"/>
      <c r="QRC119" s="2"/>
      <c r="QRD119" s="2"/>
      <c r="QRE119" s="2"/>
      <c r="QRF119" s="2"/>
      <c r="QRG119" s="2"/>
      <c r="QRH119" s="2"/>
      <c r="QRI119" s="2"/>
      <c r="QRJ119" s="2"/>
      <c r="QRK119" s="2"/>
      <c r="QRL119" s="2"/>
      <c r="QRM119" s="2"/>
      <c r="QRN119" s="2"/>
      <c r="QRO119" s="2"/>
      <c r="QRP119" s="2"/>
      <c r="QRQ119" s="2"/>
      <c r="QRR119" s="2"/>
      <c r="QRS119" s="2"/>
      <c r="QRT119" s="2"/>
      <c r="QRU119" s="2"/>
      <c r="QRV119" s="2"/>
      <c r="QRW119" s="2"/>
      <c r="QRX119" s="2"/>
      <c r="QRY119" s="2"/>
      <c r="QRZ119" s="2"/>
      <c r="QSA119" s="2"/>
      <c r="QSB119" s="2"/>
      <c r="QSC119" s="2"/>
      <c r="QSD119" s="2"/>
      <c r="QSE119" s="2"/>
      <c r="QSF119" s="2"/>
      <c r="QSG119" s="2"/>
      <c r="QSH119" s="2"/>
      <c r="QSI119" s="2"/>
      <c r="QSJ119" s="2"/>
      <c r="QSK119" s="2"/>
      <c r="QSL119" s="2"/>
      <c r="QSM119" s="2"/>
      <c r="QSN119" s="2"/>
      <c r="QSO119" s="2"/>
      <c r="QSP119" s="2"/>
      <c r="QSQ119" s="2"/>
      <c r="QSR119" s="2"/>
      <c r="QSS119" s="2"/>
      <c r="QST119" s="2"/>
      <c r="QSU119" s="2"/>
      <c r="QSV119" s="2"/>
      <c r="QSW119" s="2"/>
      <c r="QSX119" s="2"/>
      <c r="QSY119" s="2"/>
      <c r="QSZ119" s="2"/>
      <c r="QTA119" s="2"/>
      <c r="QTB119" s="2"/>
      <c r="QTC119" s="2"/>
      <c r="QTD119" s="2"/>
      <c r="QTE119" s="2"/>
      <c r="QTF119" s="2"/>
      <c r="QTG119" s="2"/>
      <c r="QTH119" s="2"/>
      <c r="QTI119" s="2"/>
      <c r="QTJ119" s="2"/>
      <c r="QTK119" s="2"/>
      <c r="QTL119" s="2"/>
      <c r="QTM119" s="2"/>
      <c r="QTN119" s="2"/>
      <c r="QTO119" s="2"/>
      <c r="QTP119" s="2"/>
      <c r="QTQ119" s="2"/>
      <c r="QTR119" s="2"/>
      <c r="QTS119" s="2"/>
      <c r="QTT119" s="2"/>
      <c r="QTU119" s="2"/>
      <c r="QTV119" s="2"/>
      <c r="QTW119" s="2"/>
      <c r="QTX119" s="2"/>
      <c r="QTY119" s="2"/>
      <c r="QTZ119" s="2"/>
      <c r="QUA119" s="2"/>
      <c r="QUB119" s="2"/>
      <c r="QUC119" s="2"/>
      <c r="QUD119" s="2"/>
      <c r="QUE119" s="2"/>
      <c r="QUF119" s="2"/>
      <c r="QUG119" s="2"/>
      <c r="QUH119" s="2"/>
      <c r="QUI119" s="2"/>
      <c r="QUJ119" s="2"/>
      <c r="QUK119" s="2"/>
      <c r="QUL119" s="2"/>
      <c r="QUM119" s="2"/>
      <c r="QUN119" s="2"/>
      <c r="QUO119" s="2"/>
      <c r="QUP119" s="2"/>
      <c r="QUQ119" s="2"/>
      <c r="QUR119" s="2"/>
      <c r="QUS119" s="2"/>
      <c r="QUT119" s="2"/>
      <c r="QUU119" s="2"/>
      <c r="QUV119" s="2"/>
      <c r="QUW119" s="2"/>
      <c r="QUX119" s="2"/>
      <c r="QUY119" s="2"/>
      <c r="QUZ119" s="2"/>
      <c r="QVA119" s="2"/>
      <c r="QVB119" s="2"/>
      <c r="QVC119" s="2"/>
      <c r="QVD119" s="2"/>
      <c r="QVE119" s="2"/>
      <c r="QVF119" s="2"/>
      <c r="QVG119" s="2"/>
      <c r="QVH119" s="2"/>
      <c r="QVI119" s="2"/>
      <c r="QVJ119" s="2"/>
      <c r="QVK119" s="2"/>
      <c r="QVL119" s="2"/>
      <c r="QVM119" s="2"/>
      <c r="QVN119" s="2"/>
      <c r="QVO119" s="2"/>
      <c r="QVP119" s="2"/>
      <c r="QVQ119" s="2"/>
      <c r="QVR119" s="2"/>
      <c r="QVS119" s="2"/>
      <c r="QVT119" s="2"/>
      <c r="QVU119" s="2"/>
      <c r="QVV119" s="2"/>
      <c r="QVW119" s="2"/>
      <c r="QVX119" s="2"/>
      <c r="QVY119" s="2"/>
      <c r="QVZ119" s="2"/>
      <c r="QWA119" s="2"/>
      <c r="QWB119" s="2"/>
      <c r="QWC119" s="2"/>
      <c r="QWD119" s="2"/>
      <c r="QWE119" s="2"/>
      <c r="QWF119" s="2"/>
      <c r="QWG119" s="2"/>
      <c r="QWH119" s="2"/>
      <c r="QWI119" s="2"/>
      <c r="QWJ119" s="2"/>
      <c r="QWK119" s="2"/>
      <c r="QWL119" s="2"/>
      <c r="QWM119" s="2"/>
      <c r="QWN119" s="2"/>
      <c r="QWO119" s="2"/>
      <c r="QWP119" s="2"/>
      <c r="QWQ119" s="2"/>
      <c r="QWR119" s="2"/>
      <c r="QWS119" s="2"/>
      <c r="QWT119" s="2"/>
      <c r="QWU119" s="2"/>
      <c r="QWV119" s="2"/>
      <c r="QWW119" s="2"/>
      <c r="QWX119" s="2"/>
      <c r="QWY119" s="2"/>
      <c r="QWZ119" s="2"/>
      <c r="QXA119" s="2"/>
      <c r="QXB119" s="2"/>
      <c r="QXC119" s="2"/>
      <c r="QXD119" s="2"/>
      <c r="QXE119" s="2"/>
      <c r="QXF119" s="2"/>
      <c r="QXG119" s="2"/>
      <c r="QXH119" s="2"/>
      <c r="QXI119" s="2"/>
      <c r="QXJ119" s="2"/>
      <c r="QXK119" s="2"/>
      <c r="QXL119" s="2"/>
      <c r="QXM119" s="2"/>
      <c r="QXN119" s="2"/>
      <c r="QXO119" s="2"/>
      <c r="QXP119" s="2"/>
      <c r="QXQ119" s="2"/>
      <c r="QXR119" s="2"/>
      <c r="QXS119" s="2"/>
      <c r="QXT119" s="2"/>
      <c r="QXU119" s="2"/>
      <c r="QXV119" s="2"/>
      <c r="QXW119" s="2"/>
      <c r="QXX119" s="2"/>
      <c r="QXY119" s="2"/>
      <c r="QXZ119" s="2"/>
      <c r="QYA119" s="2"/>
      <c r="QYB119" s="2"/>
      <c r="QYC119" s="2"/>
      <c r="QYD119" s="2"/>
      <c r="QYE119" s="2"/>
      <c r="QYF119" s="2"/>
      <c r="QYG119" s="2"/>
      <c r="QYH119" s="2"/>
      <c r="QYI119" s="2"/>
      <c r="QYJ119" s="2"/>
      <c r="QYK119" s="2"/>
      <c r="QYL119" s="2"/>
      <c r="QYM119" s="2"/>
      <c r="QYN119" s="2"/>
      <c r="QYO119" s="2"/>
      <c r="QYP119" s="2"/>
      <c r="QYQ119" s="2"/>
      <c r="QYR119" s="2"/>
      <c r="QYS119" s="2"/>
      <c r="QYT119" s="2"/>
      <c r="QYU119" s="2"/>
      <c r="QYV119" s="2"/>
      <c r="QYW119" s="2"/>
      <c r="QYX119" s="2"/>
      <c r="QYY119" s="2"/>
      <c r="QYZ119" s="2"/>
      <c r="QZA119" s="2"/>
      <c r="QZB119" s="2"/>
      <c r="QZC119" s="2"/>
      <c r="QZD119" s="2"/>
      <c r="QZE119" s="2"/>
      <c r="QZF119" s="2"/>
      <c r="QZG119" s="2"/>
      <c r="QZH119" s="2"/>
      <c r="QZI119" s="2"/>
      <c r="QZJ119" s="2"/>
      <c r="QZK119" s="2"/>
      <c r="QZL119" s="2"/>
      <c r="QZM119" s="2"/>
      <c r="QZN119" s="2"/>
      <c r="QZO119" s="2"/>
      <c r="QZP119" s="2"/>
      <c r="QZQ119" s="2"/>
      <c r="QZR119" s="2"/>
      <c r="QZS119" s="2"/>
      <c r="QZT119" s="2"/>
      <c r="QZU119" s="2"/>
      <c r="QZV119" s="2"/>
      <c r="QZW119" s="2"/>
      <c r="QZX119" s="2"/>
      <c r="QZY119" s="2"/>
      <c r="QZZ119" s="2"/>
      <c r="RAA119" s="2"/>
      <c r="RAB119" s="2"/>
      <c r="RAC119" s="2"/>
      <c r="RAD119" s="2"/>
      <c r="RAE119" s="2"/>
      <c r="RAF119" s="2"/>
      <c r="RAG119" s="2"/>
      <c r="RAH119" s="2"/>
      <c r="RAI119" s="2"/>
      <c r="RAJ119" s="2"/>
      <c r="RAK119" s="2"/>
      <c r="RAL119" s="2"/>
      <c r="RAM119" s="2"/>
      <c r="RAN119" s="2"/>
      <c r="RAO119" s="2"/>
      <c r="RAP119" s="2"/>
      <c r="RAQ119" s="2"/>
      <c r="RAR119" s="2"/>
      <c r="RAS119" s="2"/>
      <c r="RAT119" s="2"/>
      <c r="RAU119" s="2"/>
      <c r="RAV119" s="2"/>
      <c r="RAW119" s="2"/>
      <c r="RAX119" s="2"/>
      <c r="RAY119" s="2"/>
      <c r="RAZ119" s="2"/>
      <c r="RBA119" s="2"/>
      <c r="RBB119" s="2"/>
      <c r="RBC119" s="2"/>
      <c r="RBD119" s="2"/>
      <c r="RBE119" s="2"/>
      <c r="RBF119" s="2"/>
      <c r="RBG119" s="2"/>
      <c r="RBH119" s="2"/>
      <c r="RBI119" s="2"/>
      <c r="RBJ119" s="2"/>
      <c r="RBK119" s="2"/>
      <c r="RBL119" s="2"/>
      <c r="RBM119" s="2"/>
      <c r="RBN119" s="2"/>
      <c r="RBO119" s="2"/>
      <c r="RBP119" s="2"/>
      <c r="RBQ119" s="2"/>
      <c r="RBR119" s="2"/>
      <c r="RBS119" s="2"/>
      <c r="RBT119" s="2"/>
      <c r="RBU119" s="2"/>
      <c r="RBV119" s="2"/>
      <c r="RBW119" s="2"/>
      <c r="RBX119" s="2"/>
      <c r="RBY119" s="2"/>
      <c r="RBZ119" s="2"/>
      <c r="RCA119" s="2"/>
      <c r="RCB119" s="2"/>
      <c r="RCC119" s="2"/>
      <c r="RCD119" s="2"/>
      <c r="RCE119" s="2"/>
      <c r="RCF119" s="2"/>
      <c r="RCG119" s="2"/>
      <c r="RCH119" s="2"/>
      <c r="RCI119" s="2"/>
      <c r="RCJ119" s="2"/>
      <c r="RCK119" s="2"/>
      <c r="RCL119" s="2"/>
      <c r="RCM119" s="2"/>
      <c r="RCN119" s="2"/>
      <c r="RCO119" s="2"/>
      <c r="RCP119" s="2"/>
      <c r="RCQ119" s="2"/>
      <c r="RCR119" s="2"/>
      <c r="RCS119" s="2"/>
      <c r="RCT119" s="2"/>
      <c r="RCU119" s="2"/>
      <c r="RCV119" s="2"/>
      <c r="RCW119" s="2"/>
      <c r="RCX119" s="2"/>
      <c r="RCY119" s="2"/>
      <c r="RCZ119" s="2"/>
      <c r="RDA119" s="2"/>
      <c r="RDB119" s="2"/>
      <c r="RDC119" s="2"/>
      <c r="RDD119" s="2"/>
      <c r="RDE119" s="2"/>
      <c r="RDF119" s="2"/>
      <c r="RDG119" s="2"/>
      <c r="RDH119" s="2"/>
      <c r="RDI119" s="2"/>
      <c r="RDJ119" s="2"/>
      <c r="RDK119" s="2"/>
      <c r="RDL119" s="2"/>
      <c r="RDM119" s="2"/>
      <c r="RDN119" s="2"/>
      <c r="RDO119" s="2"/>
      <c r="RDP119" s="2"/>
      <c r="RDQ119" s="2"/>
      <c r="RDR119" s="2"/>
      <c r="RDS119" s="2"/>
      <c r="RDT119" s="2"/>
      <c r="RDU119" s="2"/>
      <c r="RDV119" s="2"/>
      <c r="RDW119" s="2"/>
      <c r="RDX119" s="2"/>
      <c r="RDY119" s="2"/>
      <c r="RDZ119" s="2"/>
      <c r="REA119" s="2"/>
      <c r="REB119" s="2"/>
      <c r="REC119" s="2"/>
      <c r="RED119" s="2"/>
      <c r="REE119" s="2"/>
      <c r="REF119" s="2"/>
      <c r="REG119" s="2"/>
      <c r="REH119" s="2"/>
      <c r="REI119" s="2"/>
      <c r="REJ119" s="2"/>
      <c r="REK119" s="2"/>
      <c r="REL119" s="2"/>
      <c r="REM119" s="2"/>
      <c r="REN119" s="2"/>
      <c r="REO119" s="2"/>
      <c r="REP119" s="2"/>
      <c r="REQ119" s="2"/>
      <c r="RER119" s="2"/>
      <c r="RES119" s="2"/>
      <c r="RET119" s="2"/>
      <c r="REU119" s="2"/>
      <c r="REV119" s="2"/>
      <c r="REW119" s="2"/>
      <c r="REX119" s="2"/>
      <c r="REY119" s="2"/>
      <c r="REZ119" s="2"/>
      <c r="RFA119" s="2"/>
      <c r="RFB119" s="2"/>
      <c r="RFC119" s="2"/>
      <c r="RFD119" s="2"/>
      <c r="RFE119" s="2"/>
      <c r="RFF119" s="2"/>
      <c r="RFG119" s="2"/>
      <c r="RFH119" s="2"/>
      <c r="RFI119" s="2"/>
      <c r="RFJ119" s="2"/>
      <c r="RFK119" s="2"/>
      <c r="RFL119" s="2"/>
      <c r="RFM119" s="2"/>
      <c r="RFN119" s="2"/>
      <c r="RFO119" s="2"/>
      <c r="RFP119" s="2"/>
      <c r="RFQ119" s="2"/>
      <c r="RFR119" s="2"/>
      <c r="RFS119" s="2"/>
      <c r="RFT119" s="2"/>
      <c r="RFU119" s="2"/>
      <c r="RFV119" s="2"/>
      <c r="RFW119" s="2"/>
      <c r="RFX119" s="2"/>
      <c r="RFY119" s="2"/>
      <c r="RFZ119" s="2"/>
      <c r="RGA119" s="2"/>
      <c r="RGB119" s="2"/>
      <c r="RGC119" s="2"/>
      <c r="RGD119" s="2"/>
      <c r="RGE119" s="2"/>
      <c r="RGF119" s="2"/>
      <c r="RGG119" s="2"/>
      <c r="RGH119" s="2"/>
      <c r="RGI119" s="2"/>
      <c r="RGJ119" s="2"/>
      <c r="RGK119" s="2"/>
      <c r="RGL119" s="2"/>
      <c r="RGM119" s="2"/>
      <c r="RGN119" s="2"/>
      <c r="RGO119" s="2"/>
      <c r="RGP119" s="2"/>
      <c r="RGQ119" s="2"/>
      <c r="RGR119" s="2"/>
      <c r="RGS119" s="2"/>
      <c r="RGT119" s="2"/>
      <c r="RGU119" s="2"/>
      <c r="RGV119" s="2"/>
      <c r="RGW119" s="2"/>
      <c r="RGX119" s="2"/>
      <c r="RGY119" s="2"/>
      <c r="RGZ119" s="2"/>
      <c r="RHA119" s="2"/>
      <c r="RHB119" s="2"/>
      <c r="RHC119" s="2"/>
      <c r="RHD119" s="2"/>
      <c r="RHE119" s="2"/>
      <c r="RHF119" s="2"/>
      <c r="RHG119" s="2"/>
      <c r="RHH119" s="2"/>
      <c r="RHI119" s="2"/>
      <c r="RHJ119" s="2"/>
      <c r="RHK119" s="2"/>
      <c r="RHL119" s="2"/>
      <c r="RHM119" s="2"/>
      <c r="RHN119" s="2"/>
      <c r="RHO119" s="2"/>
      <c r="RHP119" s="2"/>
      <c r="RHQ119" s="2"/>
      <c r="RHR119" s="2"/>
      <c r="RHS119" s="2"/>
      <c r="RHT119" s="2"/>
      <c r="RHU119" s="2"/>
      <c r="RHV119" s="2"/>
      <c r="RHW119" s="2"/>
      <c r="RHX119" s="2"/>
      <c r="RHY119" s="2"/>
      <c r="RHZ119" s="2"/>
      <c r="RIA119" s="2"/>
      <c r="RIB119" s="2"/>
      <c r="RIC119" s="2"/>
      <c r="RID119" s="2"/>
      <c r="RIE119" s="2"/>
      <c r="RIF119" s="2"/>
      <c r="RIG119" s="2"/>
      <c r="RIH119" s="2"/>
      <c r="RII119" s="2"/>
      <c r="RIJ119" s="2"/>
      <c r="RIK119" s="2"/>
      <c r="RIL119" s="2"/>
      <c r="RIM119" s="2"/>
      <c r="RIN119" s="2"/>
      <c r="RIO119" s="2"/>
      <c r="RIP119" s="2"/>
      <c r="RIQ119" s="2"/>
      <c r="RIR119" s="2"/>
      <c r="RIS119" s="2"/>
      <c r="RIT119" s="2"/>
      <c r="RIU119" s="2"/>
      <c r="RIV119" s="2"/>
      <c r="RIW119" s="2"/>
      <c r="RIX119" s="2"/>
      <c r="RIY119" s="2"/>
      <c r="RIZ119" s="2"/>
      <c r="RJA119" s="2"/>
      <c r="RJB119" s="2"/>
      <c r="RJC119" s="2"/>
      <c r="RJD119" s="2"/>
      <c r="RJE119" s="2"/>
      <c r="RJF119" s="2"/>
      <c r="RJG119" s="2"/>
      <c r="RJH119" s="2"/>
      <c r="RJI119" s="2"/>
      <c r="RJJ119" s="2"/>
      <c r="RJK119" s="2"/>
      <c r="RJL119" s="2"/>
      <c r="RJM119" s="2"/>
      <c r="RJN119" s="2"/>
      <c r="RJO119" s="2"/>
      <c r="RJP119" s="2"/>
      <c r="RJQ119" s="2"/>
      <c r="RJR119" s="2"/>
      <c r="RJS119" s="2"/>
      <c r="RJT119" s="2"/>
      <c r="RJU119" s="2"/>
      <c r="RJV119" s="2"/>
      <c r="RJW119" s="2"/>
      <c r="RJX119" s="2"/>
      <c r="RJY119" s="2"/>
      <c r="RJZ119" s="2"/>
      <c r="RKA119" s="2"/>
      <c r="RKB119" s="2"/>
      <c r="RKC119" s="2"/>
      <c r="RKD119" s="2"/>
      <c r="RKE119" s="2"/>
      <c r="RKF119" s="2"/>
      <c r="RKG119" s="2"/>
      <c r="RKH119" s="2"/>
      <c r="RKI119" s="2"/>
      <c r="RKJ119" s="2"/>
      <c r="RKK119" s="2"/>
      <c r="RKL119" s="2"/>
      <c r="RKM119" s="2"/>
      <c r="RKN119" s="2"/>
      <c r="RKO119" s="2"/>
      <c r="RKP119" s="2"/>
      <c r="RKQ119" s="2"/>
      <c r="RKR119" s="2"/>
      <c r="RKS119" s="2"/>
      <c r="RKT119" s="2"/>
      <c r="RKU119" s="2"/>
      <c r="RKV119" s="2"/>
      <c r="RKW119" s="2"/>
      <c r="RKX119" s="2"/>
      <c r="RKY119" s="2"/>
      <c r="RKZ119" s="2"/>
      <c r="RLA119" s="2"/>
      <c r="RLB119" s="2"/>
      <c r="RLC119" s="2"/>
      <c r="RLD119" s="2"/>
      <c r="RLE119" s="2"/>
      <c r="RLF119" s="2"/>
      <c r="RLG119" s="2"/>
      <c r="RLH119" s="2"/>
      <c r="RLI119" s="2"/>
      <c r="RLJ119" s="2"/>
      <c r="RLK119" s="2"/>
      <c r="RLL119" s="2"/>
      <c r="RLM119" s="2"/>
      <c r="RLN119" s="2"/>
      <c r="RLO119" s="2"/>
      <c r="RLP119" s="2"/>
      <c r="RLQ119" s="2"/>
      <c r="RLR119" s="2"/>
      <c r="RLS119" s="2"/>
      <c r="RLT119" s="2"/>
      <c r="RLU119" s="2"/>
      <c r="RLV119" s="2"/>
      <c r="RLW119" s="2"/>
      <c r="RLX119" s="2"/>
      <c r="RLY119" s="2"/>
      <c r="RLZ119" s="2"/>
      <c r="RMA119" s="2"/>
      <c r="RMB119" s="2"/>
      <c r="RMC119" s="2"/>
      <c r="RMD119" s="2"/>
      <c r="RME119" s="2"/>
      <c r="RMF119" s="2"/>
      <c r="RMG119" s="2"/>
      <c r="RMH119" s="2"/>
      <c r="RMI119" s="2"/>
      <c r="RMJ119" s="2"/>
      <c r="RMK119" s="2"/>
      <c r="RML119" s="2"/>
      <c r="RMM119" s="2"/>
      <c r="RMN119" s="2"/>
      <c r="RMO119" s="2"/>
      <c r="RMP119" s="2"/>
      <c r="RMQ119" s="2"/>
      <c r="RMR119" s="2"/>
      <c r="RMS119" s="2"/>
      <c r="RMT119" s="2"/>
      <c r="RMU119" s="2"/>
      <c r="RMV119" s="2"/>
      <c r="RMW119" s="2"/>
      <c r="RMX119" s="2"/>
      <c r="RMY119" s="2"/>
      <c r="RMZ119" s="2"/>
      <c r="RNA119" s="2"/>
      <c r="RNB119" s="2"/>
      <c r="RNC119" s="2"/>
      <c r="RND119" s="2"/>
      <c r="RNE119" s="2"/>
      <c r="RNF119" s="2"/>
      <c r="RNG119" s="2"/>
      <c r="RNH119" s="2"/>
      <c r="RNI119" s="2"/>
      <c r="RNJ119" s="2"/>
      <c r="RNK119" s="2"/>
      <c r="RNL119" s="2"/>
      <c r="RNM119" s="2"/>
      <c r="RNN119" s="2"/>
      <c r="RNO119" s="2"/>
      <c r="RNP119" s="2"/>
      <c r="RNQ119" s="2"/>
      <c r="RNR119" s="2"/>
      <c r="RNS119" s="2"/>
      <c r="RNT119" s="2"/>
      <c r="RNU119" s="2"/>
      <c r="RNV119" s="2"/>
      <c r="RNW119" s="2"/>
      <c r="RNX119" s="2"/>
      <c r="RNY119" s="2"/>
      <c r="RNZ119" s="2"/>
      <c r="ROA119" s="2"/>
      <c r="ROB119" s="2"/>
      <c r="ROC119" s="2"/>
      <c r="ROD119" s="2"/>
      <c r="ROE119" s="2"/>
      <c r="ROF119" s="2"/>
      <c r="ROG119" s="2"/>
      <c r="ROH119" s="2"/>
      <c r="ROI119" s="2"/>
      <c r="ROJ119" s="2"/>
      <c r="ROK119" s="2"/>
      <c r="ROL119" s="2"/>
      <c r="ROM119" s="2"/>
      <c r="RON119" s="2"/>
      <c r="ROO119" s="2"/>
      <c r="ROP119" s="2"/>
      <c r="ROQ119" s="2"/>
      <c r="ROR119" s="2"/>
      <c r="ROS119" s="2"/>
      <c r="ROT119" s="2"/>
      <c r="ROU119" s="2"/>
      <c r="ROV119" s="2"/>
      <c r="ROW119" s="2"/>
      <c r="ROX119" s="2"/>
      <c r="ROY119" s="2"/>
      <c r="ROZ119" s="2"/>
      <c r="RPA119" s="2"/>
      <c r="RPB119" s="2"/>
      <c r="RPC119" s="2"/>
      <c r="RPD119" s="2"/>
      <c r="RPE119" s="2"/>
      <c r="RPF119" s="2"/>
      <c r="RPG119" s="2"/>
      <c r="RPH119" s="2"/>
      <c r="RPI119" s="2"/>
      <c r="RPJ119" s="2"/>
      <c r="RPK119" s="2"/>
      <c r="RPL119" s="2"/>
      <c r="RPM119" s="2"/>
      <c r="RPN119" s="2"/>
      <c r="RPO119" s="2"/>
      <c r="RPP119" s="2"/>
      <c r="RPQ119" s="2"/>
      <c r="RPR119" s="2"/>
      <c r="RPS119" s="2"/>
      <c r="RPT119" s="2"/>
      <c r="RPU119" s="2"/>
      <c r="RPV119" s="2"/>
      <c r="RPW119" s="2"/>
      <c r="RPX119" s="2"/>
      <c r="RPY119" s="2"/>
      <c r="RPZ119" s="2"/>
      <c r="RQA119" s="2"/>
      <c r="RQB119" s="2"/>
      <c r="RQC119" s="2"/>
      <c r="RQD119" s="2"/>
      <c r="RQE119" s="2"/>
      <c r="RQF119" s="2"/>
      <c r="RQG119" s="2"/>
      <c r="RQH119" s="2"/>
      <c r="RQI119" s="2"/>
      <c r="RQJ119" s="2"/>
      <c r="RQK119" s="2"/>
      <c r="RQL119" s="2"/>
      <c r="RQM119" s="2"/>
      <c r="RQN119" s="2"/>
      <c r="RQO119" s="2"/>
      <c r="RQP119" s="2"/>
      <c r="RQQ119" s="2"/>
      <c r="RQR119" s="2"/>
      <c r="RQS119" s="2"/>
      <c r="RQT119" s="2"/>
      <c r="RQU119" s="2"/>
      <c r="RQV119" s="2"/>
      <c r="RQW119" s="2"/>
      <c r="RQX119" s="2"/>
      <c r="RQY119" s="2"/>
      <c r="RQZ119" s="2"/>
      <c r="RRA119" s="2"/>
      <c r="RRB119" s="2"/>
      <c r="RRC119" s="2"/>
      <c r="RRD119" s="2"/>
      <c r="RRE119" s="2"/>
      <c r="RRF119" s="2"/>
      <c r="RRG119" s="2"/>
      <c r="RRH119" s="2"/>
      <c r="RRI119" s="2"/>
      <c r="RRJ119" s="2"/>
      <c r="RRK119" s="2"/>
      <c r="RRL119" s="2"/>
      <c r="RRM119" s="2"/>
      <c r="RRN119" s="2"/>
      <c r="RRO119" s="2"/>
      <c r="RRP119" s="2"/>
      <c r="RRQ119" s="2"/>
      <c r="RRR119" s="2"/>
      <c r="RRS119" s="2"/>
      <c r="RRT119" s="2"/>
      <c r="RRU119" s="2"/>
      <c r="RRV119" s="2"/>
      <c r="RRW119" s="2"/>
      <c r="RRX119" s="2"/>
      <c r="RRY119" s="2"/>
      <c r="RRZ119" s="2"/>
      <c r="RSA119" s="2"/>
      <c r="RSB119" s="2"/>
      <c r="RSC119" s="2"/>
      <c r="RSD119" s="2"/>
      <c r="RSE119" s="2"/>
      <c r="RSF119" s="2"/>
      <c r="RSG119" s="2"/>
      <c r="RSH119" s="2"/>
      <c r="RSI119" s="2"/>
      <c r="RSJ119" s="2"/>
      <c r="RSK119" s="2"/>
      <c r="RSL119" s="2"/>
      <c r="RSM119" s="2"/>
      <c r="RSN119" s="2"/>
      <c r="RSO119" s="2"/>
      <c r="RSP119" s="2"/>
      <c r="RSQ119" s="2"/>
      <c r="RSR119" s="2"/>
      <c r="RSS119" s="2"/>
      <c r="RST119" s="2"/>
      <c r="RSU119" s="2"/>
      <c r="RSV119" s="2"/>
      <c r="RSW119" s="2"/>
      <c r="RSX119" s="2"/>
      <c r="RSY119" s="2"/>
      <c r="RSZ119" s="2"/>
      <c r="RTA119" s="2"/>
      <c r="RTB119" s="2"/>
      <c r="RTC119" s="2"/>
      <c r="RTD119" s="2"/>
      <c r="RTE119" s="2"/>
      <c r="RTF119" s="2"/>
      <c r="RTG119" s="2"/>
      <c r="RTH119" s="2"/>
      <c r="RTI119" s="2"/>
      <c r="RTJ119" s="2"/>
      <c r="RTK119" s="2"/>
      <c r="RTL119" s="2"/>
      <c r="RTM119" s="2"/>
      <c r="RTN119" s="2"/>
      <c r="RTO119" s="2"/>
      <c r="RTP119" s="2"/>
      <c r="RTQ119" s="2"/>
      <c r="RTR119" s="2"/>
      <c r="RTS119" s="2"/>
      <c r="RTT119" s="2"/>
      <c r="RTU119" s="2"/>
      <c r="RTV119" s="2"/>
      <c r="RTW119" s="2"/>
      <c r="RTX119" s="2"/>
      <c r="RTY119" s="2"/>
      <c r="RTZ119" s="2"/>
      <c r="RUA119" s="2"/>
      <c r="RUB119" s="2"/>
      <c r="RUC119" s="2"/>
      <c r="RUD119" s="2"/>
      <c r="RUE119" s="2"/>
      <c r="RUF119" s="2"/>
      <c r="RUG119" s="2"/>
      <c r="RUH119" s="2"/>
      <c r="RUI119" s="2"/>
      <c r="RUJ119" s="2"/>
      <c r="RUK119" s="2"/>
      <c r="RUL119" s="2"/>
      <c r="RUM119" s="2"/>
      <c r="RUN119" s="2"/>
      <c r="RUO119" s="2"/>
      <c r="RUP119" s="2"/>
      <c r="RUQ119" s="2"/>
      <c r="RUR119" s="2"/>
      <c r="RUS119" s="2"/>
      <c r="RUT119" s="2"/>
      <c r="RUU119" s="2"/>
      <c r="RUV119" s="2"/>
      <c r="RUW119" s="2"/>
      <c r="RUX119" s="2"/>
      <c r="RUY119" s="2"/>
      <c r="RUZ119" s="2"/>
      <c r="RVA119" s="2"/>
      <c r="RVB119" s="2"/>
      <c r="RVC119" s="2"/>
      <c r="RVD119" s="2"/>
      <c r="RVE119" s="2"/>
      <c r="RVF119" s="2"/>
      <c r="RVG119" s="2"/>
      <c r="RVH119" s="2"/>
      <c r="RVI119" s="2"/>
      <c r="RVJ119" s="2"/>
      <c r="RVK119" s="2"/>
      <c r="RVL119" s="2"/>
      <c r="RVM119" s="2"/>
      <c r="RVN119" s="2"/>
      <c r="RVO119" s="2"/>
      <c r="RVP119" s="2"/>
      <c r="RVQ119" s="2"/>
      <c r="RVR119" s="2"/>
      <c r="RVS119" s="2"/>
      <c r="RVT119" s="2"/>
      <c r="RVU119" s="2"/>
      <c r="RVV119" s="2"/>
      <c r="RVW119" s="2"/>
      <c r="RVX119" s="2"/>
      <c r="RVY119" s="2"/>
      <c r="RVZ119" s="2"/>
      <c r="RWA119" s="2"/>
      <c r="RWB119" s="2"/>
      <c r="RWC119" s="2"/>
      <c r="RWD119" s="2"/>
      <c r="RWE119" s="2"/>
      <c r="RWF119" s="2"/>
      <c r="RWG119" s="2"/>
      <c r="RWH119" s="2"/>
      <c r="RWI119" s="2"/>
      <c r="RWJ119" s="2"/>
      <c r="RWK119" s="2"/>
      <c r="RWL119" s="2"/>
      <c r="RWM119" s="2"/>
      <c r="RWN119" s="2"/>
      <c r="RWO119" s="2"/>
      <c r="RWP119" s="2"/>
      <c r="RWQ119" s="2"/>
      <c r="RWR119" s="2"/>
      <c r="RWS119" s="2"/>
      <c r="RWT119" s="2"/>
      <c r="RWU119" s="2"/>
      <c r="RWV119" s="2"/>
      <c r="RWW119" s="2"/>
      <c r="RWX119" s="2"/>
      <c r="RWY119" s="2"/>
      <c r="RWZ119" s="2"/>
      <c r="RXA119" s="2"/>
      <c r="RXB119" s="2"/>
      <c r="RXC119" s="2"/>
      <c r="RXD119" s="2"/>
      <c r="RXE119" s="2"/>
      <c r="RXF119" s="2"/>
      <c r="RXG119" s="2"/>
      <c r="RXH119" s="2"/>
      <c r="RXI119" s="2"/>
      <c r="RXJ119" s="2"/>
      <c r="RXK119" s="2"/>
      <c r="RXL119" s="2"/>
      <c r="RXM119" s="2"/>
      <c r="RXN119" s="2"/>
      <c r="RXO119" s="2"/>
      <c r="RXP119" s="2"/>
      <c r="RXQ119" s="2"/>
      <c r="RXR119" s="2"/>
      <c r="RXS119" s="2"/>
      <c r="RXT119" s="2"/>
      <c r="RXU119" s="2"/>
      <c r="RXV119" s="2"/>
      <c r="RXW119" s="2"/>
      <c r="RXX119" s="2"/>
      <c r="RXY119" s="2"/>
      <c r="RXZ119" s="2"/>
      <c r="RYA119" s="2"/>
      <c r="RYB119" s="2"/>
      <c r="RYC119" s="2"/>
      <c r="RYD119" s="2"/>
      <c r="RYE119" s="2"/>
      <c r="RYF119" s="2"/>
      <c r="RYG119" s="2"/>
      <c r="RYH119" s="2"/>
      <c r="RYI119" s="2"/>
      <c r="RYJ119" s="2"/>
      <c r="RYK119" s="2"/>
      <c r="RYL119" s="2"/>
      <c r="RYM119" s="2"/>
      <c r="RYN119" s="2"/>
      <c r="RYO119" s="2"/>
      <c r="RYP119" s="2"/>
      <c r="RYQ119" s="2"/>
      <c r="RYR119" s="2"/>
      <c r="RYS119" s="2"/>
      <c r="RYT119" s="2"/>
      <c r="RYU119" s="2"/>
      <c r="RYV119" s="2"/>
      <c r="RYW119" s="2"/>
      <c r="RYX119" s="2"/>
      <c r="RYY119" s="2"/>
      <c r="RYZ119" s="2"/>
      <c r="RZA119" s="2"/>
      <c r="RZB119" s="2"/>
      <c r="RZC119" s="2"/>
      <c r="RZD119" s="2"/>
      <c r="RZE119" s="2"/>
      <c r="RZF119" s="2"/>
      <c r="RZG119" s="2"/>
      <c r="RZH119" s="2"/>
      <c r="RZI119" s="2"/>
      <c r="RZJ119" s="2"/>
      <c r="RZK119" s="2"/>
      <c r="RZL119" s="2"/>
      <c r="RZM119" s="2"/>
      <c r="RZN119" s="2"/>
      <c r="RZO119" s="2"/>
      <c r="RZP119" s="2"/>
      <c r="RZQ119" s="2"/>
      <c r="RZR119" s="2"/>
      <c r="RZS119" s="2"/>
      <c r="RZT119" s="2"/>
      <c r="RZU119" s="2"/>
      <c r="RZV119" s="2"/>
      <c r="RZW119" s="2"/>
      <c r="RZX119" s="2"/>
      <c r="RZY119" s="2"/>
      <c r="RZZ119" s="2"/>
      <c r="SAA119" s="2"/>
      <c r="SAB119" s="2"/>
      <c r="SAC119" s="2"/>
      <c r="SAD119" s="2"/>
      <c r="SAE119" s="2"/>
      <c r="SAF119" s="2"/>
      <c r="SAG119" s="2"/>
      <c r="SAH119" s="2"/>
      <c r="SAI119" s="2"/>
      <c r="SAJ119" s="2"/>
      <c r="SAK119" s="2"/>
      <c r="SAL119" s="2"/>
      <c r="SAM119" s="2"/>
      <c r="SAN119" s="2"/>
      <c r="SAO119" s="2"/>
      <c r="SAP119" s="2"/>
      <c r="SAQ119" s="2"/>
      <c r="SAR119" s="2"/>
      <c r="SAS119" s="2"/>
      <c r="SAT119" s="2"/>
      <c r="SAU119" s="2"/>
      <c r="SAV119" s="2"/>
      <c r="SAW119" s="2"/>
      <c r="SAX119" s="2"/>
      <c r="SAY119" s="2"/>
      <c r="SAZ119" s="2"/>
      <c r="SBA119" s="2"/>
      <c r="SBB119" s="2"/>
      <c r="SBC119" s="2"/>
      <c r="SBD119" s="2"/>
      <c r="SBE119" s="2"/>
      <c r="SBF119" s="2"/>
      <c r="SBG119" s="2"/>
      <c r="SBH119" s="2"/>
      <c r="SBI119" s="2"/>
      <c r="SBJ119" s="2"/>
      <c r="SBK119" s="2"/>
      <c r="SBL119" s="2"/>
      <c r="SBM119" s="2"/>
      <c r="SBN119" s="2"/>
      <c r="SBO119" s="2"/>
      <c r="SBP119" s="2"/>
      <c r="SBQ119" s="2"/>
      <c r="SBR119" s="2"/>
      <c r="SBS119" s="2"/>
      <c r="SBT119" s="2"/>
      <c r="SBU119" s="2"/>
      <c r="SBV119" s="2"/>
      <c r="SBW119" s="2"/>
      <c r="SBX119" s="2"/>
      <c r="SBY119" s="2"/>
      <c r="SBZ119" s="2"/>
      <c r="SCA119" s="2"/>
      <c r="SCB119" s="2"/>
      <c r="SCC119" s="2"/>
      <c r="SCD119" s="2"/>
      <c r="SCE119" s="2"/>
      <c r="SCF119" s="2"/>
      <c r="SCG119" s="2"/>
      <c r="SCH119" s="2"/>
      <c r="SCI119" s="2"/>
      <c r="SCJ119" s="2"/>
      <c r="SCK119" s="2"/>
      <c r="SCL119" s="2"/>
      <c r="SCM119" s="2"/>
      <c r="SCN119" s="2"/>
      <c r="SCO119" s="2"/>
      <c r="SCP119" s="2"/>
      <c r="SCQ119" s="2"/>
      <c r="SCR119" s="2"/>
      <c r="SCS119" s="2"/>
      <c r="SCT119" s="2"/>
      <c r="SCU119" s="2"/>
      <c r="SCV119" s="2"/>
      <c r="SCW119" s="2"/>
      <c r="SCX119" s="2"/>
      <c r="SCY119" s="2"/>
      <c r="SCZ119" s="2"/>
      <c r="SDA119" s="2"/>
      <c r="SDB119" s="2"/>
      <c r="SDC119" s="2"/>
      <c r="SDD119" s="2"/>
      <c r="SDE119" s="2"/>
      <c r="SDF119" s="2"/>
      <c r="SDG119" s="2"/>
      <c r="SDH119" s="2"/>
      <c r="SDI119" s="2"/>
      <c r="SDJ119" s="2"/>
      <c r="SDK119" s="2"/>
      <c r="SDL119" s="2"/>
      <c r="SDM119" s="2"/>
      <c r="SDN119" s="2"/>
      <c r="SDO119" s="2"/>
      <c r="SDP119" s="2"/>
      <c r="SDQ119" s="2"/>
      <c r="SDR119" s="2"/>
      <c r="SDS119" s="2"/>
      <c r="SDT119" s="2"/>
      <c r="SDU119" s="2"/>
      <c r="SDV119" s="2"/>
      <c r="SDW119" s="2"/>
      <c r="SDX119" s="2"/>
      <c r="SDY119" s="2"/>
      <c r="SDZ119" s="2"/>
      <c r="SEA119" s="2"/>
      <c r="SEB119" s="2"/>
      <c r="SEC119" s="2"/>
      <c r="SED119" s="2"/>
      <c r="SEE119" s="2"/>
      <c r="SEF119" s="2"/>
      <c r="SEG119" s="2"/>
      <c r="SEH119" s="2"/>
      <c r="SEI119" s="2"/>
      <c r="SEJ119" s="2"/>
      <c r="SEK119" s="2"/>
      <c r="SEL119" s="2"/>
      <c r="SEM119" s="2"/>
      <c r="SEN119" s="2"/>
      <c r="SEO119" s="2"/>
      <c r="SEP119" s="2"/>
      <c r="SEQ119" s="2"/>
      <c r="SER119" s="2"/>
      <c r="SES119" s="2"/>
      <c r="SET119" s="2"/>
      <c r="SEU119" s="2"/>
      <c r="SEV119" s="2"/>
      <c r="SEW119" s="2"/>
      <c r="SEX119" s="2"/>
      <c r="SEY119" s="2"/>
      <c r="SEZ119" s="2"/>
      <c r="SFA119" s="2"/>
      <c r="SFB119" s="2"/>
      <c r="SFC119" s="2"/>
      <c r="SFD119" s="2"/>
      <c r="SFE119" s="2"/>
      <c r="SFF119" s="2"/>
      <c r="SFG119" s="2"/>
      <c r="SFH119" s="2"/>
      <c r="SFI119" s="2"/>
      <c r="SFJ119" s="2"/>
      <c r="SFK119" s="2"/>
      <c r="SFL119" s="2"/>
      <c r="SFM119" s="2"/>
      <c r="SFN119" s="2"/>
      <c r="SFO119" s="2"/>
      <c r="SFP119" s="2"/>
      <c r="SFQ119" s="2"/>
      <c r="SFR119" s="2"/>
      <c r="SFS119" s="2"/>
      <c r="SFT119" s="2"/>
      <c r="SFU119" s="2"/>
      <c r="SFV119" s="2"/>
      <c r="SFW119" s="2"/>
      <c r="SFX119" s="2"/>
      <c r="SFY119" s="2"/>
      <c r="SFZ119" s="2"/>
      <c r="SGA119" s="2"/>
      <c r="SGB119" s="2"/>
      <c r="SGC119" s="2"/>
      <c r="SGD119" s="2"/>
      <c r="SGE119" s="2"/>
      <c r="SGF119" s="2"/>
      <c r="SGG119" s="2"/>
      <c r="SGH119" s="2"/>
      <c r="SGI119" s="2"/>
      <c r="SGJ119" s="2"/>
      <c r="SGK119" s="2"/>
      <c r="SGL119" s="2"/>
      <c r="SGM119" s="2"/>
      <c r="SGN119" s="2"/>
      <c r="SGO119" s="2"/>
      <c r="SGP119" s="2"/>
      <c r="SGQ119" s="2"/>
      <c r="SGR119" s="2"/>
      <c r="SGS119" s="2"/>
      <c r="SGT119" s="2"/>
      <c r="SGU119" s="2"/>
      <c r="SGV119" s="2"/>
      <c r="SGW119" s="2"/>
      <c r="SGX119" s="2"/>
      <c r="SGY119" s="2"/>
      <c r="SGZ119" s="2"/>
      <c r="SHA119" s="2"/>
      <c r="SHB119" s="2"/>
      <c r="SHC119" s="2"/>
      <c r="SHD119" s="2"/>
      <c r="SHE119" s="2"/>
      <c r="SHF119" s="2"/>
      <c r="SHG119" s="2"/>
      <c r="SHH119" s="2"/>
      <c r="SHI119" s="2"/>
      <c r="SHJ119" s="2"/>
      <c r="SHK119" s="2"/>
      <c r="SHL119" s="2"/>
      <c r="SHM119" s="2"/>
      <c r="SHN119" s="2"/>
      <c r="SHO119" s="2"/>
      <c r="SHP119" s="2"/>
      <c r="SHQ119" s="2"/>
      <c r="SHR119" s="2"/>
      <c r="SHS119" s="2"/>
      <c r="SHT119" s="2"/>
      <c r="SHU119" s="2"/>
      <c r="SHV119" s="2"/>
      <c r="SHW119" s="2"/>
      <c r="SHX119" s="2"/>
      <c r="SHY119" s="2"/>
      <c r="SHZ119" s="2"/>
      <c r="SIA119" s="2"/>
      <c r="SIB119" s="2"/>
      <c r="SIC119" s="2"/>
      <c r="SID119" s="2"/>
      <c r="SIE119" s="2"/>
      <c r="SIF119" s="2"/>
      <c r="SIG119" s="2"/>
      <c r="SIH119" s="2"/>
      <c r="SII119" s="2"/>
      <c r="SIJ119" s="2"/>
      <c r="SIK119" s="2"/>
      <c r="SIL119" s="2"/>
      <c r="SIM119" s="2"/>
      <c r="SIN119" s="2"/>
      <c r="SIO119" s="2"/>
      <c r="SIP119" s="2"/>
      <c r="SIQ119" s="2"/>
      <c r="SIR119" s="2"/>
      <c r="SIS119" s="2"/>
      <c r="SIT119" s="2"/>
      <c r="SIU119" s="2"/>
      <c r="SIV119" s="2"/>
      <c r="SIW119" s="2"/>
      <c r="SIX119" s="2"/>
      <c r="SIY119" s="2"/>
      <c r="SIZ119" s="2"/>
      <c r="SJA119" s="2"/>
      <c r="SJB119" s="2"/>
      <c r="SJC119" s="2"/>
      <c r="SJD119" s="2"/>
      <c r="SJE119" s="2"/>
      <c r="SJF119" s="2"/>
      <c r="SJG119" s="2"/>
      <c r="SJH119" s="2"/>
      <c r="SJI119" s="2"/>
      <c r="SJJ119" s="2"/>
      <c r="SJK119" s="2"/>
      <c r="SJL119" s="2"/>
      <c r="SJM119" s="2"/>
      <c r="SJN119" s="2"/>
      <c r="SJO119" s="2"/>
      <c r="SJP119" s="2"/>
      <c r="SJQ119" s="2"/>
      <c r="SJR119" s="2"/>
      <c r="SJS119" s="2"/>
      <c r="SJT119" s="2"/>
      <c r="SJU119" s="2"/>
      <c r="SJV119" s="2"/>
      <c r="SJW119" s="2"/>
      <c r="SJX119" s="2"/>
      <c r="SJY119" s="2"/>
      <c r="SJZ119" s="2"/>
      <c r="SKA119" s="2"/>
      <c r="SKB119" s="2"/>
      <c r="SKC119" s="2"/>
      <c r="SKD119" s="2"/>
      <c r="SKE119" s="2"/>
      <c r="SKF119" s="2"/>
      <c r="SKG119" s="2"/>
      <c r="SKH119" s="2"/>
      <c r="SKI119" s="2"/>
      <c r="SKJ119" s="2"/>
      <c r="SKK119" s="2"/>
      <c r="SKL119" s="2"/>
      <c r="SKM119" s="2"/>
      <c r="SKN119" s="2"/>
      <c r="SKO119" s="2"/>
      <c r="SKP119" s="2"/>
      <c r="SKQ119" s="2"/>
      <c r="SKR119" s="2"/>
      <c r="SKS119" s="2"/>
      <c r="SKT119" s="2"/>
      <c r="SKU119" s="2"/>
      <c r="SKV119" s="2"/>
      <c r="SKW119" s="2"/>
      <c r="SKX119" s="2"/>
      <c r="SKY119" s="2"/>
      <c r="SKZ119" s="2"/>
      <c r="SLA119" s="2"/>
      <c r="SLB119" s="2"/>
      <c r="SLC119" s="2"/>
      <c r="SLD119" s="2"/>
      <c r="SLE119" s="2"/>
      <c r="SLF119" s="2"/>
      <c r="SLG119" s="2"/>
      <c r="SLH119" s="2"/>
      <c r="SLI119" s="2"/>
      <c r="SLJ119" s="2"/>
      <c r="SLK119" s="2"/>
      <c r="SLL119" s="2"/>
      <c r="SLM119" s="2"/>
      <c r="SLN119" s="2"/>
      <c r="SLO119" s="2"/>
      <c r="SLP119" s="2"/>
      <c r="SLQ119" s="2"/>
      <c r="SLR119" s="2"/>
      <c r="SLS119" s="2"/>
      <c r="SLT119" s="2"/>
      <c r="SLU119" s="2"/>
      <c r="SLV119" s="2"/>
      <c r="SLW119" s="2"/>
      <c r="SLX119" s="2"/>
      <c r="SLY119" s="2"/>
      <c r="SLZ119" s="2"/>
      <c r="SMA119" s="2"/>
      <c r="SMB119" s="2"/>
      <c r="SMC119" s="2"/>
      <c r="SMD119" s="2"/>
      <c r="SME119" s="2"/>
      <c r="SMF119" s="2"/>
      <c r="SMG119" s="2"/>
      <c r="SMH119" s="2"/>
      <c r="SMI119" s="2"/>
      <c r="SMJ119" s="2"/>
      <c r="SMK119" s="2"/>
      <c r="SML119" s="2"/>
      <c r="SMM119" s="2"/>
      <c r="SMN119" s="2"/>
      <c r="SMO119" s="2"/>
      <c r="SMP119" s="2"/>
      <c r="SMQ119" s="2"/>
      <c r="SMR119" s="2"/>
      <c r="SMS119" s="2"/>
      <c r="SMT119" s="2"/>
      <c r="SMU119" s="2"/>
      <c r="SMV119" s="2"/>
      <c r="SMW119" s="2"/>
      <c r="SMX119" s="2"/>
      <c r="SMY119" s="2"/>
      <c r="SMZ119" s="2"/>
      <c r="SNA119" s="2"/>
      <c r="SNB119" s="2"/>
      <c r="SNC119" s="2"/>
      <c r="SND119" s="2"/>
      <c r="SNE119" s="2"/>
      <c r="SNF119" s="2"/>
      <c r="SNG119" s="2"/>
      <c r="SNH119" s="2"/>
      <c r="SNI119" s="2"/>
      <c r="SNJ119" s="2"/>
      <c r="SNK119" s="2"/>
      <c r="SNL119" s="2"/>
      <c r="SNM119" s="2"/>
      <c r="SNN119" s="2"/>
      <c r="SNO119" s="2"/>
      <c r="SNP119" s="2"/>
      <c r="SNQ119" s="2"/>
      <c r="SNR119" s="2"/>
      <c r="SNS119" s="2"/>
      <c r="SNT119" s="2"/>
      <c r="SNU119" s="2"/>
      <c r="SNV119" s="2"/>
      <c r="SNW119" s="2"/>
      <c r="SNX119" s="2"/>
      <c r="SNY119" s="2"/>
      <c r="SNZ119" s="2"/>
      <c r="SOA119" s="2"/>
      <c r="SOB119" s="2"/>
      <c r="SOC119" s="2"/>
      <c r="SOD119" s="2"/>
      <c r="SOE119" s="2"/>
      <c r="SOF119" s="2"/>
      <c r="SOG119" s="2"/>
      <c r="SOH119" s="2"/>
      <c r="SOI119" s="2"/>
      <c r="SOJ119" s="2"/>
      <c r="SOK119" s="2"/>
      <c r="SOL119" s="2"/>
      <c r="SOM119" s="2"/>
      <c r="SON119" s="2"/>
      <c r="SOO119" s="2"/>
      <c r="SOP119" s="2"/>
      <c r="SOQ119" s="2"/>
      <c r="SOR119" s="2"/>
      <c r="SOS119" s="2"/>
      <c r="SOT119" s="2"/>
      <c r="SOU119" s="2"/>
      <c r="SOV119" s="2"/>
      <c r="SOW119" s="2"/>
      <c r="SOX119" s="2"/>
      <c r="SOY119" s="2"/>
      <c r="SOZ119" s="2"/>
      <c r="SPA119" s="2"/>
      <c r="SPB119" s="2"/>
      <c r="SPC119" s="2"/>
      <c r="SPD119" s="2"/>
      <c r="SPE119" s="2"/>
      <c r="SPF119" s="2"/>
      <c r="SPG119" s="2"/>
      <c r="SPH119" s="2"/>
      <c r="SPI119" s="2"/>
      <c r="SPJ119" s="2"/>
      <c r="SPK119" s="2"/>
      <c r="SPL119" s="2"/>
      <c r="SPM119" s="2"/>
      <c r="SPN119" s="2"/>
      <c r="SPO119" s="2"/>
      <c r="SPP119" s="2"/>
      <c r="SPQ119" s="2"/>
      <c r="SPR119" s="2"/>
      <c r="SPS119" s="2"/>
      <c r="SPT119" s="2"/>
      <c r="SPU119" s="2"/>
      <c r="SPV119" s="2"/>
      <c r="SPW119" s="2"/>
      <c r="SPX119" s="2"/>
      <c r="SPY119" s="2"/>
      <c r="SPZ119" s="2"/>
      <c r="SQA119" s="2"/>
      <c r="SQB119" s="2"/>
      <c r="SQC119" s="2"/>
      <c r="SQD119" s="2"/>
      <c r="SQE119" s="2"/>
      <c r="SQF119" s="2"/>
      <c r="SQG119" s="2"/>
      <c r="SQH119" s="2"/>
      <c r="SQI119" s="2"/>
      <c r="SQJ119" s="2"/>
      <c r="SQK119" s="2"/>
      <c r="SQL119" s="2"/>
      <c r="SQM119" s="2"/>
      <c r="SQN119" s="2"/>
      <c r="SQO119" s="2"/>
      <c r="SQP119" s="2"/>
      <c r="SQQ119" s="2"/>
      <c r="SQR119" s="2"/>
      <c r="SQS119" s="2"/>
      <c r="SQT119" s="2"/>
      <c r="SQU119" s="2"/>
      <c r="SQV119" s="2"/>
      <c r="SQW119" s="2"/>
      <c r="SQX119" s="2"/>
      <c r="SQY119" s="2"/>
      <c r="SQZ119" s="2"/>
      <c r="SRA119" s="2"/>
      <c r="SRB119" s="2"/>
      <c r="SRC119" s="2"/>
      <c r="SRD119" s="2"/>
      <c r="SRE119" s="2"/>
      <c r="SRF119" s="2"/>
      <c r="SRG119" s="2"/>
      <c r="SRH119" s="2"/>
      <c r="SRI119" s="2"/>
      <c r="SRJ119" s="2"/>
      <c r="SRK119" s="2"/>
      <c r="SRL119" s="2"/>
      <c r="SRM119" s="2"/>
      <c r="SRN119" s="2"/>
      <c r="SRO119" s="2"/>
      <c r="SRP119" s="2"/>
      <c r="SRQ119" s="2"/>
      <c r="SRR119" s="2"/>
      <c r="SRS119" s="2"/>
      <c r="SRT119" s="2"/>
      <c r="SRU119" s="2"/>
      <c r="SRV119" s="2"/>
      <c r="SRW119" s="2"/>
      <c r="SRX119" s="2"/>
      <c r="SRY119" s="2"/>
      <c r="SRZ119" s="2"/>
      <c r="SSA119" s="2"/>
      <c r="SSB119" s="2"/>
      <c r="SSC119" s="2"/>
      <c r="SSD119" s="2"/>
      <c r="SSE119" s="2"/>
      <c r="SSF119" s="2"/>
      <c r="SSG119" s="2"/>
      <c r="SSH119" s="2"/>
      <c r="SSI119" s="2"/>
      <c r="SSJ119" s="2"/>
      <c r="SSK119" s="2"/>
      <c r="SSL119" s="2"/>
      <c r="SSM119" s="2"/>
      <c r="SSN119" s="2"/>
      <c r="SSO119" s="2"/>
      <c r="SSP119" s="2"/>
      <c r="SSQ119" s="2"/>
      <c r="SSR119" s="2"/>
      <c r="SSS119" s="2"/>
      <c r="SST119" s="2"/>
      <c r="SSU119" s="2"/>
      <c r="SSV119" s="2"/>
      <c r="SSW119" s="2"/>
      <c r="SSX119" s="2"/>
      <c r="SSY119" s="2"/>
      <c r="SSZ119" s="2"/>
      <c r="STA119" s="2"/>
      <c r="STB119" s="2"/>
      <c r="STC119" s="2"/>
      <c r="STD119" s="2"/>
      <c r="STE119" s="2"/>
      <c r="STF119" s="2"/>
      <c r="STG119" s="2"/>
      <c r="STH119" s="2"/>
      <c r="STI119" s="2"/>
      <c r="STJ119" s="2"/>
      <c r="STK119" s="2"/>
      <c r="STL119" s="2"/>
      <c r="STM119" s="2"/>
      <c r="STN119" s="2"/>
      <c r="STO119" s="2"/>
      <c r="STP119" s="2"/>
      <c r="STQ119" s="2"/>
      <c r="STR119" s="2"/>
      <c r="STS119" s="2"/>
      <c r="STT119" s="2"/>
      <c r="STU119" s="2"/>
      <c r="STV119" s="2"/>
      <c r="STW119" s="2"/>
      <c r="STX119" s="2"/>
      <c r="STY119" s="2"/>
      <c r="STZ119" s="2"/>
      <c r="SUA119" s="2"/>
      <c r="SUB119" s="2"/>
      <c r="SUC119" s="2"/>
      <c r="SUD119" s="2"/>
      <c r="SUE119" s="2"/>
      <c r="SUF119" s="2"/>
      <c r="SUG119" s="2"/>
      <c r="SUH119" s="2"/>
      <c r="SUI119" s="2"/>
      <c r="SUJ119" s="2"/>
      <c r="SUK119" s="2"/>
      <c r="SUL119" s="2"/>
      <c r="SUM119" s="2"/>
      <c r="SUN119" s="2"/>
      <c r="SUO119" s="2"/>
      <c r="SUP119" s="2"/>
      <c r="SUQ119" s="2"/>
      <c r="SUR119" s="2"/>
      <c r="SUS119" s="2"/>
      <c r="SUT119" s="2"/>
      <c r="SUU119" s="2"/>
      <c r="SUV119" s="2"/>
      <c r="SUW119" s="2"/>
      <c r="SUX119" s="2"/>
      <c r="SUY119" s="2"/>
      <c r="SUZ119" s="2"/>
      <c r="SVA119" s="2"/>
      <c r="SVB119" s="2"/>
      <c r="SVC119" s="2"/>
      <c r="SVD119" s="2"/>
      <c r="SVE119" s="2"/>
      <c r="SVF119" s="2"/>
      <c r="SVG119" s="2"/>
      <c r="SVH119" s="2"/>
      <c r="SVI119" s="2"/>
      <c r="SVJ119" s="2"/>
      <c r="SVK119" s="2"/>
      <c r="SVL119" s="2"/>
      <c r="SVM119" s="2"/>
      <c r="SVN119" s="2"/>
      <c r="SVO119" s="2"/>
      <c r="SVP119" s="2"/>
      <c r="SVQ119" s="2"/>
      <c r="SVR119" s="2"/>
      <c r="SVS119" s="2"/>
      <c r="SVT119" s="2"/>
      <c r="SVU119" s="2"/>
      <c r="SVV119" s="2"/>
      <c r="SVW119" s="2"/>
      <c r="SVX119" s="2"/>
      <c r="SVY119" s="2"/>
      <c r="SVZ119" s="2"/>
      <c r="SWA119" s="2"/>
      <c r="SWB119" s="2"/>
      <c r="SWC119" s="2"/>
      <c r="SWD119" s="2"/>
      <c r="SWE119" s="2"/>
      <c r="SWF119" s="2"/>
      <c r="SWG119" s="2"/>
      <c r="SWH119" s="2"/>
      <c r="SWI119" s="2"/>
      <c r="SWJ119" s="2"/>
      <c r="SWK119" s="2"/>
      <c r="SWL119" s="2"/>
      <c r="SWM119" s="2"/>
      <c r="SWN119" s="2"/>
      <c r="SWO119" s="2"/>
      <c r="SWP119" s="2"/>
      <c r="SWQ119" s="2"/>
      <c r="SWR119" s="2"/>
      <c r="SWS119" s="2"/>
      <c r="SWT119" s="2"/>
      <c r="SWU119" s="2"/>
      <c r="SWV119" s="2"/>
      <c r="SWW119" s="2"/>
      <c r="SWX119" s="2"/>
      <c r="SWY119" s="2"/>
      <c r="SWZ119" s="2"/>
      <c r="SXA119" s="2"/>
      <c r="SXB119" s="2"/>
      <c r="SXC119" s="2"/>
      <c r="SXD119" s="2"/>
      <c r="SXE119" s="2"/>
      <c r="SXF119" s="2"/>
      <c r="SXG119" s="2"/>
      <c r="SXH119" s="2"/>
      <c r="SXI119" s="2"/>
      <c r="SXJ119" s="2"/>
      <c r="SXK119" s="2"/>
      <c r="SXL119" s="2"/>
      <c r="SXM119" s="2"/>
      <c r="SXN119" s="2"/>
      <c r="SXO119" s="2"/>
      <c r="SXP119" s="2"/>
      <c r="SXQ119" s="2"/>
      <c r="SXR119" s="2"/>
      <c r="SXS119" s="2"/>
      <c r="SXT119" s="2"/>
      <c r="SXU119" s="2"/>
      <c r="SXV119" s="2"/>
      <c r="SXW119" s="2"/>
      <c r="SXX119" s="2"/>
      <c r="SXY119" s="2"/>
      <c r="SXZ119" s="2"/>
      <c r="SYA119" s="2"/>
      <c r="SYB119" s="2"/>
      <c r="SYC119" s="2"/>
      <c r="SYD119" s="2"/>
      <c r="SYE119" s="2"/>
      <c r="SYF119" s="2"/>
      <c r="SYG119" s="2"/>
      <c r="SYH119" s="2"/>
      <c r="SYI119" s="2"/>
      <c r="SYJ119" s="2"/>
      <c r="SYK119" s="2"/>
      <c r="SYL119" s="2"/>
      <c r="SYM119" s="2"/>
      <c r="SYN119" s="2"/>
      <c r="SYO119" s="2"/>
      <c r="SYP119" s="2"/>
      <c r="SYQ119" s="2"/>
      <c r="SYR119" s="2"/>
      <c r="SYS119" s="2"/>
      <c r="SYT119" s="2"/>
      <c r="SYU119" s="2"/>
      <c r="SYV119" s="2"/>
      <c r="SYW119" s="2"/>
      <c r="SYX119" s="2"/>
      <c r="SYY119" s="2"/>
      <c r="SYZ119" s="2"/>
      <c r="SZA119" s="2"/>
      <c r="SZB119" s="2"/>
      <c r="SZC119" s="2"/>
      <c r="SZD119" s="2"/>
      <c r="SZE119" s="2"/>
      <c r="SZF119" s="2"/>
      <c r="SZG119" s="2"/>
      <c r="SZH119" s="2"/>
      <c r="SZI119" s="2"/>
      <c r="SZJ119" s="2"/>
      <c r="SZK119" s="2"/>
      <c r="SZL119" s="2"/>
      <c r="SZM119" s="2"/>
      <c r="SZN119" s="2"/>
      <c r="SZO119" s="2"/>
      <c r="SZP119" s="2"/>
      <c r="SZQ119" s="2"/>
      <c r="SZR119" s="2"/>
      <c r="SZS119" s="2"/>
      <c r="SZT119" s="2"/>
      <c r="SZU119" s="2"/>
      <c r="SZV119" s="2"/>
      <c r="SZW119" s="2"/>
      <c r="SZX119" s="2"/>
      <c r="SZY119" s="2"/>
      <c r="SZZ119" s="2"/>
      <c r="TAA119" s="2"/>
      <c r="TAB119" s="2"/>
      <c r="TAC119" s="2"/>
      <c r="TAD119" s="2"/>
      <c r="TAE119" s="2"/>
      <c r="TAF119" s="2"/>
      <c r="TAG119" s="2"/>
      <c r="TAH119" s="2"/>
      <c r="TAI119" s="2"/>
      <c r="TAJ119" s="2"/>
      <c r="TAK119" s="2"/>
      <c r="TAL119" s="2"/>
      <c r="TAM119" s="2"/>
      <c r="TAN119" s="2"/>
      <c r="TAO119" s="2"/>
      <c r="TAP119" s="2"/>
      <c r="TAQ119" s="2"/>
      <c r="TAR119" s="2"/>
      <c r="TAS119" s="2"/>
      <c r="TAT119" s="2"/>
      <c r="TAU119" s="2"/>
      <c r="TAV119" s="2"/>
      <c r="TAW119" s="2"/>
      <c r="TAX119" s="2"/>
      <c r="TAY119" s="2"/>
      <c r="TAZ119" s="2"/>
      <c r="TBA119" s="2"/>
      <c r="TBB119" s="2"/>
      <c r="TBC119" s="2"/>
      <c r="TBD119" s="2"/>
      <c r="TBE119" s="2"/>
      <c r="TBF119" s="2"/>
      <c r="TBG119" s="2"/>
      <c r="TBH119" s="2"/>
      <c r="TBI119" s="2"/>
      <c r="TBJ119" s="2"/>
      <c r="TBK119" s="2"/>
      <c r="TBL119" s="2"/>
      <c r="TBM119" s="2"/>
      <c r="TBN119" s="2"/>
      <c r="TBO119" s="2"/>
      <c r="TBP119" s="2"/>
      <c r="TBQ119" s="2"/>
      <c r="TBR119" s="2"/>
      <c r="TBS119" s="2"/>
      <c r="TBT119" s="2"/>
      <c r="TBU119" s="2"/>
      <c r="TBV119" s="2"/>
      <c r="TBW119" s="2"/>
      <c r="TBX119" s="2"/>
      <c r="TBY119" s="2"/>
      <c r="TBZ119" s="2"/>
      <c r="TCA119" s="2"/>
      <c r="TCB119" s="2"/>
      <c r="TCC119" s="2"/>
      <c r="TCD119" s="2"/>
      <c r="TCE119" s="2"/>
      <c r="TCF119" s="2"/>
      <c r="TCG119" s="2"/>
      <c r="TCH119" s="2"/>
      <c r="TCI119" s="2"/>
      <c r="TCJ119" s="2"/>
      <c r="TCK119" s="2"/>
      <c r="TCL119" s="2"/>
      <c r="TCM119" s="2"/>
      <c r="TCN119" s="2"/>
      <c r="TCO119" s="2"/>
      <c r="TCP119" s="2"/>
      <c r="TCQ119" s="2"/>
      <c r="TCR119" s="2"/>
      <c r="TCS119" s="2"/>
      <c r="TCT119" s="2"/>
      <c r="TCU119" s="2"/>
      <c r="TCV119" s="2"/>
      <c r="TCW119" s="2"/>
      <c r="TCX119" s="2"/>
      <c r="TCY119" s="2"/>
      <c r="TCZ119" s="2"/>
      <c r="TDA119" s="2"/>
      <c r="TDB119" s="2"/>
      <c r="TDC119" s="2"/>
      <c r="TDD119" s="2"/>
      <c r="TDE119" s="2"/>
      <c r="TDF119" s="2"/>
      <c r="TDG119" s="2"/>
      <c r="TDH119" s="2"/>
      <c r="TDI119" s="2"/>
      <c r="TDJ119" s="2"/>
      <c r="TDK119" s="2"/>
      <c r="TDL119" s="2"/>
      <c r="TDM119" s="2"/>
      <c r="TDN119" s="2"/>
      <c r="TDO119" s="2"/>
      <c r="TDP119" s="2"/>
      <c r="TDQ119" s="2"/>
      <c r="TDR119" s="2"/>
      <c r="TDS119" s="2"/>
      <c r="TDT119" s="2"/>
      <c r="TDU119" s="2"/>
      <c r="TDV119" s="2"/>
      <c r="TDW119" s="2"/>
      <c r="TDX119" s="2"/>
      <c r="TDY119" s="2"/>
      <c r="TDZ119" s="2"/>
      <c r="TEA119" s="2"/>
      <c r="TEB119" s="2"/>
      <c r="TEC119" s="2"/>
      <c r="TED119" s="2"/>
      <c r="TEE119" s="2"/>
      <c r="TEF119" s="2"/>
      <c r="TEG119" s="2"/>
      <c r="TEH119" s="2"/>
      <c r="TEI119" s="2"/>
      <c r="TEJ119" s="2"/>
      <c r="TEK119" s="2"/>
      <c r="TEL119" s="2"/>
      <c r="TEM119" s="2"/>
      <c r="TEN119" s="2"/>
      <c r="TEO119" s="2"/>
      <c r="TEP119" s="2"/>
      <c r="TEQ119" s="2"/>
      <c r="TER119" s="2"/>
      <c r="TES119" s="2"/>
      <c r="TET119" s="2"/>
      <c r="TEU119" s="2"/>
      <c r="TEV119" s="2"/>
      <c r="TEW119" s="2"/>
      <c r="TEX119" s="2"/>
      <c r="TEY119" s="2"/>
      <c r="TEZ119" s="2"/>
      <c r="TFA119" s="2"/>
      <c r="TFB119" s="2"/>
      <c r="TFC119" s="2"/>
      <c r="TFD119" s="2"/>
      <c r="TFE119" s="2"/>
      <c r="TFF119" s="2"/>
      <c r="TFG119" s="2"/>
      <c r="TFH119" s="2"/>
      <c r="TFI119" s="2"/>
      <c r="TFJ119" s="2"/>
      <c r="TFK119" s="2"/>
      <c r="TFL119" s="2"/>
      <c r="TFM119" s="2"/>
      <c r="TFN119" s="2"/>
      <c r="TFO119" s="2"/>
      <c r="TFP119" s="2"/>
      <c r="TFQ119" s="2"/>
      <c r="TFR119" s="2"/>
      <c r="TFS119" s="2"/>
      <c r="TFT119" s="2"/>
      <c r="TFU119" s="2"/>
      <c r="TFV119" s="2"/>
      <c r="TFW119" s="2"/>
      <c r="TFX119" s="2"/>
      <c r="TFY119" s="2"/>
      <c r="TFZ119" s="2"/>
      <c r="TGA119" s="2"/>
      <c r="TGB119" s="2"/>
      <c r="TGC119" s="2"/>
      <c r="TGD119" s="2"/>
      <c r="TGE119" s="2"/>
      <c r="TGF119" s="2"/>
      <c r="TGG119" s="2"/>
      <c r="TGH119" s="2"/>
      <c r="TGI119" s="2"/>
      <c r="TGJ119" s="2"/>
      <c r="TGK119" s="2"/>
      <c r="TGL119" s="2"/>
      <c r="TGM119" s="2"/>
      <c r="TGN119" s="2"/>
      <c r="TGO119" s="2"/>
      <c r="TGP119" s="2"/>
      <c r="TGQ119" s="2"/>
      <c r="TGR119" s="2"/>
      <c r="TGS119" s="2"/>
      <c r="TGT119" s="2"/>
      <c r="TGU119" s="2"/>
      <c r="TGV119" s="2"/>
      <c r="TGW119" s="2"/>
      <c r="TGX119" s="2"/>
      <c r="TGY119" s="2"/>
      <c r="TGZ119" s="2"/>
      <c r="THA119" s="2"/>
      <c r="THB119" s="2"/>
      <c r="THC119" s="2"/>
      <c r="THD119" s="2"/>
      <c r="THE119" s="2"/>
      <c r="THF119" s="2"/>
      <c r="THG119" s="2"/>
      <c r="THH119" s="2"/>
      <c r="THI119" s="2"/>
      <c r="THJ119" s="2"/>
      <c r="THK119" s="2"/>
      <c r="THL119" s="2"/>
      <c r="THM119" s="2"/>
      <c r="THN119" s="2"/>
      <c r="THO119" s="2"/>
      <c r="THP119" s="2"/>
      <c r="THQ119" s="2"/>
      <c r="THR119" s="2"/>
      <c r="THS119" s="2"/>
      <c r="THT119" s="2"/>
      <c r="THU119" s="2"/>
      <c r="THV119" s="2"/>
      <c r="THW119" s="2"/>
      <c r="THX119" s="2"/>
      <c r="THY119" s="2"/>
      <c r="THZ119" s="2"/>
      <c r="TIA119" s="2"/>
      <c r="TIB119" s="2"/>
      <c r="TIC119" s="2"/>
      <c r="TID119" s="2"/>
      <c r="TIE119" s="2"/>
      <c r="TIF119" s="2"/>
      <c r="TIG119" s="2"/>
      <c r="TIH119" s="2"/>
      <c r="TII119" s="2"/>
      <c r="TIJ119" s="2"/>
      <c r="TIK119" s="2"/>
      <c r="TIL119" s="2"/>
      <c r="TIM119" s="2"/>
      <c r="TIN119" s="2"/>
      <c r="TIO119" s="2"/>
      <c r="TIP119" s="2"/>
      <c r="TIQ119" s="2"/>
      <c r="TIR119" s="2"/>
      <c r="TIS119" s="2"/>
      <c r="TIT119" s="2"/>
      <c r="TIU119" s="2"/>
      <c r="TIV119" s="2"/>
      <c r="TIW119" s="2"/>
      <c r="TIX119" s="2"/>
      <c r="TIY119" s="2"/>
      <c r="TIZ119" s="2"/>
      <c r="TJA119" s="2"/>
      <c r="TJB119" s="2"/>
      <c r="TJC119" s="2"/>
      <c r="TJD119" s="2"/>
      <c r="TJE119" s="2"/>
      <c r="TJF119" s="2"/>
      <c r="TJG119" s="2"/>
      <c r="TJH119" s="2"/>
      <c r="TJI119" s="2"/>
      <c r="TJJ119" s="2"/>
      <c r="TJK119" s="2"/>
      <c r="TJL119" s="2"/>
      <c r="TJM119" s="2"/>
      <c r="TJN119" s="2"/>
      <c r="TJO119" s="2"/>
      <c r="TJP119" s="2"/>
      <c r="TJQ119" s="2"/>
      <c r="TJR119" s="2"/>
      <c r="TJS119" s="2"/>
      <c r="TJT119" s="2"/>
      <c r="TJU119" s="2"/>
      <c r="TJV119" s="2"/>
      <c r="TJW119" s="2"/>
      <c r="TJX119" s="2"/>
      <c r="TJY119" s="2"/>
      <c r="TJZ119" s="2"/>
      <c r="TKA119" s="2"/>
      <c r="TKB119" s="2"/>
      <c r="TKC119" s="2"/>
      <c r="TKD119" s="2"/>
      <c r="TKE119" s="2"/>
      <c r="TKF119" s="2"/>
      <c r="TKG119" s="2"/>
      <c r="TKH119" s="2"/>
      <c r="TKI119" s="2"/>
      <c r="TKJ119" s="2"/>
      <c r="TKK119" s="2"/>
      <c r="TKL119" s="2"/>
      <c r="TKM119" s="2"/>
      <c r="TKN119" s="2"/>
      <c r="TKO119" s="2"/>
      <c r="TKP119" s="2"/>
      <c r="TKQ119" s="2"/>
      <c r="TKR119" s="2"/>
      <c r="TKS119" s="2"/>
      <c r="TKT119" s="2"/>
      <c r="TKU119" s="2"/>
      <c r="TKV119" s="2"/>
      <c r="TKW119" s="2"/>
      <c r="TKX119" s="2"/>
      <c r="TKY119" s="2"/>
      <c r="TKZ119" s="2"/>
      <c r="TLA119" s="2"/>
      <c r="TLB119" s="2"/>
      <c r="TLC119" s="2"/>
      <c r="TLD119" s="2"/>
      <c r="TLE119" s="2"/>
      <c r="TLF119" s="2"/>
      <c r="TLG119" s="2"/>
      <c r="TLH119" s="2"/>
      <c r="TLI119" s="2"/>
      <c r="TLJ119" s="2"/>
      <c r="TLK119" s="2"/>
      <c r="TLL119" s="2"/>
      <c r="TLM119" s="2"/>
      <c r="TLN119" s="2"/>
      <c r="TLO119" s="2"/>
      <c r="TLP119" s="2"/>
      <c r="TLQ119" s="2"/>
      <c r="TLR119" s="2"/>
      <c r="TLS119" s="2"/>
      <c r="TLT119" s="2"/>
      <c r="TLU119" s="2"/>
      <c r="TLV119" s="2"/>
      <c r="TLW119" s="2"/>
      <c r="TLX119" s="2"/>
      <c r="TLY119" s="2"/>
      <c r="TLZ119" s="2"/>
      <c r="TMA119" s="2"/>
      <c r="TMB119" s="2"/>
      <c r="TMC119" s="2"/>
      <c r="TMD119" s="2"/>
      <c r="TME119" s="2"/>
      <c r="TMF119" s="2"/>
      <c r="TMG119" s="2"/>
      <c r="TMH119" s="2"/>
      <c r="TMI119" s="2"/>
      <c r="TMJ119" s="2"/>
      <c r="TMK119" s="2"/>
      <c r="TML119" s="2"/>
      <c r="TMM119" s="2"/>
      <c r="TMN119" s="2"/>
      <c r="TMO119" s="2"/>
      <c r="TMP119" s="2"/>
      <c r="TMQ119" s="2"/>
      <c r="TMR119" s="2"/>
      <c r="TMS119" s="2"/>
      <c r="TMT119" s="2"/>
      <c r="TMU119" s="2"/>
      <c r="TMV119" s="2"/>
      <c r="TMW119" s="2"/>
      <c r="TMX119" s="2"/>
      <c r="TMY119" s="2"/>
      <c r="TMZ119" s="2"/>
      <c r="TNA119" s="2"/>
      <c r="TNB119" s="2"/>
      <c r="TNC119" s="2"/>
      <c r="TND119" s="2"/>
      <c r="TNE119" s="2"/>
      <c r="TNF119" s="2"/>
      <c r="TNG119" s="2"/>
      <c r="TNH119" s="2"/>
      <c r="TNI119" s="2"/>
      <c r="TNJ119" s="2"/>
      <c r="TNK119" s="2"/>
      <c r="TNL119" s="2"/>
      <c r="TNM119" s="2"/>
      <c r="TNN119" s="2"/>
      <c r="TNO119" s="2"/>
      <c r="TNP119" s="2"/>
      <c r="TNQ119" s="2"/>
      <c r="TNR119" s="2"/>
      <c r="TNS119" s="2"/>
      <c r="TNT119" s="2"/>
      <c r="TNU119" s="2"/>
      <c r="TNV119" s="2"/>
      <c r="TNW119" s="2"/>
      <c r="TNX119" s="2"/>
      <c r="TNY119" s="2"/>
      <c r="TNZ119" s="2"/>
      <c r="TOA119" s="2"/>
      <c r="TOB119" s="2"/>
      <c r="TOC119" s="2"/>
      <c r="TOD119" s="2"/>
      <c r="TOE119" s="2"/>
      <c r="TOF119" s="2"/>
      <c r="TOG119" s="2"/>
      <c r="TOH119" s="2"/>
      <c r="TOI119" s="2"/>
      <c r="TOJ119" s="2"/>
      <c r="TOK119" s="2"/>
      <c r="TOL119" s="2"/>
      <c r="TOM119" s="2"/>
      <c r="TON119" s="2"/>
      <c r="TOO119" s="2"/>
      <c r="TOP119" s="2"/>
      <c r="TOQ119" s="2"/>
      <c r="TOR119" s="2"/>
      <c r="TOS119" s="2"/>
      <c r="TOT119" s="2"/>
      <c r="TOU119" s="2"/>
      <c r="TOV119" s="2"/>
      <c r="TOW119" s="2"/>
      <c r="TOX119" s="2"/>
      <c r="TOY119" s="2"/>
      <c r="TOZ119" s="2"/>
      <c r="TPA119" s="2"/>
      <c r="TPB119" s="2"/>
      <c r="TPC119" s="2"/>
      <c r="TPD119" s="2"/>
      <c r="TPE119" s="2"/>
      <c r="TPF119" s="2"/>
      <c r="TPG119" s="2"/>
      <c r="TPH119" s="2"/>
      <c r="TPI119" s="2"/>
      <c r="TPJ119" s="2"/>
      <c r="TPK119" s="2"/>
      <c r="TPL119" s="2"/>
      <c r="TPM119" s="2"/>
      <c r="TPN119" s="2"/>
      <c r="TPO119" s="2"/>
      <c r="TPP119" s="2"/>
      <c r="TPQ119" s="2"/>
      <c r="TPR119" s="2"/>
      <c r="TPS119" s="2"/>
      <c r="TPT119" s="2"/>
      <c r="TPU119" s="2"/>
      <c r="TPV119" s="2"/>
      <c r="TPW119" s="2"/>
      <c r="TPX119" s="2"/>
      <c r="TPY119" s="2"/>
      <c r="TPZ119" s="2"/>
      <c r="TQA119" s="2"/>
      <c r="TQB119" s="2"/>
      <c r="TQC119" s="2"/>
      <c r="TQD119" s="2"/>
      <c r="TQE119" s="2"/>
      <c r="TQF119" s="2"/>
      <c r="TQG119" s="2"/>
      <c r="TQH119" s="2"/>
      <c r="TQI119" s="2"/>
      <c r="TQJ119" s="2"/>
      <c r="TQK119" s="2"/>
      <c r="TQL119" s="2"/>
      <c r="TQM119" s="2"/>
      <c r="TQN119" s="2"/>
      <c r="TQO119" s="2"/>
      <c r="TQP119" s="2"/>
      <c r="TQQ119" s="2"/>
      <c r="TQR119" s="2"/>
      <c r="TQS119" s="2"/>
      <c r="TQT119" s="2"/>
      <c r="TQU119" s="2"/>
      <c r="TQV119" s="2"/>
      <c r="TQW119" s="2"/>
      <c r="TQX119" s="2"/>
      <c r="TQY119" s="2"/>
      <c r="TQZ119" s="2"/>
      <c r="TRA119" s="2"/>
      <c r="TRB119" s="2"/>
      <c r="TRC119" s="2"/>
      <c r="TRD119" s="2"/>
      <c r="TRE119" s="2"/>
      <c r="TRF119" s="2"/>
      <c r="TRG119" s="2"/>
      <c r="TRH119" s="2"/>
      <c r="TRI119" s="2"/>
      <c r="TRJ119" s="2"/>
      <c r="TRK119" s="2"/>
      <c r="TRL119" s="2"/>
      <c r="TRM119" s="2"/>
      <c r="TRN119" s="2"/>
      <c r="TRO119" s="2"/>
      <c r="TRP119" s="2"/>
      <c r="TRQ119" s="2"/>
      <c r="TRR119" s="2"/>
      <c r="TRS119" s="2"/>
      <c r="TRT119" s="2"/>
      <c r="TRU119" s="2"/>
      <c r="TRV119" s="2"/>
      <c r="TRW119" s="2"/>
      <c r="TRX119" s="2"/>
      <c r="TRY119" s="2"/>
      <c r="TRZ119" s="2"/>
      <c r="TSA119" s="2"/>
      <c r="TSB119" s="2"/>
      <c r="TSC119" s="2"/>
      <c r="TSD119" s="2"/>
      <c r="TSE119" s="2"/>
      <c r="TSF119" s="2"/>
      <c r="TSG119" s="2"/>
      <c r="TSH119" s="2"/>
      <c r="TSI119" s="2"/>
      <c r="TSJ119" s="2"/>
      <c r="TSK119" s="2"/>
      <c r="TSL119" s="2"/>
      <c r="TSM119" s="2"/>
      <c r="TSN119" s="2"/>
      <c r="TSO119" s="2"/>
      <c r="TSP119" s="2"/>
      <c r="TSQ119" s="2"/>
      <c r="TSR119" s="2"/>
      <c r="TSS119" s="2"/>
      <c r="TST119" s="2"/>
      <c r="TSU119" s="2"/>
      <c r="TSV119" s="2"/>
      <c r="TSW119" s="2"/>
      <c r="TSX119" s="2"/>
      <c r="TSY119" s="2"/>
      <c r="TSZ119" s="2"/>
      <c r="TTA119" s="2"/>
      <c r="TTB119" s="2"/>
      <c r="TTC119" s="2"/>
      <c r="TTD119" s="2"/>
      <c r="TTE119" s="2"/>
      <c r="TTF119" s="2"/>
      <c r="TTG119" s="2"/>
      <c r="TTH119" s="2"/>
      <c r="TTI119" s="2"/>
      <c r="TTJ119" s="2"/>
      <c r="TTK119" s="2"/>
      <c r="TTL119" s="2"/>
      <c r="TTM119" s="2"/>
      <c r="TTN119" s="2"/>
      <c r="TTO119" s="2"/>
      <c r="TTP119" s="2"/>
      <c r="TTQ119" s="2"/>
      <c r="TTR119" s="2"/>
      <c r="TTS119" s="2"/>
      <c r="TTT119" s="2"/>
      <c r="TTU119" s="2"/>
      <c r="TTV119" s="2"/>
      <c r="TTW119" s="2"/>
      <c r="TTX119" s="2"/>
      <c r="TTY119" s="2"/>
      <c r="TTZ119" s="2"/>
      <c r="TUA119" s="2"/>
      <c r="TUB119" s="2"/>
      <c r="TUC119" s="2"/>
      <c r="TUD119" s="2"/>
      <c r="TUE119" s="2"/>
      <c r="TUF119" s="2"/>
      <c r="TUG119" s="2"/>
      <c r="TUH119" s="2"/>
      <c r="TUI119" s="2"/>
      <c r="TUJ119" s="2"/>
      <c r="TUK119" s="2"/>
      <c r="TUL119" s="2"/>
      <c r="TUM119" s="2"/>
      <c r="TUN119" s="2"/>
      <c r="TUO119" s="2"/>
      <c r="TUP119" s="2"/>
      <c r="TUQ119" s="2"/>
      <c r="TUR119" s="2"/>
      <c r="TUS119" s="2"/>
      <c r="TUT119" s="2"/>
      <c r="TUU119" s="2"/>
      <c r="TUV119" s="2"/>
      <c r="TUW119" s="2"/>
      <c r="TUX119" s="2"/>
      <c r="TUY119" s="2"/>
      <c r="TUZ119" s="2"/>
      <c r="TVA119" s="2"/>
      <c r="TVB119" s="2"/>
      <c r="TVC119" s="2"/>
      <c r="TVD119" s="2"/>
      <c r="TVE119" s="2"/>
      <c r="TVF119" s="2"/>
      <c r="TVG119" s="2"/>
      <c r="TVH119" s="2"/>
      <c r="TVI119" s="2"/>
      <c r="TVJ119" s="2"/>
      <c r="TVK119" s="2"/>
      <c r="TVL119" s="2"/>
      <c r="TVM119" s="2"/>
      <c r="TVN119" s="2"/>
      <c r="TVO119" s="2"/>
      <c r="TVP119" s="2"/>
      <c r="TVQ119" s="2"/>
      <c r="TVR119" s="2"/>
      <c r="TVS119" s="2"/>
      <c r="TVT119" s="2"/>
      <c r="TVU119" s="2"/>
      <c r="TVV119" s="2"/>
      <c r="TVW119" s="2"/>
      <c r="TVX119" s="2"/>
      <c r="TVY119" s="2"/>
      <c r="TVZ119" s="2"/>
      <c r="TWA119" s="2"/>
      <c r="TWB119" s="2"/>
      <c r="TWC119" s="2"/>
      <c r="TWD119" s="2"/>
      <c r="TWE119" s="2"/>
      <c r="TWF119" s="2"/>
      <c r="TWG119" s="2"/>
      <c r="TWH119" s="2"/>
      <c r="TWI119" s="2"/>
      <c r="TWJ119" s="2"/>
      <c r="TWK119" s="2"/>
      <c r="TWL119" s="2"/>
      <c r="TWM119" s="2"/>
      <c r="TWN119" s="2"/>
      <c r="TWO119" s="2"/>
      <c r="TWP119" s="2"/>
      <c r="TWQ119" s="2"/>
      <c r="TWR119" s="2"/>
      <c r="TWS119" s="2"/>
      <c r="TWT119" s="2"/>
      <c r="TWU119" s="2"/>
      <c r="TWV119" s="2"/>
      <c r="TWW119" s="2"/>
      <c r="TWX119" s="2"/>
      <c r="TWY119" s="2"/>
      <c r="TWZ119" s="2"/>
      <c r="TXA119" s="2"/>
      <c r="TXB119" s="2"/>
      <c r="TXC119" s="2"/>
      <c r="TXD119" s="2"/>
      <c r="TXE119" s="2"/>
      <c r="TXF119" s="2"/>
      <c r="TXG119" s="2"/>
      <c r="TXH119" s="2"/>
      <c r="TXI119" s="2"/>
      <c r="TXJ119" s="2"/>
      <c r="TXK119" s="2"/>
      <c r="TXL119" s="2"/>
      <c r="TXM119" s="2"/>
      <c r="TXN119" s="2"/>
      <c r="TXO119" s="2"/>
      <c r="TXP119" s="2"/>
      <c r="TXQ119" s="2"/>
      <c r="TXR119" s="2"/>
      <c r="TXS119" s="2"/>
      <c r="TXT119" s="2"/>
      <c r="TXU119" s="2"/>
      <c r="TXV119" s="2"/>
      <c r="TXW119" s="2"/>
      <c r="TXX119" s="2"/>
      <c r="TXY119" s="2"/>
      <c r="TXZ119" s="2"/>
      <c r="TYA119" s="2"/>
      <c r="TYB119" s="2"/>
      <c r="TYC119" s="2"/>
      <c r="TYD119" s="2"/>
      <c r="TYE119" s="2"/>
      <c r="TYF119" s="2"/>
      <c r="TYG119" s="2"/>
      <c r="TYH119" s="2"/>
      <c r="TYI119" s="2"/>
      <c r="TYJ119" s="2"/>
      <c r="TYK119" s="2"/>
      <c r="TYL119" s="2"/>
      <c r="TYM119" s="2"/>
      <c r="TYN119" s="2"/>
      <c r="TYO119" s="2"/>
      <c r="TYP119" s="2"/>
      <c r="TYQ119" s="2"/>
      <c r="TYR119" s="2"/>
      <c r="TYS119" s="2"/>
      <c r="TYT119" s="2"/>
      <c r="TYU119" s="2"/>
      <c r="TYV119" s="2"/>
      <c r="TYW119" s="2"/>
      <c r="TYX119" s="2"/>
      <c r="TYY119" s="2"/>
      <c r="TYZ119" s="2"/>
      <c r="TZA119" s="2"/>
      <c r="TZB119" s="2"/>
      <c r="TZC119" s="2"/>
      <c r="TZD119" s="2"/>
      <c r="TZE119" s="2"/>
      <c r="TZF119" s="2"/>
      <c r="TZG119" s="2"/>
      <c r="TZH119" s="2"/>
      <c r="TZI119" s="2"/>
      <c r="TZJ119" s="2"/>
      <c r="TZK119" s="2"/>
      <c r="TZL119" s="2"/>
      <c r="TZM119" s="2"/>
      <c r="TZN119" s="2"/>
      <c r="TZO119" s="2"/>
      <c r="TZP119" s="2"/>
      <c r="TZQ119" s="2"/>
      <c r="TZR119" s="2"/>
      <c r="TZS119" s="2"/>
      <c r="TZT119" s="2"/>
      <c r="TZU119" s="2"/>
      <c r="TZV119" s="2"/>
      <c r="TZW119" s="2"/>
      <c r="TZX119" s="2"/>
      <c r="TZY119" s="2"/>
      <c r="TZZ119" s="2"/>
      <c r="UAA119" s="2"/>
      <c r="UAB119" s="2"/>
      <c r="UAC119" s="2"/>
      <c r="UAD119" s="2"/>
      <c r="UAE119" s="2"/>
      <c r="UAF119" s="2"/>
      <c r="UAG119" s="2"/>
      <c r="UAH119" s="2"/>
      <c r="UAI119" s="2"/>
      <c r="UAJ119" s="2"/>
      <c r="UAK119" s="2"/>
      <c r="UAL119" s="2"/>
      <c r="UAM119" s="2"/>
      <c r="UAN119" s="2"/>
      <c r="UAO119" s="2"/>
      <c r="UAP119" s="2"/>
      <c r="UAQ119" s="2"/>
      <c r="UAR119" s="2"/>
      <c r="UAS119" s="2"/>
      <c r="UAT119" s="2"/>
      <c r="UAU119" s="2"/>
      <c r="UAV119" s="2"/>
      <c r="UAW119" s="2"/>
      <c r="UAX119" s="2"/>
      <c r="UAY119" s="2"/>
      <c r="UAZ119" s="2"/>
      <c r="UBA119" s="2"/>
      <c r="UBB119" s="2"/>
      <c r="UBC119" s="2"/>
      <c r="UBD119" s="2"/>
      <c r="UBE119" s="2"/>
      <c r="UBF119" s="2"/>
      <c r="UBG119" s="2"/>
      <c r="UBH119" s="2"/>
      <c r="UBI119" s="2"/>
      <c r="UBJ119" s="2"/>
      <c r="UBK119" s="2"/>
      <c r="UBL119" s="2"/>
      <c r="UBM119" s="2"/>
      <c r="UBN119" s="2"/>
      <c r="UBO119" s="2"/>
      <c r="UBP119" s="2"/>
      <c r="UBQ119" s="2"/>
      <c r="UBR119" s="2"/>
      <c r="UBS119" s="2"/>
      <c r="UBT119" s="2"/>
      <c r="UBU119" s="2"/>
      <c r="UBV119" s="2"/>
      <c r="UBW119" s="2"/>
      <c r="UBX119" s="2"/>
      <c r="UBY119" s="2"/>
      <c r="UBZ119" s="2"/>
      <c r="UCA119" s="2"/>
      <c r="UCB119" s="2"/>
      <c r="UCC119" s="2"/>
      <c r="UCD119" s="2"/>
      <c r="UCE119" s="2"/>
      <c r="UCF119" s="2"/>
      <c r="UCG119" s="2"/>
      <c r="UCH119" s="2"/>
      <c r="UCI119" s="2"/>
      <c r="UCJ119" s="2"/>
      <c r="UCK119" s="2"/>
      <c r="UCL119" s="2"/>
      <c r="UCM119" s="2"/>
      <c r="UCN119" s="2"/>
      <c r="UCO119" s="2"/>
      <c r="UCP119" s="2"/>
      <c r="UCQ119" s="2"/>
      <c r="UCR119" s="2"/>
      <c r="UCS119" s="2"/>
      <c r="UCT119" s="2"/>
      <c r="UCU119" s="2"/>
      <c r="UCV119" s="2"/>
      <c r="UCW119" s="2"/>
      <c r="UCX119" s="2"/>
      <c r="UCY119" s="2"/>
      <c r="UCZ119" s="2"/>
      <c r="UDA119" s="2"/>
      <c r="UDB119" s="2"/>
      <c r="UDC119" s="2"/>
      <c r="UDD119" s="2"/>
      <c r="UDE119" s="2"/>
      <c r="UDF119" s="2"/>
      <c r="UDG119" s="2"/>
      <c r="UDH119" s="2"/>
      <c r="UDI119" s="2"/>
      <c r="UDJ119" s="2"/>
      <c r="UDK119" s="2"/>
      <c r="UDL119" s="2"/>
      <c r="UDM119" s="2"/>
      <c r="UDN119" s="2"/>
      <c r="UDO119" s="2"/>
      <c r="UDP119" s="2"/>
      <c r="UDQ119" s="2"/>
      <c r="UDR119" s="2"/>
      <c r="UDS119" s="2"/>
      <c r="UDT119" s="2"/>
      <c r="UDU119" s="2"/>
      <c r="UDV119" s="2"/>
      <c r="UDW119" s="2"/>
      <c r="UDX119" s="2"/>
      <c r="UDY119" s="2"/>
      <c r="UDZ119" s="2"/>
      <c r="UEA119" s="2"/>
      <c r="UEB119" s="2"/>
      <c r="UEC119" s="2"/>
      <c r="UED119" s="2"/>
      <c r="UEE119" s="2"/>
      <c r="UEF119" s="2"/>
      <c r="UEG119" s="2"/>
      <c r="UEH119" s="2"/>
      <c r="UEI119" s="2"/>
      <c r="UEJ119" s="2"/>
      <c r="UEK119" s="2"/>
      <c r="UEL119" s="2"/>
      <c r="UEM119" s="2"/>
      <c r="UEN119" s="2"/>
      <c r="UEO119" s="2"/>
      <c r="UEP119" s="2"/>
      <c r="UEQ119" s="2"/>
      <c r="UER119" s="2"/>
      <c r="UES119" s="2"/>
      <c r="UET119" s="2"/>
      <c r="UEU119" s="2"/>
      <c r="UEV119" s="2"/>
      <c r="UEW119" s="2"/>
      <c r="UEX119" s="2"/>
      <c r="UEY119" s="2"/>
      <c r="UEZ119" s="2"/>
      <c r="UFA119" s="2"/>
      <c r="UFB119" s="2"/>
      <c r="UFC119" s="2"/>
      <c r="UFD119" s="2"/>
      <c r="UFE119" s="2"/>
      <c r="UFF119" s="2"/>
      <c r="UFG119" s="2"/>
      <c r="UFH119" s="2"/>
      <c r="UFI119" s="2"/>
      <c r="UFJ119" s="2"/>
      <c r="UFK119" s="2"/>
      <c r="UFL119" s="2"/>
      <c r="UFM119" s="2"/>
      <c r="UFN119" s="2"/>
      <c r="UFO119" s="2"/>
      <c r="UFP119" s="2"/>
      <c r="UFQ119" s="2"/>
      <c r="UFR119" s="2"/>
      <c r="UFS119" s="2"/>
      <c r="UFT119" s="2"/>
      <c r="UFU119" s="2"/>
      <c r="UFV119" s="2"/>
      <c r="UFW119" s="2"/>
      <c r="UFX119" s="2"/>
      <c r="UFY119" s="2"/>
      <c r="UFZ119" s="2"/>
      <c r="UGA119" s="2"/>
      <c r="UGB119" s="2"/>
      <c r="UGC119" s="2"/>
      <c r="UGD119" s="2"/>
      <c r="UGE119" s="2"/>
      <c r="UGF119" s="2"/>
      <c r="UGG119" s="2"/>
      <c r="UGH119" s="2"/>
      <c r="UGI119" s="2"/>
      <c r="UGJ119" s="2"/>
      <c r="UGK119" s="2"/>
      <c r="UGL119" s="2"/>
      <c r="UGM119" s="2"/>
      <c r="UGN119" s="2"/>
      <c r="UGO119" s="2"/>
      <c r="UGP119" s="2"/>
      <c r="UGQ119" s="2"/>
      <c r="UGR119" s="2"/>
      <c r="UGS119" s="2"/>
      <c r="UGT119" s="2"/>
      <c r="UGU119" s="2"/>
      <c r="UGV119" s="2"/>
      <c r="UGW119" s="2"/>
      <c r="UGX119" s="2"/>
      <c r="UGY119" s="2"/>
      <c r="UGZ119" s="2"/>
      <c r="UHA119" s="2"/>
      <c r="UHB119" s="2"/>
      <c r="UHC119" s="2"/>
      <c r="UHD119" s="2"/>
      <c r="UHE119" s="2"/>
      <c r="UHF119" s="2"/>
      <c r="UHG119" s="2"/>
      <c r="UHH119" s="2"/>
      <c r="UHI119" s="2"/>
      <c r="UHJ119" s="2"/>
      <c r="UHK119" s="2"/>
      <c r="UHL119" s="2"/>
      <c r="UHM119" s="2"/>
      <c r="UHN119" s="2"/>
      <c r="UHO119" s="2"/>
      <c r="UHP119" s="2"/>
      <c r="UHQ119" s="2"/>
      <c r="UHR119" s="2"/>
      <c r="UHS119" s="2"/>
      <c r="UHT119" s="2"/>
      <c r="UHU119" s="2"/>
      <c r="UHV119" s="2"/>
      <c r="UHW119" s="2"/>
      <c r="UHX119" s="2"/>
      <c r="UHY119" s="2"/>
      <c r="UHZ119" s="2"/>
      <c r="UIA119" s="2"/>
      <c r="UIB119" s="2"/>
      <c r="UIC119" s="2"/>
      <c r="UID119" s="2"/>
      <c r="UIE119" s="2"/>
      <c r="UIF119" s="2"/>
      <c r="UIG119" s="2"/>
      <c r="UIH119" s="2"/>
      <c r="UII119" s="2"/>
      <c r="UIJ119" s="2"/>
      <c r="UIK119" s="2"/>
      <c r="UIL119" s="2"/>
      <c r="UIM119" s="2"/>
      <c r="UIN119" s="2"/>
      <c r="UIO119" s="2"/>
      <c r="UIP119" s="2"/>
      <c r="UIQ119" s="2"/>
      <c r="UIR119" s="2"/>
      <c r="UIS119" s="2"/>
      <c r="UIT119" s="2"/>
      <c r="UIU119" s="2"/>
      <c r="UIV119" s="2"/>
      <c r="UIW119" s="2"/>
      <c r="UIX119" s="2"/>
      <c r="UIY119" s="2"/>
      <c r="UIZ119" s="2"/>
      <c r="UJA119" s="2"/>
      <c r="UJB119" s="2"/>
      <c r="UJC119" s="2"/>
      <c r="UJD119" s="2"/>
      <c r="UJE119" s="2"/>
      <c r="UJF119" s="2"/>
      <c r="UJG119" s="2"/>
      <c r="UJH119" s="2"/>
      <c r="UJI119" s="2"/>
      <c r="UJJ119" s="2"/>
      <c r="UJK119" s="2"/>
      <c r="UJL119" s="2"/>
      <c r="UJM119" s="2"/>
      <c r="UJN119" s="2"/>
      <c r="UJO119" s="2"/>
      <c r="UJP119" s="2"/>
      <c r="UJQ119" s="2"/>
      <c r="UJR119" s="2"/>
      <c r="UJS119" s="2"/>
      <c r="UJT119" s="2"/>
      <c r="UJU119" s="2"/>
      <c r="UJV119" s="2"/>
      <c r="UJW119" s="2"/>
      <c r="UJX119" s="2"/>
      <c r="UJY119" s="2"/>
      <c r="UJZ119" s="2"/>
      <c r="UKA119" s="2"/>
      <c r="UKB119" s="2"/>
      <c r="UKC119" s="2"/>
      <c r="UKD119" s="2"/>
      <c r="UKE119" s="2"/>
      <c r="UKF119" s="2"/>
      <c r="UKG119" s="2"/>
      <c r="UKH119" s="2"/>
      <c r="UKI119" s="2"/>
      <c r="UKJ119" s="2"/>
      <c r="UKK119" s="2"/>
      <c r="UKL119" s="2"/>
      <c r="UKM119" s="2"/>
      <c r="UKN119" s="2"/>
      <c r="UKO119" s="2"/>
      <c r="UKP119" s="2"/>
      <c r="UKQ119" s="2"/>
      <c r="UKR119" s="2"/>
      <c r="UKS119" s="2"/>
      <c r="UKT119" s="2"/>
      <c r="UKU119" s="2"/>
      <c r="UKV119" s="2"/>
      <c r="UKW119" s="2"/>
      <c r="UKX119" s="2"/>
      <c r="UKY119" s="2"/>
      <c r="UKZ119" s="2"/>
      <c r="ULA119" s="2"/>
      <c r="ULB119" s="2"/>
      <c r="ULC119" s="2"/>
      <c r="ULD119" s="2"/>
      <c r="ULE119" s="2"/>
      <c r="ULF119" s="2"/>
      <c r="ULG119" s="2"/>
      <c r="ULH119" s="2"/>
      <c r="ULI119" s="2"/>
      <c r="ULJ119" s="2"/>
      <c r="ULK119" s="2"/>
      <c r="ULL119" s="2"/>
      <c r="ULM119" s="2"/>
      <c r="ULN119" s="2"/>
      <c r="ULO119" s="2"/>
      <c r="ULP119" s="2"/>
      <c r="ULQ119" s="2"/>
      <c r="ULR119" s="2"/>
      <c r="ULS119" s="2"/>
      <c r="ULT119" s="2"/>
      <c r="ULU119" s="2"/>
      <c r="ULV119" s="2"/>
      <c r="ULW119" s="2"/>
      <c r="ULX119" s="2"/>
      <c r="ULY119" s="2"/>
      <c r="ULZ119" s="2"/>
      <c r="UMA119" s="2"/>
      <c r="UMB119" s="2"/>
      <c r="UMC119" s="2"/>
      <c r="UMD119" s="2"/>
      <c r="UME119" s="2"/>
      <c r="UMF119" s="2"/>
      <c r="UMG119" s="2"/>
      <c r="UMH119" s="2"/>
      <c r="UMI119" s="2"/>
      <c r="UMJ119" s="2"/>
      <c r="UMK119" s="2"/>
      <c r="UML119" s="2"/>
      <c r="UMM119" s="2"/>
      <c r="UMN119" s="2"/>
      <c r="UMO119" s="2"/>
      <c r="UMP119" s="2"/>
      <c r="UMQ119" s="2"/>
      <c r="UMR119" s="2"/>
      <c r="UMS119" s="2"/>
      <c r="UMT119" s="2"/>
      <c r="UMU119" s="2"/>
      <c r="UMV119" s="2"/>
      <c r="UMW119" s="2"/>
      <c r="UMX119" s="2"/>
      <c r="UMY119" s="2"/>
      <c r="UMZ119" s="2"/>
      <c r="UNA119" s="2"/>
      <c r="UNB119" s="2"/>
      <c r="UNC119" s="2"/>
      <c r="UND119" s="2"/>
      <c r="UNE119" s="2"/>
      <c r="UNF119" s="2"/>
      <c r="UNG119" s="2"/>
      <c r="UNH119" s="2"/>
      <c r="UNI119" s="2"/>
      <c r="UNJ119" s="2"/>
      <c r="UNK119" s="2"/>
      <c r="UNL119" s="2"/>
      <c r="UNM119" s="2"/>
      <c r="UNN119" s="2"/>
      <c r="UNO119" s="2"/>
      <c r="UNP119" s="2"/>
      <c r="UNQ119" s="2"/>
      <c r="UNR119" s="2"/>
      <c r="UNS119" s="2"/>
      <c r="UNT119" s="2"/>
      <c r="UNU119" s="2"/>
      <c r="UNV119" s="2"/>
      <c r="UNW119" s="2"/>
      <c r="UNX119" s="2"/>
      <c r="UNY119" s="2"/>
      <c r="UNZ119" s="2"/>
      <c r="UOA119" s="2"/>
      <c r="UOB119" s="2"/>
      <c r="UOC119" s="2"/>
      <c r="UOD119" s="2"/>
      <c r="UOE119" s="2"/>
      <c r="UOF119" s="2"/>
      <c r="UOG119" s="2"/>
      <c r="UOH119" s="2"/>
      <c r="UOI119" s="2"/>
      <c r="UOJ119" s="2"/>
      <c r="UOK119" s="2"/>
      <c r="UOL119" s="2"/>
      <c r="UOM119" s="2"/>
      <c r="UON119" s="2"/>
      <c r="UOO119" s="2"/>
      <c r="UOP119" s="2"/>
      <c r="UOQ119" s="2"/>
      <c r="UOR119" s="2"/>
      <c r="UOS119" s="2"/>
      <c r="UOT119" s="2"/>
      <c r="UOU119" s="2"/>
      <c r="UOV119" s="2"/>
      <c r="UOW119" s="2"/>
      <c r="UOX119" s="2"/>
      <c r="UOY119" s="2"/>
      <c r="UOZ119" s="2"/>
      <c r="UPA119" s="2"/>
      <c r="UPB119" s="2"/>
      <c r="UPC119" s="2"/>
      <c r="UPD119" s="2"/>
      <c r="UPE119" s="2"/>
      <c r="UPF119" s="2"/>
      <c r="UPG119" s="2"/>
      <c r="UPH119" s="2"/>
      <c r="UPI119" s="2"/>
      <c r="UPJ119" s="2"/>
      <c r="UPK119" s="2"/>
      <c r="UPL119" s="2"/>
      <c r="UPM119" s="2"/>
      <c r="UPN119" s="2"/>
      <c r="UPO119" s="2"/>
      <c r="UPP119" s="2"/>
      <c r="UPQ119" s="2"/>
      <c r="UPR119" s="2"/>
      <c r="UPS119" s="2"/>
      <c r="UPT119" s="2"/>
      <c r="UPU119" s="2"/>
      <c r="UPV119" s="2"/>
      <c r="UPW119" s="2"/>
      <c r="UPX119" s="2"/>
      <c r="UPY119" s="2"/>
      <c r="UPZ119" s="2"/>
      <c r="UQA119" s="2"/>
      <c r="UQB119" s="2"/>
      <c r="UQC119" s="2"/>
      <c r="UQD119" s="2"/>
      <c r="UQE119" s="2"/>
      <c r="UQF119" s="2"/>
      <c r="UQG119" s="2"/>
      <c r="UQH119" s="2"/>
      <c r="UQI119" s="2"/>
      <c r="UQJ119" s="2"/>
      <c r="UQK119" s="2"/>
      <c r="UQL119" s="2"/>
      <c r="UQM119" s="2"/>
      <c r="UQN119" s="2"/>
      <c r="UQO119" s="2"/>
      <c r="UQP119" s="2"/>
      <c r="UQQ119" s="2"/>
      <c r="UQR119" s="2"/>
      <c r="UQS119" s="2"/>
      <c r="UQT119" s="2"/>
      <c r="UQU119" s="2"/>
      <c r="UQV119" s="2"/>
      <c r="UQW119" s="2"/>
      <c r="UQX119" s="2"/>
      <c r="UQY119" s="2"/>
      <c r="UQZ119" s="2"/>
      <c r="URA119" s="2"/>
      <c r="URB119" s="2"/>
      <c r="URC119" s="2"/>
      <c r="URD119" s="2"/>
      <c r="URE119" s="2"/>
      <c r="URF119" s="2"/>
      <c r="URG119" s="2"/>
      <c r="URH119" s="2"/>
      <c r="URI119" s="2"/>
      <c r="URJ119" s="2"/>
      <c r="URK119" s="2"/>
      <c r="URL119" s="2"/>
      <c r="URM119" s="2"/>
      <c r="URN119" s="2"/>
      <c r="URO119" s="2"/>
      <c r="URP119" s="2"/>
      <c r="URQ119" s="2"/>
      <c r="URR119" s="2"/>
      <c r="URS119" s="2"/>
      <c r="URT119" s="2"/>
      <c r="URU119" s="2"/>
      <c r="URV119" s="2"/>
      <c r="URW119" s="2"/>
      <c r="URX119" s="2"/>
      <c r="URY119" s="2"/>
      <c r="URZ119" s="2"/>
      <c r="USA119" s="2"/>
      <c r="USB119" s="2"/>
      <c r="USC119" s="2"/>
      <c r="USD119" s="2"/>
      <c r="USE119" s="2"/>
      <c r="USF119" s="2"/>
      <c r="USG119" s="2"/>
      <c r="USH119" s="2"/>
      <c r="USI119" s="2"/>
      <c r="USJ119" s="2"/>
      <c r="USK119" s="2"/>
      <c r="USL119" s="2"/>
      <c r="USM119" s="2"/>
      <c r="USN119" s="2"/>
      <c r="USO119" s="2"/>
      <c r="USP119" s="2"/>
      <c r="USQ119" s="2"/>
      <c r="USR119" s="2"/>
      <c r="USS119" s="2"/>
      <c r="UST119" s="2"/>
      <c r="USU119" s="2"/>
      <c r="USV119" s="2"/>
      <c r="USW119" s="2"/>
      <c r="USX119" s="2"/>
      <c r="USY119" s="2"/>
      <c r="USZ119" s="2"/>
      <c r="UTA119" s="2"/>
      <c r="UTB119" s="2"/>
      <c r="UTC119" s="2"/>
      <c r="UTD119" s="2"/>
      <c r="UTE119" s="2"/>
      <c r="UTF119" s="2"/>
      <c r="UTG119" s="2"/>
      <c r="UTH119" s="2"/>
      <c r="UTI119" s="2"/>
      <c r="UTJ119" s="2"/>
      <c r="UTK119" s="2"/>
      <c r="UTL119" s="2"/>
      <c r="UTM119" s="2"/>
      <c r="UTN119" s="2"/>
      <c r="UTO119" s="2"/>
      <c r="UTP119" s="2"/>
      <c r="UTQ119" s="2"/>
      <c r="UTR119" s="2"/>
      <c r="UTS119" s="2"/>
      <c r="UTT119" s="2"/>
      <c r="UTU119" s="2"/>
      <c r="UTV119" s="2"/>
      <c r="UTW119" s="2"/>
      <c r="UTX119" s="2"/>
      <c r="UTY119" s="2"/>
      <c r="UTZ119" s="2"/>
      <c r="UUA119" s="2"/>
      <c r="UUB119" s="2"/>
      <c r="UUC119" s="2"/>
      <c r="UUD119" s="2"/>
      <c r="UUE119" s="2"/>
      <c r="UUF119" s="2"/>
      <c r="UUG119" s="2"/>
      <c r="UUH119" s="2"/>
      <c r="UUI119" s="2"/>
      <c r="UUJ119" s="2"/>
      <c r="UUK119" s="2"/>
      <c r="UUL119" s="2"/>
      <c r="UUM119" s="2"/>
      <c r="UUN119" s="2"/>
      <c r="UUO119" s="2"/>
      <c r="UUP119" s="2"/>
      <c r="UUQ119" s="2"/>
      <c r="UUR119" s="2"/>
      <c r="UUS119" s="2"/>
      <c r="UUT119" s="2"/>
      <c r="UUU119" s="2"/>
      <c r="UUV119" s="2"/>
      <c r="UUW119" s="2"/>
      <c r="UUX119" s="2"/>
      <c r="UUY119" s="2"/>
      <c r="UUZ119" s="2"/>
      <c r="UVA119" s="2"/>
      <c r="UVB119" s="2"/>
      <c r="UVC119" s="2"/>
      <c r="UVD119" s="2"/>
      <c r="UVE119" s="2"/>
      <c r="UVF119" s="2"/>
      <c r="UVG119" s="2"/>
      <c r="UVH119" s="2"/>
      <c r="UVI119" s="2"/>
      <c r="UVJ119" s="2"/>
      <c r="UVK119" s="2"/>
      <c r="UVL119" s="2"/>
      <c r="UVM119" s="2"/>
      <c r="UVN119" s="2"/>
      <c r="UVO119" s="2"/>
      <c r="UVP119" s="2"/>
      <c r="UVQ119" s="2"/>
      <c r="UVR119" s="2"/>
      <c r="UVS119" s="2"/>
      <c r="UVT119" s="2"/>
      <c r="UVU119" s="2"/>
      <c r="UVV119" s="2"/>
      <c r="UVW119" s="2"/>
      <c r="UVX119" s="2"/>
      <c r="UVY119" s="2"/>
      <c r="UVZ119" s="2"/>
      <c r="UWA119" s="2"/>
      <c r="UWB119" s="2"/>
      <c r="UWC119" s="2"/>
      <c r="UWD119" s="2"/>
      <c r="UWE119" s="2"/>
      <c r="UWF119" s="2"/>
      <c r="UWG119" s="2"/>
      <c r="UWH119" s="2"/>
      <c r="UWI119" s="2"/>
      <c r="UWJ119" s="2"/>
      <c r="UWK119" s="2"/>
      <c r="UWL119" s="2"/>
      <c r="UWM119" s="2"/>
      <c r="UWN119" s="2"/>
      <c r="UWO119" s="2"/>
      <c r="UWP119" s="2"/>
      <c r="UWQ119" s="2"/>
      <c r="UWR119" s="2"/>
      <c r="UWS119" s="2"/>
      <c r="UWT119" s="2"/>
      <c r="UWU119" s="2"/>
      <c r="UWV119" s="2"/>
      <c r="UWW119" s="2"/>
      <c r="UWX119" s="2"/>
      <c r="UWY119" s="2"/>
      <c r="UWZ119" s="2"/>
      <c r="UXA119" s="2"/>
      <c r="UXB119" s="2"/>
      <c r="UXC119" s="2"/>
      <c r="UXD119" s="2"/>
      <c r="UXE119" s="2"/>
      <c r="UXF119" s="2"/>
      <c r="UXG119" s="2"/>
      <c r="UXH119" s="2"/>
      <c r="UXI119" s="2"/>
      <c r="UXJ119" s="2"/>
      <c r="UXK119" s="2"/>
      <c r="UXL119" s="2"/>
      <c r="UXM119" s="2"/>
      <c r="UXN119" s="2"/>
      <c r="UXO119" s="2"/>
      <c r="UXP119" s="2"/>
      <c r="UXQ119" s="2"/>
      <c r="UXR119" s="2"/>
      <c r="UXS119" s="2"/>
      <c r="UXT119" s="2"/>
      <c r="UXU119" s="2"/>
      <c r="UXV119" s="2"/>
      <c r="UXW119" s="2"/>
      <c r="UXX119" s="2"/>
      <c r="UXY119" s="2"/>
      <c r="UXZ119" s="2"/>
      <c r="UYA119" s="2"/>
      <c r="UYB119" s="2"/>
      <c r="UYC119" s="2"/>
      <c r="UYD119" s="2"/>
      <c r="UYE119" s="2"/>
      <c r="UYF119" s="2"/>
      <c r="UYG119" s="2"/>
      <c r="UYH119" s="2"/>
      <c r="UYI119" s="2"/>
      <c r="UYJ119" s="2"/>
      <c r="UYK119" s="2"/>
      <c r="UYL119" s="2"/>
      <c r="UYM119" s="2"/>
      <c r="UYN119" s="2"/>
      <c r="UYO119" s="2"/>
      <c r="UYP119" s="2"/>
      <c r="UYQ119" s="2"/>
      <c r="UYR119" s="2"/>
      <c r="UYS119" s="2"/>
      <c r="UYT119" s="2"/>
      <c r="UYU119" s="2"/>
      <c r="UYV119" s="2"/>
      <c r="UYW119" s="2"/>
      <c r="UYX119" s="2"/>
      <c r="UYY119" s="2"/>
      <c r="UYZ119" s="2"/>
      <c r="UZA119" s="2"/>
      <c r="UZB119" s="2"/>
      <c r="UZC119" s="2"/>
      <c r="UZD119" s="2"/>
      <c r="UZE119" s="2"/>
      <c r="UZF119" s="2"/>
      <c r="UZG119" s="2"/>
      <c r="UZH119" s="2"/>
      <c r="UZI119" s="2"/>
      <c r="UZJ119" s="2"/>
      <c r="UZK119" s="2"/>
      <c r="UZL119" s="2"/>
      <c r="UZM119" s="2"/>
      <c r="UZN119" s="2"/>
      <c r="UZO119" s="2"/>
      <c r="UZP119" s="2"/>
      <c r="UZQ119" s="2"/>
      <c r="UZR119" s="2"/>
      <c r="UZS119" s="2"/>
      <c r="UZT119" s="2"/>
      <c r="UZU119" s="2"/>
      <c r="UZV119" s="2"/>
      <c r="UZW119" s="2"/>
      <c r="UZX119" s="2"/>
      <c r="UZY119" s="2"/>
      <c r="UZZ119" s="2"/>
      <c r="VAA119" s="2"/>
      <c r="VAB119" s="2"/>
      <c r="VAC119" s="2"/>
      <c r="VAD119" s="2"/>
      <c r="VAE119" s="2"/>
      <c r="VAF119" s="2"/>
      <c r="VAG119" s="2"/>
      <c r="VAH119" s="2"/>
      <c r="VAI119" s="2"/>
      <c r="VAJ119" s="2"/>
      <c r="VAK119" s="2"/>
      <c r="VAL119" s="2"/>
      <c r="VAM119" s="2"/>
      <c r="VAN119" s="2"/>
      <c r="VAO119" s="2"/>
      <c r="VAP119" s="2"/>
      <c r="VAQ119" s="2"/>
      <c r="VAR119" s="2"/>
      <c r="VAS119" s="2"/>
      <c r="VAT119" s="2"/>
      <c r="VAU119" s="2"/>
      <c r="VAV119" s="2"/>
      <c r="VAW119" s="2"/>
      <c r="VAX119" s="2"/>
      <c r="VAY119" s="2"/>
      <c r="VAZ119" s="2"/>
      <c r="VBA119" s="2"/>
      <c r="VBB119" s="2"/>
      <c r="VBC119" s="2"/>
      <c r="VBD119" s="2"/>
      <c r="VBE119" s="2"/>
      <c r="VBF119" s="2"/>
      <c r="VBG119" s="2"/>
      <c r="VBH119" s="2"/>
      <c r="VBI119" s="2"/>
      <c r="VBJ119" s="2"/>
      <c r="VBK119" s="2"/>
      <c r="VBL119" s="2"/>
      <c r="VBM119" s="2"/>
      <c r="VBN119" s="2"/>
      <c r="VBO119" s="2"/>
      <c r="VBP119" s="2"/>
      <c r="VBQ119" s="2"/>
      <c r="VBR119" s="2"/>
      <c r="VBS119" s="2"/>
      <c r="VBT119" s="2"/>
      <c r="VBU119" s="2"/>
      <c r="VBV119" s="2"/>
      <c r="VBW119" s="2"/>
      <c r="VBX119" s="2"/>
      <c r="VBY119" s="2"/>
      <c r="VBZ119" s="2"/>
      <c r="VCA119" s="2"/>
      <c r="VCB119" s="2"/>
      <c r="VCC119" s="2"/>
      <c r="VCD119" s="2"/>
      <c r="VCE119" s="2"/>
      <c r="VCF119" s="2"/>
      <c r="VCG119" s="2"/>
      <c r="VCH119" s="2"/>
      <c r="VCI119" s="2"/>
      <c r="VCJ119" s="2"/>
      <c r="VCK119" s="2"/>
      <c r="VCL119" s="2"/>
      <c r="VCM119" s="2"/>
      <c r="VCN119" s="2"/>
      <c r="VCO119" s="2"/>
      <c r="VCP119" s="2"/>
      <c r="VCQ119" s="2"/>
      <c r="VCR119" s="2"/>
      <c r="VCS119" s="2"/>
      <c r="VCT119" s="2"/>
      <c r="VCU119" s="2"/>
      <c r="VCV119" s="2"/>
      <c r="VCW119" s="2"/>
      <c r="VCX119" s="2"/>
      <c r="VCY119" s="2"/>
      <c r="VCZ119" s="2"/>
      <c r="VDA119" s="2"/>
      <c r="VDB119" s="2"/>
      <c r="VDC119" s="2"/>
      <c r="VDD119" s="2"/>
      <c r="VDE119" s="2"/>
      <c r="VDF119" s="2"/>
      <c r="VDG119" s="2"/>
      <c r="VDH119" s="2"/>
      <c r="VDI119" s="2"/>
      <c r="VDJ119" s="2"/>
      <c r="VDK119" s="2"/>
      <c r="VDL119" s="2"/>
      <c r="VDM119" s="2"/>
      <c r="VDN119" s="2"/>
      <c r="VDO119" s="2"/>
      <c r="VDP119" s="2"/>
      <c r="VDQ119" s="2"/>
      <c r="VDR119" s="2"/>
      <c r="VDS119" s="2"/>
      <c r="VDT119" s="2"/>
      <c r="VDU119" s="2"/>
      <c r="VDV119" s="2"/>
      <c r="VDW119" s="2"/>
      <c r="VDX119" s="2"/>
      <c r="VDY119" s="2"/>
      <c r="VDZ119" s="2"/>
      <c r="VEA119" s="2"/>
      <c r="VEB119" s="2"/>
      <c r="VEC119" s="2"/>
      <c r="VED119" s="2"/>
      <c r="VEE119" s="2"/>
      <c r="VEF119" s="2"/>
      <c r="VEG119" s="2"/>
      <c r="VEH119" s="2"/>
      <c r="VEI119" s="2"/>
      <c r="VEJ119" s="2"/>
      <c r="VEK119" s="2"/>
      <c r="VEL119" s="2"/>
      <c r="VEM119" s="2"/>
      <c r="VEN119" s="2"/>
      <c r="VEO119" s="2"/>
      <c r="VEP119" s="2"/>
      <c r="VEQ119" s="2"/>
      <c r="VER119" s="2"/>
      <c r="VES119" s="2"/>
      <c r="VET119" s="2"/>
      <c r="VEU119" s="2"/>
      <c r="VEV119" s="2"/>
      <c r="VEW119" s="2"/>
      <c r="VEX119" s="2"/>
      <c r="VEY119" s="2"/>
      <c r="VEZ119" s="2"/>
      <c r="VFA119" s="2"/>
      <c r="VFB119" s="2"/>
      <c r="VFC119" s="2"/>
      <c r="VFD119" s="2"/>
      <c r="VFE119" s="2"/>
      <c r="VFF119" s="2"/>
      <c r="VFG119" s="2"/>
      <c r="VFH119" s="2"/>
      <c r="VFI119" s="2"/>
      <c r="VFJ119" s="2"/>
      <c r="VFK119" s="2"/>
      <c r="VFL119" s="2"/>
      <c r="VFM119" s="2"/>
      <c r="VFN119" s="2"/>
      <c r="VFO119" s="2"/>
      <c r="VFP119" s="2"/>
      <c r="VFQ119" s="2"/>
      <c r="VFR119" s="2"/>
      <c r="VFS119" s="2"/>
      <c r="VFT119" s="2"/>
      <c r="VFU119" s="2"/>
      <c r="VFV119" s="2"/>
      <c r="VFW119" s="2"/>
      <c r="VFX119" s="2"/>
      <c r="VFY119" s="2"/>
      <c r="VFZ119" s="2"/>
      <c r="VGA119" s="2"/>
      <c r="VGB119" s="2"/>
      <c r="VGC119" s="2"/>
      <c r="VGD119" s="2"/>
      <c r="VGE119" s="2"/>
      <c r="VGF119" s="2"/>
      <c r="VGG119" s="2"/>
      <c r="VGH119" s="2"/>
      <c r="VGI119" s="2"/>
      <c r="VGJ119" s="2"/>
      <c r="VGK119" s="2"/>
      <c r="VGL119" s="2"/>
      <c r="VGM119" s="2"/>
      <c r="VGN119" s="2"/>
      <c r="VGO119" s="2"/>
      <c r="VGP119" s="2"/>
      <c r="VGQ119" s="2"/>
      <c r="VGR119" s="2"/>
      <c r="VGS119" s="2"/>
      <c r="VGT119" s="2"/>
      <c r="VGU119" s="2"/>
      <c r="VGV119" s="2"/>
      <c r="VGW119" s="2"/>
      <c r="VGX119" s="2"/>
      <c r="VGY119" s="2"/>
      <c r="VGZ119" s="2"/>
      <c r="VHA119" s="2"/>
      <c r="VHB119" s="2"/>
      <c r="VHC119" s="2"/>
      <c r="VHD119" s="2"/>
      <c r="VHE119" s="2"/>
      <c r="VHF119" s="2"/>
      <c r="VHG119" s="2"/>
      <c r="VHH119" s="2"/>
      <c r="VHI119" s="2"/>
      <c r="VHJ119" s="2"/>
      <c r="VHK119" s="2"/>
      <c r="VHL119" s="2"/>
      <c r="VHM119" s="2"/>
      <c r="VHN119" s="2"/>
      <c r="VHO119" s="2"/>
      <c r="VHP119" s="2"/>
      <c r="VHQ119" s="2"/>
      <c r="VHR119" s="2"/>
      <c r="VHS119" s="2"/>
      <c r="VHT119" s="2"/>
      <c r="VHU119" s="2"/>
      <c r="VHV119" s="2"/>
      <c r="VHW119" s="2"/>
      <c r="VHX119" s="2"/>
      <c r="VHY119" s="2"/>
      <c r="VHZ119" s="2"/>
      <c r="VIA119" s="2"/>
      <c r="VIB119" s="2"/>
      <c r="VIC119" s="2"/>
      <c r="VID119" s="2"/>
      <c r="VIE119" s="2"/>
      <c r="VIF119" s="2"/>
      <c r="VIG119" s="2"/>
      <c r="VIH119" s="2"/>
      <c r="VII119" s="2"/>
      <c r="VIJ119" s="2"/>
      <c r="VIK119" s="2"/>
      <c r="VIL119" s="2"/>
      <c r="VIM119" s="2"/>
      <c r="VIN119" s="2"/>
      <c r="VIO119" s="2"/>
      <c r="VIP119" s="2"/>
      <c r="VIQ119" s="2"/>
      <c r="VIR119" s="2"/>
      <c r="VIS119" s="2"/>
      <c r="VIT119" s="2"/>
      <c r="VIU119" s="2"/>
      <c r="VIV119" s="2"/>
      <c r="VIW119" s="2"/>
      <c r="VIX119" s="2"/>
      <c r="VIY119" s="2"/>
      <c r="VIZ119" s="2"/>
      <c r="VJA119" s="2"/>
      <c r="VJB119" s="2"/>
      <c r="VJC119" s="2"/>
      <c r="VJD119" s="2"/>
      <c r="VJE119" s="2"/>
      <c r="VJF119" s="2"/>
      <c r="VJG119" s="2"/>
      <c r="VJH119" s="2"/>
      <c r="VJI119" s="2"/>
      <c r="VJJ119" s="2"/>
      <c r="VJK119" s="2"/>
      <c r="VJL119" s="2"/>
      <c r="VJM119" s="2"/>
      <c r="VJN119" s="2"/>
      <c r="VJO119" s="2"/>
      <c r="VJP119" s="2"/>
      <c r="VJQ119" s="2"/>
      <c r="VJR119" s="2"/>
      <c r="VJS119" s="2"/>
      <c r="VJT119" s="2"/>
      <c r="VJU119" s="2"/>
      <c r="VJV119" s="2"/>
      <c r="VJW119" s="2"/>
      <c r="VJX119" s="2"/>
      <c r="VJY119" s="2"/>
      <c r="VJZ119" s="2"/>
      <c r="VKA119" s="2"/>
      <c r="VKB119" s="2"/>
      <c r="VKC119" s="2"/>
      <c r="VKD119" s="2"/>
      <c r="VKE119" s="2"/>
      <c r="VKF119" s="2"/>
      <c r="VKG119" s="2"/>
      <c r="VKH119" s="2"/>
      <c r="VKI119" s="2"/>
      <c r="VKJ119" s="2"/>
      <c r="VKK119" s="2"/>
      <c r="VKL119" s="2"/>
      <c r="VKM119" s="2"/>
      <c r="VKN119" s="2"/>
      <c r="VKO119" s="2"/>
      <c r="VKP119" s="2"/>
      <c r="VKQ119" s="2"/>
      <c r="VKR119" s="2"/>
      <c r="VKS119" s="2"/>
      <c r="VKT119" s="2"/>
      <c r="VKU119" s="2"/>
      <c r="VKV119" s="2"/>
      <c r="VKW119" s="2"/>
      <c r="VKX119" s="2"/>
      <c r="VKY119" s="2"/>
      <c r="VKZ119" s="2"/>
      <c r="VLA119" s="2"/>
      <c r="VLB119" s="2"/>
      <c r="VLC119" s="2"/>
      <c r="VLD119" s="2"/>
      <c r="VLE119" s="2"/>
      <c r="VLF119" s="2"/>
      <c r="VLG119" s="2"/>
      <c r="VLH119" s="2"/>
      <c r="VLI119" s="2"/>
      <c r="VLJ119" s="2"/>
      <c r="VLK119" s="2"/>
      <c r="VLL119" s="2"/>
      <c r="VLM119" s="2"/>
      <c r="VLN119" s="2"/>
      <c r="VLO119" s="2"/>
      <c r="VLP119" s="2"/>
      <c r="VLQ119" s="2"/>
      <c r="VLR119" s="2"/>
      <c r="VLS119" s="2"/>
      <c r="VLT119" s="2"/>
      <c r="VLU119" s="2"/>
      <c r="VLV119" s="2"/>
      <c r="VLW119" s="2"/>
      <c r="VLX119" s="2"/>
      <c r="VLY119" s="2"/>
      <c r="VLZ119" s="2"/>
      <c r="VMA119" s="2"/>
      <c r="VMB119" s="2"/>
      <c r="VMC119" s="2"/>
      <c r="VMD119" s="2"/>
      <c r="VME119" s="2"/>
      <c r="VMF119" s="2"/>
      <c r="VMG119" s="2"/>
      <c r="VMH119" s="2"/>
      <c r="VMI119" s="2"/>
      <c r="VMJ119" s="2"/>
      <c r="VMK119" s="2"/>
      <c r="VML119" s="2"/>
      <c r="VMM119" s="2"/>
      <c r="VMN119" s="2"/>
      <c r="VMO119" s="2"/>
      <c r="VMP119" s="2"/>
      <c r="VMQ119" s="2"/>
      <c r="VMR119" s="2"/>
      <c r="VMS119" s="2"/>
      <c r="VMT119" s="2"/>
      <c r="VMU119" s="2"/>
      <c r="VMV119" s="2"/>
      <c r="VMW119" s="2"/>
      <c r="VMX119" s="2"/>
      <c r="VMY119" s="2"/>
      <c r="VMZ119" s="2"/>
      <c r="VNA119" s="2"/>
      <c r="VNB119" s="2"/>
      <c r="VNC119" s="2"/>
      <c r="VND119" s="2"/>
      <c r="VNE119" s="2"/>
      <c r="VNF119" s="2"/>
      <c r="VNG119" s="2"/>
      <c r="VNH119" s="2"/>
      <c r="VNI119" s="2"/>
      <c r="VNJ119" s="2"/>
      <c r="VNK119" s="2"/>
      <c r="VNL119" s="2"/>
      <c r="VNM119" s="2"/>
      <c r="VNN119" s="2"/>
      <c r="VNO119" s="2"/>
      <c r="VNP119" s="2"/>
      <c r="VNQ119" s="2"/>
      <c r="VNR119" s="2"/>
      <c r="VNS119" s="2"/>
      <c r="VNT119" s="2"/>
      <c r="VNU119" s="2"/>
      <c r="VNV119" s="2"/>
      <c r="VNW119" s="2"/>
      <c r="VNX119" s="2"/>
      <c r="VNY119" s="2"/>
      <c r="VNZ119" s="2"/>
      <c r="VOA119" s="2"/>
      <c r="VOB119" s="2"/>
      <c r="VOC119" s="2"/>
      <c r="VOD119" s="2"/>
      <c r="VOE119" s="2"/>
      <c r="VOF119" s="2"/>
      <c r="VOG119" s="2"/>
      <c r="VOH119" s="2"/>
      <c r="VOI119" s="2"/>
      <c r="VOJ119" s="2"/>
      <c r="VOK119" s="2"/>
      <c r="VOL119" s="2"/>
      <c r="VOM119" s="2"/>
      <c r="VON119" s="2"/>
      <c r="VOO119" s="2"/>
      <c r="VOP119" s="2"/>
      <c r="VOQ119" s="2"/>
      <c r="VOR119" s="2"/>
      <c r="VOS119" s="2"/>
      <c r="VOT119" s="2"/>
      <c r="VOU119" s="2"/>
      <c r="VOV119" s="2"/>
      <c r="VOW119" s="2"/>
      <c r="VOX119" s="2"/>
      <c r="VOY119" s="2"/>
      <c r="VOZ119" s="2"/>
      <c r="VPA119" s="2"/>
      <c r="VPB119" s="2"/>
      <c r="VPC119" s="2"/>
      <c r="VPD119" s="2"/>
      <c r="VPE119" s="2"/>
      <c r="VPF119" s="2"/>
      <c r="VPG119" s="2"/>
      <c r="VPH119" s="2"/>
      <c r="VPI119" s="2"/>
      <c r="VPJ119" s="2"/>
      <c r="VPK119" s="2"/>
      <c r="VPL119" s="2"/>
      <c r="VPM119" s="2"/>
      <c r="VPN119" s="2"/>
      <c r="VPO119" s="2"/>
      <c r="VPP119" s="2"/>
      <c r="VPQ119" s="2"/>
      <c r="VPR119" s="2"/>
      <c r="VPS119" s="2"/>
      <c r="VPT119" s="2"/>
      <c r="VPU119" s="2"/>
      <c r="VPV119" s="2"/>
      <c r="VPW119" s="2"/>
      <c r="VPX119" s="2"/>
      <c r="VPY119" s="2"/>
      <c r="VPZ119" s="2"/>
      <c r="VQA119" s="2"/>
      <c r="VQB119" s="2"/>
      <c r="VQC119" s="2"/>
      <c r="VQD119" s="2"/>
      <c r="VQE119" s="2"/>
      <c r="VQF119" s="2"/>
      <c r="VQG119" s="2"/>
      <c r="VQH119" s="2"/>
      <c r="VQI119" s="2"/>
      <c r="VQJ119" s="2"/>
      <c r="VQK119" s="2"/>
      <c r="VQL119" s="2"/>
      <c r="VQM119" s="2"/>
      <c r="VQN119" s="2"/>
      <c r="VQO119" s="2"/>
      <c r="VQP119" s="2"/>
      <c r="VQQ119" s="2"/>
      <c r="VQR119" s="2"/>
      <c r="VQS119" s="2"/>
      <c r="VQT119" s="2"/>
      <c r="VQU119" s="2"/>
      <c r="VQV119" s="2"/>
      <c r="VQW119" s="2"/>
      <c r="VQX119" s="2"/>
      <c r="VQY119" s="2"/>
      <c r="VQZ119" s="2"/>
      <c r="VRA119" s="2"/>
      <c r="VRB119" s="2"/>
      <c r="VRC119" s="2"/>
      <c r="VRD119" s="2"/>
      <c r="VRE119" s="2"/>
      <c r="VRF119" s="2"/>
      <c r="VRG119" s="2"/>
      <c r="VRH119" s="2"/>
      <c r="VRI119" s="2"/>
      <c r="VRJ119" s="2"/>
      <c r="VRK119" s="2"/>
      <c r="VRL119" s="2"/>
      <c r="VRM119" s="2"/>
      <c r="VRN119" s="2"/>
      <c r="VRO119" s="2"/>
      <c r="VRP119" s="2"/>
      <c r="VRQ119" s="2"/>
      <c r="VRR119" s="2"/>
      <c r="VRS119" s="2"/>
      <c r="VRT119" s="2"/>
      <c r="VRU119" s="2"/>
      <c r="VRV119" s="2"/>
      <c r="VRW119" s="2"/>
      <c r="VRX119" s="2"/>
      <c r="VRY119" s="2"/>
      <c r="VRZ119" s="2"/>
      <c r="VSA119" s="2"/>
      <c r="VSB119" s="2"/>
      <c r="VSC119" s="2"/>
      <c r="VSD119" s="2"/>
      <c r="VSE119" s="2"/>
      <c r="VSF119" s="2"/>
      <c r="VSG119" s="2"/>
      <c r="VSH119" s="2"/>
      <c r="VSI119" s="2"/>
      <c r="VSJ119" s="2"/>
      <c r="VSK119" s="2"/>
      <c r="VSL119" s="2"/>
      <c r="VSM119" s="2"/>
      <c r="VSN119" s="2"/>
      <c r="VSO119" s="2"/>
      <c r="VSP119" s="2"/>
      <c r="VSQ119" s="2"/>
      <c r="VSR119" s="2"/>
      <c r="VSS119" s="2"/>
      <c r="VST119" s="2"/>
      <c r="VSU119" s="2"/>
      <c r="VSV119" s="2"/>
      <c r="VSW119" s="2"/>
      <c r="VSX119" s="2"/>
      <c r="VSY119" s="2"/>
      <c r="VSZ119" s="2"/>
      <c r="VTA119" s="2"/>
      <c r="VTB119" s="2"/>
      <c r="VTC119" s="2"/>
      <c r="VTD119" s="2"/>
      <c r="VTE119" s="2"/>
      <c r="VTF119" s="2"/>
      <c r="VTG119" s="2"/>
      <c r="VTH119" s="2"/>
      <c r="VTI119" s="2"/>
      <c r="VTJ119" s="2"/>
      <c r="VTK119" s="2"/>
      <c r="VTL119" s="2"/>
      <c r="VTM119" s="2"/>
      <c r="VTN119" s="2"/>
      <c r="VTO119" s="2"/>
      <c r="VTP119" s="2"/>
      <c r="VTQ119" s="2"/>
      <c r="VTR119" s="2"/>
      <c r="VTS119" s="2"/>
      <c r="VTT119" s="2"/>
      <c r="VTU119" s="2"/>
      <c r="VTV119" s="2"/>
      <c r="VTW119" s="2"/>
      <c r="VTX119" s="2"/>
      <c r="VTY119" s="2"/>
      <c r="VTZ119" s="2"/>
      <c r="VUA119" s="2"/>
      <c r="VUB119" s="2"/>
      <c r="VUC119" s="2"/>
      <c r="VUD119" s="2"/>
      <c r="VUE119" s="2"/>
      <c r="VUF119" s="2"/>
      <c r="VUG119" s="2"/>
      <c r="VUH119" s="2"/>
      <c r="VUI119" s="2"/>
      <c r="VUJ119" s="2"/>
      <c r="VUK119" s="2"/>
      <c r="VUL119" s="2"/>
      <c r="VUM119" s="2"/>
      <c r="VUN119" s="2"/>
      <c r="VUO119" s="2"/>
      <c r="VUP119" s="2"/>
      <c r="VUQ119" s="2"/>
      <c r="VUR119" s="2"/>
      <c r="VUS119" s="2"/>
      <c r="VUT119" s="2"/>
      <c r="VUU119" s="2"/>
      <c r="VUV119" s="2"/>
      <c r="VUW119" s="2"/>
      <c r="VUX119" s="2"/>
      <c r="VUY119" s="2"/>
      <c r="VUZ119" s="2"/>
      <c r="VVA119" s="2"/>
      <c r="VVB119" s="2"/>
      <c r="VVC119" s="2"/>
      <c r="VVD119" s="2"/>
      <c r="VVE119" s="2"/>
      <c r="VVF119" s="2"/>
      <c r="VVG119" s="2"/>
      <c r="VVH119" s="2"/>
      <c r="VVI119" s="2"/>
      <c r="VVJ119" s="2"/>
      <c r="VVK119" s="2"/>
      <c r="VVL119" s="2"/>
      <c r="VVM119" s="2"/>
      <c r="VVN119" s="2"/>
      <c r="VVO119" s="2"/>
      <c r="VVP119" s="2"/>
      <c r="VVQ119" s="2"/>
      <c r="VVR119" s="2"/>
      <c r="VVS119" s="2"/>
      <c r="VVT119" s="2"/>
      <c r="VVU119" s="2"/>
      <c r="VVV119" s="2"/>
      <c r="VVW119" s="2"/>
      <c r="VVX119" s="2"/>
      <c r="VVY119" s="2"/>
      <c r="VVZ119" s="2"/>
      <c r="VWA119" s="2"/>
      <c r="VWB119" s="2"/>
      <c r="VWC119" s="2"/>
      <c r="VWD119" s="2"/>
      <c r="VWE119" s="2"/>
      <c r="VWF119" s="2"/>
      <c r="VWG119" s="2"/>
      <c r="VWH119" s="2"/>
      <c r="VWI119" s="2"/>
      <c r="VWJ119" s="2"/>
      <c r="VWK119" s="2"/>
      <c r="VWL119" s="2"/>
      <c r="VWM119" s="2"/>
      <c r="VWN119" s="2"/>
      <c r="VWO119" s="2"/>
      <c r="VWP119" s="2"/>
      <c r="VWQ119" s="2"/>
      <c r="VWR119" s="2"/>
      <c r="VWS119" s="2"/>
      <c r="VWT119" s="2"/>
      <c r="VWU119" s="2"/>
      <c r="VWV119" s="2"/>
      <c r="VWW119" s="2"/>
      <c r="VWX119" s="2"/>
      <c r="VWY119" s="2"/>
      <c r="VWZ119" s="2"/>
      <c r="VXA119" s="2"/>
      <c r="VXB119" s="2"/>
      <c r="VXC119" s="2"/>
      <c r="VXD119" s="2"/>
      <c r="VXE119" s="2"/>
      <c r="VXF119" s="2"/>
      <c r="VXG119" s="2"/>
      <c r="VXH119" s="2"/>
      <c r="VXI119" s="2"/>
      <c r="VXJ119" s="2"/>
      <c r="VXK119" s="2"/>
      <c r="VXL119" s="2"/>
      <c r="VXM119" s="2"/>
      <c r="VXN119" s="2"/>
      <c r="VXO119" s="2"/>
      <c r="VXP119" s="2"/>
      <c r="VXQ119" s="2"/>
      <c r="VXR119" s="2"/>
      <c r="VXS119" s="2"/>
      <c r="VXT119" s="2"/>
      <c r="VXU119" s="2"/>
      <c r="VXV119" s="2"/>
      <c r="VXW119" s="2"/>
      <c r="VXX119" s="2"/>
      <c r="VXY119" s="2"/>
      <c r="VXZ119" s="2"/>
      <c r="VYA119" s="2"/>
      <c r="VYB119" s="2"/>
      <c r="VYC119" s="2"/>
      <c r="VYD119" s="2"/>
      <c r="VYE119" s="2"/>
      <c r="VYF119" s="2"/>
      <c r="VYG119" s="2"/>
      <c r="VYH119" s="2"/>
      <c r="VYI119" s="2"/>
      <c r="VYJ119" s="2"/>
      <c r="VYK119" s="2"/>
      <c r="VYL119" s="2"/>
      <c r="VYM119" s="2"/>
      <c r="VYN119" s="2"/>
      <c r="VYO119" s="2"/>
      <c r="VYP119" s="2"/>
      <c r="VYQ119" s="2"/>
      <c r="VYR119" s="2"/>
      <c r="VYS119" s="2"/>
      <c r="VYT119" s="2"/>
      <c r="VYU119" s="2"/>
      <c r="VYV119" s="2"/>
      <c r="VYW119" s="2"/>
      <c r="VYX119" s="2"/>
      <c r="VYY119" s="2"/>
      <c r="VYZ119" s="2"/>
      <c r="VZA119" s="2"/>
      <c r="VZB119" s="2"/>
      <c r="VZC119" s="2"/>
      <c r="VZD119" s="2"/>
      <c r="VZE119" s="2"/>
      <c r="VZF119" s="2"/>
      <c r="VZG119" s="2"/>
      <c r="VZH119" s="2"/>
      <c r="VZI119" s="2"/>
      <c r="VZJ119" s="2"/>
      <c r="VZK119" s="2"/>
      <c r="VZL119" s="2"/>
      <c r="VZM119" s="2"/>
      <c r="VZN119" s="2"/>
      <c r="VZO119" s="2"/>
      <c r="VZP119" s="2"/>
      <c r="VZQ119" s="2"/>
      <c r="VZR119" s="2"/>
      <c r="VZS119" s="2"/>
      <c r="VZT119" s="2"/>
      <c r="VZU119" s="2"/>
      <c r="VZV119" s="2"/>
      <c r="VZW119" s="2"/>
      <c r="VZX119" s="2"/>
      <c r="VZY119" s="2"/>
      <c r="VZZ119" s="2"/>
      <c r="WAA119" s="2"/>
      <c r="WAB119" s="2"/>
      <c r="WAC119" s="2"/>
      <c r="WAD119" s="2"/>
      <c r="WAE119" s="2"/>
      <c r="WAF119" s="2"/>
      <c r="WAG119" s="2"/>
      <c r="WAH119" s="2"/>
      <c r="WAI119" s="2"/>
      <c r="WAJ119" s="2"/>
      <c r="WAK119" s="2"/>
      <c r="WAL119" s="2"/>
      <c r="WAM119" s="2"/>
      <c r="WAN119" s="2"/>
      <c r="WAO119" s="2"/>
      <c r="WAP119" s="2"/>
      <c r="WAQ119" s="2"/>
      <c r="WAR119" s="2"/>
      <c r="WAS119" s="2"/>
      <c r="WAT119" s="2"/>
      <c r="WAU119" s="2"/>
      <c r="WAV119" s="2"/>
      <c r="WAW119" s="2"/>
      <c r="WAX119" s="2"/>
      <c r="WAY119" s="2"/>
      <c r="WAZ119" s="2"/>
      <c r="WBA119" s="2"/>
      <c r="WBB119" s="2"/>
      <c r="WBC119" s="2"/>
      <c r="WBD119" s="2"/>
      <c r="WBE119" s="2"/>
      <c r="WBF119" s="2"/>
      <c r="WBG119" s="2"/>
      <c r="WBH119" s="2"/>
      <c r="WBI119" s="2"/>
      <c r="WBJ119" s="2"/>
      <c r="WBK119" s="2"/>
      <c r="WBL119" s="2"/>
      <c r="WBM119" s="2"/>
      <c r="WBN119" s="2"/>
      <c r="WBO119" s="2"/>
      <c r="WBP119" s="2"/>
      <c r="WBQ119" s="2"/>
      <c r="WBR119" s="2"/>
      <c r="WBS119" s="2"/>
      <c r="WBT119" s="2"/>
      <c r="WBU119" s="2"/>
      <c r="WBV119" s="2"/>
      <c r="WBW119" s="2"/>
      <c r="WBX119" s="2"/>
      <c r="WBY119" s="2"/>
      <c r="WBZ119" s="2"/>
      <c r="WCA119" s="2"/>
      <c r="WCB119" s="2"/>
      <c r="WCC119" s="2"/>
      <c r="WCD119" s="2"/>
      <c r="WCE119" s="2"/>
      <c r="WCF119" s="2"/>
      <c r="WCG119" s="2"/>
      <c r="WCH119" s="2"/>
      <c r="WCI119" s="2"/>
      <c r="WCJ119" s="2"/>
      <c r="WCK119" s="2"/>
      <c r="WCL119" s="2"/>
      <c r="WCM119" s="2"/>
      <c r="WCN119" s="2"/>
      <c r="WCO119" s="2"/>
      <c r="WCP119" s="2"/>
      <c r="WCQ119" s="2"/>
      <c r="WCR119" s="2"/>
      <c r="WCS119" s="2"/>
      <c r="WCT119" s="2"/>
      <c r="WCU119" s="2"/>
      <c r="WCV119" s="2"/>
      <c r="WCW119" s="2"/>
      <c r="WCX119" s="2"/>
      <c r="WCY119" s="2"/>
      <c r="WCZ119" s="2"/>
      <c r="WDA119" s="2"/>
      <c r="WDB119" s="2"/>
      <c r="WDC119" s="2"/>
      <c r="WDD119" s="2"/>
      <c r="WDE119" s="2"/>
      <c r="WDF119" s="2"/>
      <c r="WDG119" s="2"/>
      <c r="WDH119" s="2"/>
      <c r="WDI119" s="2"/>
      <c r="WDJ119" s="2"/>
      <c r="WDK119" s="2"/>
      <c r="WDL119" s="2"/>
      <c r="WDM119" s="2"/>
      <c r="WDN119" s="2"/>
      <c r="WDO119" s="2"/>
      <c r="WDP119" s="2"/>
      <c r="WDQ119" s="2"/>
      <c r="WDR119" s="2"/>
      <c r="WDS119" s="2"/>
      <c r="WDT119" s="2"/>
      <c r="WDU119" s="2"/>
      <c r="WDV119" s="2"/>
      <c r="WDW119" s="2"/>
      <c r="WDX119" s="2"/>
      <c r="WDY119" s="2"/>
      <c r="WDZ119" s="2"/>
      <c r="WEA119" s="2"/>
      <c r="WEB119" s="2"/>
      <c r="WEC119" s="2"/>
      <c r="WED119" s="2"/>
      <c r="WEE119" s="2"/>
      <c r="WEF119" s="2"/>
      <c r="WEG119" s="2"/>
      <c r="WEH119" s="2"/>
      <c r="WEI119" s="2"/>
      <c r="WEJ119" s="2"/>
      <c r="WEK119" s="2"/>
      <c r="WEL119" s="2"/>
      <c r="WEM119" s="2"/>
      <c r="WEN119" s="2"/>
      <c r="WEO119" s="2"/>
      <c r="WEP119" s="2"/>
      <c r="WEQ119" s="2"/>
      <c r="WER119" s="2"/>
      <c r="WES119" s="2"/>
      <c r="WET119" s="2"/>
      <c r="WEU119" s="2"/>
      <c r="WEV119" s="2"/>
      <c r="WEW119" s="2"/>
      <c r="WEX119" s="2"/>
      <c r="WEY119" s="2"/>
      <c r="WEZ119" s="2"/>
      <c r="WFA119" s="2"/>
      <c r="WFB119" s="2"/>
      <c r="WFC119" s="2"/>
      <c r="WFD119" s="2"/>
      <c r="WFE119" s="2"/>
      <c r="WFF119" s="2"/>
      <c r="WFG119" s="2"/>
      <c r="WFH119" s="2"/>
      <c r="WFI119" s="2"/>
      <c r="WFJ119" s="2"/>
      <c r="WFK119" s="2"/>
      <c r="WFL119" s="2"/>
      <c r="WFM119" s="2"/>
      <c r="WFN119" s="2"/>
      <c r="WFO119" s="2"/>
      <c r="WFP119" s="2"/>
      <c r="WFQ119" s="2"/>
      <c r="WFR119" s="2"/>
      <c r="WFS119" s="2"/>
      <c r="WFT119" s="2"/>
      <c r="WFU119" s="2"/>
      <c r="WFV119" s="2"/>
      <c r="WFW119" s="2"/>
      <c r="WFX119" s="2"/>
      <c r="WFY119" s="2"/>
      <c r="WFZ119" s="2"/>
      <c r="WGA119" s="2"/>
      <c r="WGB119" s="2"/>
      <c r="WGC119" s="2"/>
      <c r="WGD119" s="2"/>
      <c r="WGE119" s="2"/>
      <c r="WGF119" s="2"/>
      <c r="WGG119" s="2"/>
      <c r="WGH119" s="2"/>
      <c r="WGI119" s="2"/>
      <c r="WGJ119" s="2"/>
      <c r="WGK119" s="2"/>
      <c r="WGL119" s="2"/>
      <c r="WGM119" s="2"/>
      <c r="WGN119" s="2"/>
      <c r="WGO119" s="2"/>
      <c r="WGP119" s="2"/>
      <c r="WGQ119" s="2"/>
      <c r="WGR119" s="2"/>
      <c r="WGS119" s="2"/>
      <c r="WGT119" s="2"/>
      <c r="WGU119" s="2"/>
      <c r="WGV119" s="2"/>
      <c r="WGW119" s="2"/>
      <c r="WGX119" s="2"/>
      <c r="WGY119" s="2"/>
      <c r="WGZ119" s="2"/>
      <c r="WHA119" s="2"/>
      <c r="WHB119" s="2"/>
      <c r="WHC119" s="2"/>
      <c r="WHD119" s="2"/>
      <c r="WHE119" s="2"/>
      <c r="WHF119" s="2"/>
      <c r="WHG119" s="2"/>
      <c r="WHH119" s="2"/>
      <c r="WHI119" s="2"/>
      <c r="WHJ119" s="2"/>
      <c r="WHK119" s="2"/>
      <c r="WHL119" s="2"/>
      <c r="WHM119" s="2"/>
      <c r="WHN119" s="2"/>
      <c r="WHO119" s="2"/>
      <c r="WHP119" s="2"/>
      <c r="WHQ119" s="2"/>
      <c r="WHR119" s="2"/>
      <c r="WHS119" s="2"/>
      <c r="WHT119" s="2"/>
      <c r="WHU119" s="2"/>
      <c r="WHV119" s="2"/>
      <c r="WHW119" s="2"/>
      <c r="WHX119" s="2"/>
      <c r="WHY119" s="2"/>
      <c r="WHZ119" s="2"/>
      <c r="WIA119" s="2"/>
      <c r="WIB119" s="2"/>
      <c r="WIC119" s="2"/>
      <c r="WID119" s="2"/>
      <c r="WIE119" s="2"/>
      <c r="WIF119" s="2"/>
      <c r="WIG119" s="2"/>
      <c r="WIH119" s="2"/>
      <c r="WII119" s="2"/>
      <c r="WIJ119" s="2"/>
      <c r="WIK119" s="2"/>
      <c r="WIL119" s="2"/>
      <c r="WIM119" s="2"/>
      <c r="WIN119" s="2"/>
      <c r="WIO119" s="2"/>
      <c r="WIP119" s="2"/>
      <c r="WIQ119" s="2"/>
      <c r="WIR119" s="2"/>
      <c r="WIS119" s="2"/>
      <c r="WIT119" s="2"/>
      <c r="WIU119" s="2"/>
      <c r="WIV119" s="2"/>
      <c r="WIW119" s="2"/>
      <c r="WIX119" s="2"/>
      <c r="WIY119" s="2"/>
      <c r="WIZ119" s="2"/>
      <c r="WJA119" s="2"/>
      <c r="WJB119" s="2"/>
      <c r="WJC119" s="2"/>
      <c r="WJD119" s="2"/>
      <c r="WJE119" s="2"/>
      <c r="WJF119" s="2"/>
      <c r="WJG119" s="2"/>
      <c r="WJH119" s="2"/>
      <c r="WJI119" s="2"/>
      <c r="WJJ119" s="2"/>
      <c r="WJK119" s="2"/>
      <c r="WJL119" s="2"/>
      <c r="WJM119" s="2"/>
      <c r="WJN119" s="2"/>
      <c r="WJO119" s="2"/>
      <c r="WJP119" s="2"/>
      <c r="WJQ119" s="2"/>
      <c r="WJR119" s="2"/>
      <c r="WJS119" s="2"/>
      <c r="WJT119" s="2"/>
      <c r="WJU119" s="2"/>
      <c r="WJV119" s="2"/>
      <c r="WJW119" s="2"/>
      <c r="WJX119" s="2"/>
      <c r="WJY119" s="2"/>
      <c r="WJZ119" s="2"/>
      <c r="WKA119" s="2"/>
      <c r="WKB119" s="2"/>
      <c r="WKC119" s="2"/>
      <c r="WKD119" s="2"/>
      <c r="WKE119" s="2"/>
      <c r="WKF119" s="2"/>
      <c r="WKG119" s="2"/>
      <c r="WKH119" s="2"/>
      <c r="WKI119" s="2"/>
      <c r="WKJ119" s="2"/>
      <c r="WKK119" s="2"/>
      <c r="WKL119" s="2"/>
      <c r="WKM119" s="2"/>
      <c r="WKN119" s="2"/>
      <c r="WKO119" s="2"/>
      <c r="WKP119" s="2"/>
      <c r="WKQ119" s="2"/>
      <c r="WKR119" s="2"/>
      <c r="WKS119" s="2"/>
      <c r="WKT119" s="2"/>
      <c r="WKU119" s="2"/>
      <c r="WKV119" s="2"/>
      <c r="WKW119" s="2"/>
      <c r="WKX119" s="2"/>
      <c r="WKY119" s="2"/>
      <c r="WKZ119" s="2"/>
      <c r="WLA119" s="2"/>
      <c r="WLB119" s="2"/>
      <c r="WLC119" s="2"/>
      <c r="WLD119" s="2"/>
      <c r="WLE119" s="2"/>
      <c r="WLF119" s="2"/>
      <c r="WLG119" s="2"/>
      <c r="WLH119" s="2"/>
      <c r="WLI119" s="2"/>
      <c r="WLJ119" s="2"/>
      <c r="WLK119" s="2"/>
      <c r="WLL119" s="2"/>
      <c r="WLM119" s="2"/>
      <c r="WLN119" s="2"/>
      <c r="WLO119" s="2"/>
      <c r="WLP119" s="2"/>
      <c r="WLQ119" s="2"/>
      <c r="WLR119" s="2"/>
      <c r="WLS119" s="2"/>
      <c r="WLT119" s="2"/>
      <c r="WLU119" s="2"/>
      <c r="WLV119" s="2"/>
      <c r="WLW119" s="2"/>
      <c r="WLX119" s="2"/>
      <c r="WLY119" s="2"/>
      <c r="WLZ119" s="2"/>
      <c r="WMA119" s="2"/>
      <c r="WMB119" s="2"/>
      <c r="WMC119" s="2"/>
      <c r="WMD119" s="2"/>
      <c r="WME119" s="2"/>
      <c r="WMF119" s="2"/>
      <c r="WMG119" s="2"/>
      <c r="WMH119" s="2"/>
      <c r="WMI119" s="2"/>
      <c r="WMJ119" s="2"/>
      <c r="WMK119" s="2"/>
      <c r="WML119" s="2"/>
      <c r="WMM119" s="2"/>
      <c r="WMN119" s="2"/>
      <c r="WMO119" s="2"/>
      <c r="WMP119" s="2"/>
      <c r="WMQ119" s="2"/>
      <c r="WMR119" s="2"/>
      <c r="WMS119" s="2"/>
      <c r="WMT119" s="2"/>
      <c r="WMU119" s="2"/>
      <c r="WMV119" s="2"/>
      <c r="WMW119" s="2"/>
      <c r="WMX119" s="2"/>
      <c r="WMY119" s="2"/>
      <c r="WMZ119" s="2"/>
      <c r="WNA119" s="2"/>
      <c r="WNB119" s="2"/>
      <c r="WNC119" s="2"/>
      <c r="WND119" s="2"/>
      <c r="WNE119" s="2"/>
      <c r="WNF119" s="2"/>
      <c r="WNG119" s="2"/>
      <c r="WNH119" s="2"/>
      <c r="WNI119" s="2"/>
      <c r="WNJ119" s="2"/>
      <c r="WNK119" s="2"/>
      <c r="WNL119" s="2"/>
      <c r="WNM119" s="2"/>
      <c r="WNN119" s="2"/>
      <c r="WNO119" s="2"/>
      <c r="WNP119" s="2"/>
      <c r="WNQ119" s="2"/>
      <c r="WNR119" s="2"/>
      <c r="WNS119" s="2"/>
      <c r="WNT119" s="2"/>
      <c r="WNU119" s="2"/>
      <c r="WNV119" s="2"/>
      <c r="WNW119" s="2"/>
      <c r="WNX119" s="2"/>
      <c r="WNY119" s="2"/>
      <c r="WNZ119" s="2"/>
      <c r="WOA119" s="2"/>
      <c r="WOB119" s="2"/>
      <c r="WOC119" s="2"/>
      <c r="WOD119" s="2"/>
      <c r="WOE119" s="2"/>
      <c r="WOF119" s="2"/>
      <c r="WOG119" s="2"/>
      <c r="WOH119" s="2"/>
      <c r="WOI119" s="2"/>
      <c r="WOJ119" s="2"/>
      <c r="WOK119" s="2"/>
      <c r="WOL119" s="2"/>
      <c r="WOM119" s="2"/>
      <c r="WON119" s="2"/>
      <c r="WOO119" s="2"/>
      <c r="WOP119" s="2"/>
      <c r="WOQ119" s="2"/>
      <c r="WOR119" s="2"/>
      <c r="WOS119" s="2"/>
      <c r="WOT119" s="2"/>
      <c r="WOU119" s="2"/>
      <c r="WOV119" s="2"/>
      <c r="WOW119" s="2"/>
      <c r="WOX119" s="2"/>
      <c r="WOY119" s="2"/>
      <c r="WOZ119" s="2"/>
      <c r="WPA119" s="2"/>
      <c r="WPB119" s="2"/>
      <c r="WPC119" s="2"/>
      <c r="WPD119" s="2"/>
      <c r="WPE119" s="2"/>
      <c r="WPF119" s="2"/>
      <c r="WPG119" s="2"/>
      <c r="WPH119" s="2"/>
      <c r="WPI119" s="2"/>
      <c r="WPJ119" s="2"/>
      <c r="WPK119" s="2"/>
      <c r="WPL119" s="2"/>
      <c r="WPM119" s="2"/>
      <c r="WPN119" s="2"/>
      <c r="WPO119" s="2"/>
      <c r="WPP119" s="2"/>
      <c r="WPQ119" s="2"/>
      <c r="WPR119" s="2"/>
      <c r="WPS119" s="2"/>
      <c r="WPT119" s="2"/>
      <c r="WPU119" s="2"/>
      <c r="WPV119" s="2"/>
      <c r="WPW119" s="2"/>
      <c r="WPX119" s="2"/>
      <c r="WPY119" s="2"/>
      <c r="WPZ119" s="2"/>
      <c r="WQA119" s="2"/>
      <c r="WQB119" s="2"/>
      <c r="WQC119" s="2"/>
      <c r="WQD119" s="2"/>
      <c r="WQE119" s="2"/>
      <c r="WQF119" s="2"/>
      <c r="WQG119" s="2"/>
      <c r="WQH119" s="2"/>
      <c r="WQI119" s="2"/>
      <c r="WQJ119" s="2"/>
      <c r="WQK119" s="2"/>
      <c r="WQL119" s="2"/>
      <c r="WQM119" s="2"/>
      <c r="WQN119" s="2"/>
      <c r="WQO119" s="2"/>
      <c r="WQP119" s="2"/>
      <c r="WQQ119" s="2"/>
      <c r="WQR119" s="2"/>
      <c r="WQS119" s="2"/>
      <c r="WQT119" s="2"/>
      <c r="WQU119" s="2"/>
      <c r="WQV119" s="2"/>
      <c r="WQW119" s="2"/>
      <c r="WQX119" s="2"/>
      <c r="WQY119" s="2"/>
      <c r="WQZ119" s="2"/>
      <c r="WRA119" s="2"/>
      <c r="WRB119" s="2"/>
      <c r="WRC119" s="2"/>
      <c r="WRD119" s="2"/>
      <c r="WRE119" s="2"/>
      <c r="WRF119" s="2"/>
      <c r="WRG119" s="2"/>
      <c r="WRH119" s="2"/>
      <c r="WRI119" s="2"/>
      <c r="WRJ119" s="2"/>
      <c r="WRK119" s="2"/>
      <c r="WRL119" s="2"/>
      <c r="WRM119" s="2"/>
      <c r="WRN119" s="2"/>
      <c r="WRO119" s="2"/>
      <c r="WRP119" s="2"/>
      <c r="WRQ119" s="2"/>
      <c r="WRR119" s="2"/>
      <c r="WRS119" s="2"/>
      <c r="WRT119" s="2"/>
      <c r="WRU119" s="2"/>
      <c r="WRV119" s="2"/>
      <c r="WRW119" s="2"/>
      <c r="WRX119" s="2"/>
      <c r="WRY119" s="2"/>
      <c r="WRZ119" s="2"/>
      <c r="WSA119" s="2"/>
      <c r="WSB119" s="2"/>
      <c r="WSC119" s="2"/>
      <c r="WSD119" s="2"/>
      <c r="WSE119" s="2"/>
      <c r="WSF119" s="2"/>
      <c r="WSG119" s="2"/>
      <c r="WSH119" s="2"/>
      <c r="WSI119" s="2"/>
      <c r="WSJ119" s="2"/>
      <c r="WSK119" s="2"/>
      <c r="WSL119" s="2"/>
      <c r="WSM119" s="2"/>
      <c r="WSN119" s="2"/>
      <c r="WSO119" s="2"/>
      <c r="WSP119" s="2"/>
      <c r="WSQ119" s="2"/>
      <c r="WSR119" s="2"/>
      <c r="WSS119" s="2"/>
      <c r="WST119" s="2"/>
      <c r="WSU119" s="2"/>
      <c r="WSV119" s="2"/>
      <c r="WSW119" s="2"/>
      <c r="WSX119" s="2"/>
      <c r="WSY119" s="2"/>
      <c r="WSZ119" s="2"/>
      <c r="WTA119" s="2"/>
      <c r="WTB119" s="2"/>
      <c r="WTC119" s="2"/>
      <c r="WTD119" s="2"/>
      <c r="WTE119" s="2"/>
      <c r="WTF119" s="2"/>
      <c r="WTG119" s="2"/>
      <c r="WTH119" s="2"/>
      <c r="WTI119" s="2"/>
      <c r="WTJ119" s="2"/>
      <c r="WTK119" s="2"/>
      <c r="WTL119" s="2"/>
      <c r="WTM119" s="2"/>
      <c r="WTN119" s="2"/>
      <c r="WTO119" s="2"/>
      <c r="WTP119" s="2"/>
    </row>
    <row r="120" spans="1:16084" hidden="1" x14ac:dyDescent="0.3">
      <c r="A120" s="2" t="s">
        <v>532</v>
      </c>
      <c r="B120" s="2" t="s">
        <v>531</v>
      </c>
      <c r="C120" s="15" t="s">
        <v>522</v>
      </c>
      <c r="D120" s="2" t="s">
        <v>523</v>
      </c>
      <c r="E120" s="1">
        <v>43721</v>
      </c>
      <c r="F120" s="122"/>
    </row>
    <row r="121" spans="1:16084" x14ac:dyDescent="0.3">
      <c r="A121" s="102" t="s">
        <v>533</v>
      </c>
      <c r="B121" s="102" t="s">
        <v>534</v>
      </c>
      <c r="C121" s="103" t="s">
        <v>522</v>
      </c>
      <c r="D121" s="102" t="s">
        <v>523</v>
      </c>
      <c r="E121" s="105">
        <v>43554</v>
      </c>
      <c r="F121" s="123" t="s">
        <v>39</v>
      </c>
      <c r="G121" s="2" t="s">
        <v>535</v>
      </c>
      <c r="H121" s="187" t="s">
        <v>536</v>
      </c>
      <c r="I121" s="2" t="s">
        <v>537</v>
      </c>
    </row>
    <row r="122" spans="1:16084" hidden="1" x14ac:dyDescent="0.3">
      <c r="A122" s="2" t="s">
        <v>538</v>
      </c>
      <c r="B122" s="2" t="s">
        <v>539</v>
      </c>
      <c r="C122" s="15" t="s">
        <v>522</v>
      </c>
      <c r="D122" s="2" t="s">
        <v>523</v>
      </c>
      <c r="E122" s="1">
        <v>45044</v>
      </c>
      <c r="F122" s="122" t="s">
        <v>39</v>
      </c>
      <c r="G122" s="113" t="s">
        <v>540</v>
      </c>
    </row>
    <row r="123" spans="1:16084" hidden="1" x14ac:dyDescent="0.3">
      <c r="A123" s="2" t="s">
        <v>541</v>
      </c>
      <c r="B123" s="2" t="s">
        <v>542</v>
      </c>
      <c r="C123" s="15" t="s">
        <v>543</v>
      </c>
      <c r="D123" s="2" t="s">
        <v>544</v>
      </c>
      <c r="E123" s="1">
        <v>43916</v>
      </c>
      <c r="F123" s="122"/>
      <c r="G123" s="113" t="s">
        <v>545</v>
      </c>
    </row>
    <row r="124" spans="1:16084" ht="15" x14ac:dyDescent="0.35">
      <c r="A124" s="2" t="s">
        <v>541</v>
      </c>
      <c r="B124" s="2" t="s">
        <v>546</v>
      </c>
      <c r="E124" s="1">
        <v>43916</v>
      </c>
      <c r="G124" s="173" t="s">
        <v>547</v>
      </c>
    </row>
    <row r="125" spans="1:16084" ht="15" x14ac:dyDescent="0.35">
      <c r="A125" s="2" t="s">
        <v>548</v>
      </c>
      <c r="B125" s="3" t="s">
        <v>549</v>
      </c>
      <c r="E125" s="1">
        <v>43928</v>
      </c>
      <c r="F125" s="122"/>
      <c r="G125" s="173" t="s">
        <v>550</v>
      </c>
    </row>
    <row r="126" spans="1:16084" x14ac:dyDescent="0.3">
      <c r="A126" s="2" t="s">
        <v>551</v>
      </c>
      <c r="B126" s="3" t="s">
        <v>549</v>
      </c>
      <c r="C126" s="15" t="s">
        <v>552</v>
      </c>
      <c r="D126" s="3" t="s">
        <v>553</v>
      </c>
      <c r="E126" s="1">
        <v>44737</v>
      </c>
      <c r="F126" s="122" t="s">
        <v>554</v>
      </c>
      <c r="G126" s="113" t="s">
        <v>555</v>
      </c>
      <c r="H126" s="187" t="s">
        <v>556</v>
      </c>
      <c r="I126" s="2" t="s">
        <v>557</v>
      </c>
      <c r="J126" s="2" t="s">
        <v>558</v>
      </c>
    </row>
    <row r="127" spans="1:16084" x14ac:dyDescent="0.3">
      <c r="A127" s="102" t="s">
        <v>559</v>
      </c>
      <c r="B127" s="102" t="s">
        <v>560</v>
      </c>
      <c r="C127" s="103" t="s">
        <v>561</v>
      </c>
      <c r="D127" s="102" t="s">
        <v>562</v>
      </c>
      <c r="E127" s="105">
        <v>51987</v>
      </c>
      <c r="F127" s="123" t="s">
        <v>39</v>
      </c>
      <c r="G127" s="2" t="s">
        <v>563</v>
      </c>
      <c r="H127" s="168" t="s">
        <v>564</v>
      </c>
      <c r="I127" s="2" t="s">
        <v>565</v>
      </c>
    </row>
    <row r="128" spans="1:16084" hidden="1" x14ac:dyDescent="0.3">
      <c r="A128" s="2" t="s">
        <v>548</v>
      </c>
      <c r="B128" s="2" t="s">
        <v>549</v>
      </c>
      <c r="C128" s="15" t="s">
        <v>552</v>
      </c>
      <c r="D128" s="2" t="s">
        <v>566</v>
      </c>
      <c r="E128" s="1">
        <v>43928</v>
      </c>
      <c r="F128" s="122"/>
    </row>
    <row r="129" spans="1:16084" x14ac:dyDescent="0.3">
      <c r="A129" s="2" t="s">
        <v>567</v>
      </c>
      <c r="B129" s="2" t="s">
        <v>568</v>
      </c>
      <c r="C129" s="15" t="s">
        <v>569</v>
      </c>
      <c r="D129" s="2" t="s">
        <v>570</v>
      </c>
      <c r="E129" s="1">
        <v>43856</v>
      </c>
      <c r="F129" s="122" t="s">
        <v>25</v>
      </c>
      <c r="G129" s="113" t="s">
        <v>571</v>
      </c>
      <c r="H129" s="187" t="s">
        <v>572</v>
      </c>
      <c r="I129" s="2" t="s">
        <v>573</v>
      </c>
    </row>
    <row r="130" spans="1:16084" hidden="1" x14ac:dyDescent="0.3">
      <c r="A130" s="2" t="s">
        <v>574</v>
      </c>
      <c r="B130" s="3" t="s">
        <v>575</v>
      </c>
      <c r="C130" s="15" t="s">
        <v>576</v>
      </c>
      <c r="D130" s="3" t="s">
        <v>577</v>
      </c>
      <c r="E130" s="1">
        <v>44114</v>
      </c>
      <c r="F130" s="122" t="s">
        <v>39</v>
      </c>
      <c r="G130" s="2" t="s">
        <v>578</v>
      </c>
      <c r="H130" s="187" t="s">
        <v>579</v>
      </c>
    </row>
    <row r="131" spans="1:16084" hidden="1" x14ac:dyDescent="0.3">
      <c r="A131" s="2" t="s">
        <v>580</v>
      </c>
      <c r="B131" s="2" t="s">
        <v>539</v>
      </c>
      <c r="C131" s="15" t="s">
        <v>581</v>
      </c>
      <c r="D131" s="2" t="s">
        <v>523</v>
      </c>
      <c r="E131" s="1">
        <v>45036</v>
      </c>
      <c r="G131" s="6"/>
      <c r="H131" s="190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6"/>
      <c r="FG131" s="6"/>
      <c r="FH131" s="6"/>
      <c r="FI131" s="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  <c r="FX131" s="6"/>
      <c r="FY131" s="6"/>
      <c r="FZ131" s="6"/>
      <c r="GA131" s="6"/>
      <c r="GB131" s="6"/>
      <c r="GC131" s="6"/>
      <c r="GD131" s="6"/>
      <c r="GE131" s="6"/>
      <c r="GF131" s="6"/>
      <c r="GG131" s="6"/>
      <c r="GH131" s="6"/>
      <c r="GI131" s="6"/>
      <c r="GJ131" s="6"/>
      <c r="GK131" s="6"/>
      <c r="GL131" s="6"/>
      <c r="GM131" s="6"/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  <c r="HD131" s="6"/>
      <c r="HE131" s="6"/>
      <c r="HF131" s="6"/>
      <c r="HG131" s="6"/>
      <c r="HH131" s="6"/>
      <c r="HI131" s="6"/>
      <c r="HJ131" s="6"/>
      <c r="HK131" s="6"/>
      <c r="HL131" s="6"/>
      <c r="HM131" s="6"/>
      <c r="HN131" s="6"/>
      <c r="HO131" s="6"/>
      <c r="HP131" s="6"/>
      <c r="HQ131" s="6"/>
      <c r="HR131" s="6"/>
      <c r="HS131" s="6"/>
      <c r="HT131" s="6"/>
      <c r="HU131" s="6"/>
      <c r="HV131" s="6"/>
      <c r="HW131" s="6"/>
      <c r="HX131" s="6"/>
      <c r="HY131" s="6"/>
      <c r="HZ131" s="6"/>
      <c r="IA131" s="6"/>
      <c r="IB131" s="6"/>
      <c r="IC131" s="6"/>
      <c r="ID131" s="6"/>
      <c r="IE131" s="6"/>
      <c r="IF131" s="6"/>
      <c r="IG131" s="6"/>
      <c r="IH131" s="6"/>
      <c r="II131" s="6"/>
      <c r="IJ131" s="6"/>
      <c r="IK131" s="6"/>
      <c r="IL131" s="6"/>
      <c r="IM131" s="6"/>
      <c r="IN131" s="6"/>
      <c r="IO131" s="6"/>
      <c r="IP131" s="6"/>
      <c r="IQ131" s="6"/>
      <c r="IR131" s="6"/>
      <c r="IS131" s="6"/>
      <c r="IT131" s="6"/>
      <c r="IU131" s="6"/>
      <c r="IV131" s="6"/>
      <c r="IW131" s="6"/>
      <c r="IX131" s="6"/>
      <c r="IY131" s="6"/>
      <c r="IZ131" s="6"/>
      <c r="JA131" s="6"/>
      <c r="JB131" s="6"/>
      <c r="JC131" s="6"/>
      <c r="JD131" s="6"/>
      <c r="JE131" s="6"/>
      <c r="JF131" s="6"/>
      <c r="JG131" s="6"/>
      <c r="JH131" s="6"/>
      <c r="JI131" s="6"/>
      <c r="JJ131" s="6"/>
      <c r="JK131" s="6"/>
      <c r="JL131" s="6"/>
      <c r="JM131" s="6"/>
      <c r="JN131" s="6"/>
      <c r="JO131" s="6"/>
      <c r="JP131" s="6"/>
      <c r="JQ131" s="6"/>
      <c r="JR131" s="6"/>
      <c r="JS131" s="6"/>
      <c r="JT131" s="6"/>
      <c r="JU131" s="6"/>
      <c r="JV131" s="6"/>
      <c r="JW131" s="6"/>
      <c r="JX131" s="6"/>
      <c r="JY131" s="6"/>
      <c r="JZ131" s="6"/>
      <c r="KA131" s="6"/>
      <c r="KB131" s="6"/>
      <c r="KC131" s="6"/>
      <c r="KD131" s="6"/>
      <c r="KE131" s="6"/>
      <c r="KF131" s="6"/>
      <c r="KG131" s="6"/>
      <c r="KH131" s="6"/>
      <c r="KI131" s="6"/>
      <c r="KJ131" s="6"/>
      <c r="KK131" s="6"/>
      <c r="KL131" s="6"/>
      <c r="KM131" s="6"/>
      <c r="KN131" s="6"/>
      <c r="KO131" s="6"/>
      <c r="KP131" s="6"/>
      <c r="KQ131" s="6"/>
      <c r="KR131" s="6"/>
      <c r="KS131" s="6"/>
      <c r="KT131" s="6"/>
      <c r="KU131" s="6"/>
      <c r="KV131" s="6"/>
      <c r="KW131" s="6"/>
      <c r="KX131" s="6"/>
      <c r="KY131" s="6"/>
      <c r="KZ131" s="6"/>
      <c r="LA131" s="6"/>
      <c r="LB131" s="6"/>
      <c r="LC131" s="6"/>
      <c r="LD131" s="6"/>
      <c r="LE131" s="6"/>
      <c r="LF131" s="6"/>
      <c r="LG131" s="6"/>
      <c r="LH131" s="6"/>
      <c r="LI131" s="6"/>
      <c r="LJ131" s="6"/>
      <c r="LK131" s="6"/>
      <c r="LL131" s="6"/>
      <c r="LM131" s="6"/>
      <c r="LN131" s="6"/>
      <c r="LO131" s="6"/>
      <c r="LP131" s="6"/>
      <c r="LQ131" s="6"/>
      <c r="LR131" s="6"/>
      <c r="LS131" s="6"/>
      <c r="LT131" s="6"/>
      <c r="LU131" s="6"/>
      <c r="LV131" s="6"/>
      <c r="LW131" s="6"/>
      <c r="LX131" s="6"/>
      <c r="LY131" s="6"/>
      <c r="LZ131" s="6"/>
      <c r="MA131" s="6"/>
      <c r="MB131" s="6"/>
      <c r="MC131" s="6"/>
      <c r="MD131" s="6"/>
      <c r="ME131" s="6"/>
      <c r="MF131" s="6"/>
      <c r="MG131" s="6"/>
      <c r="MH131" s="6"/>
      <c r="MI131" s="6"/>
      <c r="MJ131" s="6"/>
      <c r="MK131" s="6"/>
      <c r="ML131" s="6"/>
      <c r="MM131" s="6"/>
      <c r="MN131" s="6"/>
      <c r="MO131" s="6"/>
      <c r="MP131" s="6"/>
      <c r="MQ131" s="6"/>
      <c r="MR131" s="6"/>
      <c r="MS131" s="6"/>
      <c r="MT131" s="6"/>
      <c r="MU131" s="6"/>
      <c r="MV131" s="6"/>
      <c r="MW131" s="6"/>
      <c r="MX131" s="6"/>
      <c r="MY131" s="6"/>
      <c r="MZ131" s="6"/>
      <c r="NA131" s="6"/>
      <c r="NB131" s="6"/>
      <c r="NC131" s="6"/>
      <c r="ND131" s="6"/>
      <c r="NE131" s="6"/>
      <c r="NF131" s="6"/>
      <c r="NG131" s="6"/>
      <c r="NH131" s="6"/>
      <c r="NI131" s="6"/>
      <c r="NJ131" s="6"/>
      <c r="NK131" s="6"/>
      <c r="NL131" s="6"/>
      <c r="NM131" s="6"/>
      <c r="NN131" s="6"/>
      <c r="NO131" s="6"/>
      <c r="NP131" s="6"/>
      <c r="NQ131" s="6"/>
      <c r="NR131" s="6"/>
      <c r="NS131" s="6"/>
      <c r="NT131" s="6"/>
      <c r="NU131" s="6"/>
      <c r="NV131" s="6"/>
      <c r="NW131" s="6"/>
      <c r="NX131" s="6"/>
      <c r="NY131" s="6"/>
      <c r="NZ131" s="6"/>
      <c r="OA131" s="6"/>
      <c r="OB131" s="6"/>
      <c r="OC131" s="6"/>
      <c r="OD131" s="6"/>
      <c r="OE131" s="6"/>
      <c r="OF131" s="6"/>
      <c r="OG131" s="6"/>
      <c r="OH131" s="6"/>
      <c r="OI131" s="6"/>
      <c r="OJ131" s="6"/>
      <c r="OK131" s="6"/>
      <c r="OL131" s="6"/>
      <c r="OM131" s="6"/>
      <c r="ON131" s="6"/>
      <c r="OO131" s="6"/>
      <c r="OP131" s="6"/>
      <c r="OQ131" s="6"/>
      <c r="OR131" s="6"/>
      <c r="OS131" s="6"/>
      <c r="OT131" s="6"/>
      <c r="OU131" s="6"/>
      <c r="OV131" s="6"/>
      <c r="OW131" s="6"/>
      <c r="OX131" s="6"/>
      <c r="OY131" s="6"/>
      <c r="OZ131" s="6"/>
      <c r="PA131" s="6"/>
      <c r="PB131" s="6"/>
      <c r="PC131" s="6"/>
      <c r="PD131" s="6"/>
      <c r="PE131" s="6"/>
      <c r="PF131" s="6"/>
      <c r="PG131" s="6"/>
      <c r="PH131" s="6"/>
      <c r="PI131" s="6"/>
      <c r="PJ131" s="6"/>
      <c r="PK131" s="6"/>
      <c r="PL131" s="6"/>
      <c r="PM131" s="6"/>
      <c r="PN131" s="6"/>
      <c r="PO131" s="6"/>
      <c r="PP131" s="6"/>
      <c r="PQ131" s="6"/>
      <c r="PR131" s="6"/>
      <c r="PS131" s="6"/>
      <c r="PT131" s="6"/>
      <c r="PU131" s="6"/>
      <c r="PV131" s="6"/>
      <c r="PW131" s="6"/>
      <c r="PX131" s="6"/>
      <c r="PY131" s="6"/>
      <c r="PZ131" s="6"/>
      <c r="QA131" s="6"/>
      <c r="QB131" s="6"/>
      <c r="QC131" s="6"/>
      <c r="QD131" s="6"/>
      <c r="QE131" s="6"/>
      <c r="QF131" s="6"/>
      <c r="QG131" s="6"/>
      <c r="QH131" s="6"/>
      <c r="QI131" s="6"/>
      <c r="QJ131" s="6"/>
      <c r="QK131" s="6"/>
      <c r="QL131" s="6"/>
      <c r="QM131" s="6"/>
      <c r="QN131" s="6"/>
      <c r="QO131" s="6"/>
      <c r="QP131" s="6"/>
      <c r="QQ131" s="6"/>
      <c r="QR131" s="6"/>
      <c r="QS131" s="6"/>
      <c r="QT131" s="6"/>
      <c r="QU131" s="6"/>
      <c r="QV131" s="6"/>
      <c r="QW131" s="6"/>
      <c r="QX131" s="6"/>
      <c r="QY131" s="6"/>
      <c r="QZ131" s="6"/>
      <c r="RA131" s="6"/>
      <c r="RB131" s="6"/>
      <c r="RC131" s="6"/>
      <c r="RD131" s="6"/>
      <c r="RE131" s="6"/>
      <c r="RF131" s="6"/>
      <c r="RG131" s="6"/>
      <c r="RH131" s="6"/>
      <c r="RI131" s="6"/>
      <c r="RJ131" s="6"/>
      <c r="RK131" s="6"/>
      <c r="RL131" s="6"/>
      <c r="RM131" s="6"/>
      <c r="RN131" s="6"/>
      <c r="RO131" s="6"/>
      <c r="RP131" s="6"/>
      <c r="RQ131" s="6"/>
      <c r="RR131" s="6"/>
      <c r="RS131" s="6"/>
      <c r="RT131" s="6"/>
      <c r="RU131" s="6"/>
      <c r="RV131" s="6"/>
      <c r="RW131" s="6"/>
      <c r="RX131" s="6"/>
      <c r="RY131" s="6"/>
      <c r="RZ131" s="6"/>
      <c r="SA131" s="6"/>
      <c r="SB131" s="6"/>
      <c r="SC131" s="6"/>
      <c r="SD131" s="6"/>
      <c r="SE131" s="6"/>
      <c r="SF131" s="6"/>
      <c r="SG131" s="6"/>
      <c r="SH131" s="6"/>
      <c r="SI131" s="6"/>
      <c r="SJ131" s="6"/>
      <c r="SK131" s="6"/>
      <c r="SL131" s="6"/>
      <c r="SM131" s="6"/>
      <c r="SN131" s="6"/>
      <c r="SO131" s="6"/>
      <c r="SP131" s="6"/>
      <c r="SQ131" s="6"/>
      <c r="SR131" s="6"/>
      <c r="SS131" s="6"/>
      <c r="ST131" s="6"/>
      <c r="SU131" s="6"/>
      <c r="SV131" s="6"/>
      <c r="SW131" s="6"/>
      <c r="SX131" s="6"/>
      <c r="SY131" s="6"/>
      <c r="SZ131" s="6"/>
      <c r="TA131" s="6"/>
      <c r="TB131" s="6"/>
      <c r="TC131" s="6"/>
      <c r="TD131" s="6"/>
      <c r="TE131" s="6"/>
      <c r="TF131" s="6"/>
      <c r="TG131" s="6"/>
      <c r="TH131" s="6"/>
      <c r="TI131" s="6"/>
      <c r="TJ131" s="6"/>
      <c r="TK131" s="6"/>
      <c r="TL131" s="6"/>
      <c r="TM131" s="6"/>
      <c r="TN131" s="6"/>
      <c r="TO131" s="6"/>
      <c r="TP131" s="6"/>
      <c r="TQ131" s="6"/>
      <c r="TR131" s="6"/>
      <c r="TS131" s="6"/>
      <c r="TT131" s="6"/>
      <c r="TU131" s="6"/>
      <c r="TV131" s="6"/>
      <c r="TW131" s="6"/>
      <c r="TX131" s="6"/>
      <c r="TY131" s="6"/>
      <c r="TZ131" s="6"/>
      <c r="UA131" s="6"/>
      <c r="UB131" s="6"/>
      <c r="UC131" s="6"/>
      <c r="UD131" s="6"/>
      <c r="UE131" s="6"/>
      <c r="UF131" s="6"/>
      <c r="UG131" s="6"/>
      <c r="UH131" s="6"/>
      <c r="UI131" s="6"/>
      <c r="UJ131" s="6"/>
      <c r="UK131" s="6"/>
      <c r="UL131" s="6"/>
      <c r="UM131" s="6"/>
      <c r="UN131" s="6"/>
      <c r="UO131" s="6"/>
      <c r="UP131" s="6"/>
      <c r="UQ131" s="6"/>
      <c r="UR131" s="6"/>
      <c r="US131" s="6"/>
      <c r="UT131" s="6"/>
      <c r="UU131" s="6"/>
      <c r="UV131" s="6"/>
      <c r="UW131" s="6"/>
      <c r="UX131" s="6"/>
      <c r="UY131" s="6"/>
      <c r="UZ131" s="6"/>
      <c r="VA131" s="6"/>
      <c r="VB131" s="6"/>
      <c r="VC131" s="6"/>
      <c r="VD131" s="6"/>
      <c r="VE131" s="6"/>
      <c r="VF131" s="6"/>
      <c r="VG131" s="6"/>
      <c r="VH131" s="6"/>
      <c r="VI131" s="6"/>
      <c r="VJ131" s="6"/>
      <c r="VK131" s="6"/>
      <c r="VL131" s="6"/>
      <c r="VM131" s="6"/>
      <c r="VN131" s="6"/>
      <c r="VO131" s="6"/>
      <c r="VP131" s="6"/>
      <c r="VQ131" s="6"/>
      <c r="VR131" s="6"/>
      <c r="VS131" s="6"/>
      <c r="VT131" s="6"/>
      <c r="VU131" s="6"/>
      <c r="VV131" s="6"/>
      <c r="VW131" s="6"/>
      <c r="VX131" s="6"/>
      <c r="VY131" s="6"/>
      <c r="VZ131" s="6"/>
      <c r="WA131" s="6"/>
      <c r="WB131" s="6"/>
      <c r="WC131" s="6"/>
      <c r="WD131" s="6"/>
      <c r="WE131" s="6"/>
      <c r="WF131" s="6"/>
      <c r="WG131" s="6"/>
      <c r="WH131" s="6"/>
      <c r="WI131" s="6"/>
      <c r="WJ131" s="6"/>
      <c r="WK131" s="6"/>
      <c r="WL131" s="6"/>
      <c r="WM131" s="6"/>
      <c r="WN131" s="6"/>
      <c r="WO131" s="6"/>
      <c r="WP131" s="6"/>
      <c r="WQ131" s="6"/>
      <c r="WR131" s="6"/>
      <c r="WS131" s="6"/>
      <c r="WT131" s="6"/>
      <c r="WU131" s="6"/>
      <c r="WV131" s="6"/>
      <c r="WW131" s="6"/>
      <c r="WX131" s="6"/>
      <c r="WY131" s="6"/>
      <c r="WZ131" s="6"/>
      <c r="XA131" s="6"/>
      <c r="XB131" s="6"/>
      <c r="XC131" s="6"/>
      <c r="XD131" s="6"/>
      <c r="XE131" s="6"/>
      <c r="XF131" s="6"/>
      <c r="XG131" s="6"/>
      <c r="XH131" s="6"/>
      <c r="XI131" s="6"/>
      <c r="XJ131" s="6"/>
      <c r="XK131" s="6"/>
      <c r="XL131" s="6"/>
      <c r="XM131" s="6"/>
      <c r="XN131" s="6"/>
      <c r="XO131" s="6"/>
      <c r="XP131" s="6"/>
      <c r="XQ131" s="6"/>
      <c r="XR131" s="6"/>
      <c r="XS131" s="6"/>
      <c r="XT131" s="6"/>
      <c r="XU131" s="6"/>
      <c r="XV131" s="6"/>
      <c r="XW131" s="6"/>
      <c r="XX131" s="6"/>
      <c r="XY131" s="6"/>
      <c r="XZ131" s="6"/>
      <c r="YA131" s="6"/>
      <c r="YB131" s="6"/>
      <c r="YC131" s="6"/>
      <c r="YD131" s="6"/>
      <c r="YE131" s="6"/>
      <c r="YF131" s="6"/>
      <c r="YG131" s="6"/>
      <c r="YH131" s="6"/>
      <c r="YI131" s="6"/>
      <c r="YJ131" s="6"/>
      <c r="YK131" s="6"/>
      <c r="YL131" s="6"/>
      <c r="YM131" s="6"/>
      <c r="YN131" s="6"/>
      <c r="YO131" s="6"/>
      <c r="YP131" s="6"/>
      <c r="YQ131" s="6"/>
      <c r="YR131" s="6"/>
      <c r="YS131" s="6"/>
      <c r="YT131" s="6"/>
      <c r="YU131" s="6"/>
      <c r="YV131" s="6"/>
      <c r="YW131" s="6"/>
      <c r="YX131" s="6"/>
      <c r="YY131" s="6"/>
      <c r="YZ131" s="6"/>
      <c r="ZA131" s="6"/>
      <c r="ZB131" s="6"/>
      <c r="ZC131" s="6"/>
      <c r="ZD131" s="6"/>
      <c r="ZE131" s="6"/>
      <c r="ZF131" s="6"/>
      <c r="ZG131" s="6"/>
      <c r="ZH131" s="6"/>
      <c r="ZI131" s="6"/>
      <c r="ZJ131" s="6"/>
      <c r="ZK131" s="6"/>
      <c r="ZL131" s="6"/>
      <c r="ZM131" s="6"/>
      <c r="ZN131" s="6"/>
      <c r="ZO131" s="6"/>
      <c r="ZP131" s="6"/>
      <c r="ZQ131" s="6"/>
      <c r="ZR131" s="6"/>
      <c r="ZS131" s="6"/>
      <c r="ZT131" s="6"/>
      <c r="ZU131" s="6"/>
      <c r="ZV131" s="6"/>
      <c r="ZW131" s="6"/>
      <c r="ZX131" s="6"/>
      <c r="ZY131" s="6"/>
      <c r="ZZ131" s="6"/>
      <c r="AAA131" s="6"/>
      <c r="AAB131" s="6"/>
      <c r="AAC131" s="6"/>
      <c r="AAD131" s="6"/>
      <c r="AAE131" s="6"/>
      <c r="AAF131" s="6"/>
      <c r="AAG131" s="6"/>
      <c r="AAH131" s="6"/>
      <c r="AAI131" s="6"/>
      <c r="AAJ131" s="6"/>
      <c r="AAK131" s="6"/>
      <c r="AAL131" s="6"/>
      <c r="AAM131" s="6"/>
      <c r="AAN131" s="6"/>
      <c r="AAO131" s="6"/>
      <c r="AAP131" s="6"/>
      <c r="AAQ131" s="6"/>
      <c r="AAR131" s="6"/>
      <c r="AAS131" s="6"/>
      <c r="AAT131" s="6"/>
      <c r="AAU131" s="6"/>
      <c r="AAV131" s="6"/>
      <c r="AAW131" s="6"/>
      <c r="AAX131" s="6"/>
      <c r="AAY131" s="6"/>
      <c r="AAZ131" s="6"/>
      <c r="ABA131" s="6"/>
      <c r="ABB131" s="6"/>
      <c r="ABC131" s="6"/>
      <c r="ABD131" s="6"/>
      <c r="ABE131" s="6"/>
      <c r="ABF131" s="6"/>
      <c r="ABG131" s="6"/>
      <c r="ABH131" s="6"/>
      <c r="ABI131" s="6"/>
      <c r="ABJ131" s="6"/>
      <c r="ABK131" s="6"/>
      <c r="ABL131" s="6"/>
      <c r="ABM131" s="6"/>
      <c r="ABN131" s="6"/>
      <c r="ABO131" s="6"/>
      <c r="ABP131" s="6"/>
      <c r="ABQ131" s="6"/>
      <c r="ABR131" s="6"/>
      <c r="ABS131" s="6"/>
      <c r="ABT131" s="6"/>
      <c r="ABU131" s="6"/>
      <c r="ABV131" s="6"/>
      <c r="ABW131" s="6"/>
      <c r="ABX131" s="6"/>
      <c r="ABY131" s="6"/>
      <c r="ABZ131" s="6"/>
      <c r="ACA131" s="6"/>
      <c r="ACB131" s="6"/>
      <c r="ACC131" s="6"/>
      <c r="ACD131" s="6"/>
      <c r="ACE131" s="6"/>
      <c r="ACF131" s="6"/>
      <c r="ACG131" s="6"/>
      <c r="ACH131" s="6"/>
      <c r="ACI131" s="6"/>
      <c r="ACJ131" s="6"/>
      <c r="ACK131" s="6"/>
      <c r="ACL131" s="6"/>
      <c r="ACM131" s="6"/>
      <c r="ACN131" s="6"/>
      <c r="ACO131" s="6"/>
      <c r="ACP131" s="6"/>
      <c r="ACQ131" s="6"/>
      <c r="ACR131" s="6"/>
      <c r="ACS131" s="6"/>
      <c r="ACT131" s="6"/>
      <c r="ACU131" s="6"/>
      <c r="ACV131" s="6"/>
      <c r="ACW131" s="6"/>
      <c r="ACX131" s="6"/>
      <c r="ACY131" s="6"/>
      <c r="ACZ131" s="6"/>
      <c r="ADA131" s="6"/>
      <c r="ADB131" s="6"/>
      <c r="ADC131" s="6"/>
      <c r="ADD131" s="6"/>
      <c r="ADE131" s="6"/>
      <c r="ADF131" s="6"/>
      <c r="ADG131" s="6"/>
      <c r="ADH131" s="6"/>
      <c r="ADI131" s="6"/>
      <c r="ADJ131" s="6"/>
      <c r="ADK131" s="6"/>
      <c r="ADL131" s="6"/>
      <c r="ADM131" s="6"/>
      <c r="ADN131" s="6"/>
      <c r="ADO131" s="6"/>
      <c r="ADP131" s="6"/>
      <c r="ADQ131" s="6"/>
      <c r="ADR131" s="6"/>
      <c r="ADS131" s="6"/>
      <c r="ADT131" s="6"/>
      <c r="ADU131" s="6"/>
      <c r="ADV131" s="6"/>
      <c r="ADW131" s="6"/>
      <c r="ADX131" s="6"/>
      <c r="ADY131" s="6"/>
      <c r="ADZ131" s="6"/>
      <c r="AEA131" s="6"/>
      <c r="AEB131" s="6"/>
      <c r="AEC131" s="6"/>
      <c r="AED131" s="6"/>
      <c r="AEE131" s="6"/>
      <c r="AEF131" s="6"/>
      <c r="AEG131" s="6"/>
      <c r="AEH131" s="6"/>
      <c r="AEI131" s="6"/>
      <c r="AEJ131" s="6"/>
      <c r="AEK131" s="6"/>
      <c r="AEL131" s="6"/>
      <c r="AEM131" s="6"/>
      <c r="AEN131" s="6"/>
      <c r="AEO131" s="6"/>
      <c r="AEP131" s="6"/>
      <c r="AEQ131" s="6"/>
      <c r="AER131" s="6"/>
      <c r="AES131" s="6"/>
      <c r="AET131" s="6"/>
      <c r="AEU131" s="6"/>
      <c r="AEV131" s="6"/>
      <c r="AEW131" s="6"/>
      <c r="AEX131" s="6"/>
      <c r="AEY131" s="6"/>
      <c r="AEZ131" s="6"/>
      <c r="AFA131" s="6"/>
      <c r="AFB131" s="6"/>
      <c r="AFC131" s="6"/>
      <c r="AFD131" s="6"/>
      <c r="AFE131" s="6"/>
      <c r="AFF131" s="6"/>
      <c r="AFG131" s="6"/>
      <c r="AFH131" s="6"/>
      <c r="AFI131" s="6"/>
      <c r="AFJ131" s="6"/>
      <c r="AFK131" s="6"/>
      <c r="AFL131" s="6"/>
      <c r="AFM131" s="6"/>
      <c r="AFN131" s="6"/>
      <c r="AFO131" s="6"/>
      <c r="AFP131" s="6"/>
      <c r="AFQ131" s="6"/>
      <c r="AFR131" s="6"/>
      <c r="AFS131" s="6"/>
      <c r="AFT131" s="6"/>
      <c r="AFU131" s="6"/>
      <c r="AFV131" s="6"/>
      <c r="AFW131" s="6"/>
      <c r="AFX131" s="6"/>
      <c r="AFY131" s="6"/>
      <c r="AFZ131" s="6"/>
      <c r="AGA131" s="6"/>
      <c r="AGB131" s="6"/>
      <c r="AGC131" s="6"/>
      <c r="AGD131" s="6"/>
      <c r="AGE131" s="6"/>
      <c r="AGF131" s="6"/>
      <c r="AGG131" s="6"/>
      <c r="AGH131" s="6"/>
      <c r="AGI131" s="6"/>
      <c r="AGJ131" s="6"/>
      <c r="AGK131" s="6"/>
      <c r="AGL131" s="6"/>
      <c r="AGM131" s="6"/>
      <c r="AGN131" s="6"/>
      <c r="AGO131" s="6"/>
      <c r="AGP131" s="6"/>
      <c r="AGQ131" s="6"/>
      <c r="AGR131" s="6"/>
      <c r="AGS131" s="6"/>
      <c r="AGT131" s="6"/>
      <c r="AGU131" s="6"/>
      <c r="AGV131" s="6"/>
      <c r="AGW131" s="6"/>
      <c r="AGX131" s="6"/>
      <c r="AGY131" s="6"/>
      <c r="AGZ131" s="6"/>
      <c r="AHA131" s="6"/>
      <c r="AHB131" s="6"/>
      <c r="AHC131" s="6"/>
      <c r="AHD131" s="6"/>
      <c r="AHE131" s="6"/>
      <c r="AHF131" s="6"/>
      <c r="AHG131" s="6"/>
      <c r="AHH131" s="6"/>
      <c r="AHI131" s="6"/>
      <c r="AHJ131" s="6"/>
      <c r="AHK131" s="6"/>
      <c r="AHL131" s="6"/>
      <c r="AHM131" s="6"/>
      <c r="AHN131" s="6"/>
      <c r="AHO131" s="6"/>
      <c r="AHP131" s="6"/>
      <c r="AHQ131" s="6"/>
      <c r="AHR131" s="6"/>
      <c r="AHS131" s="6"/>
      <c r="AHT131" s="6"/>
      <c r="AHU131" s="6"/>
      <c r="AHV131" s="6"/>
      <c r="AHW131" s="6"/>
      <c r="AHX131" s="6"/>
      <c r="AHY131" s="6"/>
      <c r="AHZ131" s="6"/>
      <c r="AIA131" s="6"/>
      <c r="AIB131" s="6"/>
      <c r="AIC131" s="6"/>
      <c r="AID131" s="6"/>
      <c r="AIE131" s="6"/>
      <c r="AIF131" s="6"/>
      <c r="AIG131" s="6"/>
      <c r="AIH131" s="6"/>
      <c r="AII131" s="6"/>
      <c r="AIJ131" s="6"/>
      <c r="AIK131" s="6"/>
      <c r="AIL131" s="6"/>
      <c r="AIM131" s="6"/>
      <c r="AIN131" s="6"/>
      <c r="AIO131" s="6"/>
      <c r="AIP131" s="6"/>
      <c r="AIQ131" s="6"/>
      <c r="AIR131" s="6"/>
      <c r="AIS131" s="6"/>
      <c r="AIT131" s="6"/>
      <c r="AIU131" s="6"/>
      <c r="AIV131" s="6"/>
      <c r="AIW131" s="6"/>
      <c r="AIX131" s="6"/>
      <c r="AIY131" s="6"/>
      <c r="AIZ131" s="6"/>
      <c r="AJA131" s="6"/>
      <c r="AJB131" s="6"/>
      <c r="AJC131" s="6"/>
      <c r="AJD131" s="6"/>
      <c r="AJE131" s="6"/>
      <c r="AJF131" s="6"/>
      <c r="AJG131" s="6"/>
      <c r="AJH131" s="6"/>
      <c r="AJI131" s="6"/>
      <c r="AJJ131" s="6"/>
      <c r="AJK131" s="6"/>
      <c r="AJL131" s="6"/>
      <c r="AJM131" s="6"/>
      <c r="AJN131" s="6"/>
      <c r="AJO131" s="6"/>
      <c r="AJP131" s="6"/>
      <c r="AJQ131" s="6"/>
      <c r="AJR131" s="6"/>
      <c r="AJS131" s="6"/>
      <c r="AJT131" s="6"/>
      <c r="AJU131" s="6"/>
      <c r="AJV131" s="6"/>
      <c r="AJW131" s="6"/>
      <c r="AJX131" s="6"/>
      <c r="AJY131" s="6"/>
      <c r="AJZ131" s="6"/>
      <c r="AKA131" s="6"/>
      <c r="AKB131" s="6"/>
      <c r="AKC131" s="6"/>
      <c r="AKD131" s="6"/>
      <c r="AKE131" s="6"/>
      <c r="AKF131" s="6"/>
      <c r="AKG131" s="6"/>
      <c r="AKH131" s="6"/>
      <c r="AKI131" s="6"/>
      <c r="AKJ131" s="6"/>
      <c r="AKK131" s="6"/>
      <c r="AKL131" s="6"/>
      <c r="AKM131" s="6"/>
      <c r="AKN131" s="6"/>
      <c r="AKO131" s="6"/>
      <c r="AKP131" s="6"/>
      <c r="AKQ131" s="6"/>
      <c r="AKR131" s="6"/>
      <c r="AKS131" s="6"/>
      <c r="AKT131" s="6"/>
      <c r="AKU131" s="6"/>
      <c r="AKV131" s="6"/>
      <c r="AKW131" s="6"/>
      <c r="AKX131" s="6"/>
      <c r="AKY131" s="6"/>
      <c r="AKZ131" s="6"/>
      <c r="ALA131" s="6"/>
      <c r="ALB131" s="6"/>
      <c r="ALC131" s="6"/>
      <c r="ALD131" s="6"/>
      <c r="ALE131" s="6"/>
      <c r="ALF131" s="6"/>
      <c r="ALG131" s="6"/>
      <c r="ALH131" s="6"/>
      <c r="ALI131" s="6"/>
      <c r="ALJ131" s="6"/>
      <c r="ALK131" s="6"/>
      <c r="ALL131" s="6"/>
      <c r="ALM131" s="6"/>
      <c r="ALN131" s="6"/>
      <c r="ALO131" s="6"/>
      <c r="ALP131" s="6"/>
      <c r="ALQ131" s="6"/>
      <c r="ALR131" s="6"/>
      <c r="ALS131" s="6"/>
      <c r="ALT131" s="6"/>
      <c r="ALU131" s="6"/>
      <c r="ALV131" s="6"/>
      <c r="ALW131" s="6"/>
      <c r="ALX131" s="6"/>
      <c r="ALY131" s="6"/>
      <c r="ALZ131" s="6"/>
      <c r="AMA131" s="6"/>
      <c r="AMB131" s="6"/>
      <c r="AMC131" s="6"/>
      <c r="AMD131" s="6"/>
      <c r="AME131" s="6"/>
      <c r="AMF131" s="6"/>
      <c r="AMG131" s="6"/>
      <c r="AMH131" s="6"/>
      <c r="AMI131" s="6"/>
      <c r="AMJ131" s="6"/>
      <c r="AMK131" s="6"/>
      <c r="AML131" s="6"/>
      <c r="AMM131" s="6"/>
      <c r="AMN131" s="6"/>
      <c r="AMO131" s="6"/>
      <c r="AMP131" s="6"/>
      <c r="AMQ131" s="6"/>
      <c r="AMR131" s="6"/>
      <c r="AMS131" s="6"/>
      <c r="AMT131" s="6"/>
      <c r="AMU131" s="6"/>
      <c r="AMV131" s="6"/>
      <c r="AMW131" s="6"/>
      <c r="AMX131" s="6"/>
      <c r="AMY131" s="6"/>
      <c r="AMZ131" s="6"/>
      <c r="ANA131" s="6"/>
      <c r="ANB131" s="6"/>
      <c r="ANC131" s="6"/>
      <c r="AND131" s="6"/>
      <c r="ANE131" s="6"/>
      <c r="ANF131" s="6"/>
      <c r="ANG131" s="6"/>
      <c r="ANH131" s="6"/>
      <c r="ANI131" s="6"/>
      <c r="ANJ131" s="6"/>
      <c r="ANK131" s="6"/>
      <c r="ANL131" s="6"/>
      <c r="ANM131" s="6"/>
      <c r="ANN131" s="6"/>
      <c r="ANO131" s="6"/>
      <c r="ANP131" s="6"/>
      <c r="ANQ131" s="6"/>
      <c r="ANR131" s="6"/>
      <c r="ANS131" s="6"/>
      <c r="ANT131" s="6"/>
      <c r="ANU131" s="6"/>
      <c r="ANV131" s="6"/>
      <c r="ANW131" s="6"/>
      <c r="ANX131" s="6"/>
      <c r="ANY131" s="6"/>
      <c r="ANZ131" s="6"/>
      <c r="AOA131" s="6"/>
      <c r="AOB131" s="6"/>
      <c r="AOC131" s="6"/>
      <c r="AOD131" s="6"/>
      <c r="AOE131" s="6"/>
      <c r="AOF131" s="6"/>
      <c r="AOG131" s="6"/>
      <c r="AOH131" s="6"/>
      <c r="AOI131" s="6"/>
      <c r="AOJ131" s="6"/>
      <c r="AOK131" s="6"/>
      <c r="AOL131" s="6"/>
      <c r="AOM131" s="6"/>
      <c r="AON131" s="6"/>
      <c r="AOO131" s="6"/>
      <c r="AOP131" s="6"/>
      <c r="AOQ131" s="6"/>
      <c r="AOR131" s="6"/>
      <c r="AOS131" s="6"/>
      <c r="AOT131" s="6"/>
      <c r="AOU131" s="6"/>
      <c r="AOV131" s="6"/>
      <c r="AOW131" s="6"/>
      <c r="AOX131" s="6"/>
      <c r="AOY131" s="6"/>
      <c r="AOZ131" s="6"/>
      <c r="APA131" s="6"/>
      <c r="APB131" s="6"/>
      <c r="APC131" s="6"/>
      <c r="APD131" s="6"/>
      <c r="APE131" s="6"/>
      <c r="APF131" s="6"/>
      <c r="APG131" s="6"/>
      <c r="APH131" s="6"/>
      <c r="API131" s="6"/>
      <c r="APJ131" s="6"/>
      <c r="APK131" s="6"/>
      <c r="APL131" s="6"/>
      <c r="APM131" s="6"/>
      <c r="APN131" s="6"/>
      <c r="APO131" s="6"/>
      <c r="APP131" s="6"/>
      <c r="APQ131" s="6"/>
      <c r="APR131" s="6"/>
      <c r="APS131" s="6"/>
      <c r="APT131" s="6"/>
      <c r="APU131" s="6"/>
      <c r="APV131" s="6"/>
      <c r="APW131" s="6"/>
      <c r="APX131" s="6"/>
      <c r="APY131" s="6"/>
      <c r="APZ131" s="6"/>
      <c r="AQA131" s="6"/>
      <c r="AQB131" s="6"/>
      <c r="AQC131" s="6"/>
      <c r="AQD131" s="6"/>
      <c r="AQE131" s="6"/>
      <c r="AQF131" s="6"/>
      <c r="AQG131" s="6"/>
      <c r="AQH131" s="6"/>
      <c r="AQI131" s="6"/>
      <c r="AQJ131" s="6"/>
      <c r="AQK131" s="6"/>
      <c r="AQL131" s="6"/>
      <c r="AQM131" s="6"/>
      <c r="AQN131" s="6"/>
      <c r="AQO131" s="6"/>
      <c r="AQP131" s="6"/>
      <c r="AQQ131" s="6"/>
      <c r="AQR131" s="6"/>
      <c r="AQS131" s="6"/>
      <c r="AQT131" s="6"/>
      <c r="AQU131" s="6"/>
      <c r="AQV131" s="6"/>
      <c r="AQW131" s="6"/>
      <c r="AQX131" s="6"/>
      <c r="AQY131" s="6"/>
      <c r="AQZ131" s="6"/>
      <c r="ARA131" s="6"/>
      <c r="ARB131" s="6"/>
      <c r="ARC131" s="6"/>
      <c r="ARD131" s="6"/>
      <c r="ARE131" s="6"/>
      <c r="ARF131" s="6"/>
      <c r="ARG131" s="6"/>
      <c r="ARH131" s="6"/>
      <c r="ARI131" s="6"/>
      <c r="ARJ131" s="6"/>
      <c r="ARK131" s="6"/>
      <c r="ARL131" s="6"/>
      <c r="ARM131" s="6"/>
      <c r="ARN131" s="6"/>
      <c r="ARO131" s="6"/>
      <c r="ARP131" s="6"/>
      <c r="ARQ131" s="6"/>
      <c r="ARR131" s="6"/>
      <c r="ARS131" s="6"/>
      <c r="ART131" s="6"/>
      <c r="ARU131" s="6"/>
      <c r="ARV131" s="6"/>
      <c r="ARW131" s="6"/>
      <c r="ARX131" s="6"/>
      <c r="ARY131" s="6"/>
      <c r="ARZ131" s="6"/>
      <c r="ASA131" s="6"/>
      <c r="ASB131" s="6"/>
      <c r="ASC131" s="6"/>
      <c r="ASD131" s="6"/>
      <c r="ASE131" s="6"/>
      <c r="ASF131" s="6"/>
      <c r="ASG131" s="6"/>
      <c r="ASH131" s="6"/>
      <c r="ASI131" s="6"/>
      <c r="ASJ131" s="6"/>
      <c r="ASK131" s="6"/>
      <c r="ASL131" s="6"/>
      <c r="ASM131" s="6"/>
      <c r="ASN131" s="6"/>
      <c r="ASO131" s="6"/>
      <c r="ASP131" s="6"/>
      <c r="ASQ131" s="6"/>
      <c r="ASR131" s="6"/>
      <c r="ASS131" s="6"/>
      <c r="AST131" s="6"/>
      <c r="ASU131" s="6"/>
      <c r="ASV131" s="6"/>
      <c r="ASW131" s="6"/>
      <c r="ASX131" s="6"/>
      <c r="ASY131" s="6"/>
      <c r="ASZ131" s="6"/>
      <c r="ATA131" s="6"/>
      <c r="ATB131" s="6"/>
      <c r="ATC131" s="6"/>
      <c r="ATD131" s="6"/>
      <c r="ATE131" s="6"/>
      <c r="ATF131" s="6"/>
      <c r="ATG131" s="6"/>
      <c r="ATH131" s="6"/>
      <c r="ATI131" s="6"/>
      <c r="ATJ131" s="6"/>
      <c r="ATK131" s="6"/>
      <c r="ATL131" s="6"/>
      <c r="ATM131" s="6"/>
      <c r="ATN131" s="6"/>
      <c r="ATO131" s="6"/>
      <c r="ATP131" s="6"/>
      <c r="ATQ131" s="6"/>
      <c r="ATR131" s="6"/>
      <c r="ATS131" s="6"/>
      <c r="ATT131" s="6"/>
      <c r="ATU131" s="6"/>
      <c r="ATV131" s="6"/>
      <c r="ATW131" s="6"/>
      <c r="ATX131" s="6"/>
      <c r="ATY131" s="6"/>
      <c r="ATZ131" s="6"/>
      <c r="AUA131" s="6"/>
      <c r="AUB131" s="6"/>
      <c r="AUC131" s="6"/>
      <c r="AUD131" s="6"/>
      <c r="AUE131" s="6"/>
      <c r="AUF131" s="6"/>
      <c r="AUG131" s="6"/>
      <c r="AUH131" s="6"/>
      <c r="AUI131" s="6"/>
      <c r="AUJ131" s="6"/>
      <c r="AUK131" s="6"/>
      <c r="AUL131" s="6"/>
      <c r="AUM131" s="6"/>
      <c r="AUN131" s="6"/>
      <c r="AUO131" s="6"/>
      <c r="AUP131" s="6"/>
      <c r="AUQ131" s="6"/>
      <c r="AUR131" s="6"/>
      <c r="AUS131" s="6"/>
      <c r="AUT131" s="6"/>
      <c r="AUU131" s="6"/>
      <c r="AUV131" s="6"/>
      <c r="AUW131" s="6"/>
      <c r="AUX131" s="6"/>
      <c r="AUY131" s="6"/>
      <c r="AUZ131" s="6"/>
      <c r="AVA131" s="6"/>
      <c r="AVB131" s="6"/>
      <c r="AVC131" s="6"/>
      <c r="AVD131" s="6"/>
      <c r="AVE131" s="6"/>
      <c r="AVF131" s="6"/>
      <c r="AVG131" s="6"/>
      <c r="AVH131" s="6"/>
      <c r="AVI131" s="6"/>
      <c r="AVJ131" s="6"/>
      <c r="AVK131" s="6"/>
      <c r="AVL131" s="6"/>
      <c r="AVM131" s="6"/>
      <c r="AVN131" s="6"/>
      <c r="AVO131" s="6"/>
      <c r="AVP131" s="6"/>
      <c r="AVQ131" s="6"/>
      <c r="AVR131" s="6"/>
      <c r="AVS131" s="6"/>
      <c r="AVT131" s="6"/>
      <c r="AVU131" s="6"/>
      <c r="AVV131" s="6"/>
      <c r="AVW131" s="6"/>
      <c r="AVX131" s="6"/>
      <c r="AVY131" s="6"/>
      <c r="AVZ131" s="6"/>
      <c r="AWA131" s="6"/>
      <c r="AWB131" s="6"/>
      <c r="AWC131" s="6"/>
      <c r="AWD131" s="6"/>
      <c r="AWE131" s="6"/>
      <c r="AWF131" s="6"/>
      <c r="AWG131" s="6"/>
      <c r="AWH131" s="6"/>
      <c r="AWI131" s="6"/>
      <c r="AWJ131" s="6"/>
      <c r="AWK131" s="6"/>
      <c r="AWL131" s="6"/>
      <c r="AWM131" s="6"/>
      <c r="AWN131" s="6"/>
      <c r="AWO131" s="6"/>
      <c r="AWP131" s="6"/>
      <c r="AWQ131" s="6"/>
      <c r="AWR131" s="6"/>
      <c r="AWS131" s="6"/>
      <c r="AWT131" s="6"/>
      <c r="AWU131" s="6"/>
      <c r="AWV131" s="6"/>
      <c r="AWW131" s="6"/>
      <c r="AWX131" s="6"/>
      <c r="AWY131" s="6"/>
      <c r="AWZ131" s="6"/>
      <c r="AXA131" s="6"/>
      <c r="AXB131" s="6"/>
      <c r="AXC131" s="6"/>
      <c r="AXD131" s="6"/>
      <c r="AXE131" s="6"/>
      <c r="AXF131" s="6"/>
      <c r="AXG131" s="6"/>
      <c r="AXH131" s="6"/>
      <c r="AXI131" s="6"/>
      <c r="AXJ131" s="6"/>
      <c r="AXK131" s="6"/>
      <c r="AXL131" s="6"/>
      <c r="AXM131" s="6"/>
      <c r="AXN131" s="6"/>
      <c r="AXO131" s="6"/>
      <c r="AXP131" s="6"/>
      <c r="AXQ131" s="6"/>
      <c r="AXR131" s="6"/>
      <c r="AXS131" s="6"/>
      <c r="AXT131" s="6"/>
      <c r="AXU131" s="6"/>
      <c r="AXV131" s="6"/>
      <c r="AXW131" s="6"/>
      <c r="AXX131" s="6"/>
      <c r="AXY131" s="6"/>
      <c r="AXZ131" s="6"/>
      <c r="AYA131" s="6"/>
      <c r="AYB131" s="6"/>
      <c r="AYC131" s="6"/>
      <c r="AYD131" s="6"/>
      <c r="AYE131" s="6"/>
      <c r="AYF131" s="6"/>
      <c r="AYG131" s="6"/>
      <c r="AYH131" s="6"/>
      <c r="AYI131" s="6"/>
      <c r="AYJ131" s="6"/>
      <c r="AYK131" s="6"/>
      <c r="AYL131" s="6"/>
      <c r="AYM131" s="6"/>
      <c r="AYN131" s="6"/>
      <c r="AYO131" s="6"/>
      <c r="AYP131" s="6"/>
      <c r="AYQ131" s="6"/>
      <c r="AYR131" s="6"/>
      <c r="AYS131" s="6"/>
      <c r="AYT131" s="6"/>
      <c r="AYU131" s="6"/>
      <c r="AYV131" s="6"/>
      <c r="AYW131" s="6"/>
      <c r="AYX131" s="6"/>
      <c r="AYY131" s="6"/>
      <c r="AYZ131" s="6"/>
      <c r="AZA131" s="6"/>
      <c r="AZB131" s="6"/>
      <c r="AZC131" s="6"/>
      <c r="AZD131" s="6"/>
      <c r="AZE131" s="6"/>
      <c r="AZF131" s="6"/>
      <c r="AZG131" s="6"/>
      <c r="AZH131" s="6"/>
      <c r="AZI131" s="6"/>
      <c r="AZJ131" s="6"/>
      <c r="AZK131" s="6"/>
      <c r="AZL131" s="6"/>
      <c r="AZM131" s="6"/>
      <c r="AZN131" s="6"/>
      <c r="AZO131" s="6"/>
      <c r="AZP131" s="6"/>
      <c r="AZQ131" s="6"/>
      <c r="AZR131" s="6"/>
      <c r="AZS131" s="6"/>
      <c r="AZT131" s="6"/>
      <c r="AZU131" s="6"/>
      <c r="AZV131" s="6"/>
      <c r="AZW131" s="6"/>
      <c r="AZX131" s="6"/>
      <c r="AZY131" s="6"/>
      <c r="AZZ131" s="6"/>
      <c r="BAA131" s="6"/>
      <c r="BAB131" s="6"/>
      <c r="BAC131" s="6"/>
      <c r="BAD131" s="6"/>
      <c r="BAE131" s="6"/>
      <c r="BAF131" s="6"/>
      <c r="BAG131" s="6"/>
      <c r="BAH131" s="6"/>
      <c r="BAI131" s="6"/>
      <c r="BAJ131" s="6"/>
      <c r="BAK131" s="6"/>
      <c r="BAL131" s="6"/>
      <c r="BAM131" s="6"/>
      <c r="BAN131" s="6"/>
      <c r="BAO131" s="6"/>
      <c r="BAP131" s="6"/>
      <c r="BAQ131" s="6"/>
      <c r="BAR131" s="6"/>
      <c r="BAS131" s="6"/>
      <c r="BAT131" s="6"/>
      <c r="BAU131" s="6"/>
      <c r="BAV131" s="6"/>
      <c r="BAW131" s="6"/>
      <c r="BAX131" s="6"/>
      <c r="BAY131" s="6"/>
      <c r="BAZ131" s="6"/>
      <c r="BBA131" s="6"/>
      <c r="BBB131" s="6"/>
      <c r="BBC131" s="6"/>
      <c r="BBD131" s="6"/>
      <c r="BBE131" s="6"/>
      <c r="BBF131" s="6"/>
      <c r="BBG131" s="6"/>
      <c r="BBH131" s="6"/>
      <c r="BBI131" s="6"/>
      <c r="BBJ131" s="6"/>
      <c r="BBK131" s="6"/>
      <c r="BBL131" s="6"/>
      <c r="BBM131" s="6"/>
      <c r="BBN131" s="6"/>
      <c r="BBO131" s="6"/>
      <c r="BBP131" s="6"/>
      <c r="BBQ131" s="6"/>
      <c r="BBR131" s="6"/>
      <c r="BBS131" s="6"/>
      <c r="BBT131" s="6"/>
      <c r="BBU131" s="6"/>
      <c r="BBV131" s="6"/>
      <c r="BBW131" s="6"/>
      <c r="BBX131" s="6"/>
      <c r="BBY131" s="6"/>
      <c r="BBZ131" s="6"/>
      <c r="BCA131" s="6"/>
      <c r="BCB131" s="6"/>
      <c r="BCC131" s="6"/>
      <c r="BCD131" s="6"/>
      <c r="BCE131" s="6"/>
      <c r="BCF131" s="6"/>
      <c r="BCG131" s="6"/>
      <c r="BCH131" s="6"/>
      <c r="BCI131" s="6"/>
      <c r="BCJ131" s="6"/>
      <c r="BCK131" s="6"/>
      <c r="BCL131" s="6"/>
      <c r="BCM131" s="6"/>
      <c r="BCN131" s="6"/>
      <c r="BCO131" s="6"/>
      <c r="BCP131" s="6"/>
      <c r="BCQ131" s="6"/>
      <c r="BCR131" s="6"/>
      <c r="BCS131" s="6"/>
      <c r="BCT131" s="6"/>
      <c r="BCU131" s="6"/>
      <c r="BCV131" s="6"/>
      <c r="BCW131" s="6"/>
      <c r="BCX131" s="6"/>
      <c r="BCY131" s="6"/>
      <c r="BCZ131" s="6"/>
      <c r="BDA131" s="6"/>
      <c r="BDB131" s="6"/>
      <c r="BDC131" s="6"/>
      <c r="BDD131" s="6"/>
      <c r="BDE131" s="6"/>
      <c r="BDF131" s="6"/>
      <c r="BDG131" s="6"/>
      <c r="BDH131" s="6"/>
      <c r="BDI131" s="6"/>
      <c r="BDJ131" s="6"/>
      <c r="BDK131" s="6"/>
      <c r="BDL131" s="6"/>
      <c r="BDM131" s="6"/>
      <c r="BDN131" s="6"/>
      <c r="BDO131" s="6"/>
      <c r="BDP131" s="6"/>
      <c r="BDQ131" s="6"/>
      <c r="BDR131" s="6"/>
      <c r="BDS131" s="6"/>
      <c r="BDT131" s="6"/>
      <c r="BDU131" s="6"/>
      <c r="BDV131" s="6"/>
      <c r="BDW131" s="6"/>
      <c r="BDX131" s="6"/>
      <c r="BDY131" s="6"/>
      <c r="BDZ131" s="6"/>
      <c r="BEA131" s="6"/>
      <c r="BEB131" s="6"/>
      <c r="BEC131" s="6"/>
      <c r="BED131" s="6"/>
      <c r="BEE131" s="6"/>
      <c r="BEF131" s="6"/>
      <c r="BEG131" s="6"/>
      <c r="BEH131" s="6"/>
      <c r="BEI131" s="6"/>
      <c r="BEJ131" s="6"/>
      <c r="BEK131" s="6"/>
      <c r="BEL131" s="6"/>
      <c r="BEM131" s="6"/>
      <c r="BEN131" s="6"/>
      <c r="BEO131" s="6"/>
      <c r="BEP131" s="6"/>
      <c r="BEQ131" s="6"/>
      <c r="BER131" s="6"/>
      <c r="BES131" s="6"/>
      <c r="BET131" s="6"/>
      <c r="BEU131" s="6"/>
      <c r="BEV131" s="6"/>
      <c r="BEW131" s="6"/>
      <c r="BEX131" s="6"/>
      <c r="BEY131" s="6"/>
      <c r="BEZ131" s="6"/>
      <c r="BFA131" s="6"/>
      <c r="BFB131" s="6"/>
      <c r="BFC131" s="6"/>
      <c r="BFD131" s="6"/>
      <c r="BFE131" s="6"/>
      <c r="BFF131" s="6"/>
      <c r="BFG131" s="6"/>
      <c r="BFH131" s="6"/>
      <c r="BFI131" s="6"/>
      <c r="BFJ131" s="6"/>
      <c r="BFK131" s="6"/>
      <c r="BFL131" s="6"/>
      <c r="BFM131" s="6"/>
      <c r="BFN131" s="6"/>
      <c r="BFO131" s="6"/>
      <c r="BFP131" s="6"/>
      <c r="BFQ131" s="6"/>
      <c r="BFR131" s="6"/>
      <c r="BFS131" s="6"/>
      <c r="BFT131" s="6"/>
      <c r="BFU131" s="6"/>
      <c r="BFV131" s="6"/>
      <c r="BFW131" s="6"/>
      <c r="BFX131" s="6"/>
      <c r="BFY131" s="6"/>
      <c r="BFZ131" s="6"/>
      <c r="BGA131" s="6"/>
      <c r="BGB131" s="6"/>
      <c r="BGC131" s="6"/>
      <c r="BGD131" s="6"/>
      <c r="BGE131" s="6"/>
      <c r="BGF131" s="6"/>
      <c r="BGG131" s="6"/>
      <c r="BGH131" s="6"/>
      <c r="BGI131" s="6"/>
      <c r="BGJ131" s="6"/>
      <c r="BGK131" s="6"/>
      <c r="BGL131" s="6"/>
      <c r="BGM131" s="6"/>
      <c r="BGN131" s="6"/>
      <c r="BGO131" s="6"/>
      <c r="BGP131" s="6"/>
      <c r="BGQ131" s="6"/>
      <c r="BGR131" s="6"/>
      <c r="BGS131" s="6"/>
      <c r="BGT131" s="6"/>
      <c r="BGU131" s="6"/>
      <c r="BGV131" s="6"/>
      <c r="BGW131" s="6"/>
      <c r="BGX131" s="6"/>
      <c r="BGY131" s="6"/>
      <c r="BGZ131" s="6"/>
      <c r="BHA131" s="6"/>
      <c r="BHB131" s="6"/>
      <c r="BHC131" s="6"/>
      <c r="BHD131" s="6"/>
      <c r="BHE131" s="6"/>
      <c r="BHF131" s="6"/>
      <c r="BHG131" s="6"/>
      <c r="BHH131" s="6"/>
      <c r="BHI131" s="6"/>
      <c r="BHJ131" s="6"/>
      <c r="BHK131" s="6"/>
      <c r="BHL131" s="6"/>
      <c r="BHM131" s="6"/>
      <c r="BHN131" s="6"/>
      <c r="BHO131" s="6"/>
      <c r="BHP131" s="6"/>
      <c r="BHQ131" s="6"/>
      <c r="BHR131" s="6"/>
      <c r="BHS131" s="6"/>
      <c r="BHT131" s="6"/>
      <c r="BHU131" s="6"/>
      <c r="BHV131" s="6"/>
      <c r="BHW131" s="6"/>
      <c r="BHX131" s="6"/>
      <c r="BHY131" s="6"/>
      <c r="BHZ131" s="6"/>
      <c r="BIA131" s="6"/>
      <c r="BIB131" s="6"/>
      <c r="BIC131" s="6"/>
      <c r="BID131" s="6"/>
      <c r="BIE131" s="6"/>
      <c r="BIF131" s="6"/>
      <c r="BIG131" s="6"/>
      <c r="BIH131" s="6"/>
      <c r="BII131" s="6"/>
      <c r="BIJ131" s="6"/>
      <c r="BIK131" s="6"/>
      <c r="BIL131" s="6"/>
      <c r="BIM131" s="6"/>
      <c r="BIN131" s="6"/>
      <c r="BIO131" s="6"/>
      <c r="BIP131" s="6"/>
      <c r="BIQ131" s="6"/>
      <c r="BIR131" s="6"/>
      <c r="BIS131" s="6"/>
      <c r="BIT131" s="6"/>
      <c r="BIU131" s="6"/>
      <c r="BIV131" s="6"/>
      <c r="BIW131" s="6"/>
      <c r="BIX131" s="6"/>
      <c r="BIY131" s="6"/>
      <c r="BIZ131" s="6"/>
      <c r="BJA131" s="6"/>
      <c r="BJB131" s="6"/>
      <c r="BJC131" s="6"/>
      <c r="BJD131" s="6"/>
      <c r="BJE131" s="6"/>
      <c r="BJF131" s="6"/>
      <c r="BJG131" s="6"/>
      <c r="BJH131" s="6"/>
      <c r="BJI131" s="6"/>
      <c r="BJJ131" s="6"/>
      <c r="BJK131" s="6"/>
      <c r="BJL131" s="6"/>
      <c r="BJM131" s="6"/>
      <c r="BJN131" s="6"/>
      <c r="BJO131" s="6"/>
      <c r="BJP131" s="6"/>
      <c r="BJQ131" s="6"/>
      <c r="BJR131" s="6"/>
      <c r="BJS131" s="6"/>
      <c r="BJT131" s="6"/>
      <c r="BJU131" s="6"/>
      <c r="BJV131" s="6"/>
      <c r="BJW131" s="6"/>
      <c r="BJX131" s="6"/>
      <c r="BJY131" s="6"/>
      <c r="BJZ131" s="6"/>
      <c r="BKA131" s="6"/>
      <c r="BKB131" s="6"/>
      <c r="BKC131" s="6"/>
      <c r="BKD131" s="6"/>
      <c r="BKE131" s="6"/>
      <c r="BKF131" s="6"/>
      <c r="BKG131" s="6"/>
      <c r="BKH131" s="6"/>
      <c r="BKI131" s="6"/>
      <c r="BKJ131" s="6"/>
      <c r="BKK131" s="6"/>
      <c r="BKL131" s="6"/>
      <c r="BKM131" s="6"/>
      <c r="BKN131" s="6"/>
      <c r="BKO131" s="6"/>
      <c r="BKP131" s="6"/>
      <c r="BKQ131" s="6"/>
      <c r="BKR131" s="6"/>
      <c r="BKS131" s="6"/>
      <c r="BKT131" s="6"/>
      <c r="BKU131" s="6"/>
      <c r="BKV131" s="6"/>
      <c r="BKW131" s="6"/>
      <c r="BKX131" s="6"/>
      <c r="BKY131" s="6"/>
      <c r="BKZ131" s="6"/>
      <c r="BLA131" s="6"/>
      <c r="BLB131" s="6"/>
      <c r="BLC131" s="6"/>
      <c r="BLD131" s="6"/>
      <c r="BLE131" s="6"/>
      <c r="BLF131" s="6"/>
      <c r="BLG131" s="6"/>
      <c r="BLH131" s="6"/>
      <c r="BLI131" s="6"/>
      <c r="BLJ131" s="6"/>
      <c r="BLK131" s="6"/>
      <c r="BLL131" s="6"/>
      <c r="BLM131" s="6"/>
      <c r="BLN131" s="6"/>
      <c r="BLO131" s="6"/>
      <c r="BLP131" s="6"/>
      <c r="BLQ131" s="6"/>
      <c r="BLR131" s="6"/>
      <c r="BLS131" s="6"/>
      <c r="BLT131" s="6"/>
      <c r="BLU131" s="6"/>
      <c r="BLV131" s="6"/>
      <c r="BLW131" s="6"/>
      <c r="BLX131" s="6"/>
      <c r="BLY131" s="6"/>
      <c r="BLZ131" s="6"/>
      <c r="BMA131" s="6"/>
      <c r="BMB131" s="6"/>
      <c r="BMC131" s="6"/>
      <c r="BMD131" s="6"/>
      <c r="BME131" s="6"/>
      <c r="BMF131" s="6"/>
      <c r="BMG131" s="6"/>
      <c r="BMH131" s="6"/>
      <c r="BMI131" s="6"/>
      <c r="BMJ131" s="6"/>
      <c r="BMK131" s="6"/>
      <c r="BML131" s="6"/>
      <c r="BMM131" s="6"/>
      <c r="BMN131" s="6"/>
      <c r="BMO131" s="6"/>
      <c r="BMP131" s="6"/>
      <c r="BMQ131" s="6"/>
      <c r="BMR131" s="6"/>
      <c r="BMS131" s="6"/>
      <c r="BMT131" s="6"/>
      <c r="BMU131" s="6"/>
      <c r="BMV131" s="6"/>
      <c r="BMW131" s="6"/>
      <c r="BMX131" s="6"/>
      <c r="BMY131" s="6"/>
      <c r="BMZ131" s="6"/>
      <c r="BNA131" s="6"/>
      <c r="BNB131" s="6"/>
      <c r="BNC131" s="6"/>
      <c r="BND131" s="6"/>
      <c r="BNE131" s="6"/>
      <c r="BNF131" s="6"/>
      <c r="BNG131" s="6"/>
      <c r="BNH131" s="6"/>
      <c r="BNI131" s="6"/>
      <c r="BNJ131" s="6"/>
      <c r="BNK131" s="6"/>
      <c r="BNL131" s="6"/>
      <c r="BNM131" s="6"/>
      <c r="BNN131" s="6"/>
      <c r="BNO131" s="6"/>
      <c r="BNP131" s="6"/>
      <c r="BNQ131" s="6"/>
      <c r="BNR131" s="6"/>
      <c r="BNS131" s="6"/>
      <c r="BNT131" s="6"/>
      <c r="BNU131" s="6"/>
      <c r="BNV131" s="6"/>
      <c r="BNW131" s="6"/>
      <c r="BNX131" s="6"/>
      <c r="BNY131" s="6"/>
      <c r="BNZ131" s="6"/>
      <c r="BOA131" s="6"/>
      <c r="BOB131" s="6"/>
      <c r="BOC131" s="6"/>
      <c r="BOD131" s="6"/>
      <c r="BOE131" s="6"/>
      <c r="BOF131" s="6"/>
      <c r="BOG131" s="6"/>
      <c r="BOH131" s="6"/>
      <c r="BOI131" s="6"/>
      <c r="BOJ131" s="6"/>
      <c r="BOK131" s="6"/>
      <c r="BOL131" s="6"/>
      <c r="BOM131" s="6"/>
      <c r="BON131" s="6"/>
      <c r="BOO131" s="6"/>
      <c r="BOP131" s="6"/>
      <c r="BOQ131" s="6"/>
      <c r="BOR131" s="6"/>
      <c r="BOS131" s="6"/>
      <c r="BOT131" s="6"/>
      <c r="BOU131" s="6"/>
      <c r="BOV131" s="6"/>
      <c r="BOW131" s="6"/>
      <c r="BOX131" s="6"/>
      <c r="BOY131" s="6"/>
      <c r="BOZ131" s="6"/>
      <c r="BPA131" s="6"/>
      <c r="BPB131" s="6"/>
      <c r="BPC131" s="6"/>
      <c r="BPD131" s="6"/>
      <c r="BPE131" s="6"/>
      <c r="BPF131" s="6"/>
      <c r="BPG131" s="6"/>
      <c r="BPH131" s="6"/>
      <c r="BPI131" s="6"/>
      <c r="BPJ131" s="6"/>
      <c r="BPK131" s="6"/>
      <c r="BPL131" s="6"/>
      <c r="BPM131" s="6"/>
      <c r="BPN131" s="6"/>
      <c r="BPO131" s="6"/>
      <c r="BPP131" s="6"/>
      <c r="BPQ131" s="6"/>
      <c r="BPR131" s="6"/>
      <c r="BPS131" s="6"/>
      <c r="BPT131" s="6"/>
      <c r="BPU131" s="6"/>
      <c r="BPV131" s="6"/>
      <c r="BPW131" s="6"/>
      <c r="BPX131" s="6"/>
      <c r="BPY131" s="6"/>
      <c r="BPZ131" s="6"/>
      <c r="BQA131" s="6"/>
      <c r="BQB131" s="6"/>
      <c r="BQC131" s="6"/>
      <c r="BQD131" s="6"/>
      <c r="BQE131" s="6"/>
      <c r="BQF131" s="6"/>
      <c r="BQG131" s="6"/>
      <c r="BQH131" s="6"/>
      <c r="BQI131" s="6"/>
      <c r="BQJ131" s="6"/>
      <c r="BQK131" s="6"/>
      <c r="BQL131" s="6"/>
      <c r="BQM131" s="6"/>
      <c r="BQN131" s="6"/>
      <c r="BQO131" s="6"/>
      <c r="BQP131" s="6"/>
      <c r="BQQ131" s="6"/>
      <c r="BQR131" s="6"/>
      <c r="BQS131" s="6"/>
      <c r="BQT131" s="6"/>
      <c r="BQU131" s="6"/>
      <c r="BQV131" s="6"/>
      <c r="BQW131" s="6"/>
      <c r="BQX131" s="6"/>
      <c r="BQY131" s="6"/>
      <c r="BQZ131" s="6"/>
      <c r="BRA131" s="6"/>
      <c r="BRB131" s="6"/>
      <c r="BRC131" s="6"/>
      <c r="BRD131" s="6"/>
      <c r="BRE131" s="6"/>
      <c r="BRF131" s="6"/>
      <c r="BRG131" s="6"/>
      <c r="BRH131" s="6"/>
      <c r="BRI131" s="6"/>
      <c r="BRJ131" s="6"/>
      <c r="BRK131" s="6"/>
      <c r="BRL131" s="6"/>
      <c r="BRM131" s="6"/>
      <c r="BRN131" s="6"/>
      <c r="BRO131" s="6"/>
      <c r="BRP131" s="6"/>
      <c r="BRQ131" s="6"/>
      <c r="BRR131" s="6"/>
      <c r="BRS131" s="6"/>
      <c r="BRT131" s="6"/>
      <c r="BRU131" s="6"/>
      <c r="BRV131" s="6"/>
      <c r="BRW131" s="6"/>
      <c r="BRX131" s="6"/>
      <c r="BRY131" s="6"/>
      <c r="BRZ131" s="6"/>
      <c r="BSA131" s="6"/>
      <c r="BSB131" s="6"/>
      <c r="BSC131" s="6"/>
      <c r="BSD131" s="6"/>
      <c r="BSE131" s="6"/>
      <c r="BSF131" s="6"/>
      <c r="BSG131" s="6"/>
      <c r="BSH131" s="6"/>
      <c r="BSI131" s="6"/>
      <c r="BSJ131" s="6"/>
      <c r="BSK131" s="6"/>
      <c r="BSL131" s="6"/>
      <c r="BSM131" s="6"/>
      <c r="BSN131" s="6"/>
      <c r="BSO131" s="6"/>
      <c r="BSP131" s="6"/>
      <c r="BSQ131" s="6"/>
      <c r="BSR131" s="6"/>
      <c r="BSS131" s="6"/>
      <c r="BST131" s="6"/>
      <c r="BSU131" s="6"/>
      <c r="BSV131" s="6"/>
      <c r="BSW131" s="6"/>
      <c r="BSX131" s="6"/>
      <c r="BSY131" s="6"/>
      <c r="BSZ131" s="6"/>
      <c r="BTA131" s="6"/>
      <c r="BTB131" s="6"/>
      <c r="BTC131" s="6"/>
      <c r="BTD131" s="6"/>
      <c r="BTE131" s="6"/>
      <c r="BTF131" s="6"/>
      <c r="BTG131" s="6"/>
      <c r="BTH131" s="6"/>
      <c r="BTI131" s="6"/>
      <c r="BTJ131" s="6"/>
      <c r="BTK131" s="6"/>
      <c r="BTL131" s="6"/>
      <c r="BTM131" s="6"/>
      <c r="BTN131" s="6"/>
      <c r="BTO131" s="6"/>
      <c r="BTP131" s="6"/>
      <c r="BTQ131" s="6"/>
      <c r="BTR131" s="6"/>
      <c r="BTS131" s="6"/>
      <c r="BTT131" s="6"/>
      <c r="BTU131" s="6"/>
      <c r="BTV131" s="6"/>
      <c r="BTW131" s="6"/>
      <c r="BTX131" s="6"/>
      <c r="BTY131" s="6"/>
      <c r="BTZ131" s="6"/>
      <c r="BUA131" s="6"/>
      <c r="BUB131" s="6"/>
      <c r="BUC131" s="6"/>
      <c r="BUD131" s="6"/>
      <c r="BUE131" s="6"/>
      <c r="BUF131" s="6"/>
      <c r="BUG131" s="6"/>
      <c r="BUH131" s="6"/>
      <c r="BUI131" s="6"/>
      <c r="BUJ131" s="6"/>
      <c r="BUK131" s="6"/>
      <c r="BUL131" s="6"/>
      <c r="BUM131" s="6"/>
      <c r="BUN131" s="6"/>
      <c r="BUO131" s="6"/>
      <c r="BUP131" s="6"/>
      <c r="BUQ131" s="6"/>
      <c r="BUR131" s="6"/>
      <c r="BUS131" s="6"/>
      <c r="BUT131" s="6"/>
      <c r="BUU131" s="6"/>
      <c r="BUV131" s="6"/>
      <c r="BUW131" s="6"/>
      <c r="BUX131" s="6"/>
      <c r="BUY131" s="6"/>
      <c r="BUZ131" s="6"/>
      <c r="BVA131" s="6"/>
      <c r="BVB131" s="6"/>
      <c r="BVC131" s="6"/>
      <c r="BVD131" s="6"/>
      <c r="BVE131" s="6"/>
      <c r="BVF131" s="6"/>
      <c r="BVG131" s="6"/>
      <c r="BVH131" s="6"/>
      <c r="BVI131" s="6"/>
      <c r="BVJ131" s="6"/>
      <c r="BVK131" s="6"/>
      <c r="BVL131" s="6"/>
      <c r="BVM131" s="6"/>
      <c r="BVN131" s="6"/>
      <c r="BVO131" s="6"/>
      <c r="BVP131" s="6"/>
      <c r="BVQ131" s="6"/>
      <c r="BVR131" s="6"/>
      <c r="BVS131" s="6"/>
      <c r="BVT131" s="6"/>
      <c r="BVU131" s="6"/>
      <c r="BVV131" s="6"/>
      <c r="BVW131" s="6"/>
      <c r="BVX131" s="6"/>
      <c r="BVY131" s="6"/>
      <c r="BVZ131" s="6"/>
      <c r="BWA131" s="6"/>
      <c r="BWB131" s="6"/>
      <c r="BWC131" s="6"/>
      <c r="BWD131" s="6"/>
      <c r="BWE131" s="6"/>
      <c r="BWF131" s="6"/>
      <c r="BWG131" s="6"/>
      <c r="BWH131" s="6"/>
      <c r="BWI131" s="6"/>
      <c r="BWJ131" s="6"/>
      <c r="BWK131" s="6"/>
      <c r="BWL131" s="6"/>
      <c r="BWM131" s="6"/>
      <c r="BWN131" s="6"/>
      <c r="BWO131" s="6"/>
      <c r="BWP131" s="6"/>
      <c r="BWQ131" s="6"/>
      <c r="BWR131" s="6"/>
      <c r="BWS131" s="6"/>
      <c r="BWT131" s="6"/>
      <c r="BWU131" s="6"/>
      <c r="BWV131" s="6"/>
      <c r="BWW131" s="6"/>
      <c r="BWX131" s="6"/>
      <c r="BWY131" s="6"/>
      <c r="BWZ131" s="6"/>
      <c r="BXA131" s="6"/>
      <c r="BXB131" s="6"/>
      <c r="BXC131" s="6"/>
      <c r="BXD131" s="6"/>
      <c r="BXE131" s="6"/>
      <c r="BXF131" s="6"/>
      <c r="BXG131" s="6"/>
      <c r="BXH131" s="6"/>
      <c r="BXI131" s="6"/>
      <c r="BXJ131" s="6"/>
      <c r="BXK131" s="6"/>
      <c r="BXL131" s="6"/>
      <c r="BXM131" s="6"/>
      <c r="BXN131" s="6"/>
      <c r="BXO131" s="6"/>
      <c r="BXP131" s="6"/>
      <c r="BXQ131" s="6"/>
      <c r="BXR131" s="6"/>
      <c r="BXS131" s="6"/>
      <c r="BXT131" s="6"/>
      <c r="BXU131" s="6"/>
      <c r="BXV131" s="6"/>
      <c r="BXW131" s="6"/>
      <c r="BXX131" s="6"/>
      <c r="BXY131" s="6"/>
      <c r="BXZ131" s="6"/>
      <c r="BYA131" s="6"/>
      <c r="BYB131" s="6"/>
      <c r="BYC131" s="6"/>
      <c r="BYD131" s="6"/>
      <c r="BYE131" s="6"/>
      <c r="BYF131" s="6"/>
      <c r="BYG131" s="6"/>
      <c r="BYH131" s="6"/>
      <c r="BYI131" s="6"/>
      <c r="BYJ131" s="6"/>
      <c r="BYK131" s="6"/>
      <c r="BYL131" s="6"/>
      <c r="BYM131" s="6"/>
      <c r="BYN131" s="6"/>
      <c r="BYO131" s="6"/>
      <c r="BYP131" s="6"/>
      <c r="BYQ131" s="6"/>
      <c r="BYR131" s="6"/>
      <c r="BYS131" s="6"/>
      <c r="BYT131" s="6"/>
      <c r="BYU131" s="6"/>
      <c r="BYV131" s="6"/>
      <c r="BYW131" s="6"/>
      <c r="BYX131" s="6"/>
      <c r="BYY131" s="6"/>
      <c r="BYZ131" s="6"/>
      <c r="BZA131" s="6"/>
      <c r="BZB131" s="6"/>
      <c r="BZC131" s="6"/>
      <c r="BZD131" s="6"/>
      <c r="BZE131" s="6"/>
      <c r="BZF131" s="6"/>
      <c r="BZG131" s="6"/>
      <c r="BZH131" s="6"/>
      <c r="BZI131" s="6"/>
      <c r="BZJ131" s="6"/>
      <c r="BZK131" s="6"/>
      <c r="BZL131" s="6"/>
      <c r="BZM131" s="6"/>
      <c r="BZN131" s="6"/>
      <c r="BZO131" s="6"/>
      <c r="BZP131" s="6"/>
      <c r="BZQ131" s="6"/>
      <c r="BZR131" s="6"/>
      <c r="BZS131" s="6"/>
      <c r="BZT131" s="6"/>
      <c r="BZU131" s="6"/>
      <c r="BZV131" s="6"/>
      <c r="BZW131" s="6"/>
      <c r="BZX131" s="6"/>
      <c r="BZY131" s="6"/>
      <c r="BZZ131" s="6"/>
      <c r="CAA131" s="6"/>
      <c r="CAB131" s="6"/>
      <c r="CAC131" s="6"/>
      <c r="CAD131" s="6"/>
      <c r="CAE131" s="6"/>
      <c r="CAF131" s="6"/>
      <c r="CAG131" s="6"/>
      <c r="CAH131" s="6"/>
      <c r="CAI131" s="6"/>
      <c r="CAJ131" s="6"/>
      <c r="CAK131" s="6"/>
      <c r="CAL131" s="6"/>
      <c r="CAM131" s="6"/>
      <c r="CAN131" s="6"/>
      <c r="CAO131" s="6"/>
      <c r="CAP131" s="6"/>
      <c r="CAQ131" s="6"/>
      <c r="CAR131" s="6"/>
      <c r="CAS131" s="6"/>
      <c r="CAT131" s="6"/>
      <c r="CAU131" s="6"/>
      <c r="CAV131" s="6"/>
      <c r="CAW131" s="6"/>
      <c r="CAX131" s="6"/>
      <c r="CAY131" s="6"/>
      <c r="CAZ131" s="6"/>
      <c r="CBA131" s="6"/>
      <c r="CBB131" s="6"/>
      <c r="CBC131" s="6"/>
      <c r="CBD131" s="6"/>
      <c r="CBE131" s="6"/>
      <c r="CBF131" s="6"/>
      <c r="CBG131" s="6"/>
      <c r="CBH131" s="6"/>
      <c r="CBI131" s="6"/>
      <c r="CBJ131" s="6"/>
      <c r="CBK131" s="6"/>
      <c r="CBL131" s="6"/>
      <c r="CBM131" s="6"/>
      <c r="CBN131" s="6"/>
      <c r="CBO131" s="6"/>
      <c r="CBP131" s="6"/>
      <c r="CBQ131" s="6"/>
      <c r="CBR131" s="6"/>
      <c r="CBS131" s="6"/>
      <c r="CBT131" s="6"/>
      <c r="CBU131" s="6"/>
      <c r="CBV131" s="6"/>
      <c r="CBW131" s="6"/>
      <c r="CBX131" s="6"/>
      <c r="CBY131" s="6"/>
      <c r="CBZ131" s="6"/>
      <c r="CCA131" s="6"/>
      <c r="CCB131" s="6"/>
      <c r="CCC131" s="6"/>
      <c r="CCD131" s="6"/>
      <c r="CCE131" s="6"/>
      <c r="CCF131" s="6"/>
      <c r="CCG131" s="6"/>
      <c r="CCH131" s="6"/>
      <c r="CCI131" s="6"/>
      <c r="CCJ131" s="6"/>
      <c r="CCK131" s="6"/>
      <c r="CCL131" s="6"/>
      <c r="CCM131" s="6"/>
      <c r="CCN131" s="6"/>
      <c r="CCO131" s="6"/>
      <c r="CCP131" s="6"/>
      <c r="CCQ131" s="6"/>
      <c r="CCR131" s="6"/>
      <c r="CCS131" s="6"/>
      <c r="CCT131" s="6"/>
      <c r="CCU131" s="6"/>
      <c r="CCV131" s="6"/>
      <c r="CCW131" s="6"/>
      <c r="CCX131" s="6"/>
      <c r="CCY131" s="6"/>
      <c r="CCZ131" s="6"/>
      <c r="CDA131" s="6"/>
      <c r="CDB131" s="6"/>
      <c r="CDC131" s="6"/>
      <c r="CDD131" s="6"/>
      <c r="CDE131" s="6"/>
      <c r="CDF131" s="6"/>
      <c r="CDG131" s="6"/>
      <c r="CDH131" s="6"/>
      <c r="CDI131" s="6"/>
      <c r="CDJ131" s="6"/>
      <c r="CDK131" s="6"/>
      <c r="CDL131" s="6"/>
      <c r="CDM131" s="6"/>
      <c r="CDN131" s="6"/>
      <c r="CDO131" s="6"/>
      <c r="CDP131" s="6"/>
      <c r="CDQ131" s="6"/>
      <c r="CDR131" s="6"/>
      <c r="CDS131" s="6"/>
      <c r="CDT131" s="6"/>
      <c r="CDU131" s="6"/>
      <c r="CDV131" s="6"/>
      <c r="CDW131" s="6"/>
      <c r="CDX131" s="6"/>
      <c r="CDY131" s="6"/>
      <c r="CDZ131" s="6"/>
      <c r="CEA131" s="6"/>
      <c r="CEB131" s="6"/>
      <c r="CEC131" s="6"/>
      <c r="CED131" s="6"/>
      <c r="CEE131" s="6"/>
      <c r="CEF131" s="6"/>
      <c r="CEG131" s="6"/>
      <c r="CEH131" s="6"/>
      <c r="CEI131" s="6"/>
      <c r="CEJ131" s="6"/>
      <c r="CEK131" s="6"/>
      <c r="CEL131" s="6"/>
      <c r="CEM131" s="6"/>
      <c r="CEN131" s="6"/>
      <c r="CEO131" s="6"/>
      <c r="CEP131" s="6"/>
      <c r="CEQ131" s="6"/>
      <c r="CER131" s="6"/>
      <c r="CES131" s="6"/>
      <c r="CET131" s="6"/>
      <c r="CEU131" s="6"/>
      <c r="CEV131" s="6"/>
      <c r="CEW131" s="6"/>
      <c r="CEX131" s="6"/>
      <c r="CEY131" s="6"/>
      <c r="CEZ131" s="6"/>
      <c r="CFA131" s="6"/>
      <c r="CFB131" s="6"/>
      <c r="CFC131" s="6"/>
      <c r="CFD131" s="6"/>
      <c r="CFE131" s="6"/>
      <c r="CFF131" s="6"/>
      <c r="CFG131" s="6"/>
      <c r="CFH131" s="6"/>
      <c r="CFI131" s="6"/>
      <c r="CFJ131" s="6"/>
      <c r="CFK131" s="6"/>
      <c r="CFL131" s="6"/>
      <c r="CFM131" s="6"/>
      <c r="CFN131" s="6"/>
      <c r="CFO131" s="6"/>
      <c r="CFP131" s="6"/>
      <c r="CFQ131" s="6"/>
      <c r="CFR131" s="6"/>
      <c r="CFS131" s="6"/>
      <c r="CFT131" s="6"/>
      <c r="CFU131" s="6"/>
      <c r="CFV131" s="6"/>
      <c r="CFW131" s="6"/>
      <c r="CFX131" s="6"/>
      <c r="CFY131" s="6"/>
      <c r="CFZ131" s="6"/>
      <c r="CGA131" s="6"/>
      <c r="CGB131" s="6"/>
      <c r="CGC131" s="6"/>
      <c r="CGD131" s="6"/>
      <c r="CGE131" s="6"/>
      <c r="CGF131" s="6"/>
      <c r="CGG131" s="6"/>
      <c r="CGH131" s="6"/>
      <c r="CGI131" s="6"/>
      <c r="CGJ131" s="6"/>
      <c r="CGK131" s="6"/>
      <c r="CGL131" s="6"/>
      <c r="CGM131" s="6"/>
      <c r="CGN131" s="6"/>
      <c r="CGO131" s="6"/>
      <c r="CGP131" s="6"/>
      <c r="CGQ131" s="6"/>
      <c r="CGR131" s="6"/>
      <c r="CGS131" s="6"/>
      <c r="CGT131" s="6"/>
      <c r="CGU131" s="6"/>
      <c r="CGV131" s="6"/>
      <c r="CGW131" s="6"/>
      <c r="CGX131" s="6"/>
      <c r="CGY131" s="6"/>
      <c r="CGZ131" s="6"/>
      <c r="CHA131" s="6"/>
      <c r="CHB131" s="6"/>
      <c r="CHC131" s="6"/>
      <c r="CHD131" s="6"/>
      <c r="CHE131" s="6"/>
      <c r="CHF131" s="6"/>
      <c r="CHG131" s="6"/>
      <c r="CHH131" s="6"/>
      <c r="CHI131" s="6"/>
      <c r="CHJ131" s="6"/>
      <c r="CHK131" s="6"/>
      <c r="CHL131" s="6"/>
      <c r="CHM131" s="6"/>
      <c r="CHN131" s="6"/>
      <c r="CHO131" s="6"/>
      <c r="CHP131" s="6"/>
      <c r="CHQ131" s="6"/>
      <c r="CHR131" s="6"/>
      <c r="CHS131" s="6"/>
      <c r="CHT131" s="6"/>
      <c r="CHU131" s="6"/>
      <c r="CHV131" s="6"/>
      <c r="CHW131" s="6"/>
      <c r="CHX131" s="6"/>
      <c r="CHY131" s="6"/>
      <c r="CHZ131" s="6"/>
      <c r="CIA131" s="6"/>
      <c r="CIB131" s="6"/>
      <c r="CIC131" s="6"/>
      <c r="CID131" s="6"/>
      <c r="CIE131" s="6"/>
      <c r="CIF131" s="6"/>
      <c r="CIG131" s="6"/>
      <c r="CIH131" s="6"/>
      <c r="CII131" s="6"/>
      <c r="CIJ131" s="6"/>
      <c r="CIK131" s="6"/>
      <c r="CIL131" s="6"/>
      <c r="CIM131" s="6"/>
      <c r="CIN131" s="6"/>
      <c r="CIO131" s="6"/>
      <c r="CIP131" s="6"/>
      <c r="CIQ131" s="6"/>
      <c r="CIR131" s="6"/>
      <c r="CIS131" s="6"/>
      <c r="CIT131" s="6"/>
      <c r="CIU131" s="6"/>
      <c r="CIV131" s="6"/>
      <c r="CIW131" s="6"/>
      <c r="CIX131" s="6"/>
      <c r="CIY131" s="6"/>
      <c r="CIZ131" s="6"/>
      <c r="CJA131" s="6"/>
      <c r="CJB131" s="6"/>
      <c r="CJC131" s="6"/>
      <c r="CJD131" s="6"/>
      <c r="CJE131" s="6"/>
      <c r="CJF131" s="6"/>
      <c r="CJG131" s="6"/>
      <c r="CJH131" s="6"/>
      <c r="CJI131" s="6"/>
      <c r="CJJ131" s="6"/>
      <c r="CJK131" s="6"/>
      <c r="CJL131" s="6"/>
      <c r="CJM131" s="6"/>
      <c r="CJN131" s="6"/>
      <c r="CJO131" s="6"/>
      <c r="CJP131" s="6"/>
      <c r="CJQ131" s="6"/>
      <c r="CJR131" s="6"/>
      <c r="CJS131" s="6"/>
      <c r="CJT131" s="6"/>
      <c r="CJU131" s="6"/>
      <c r="CJV131" s="6"/>
      <c r="CJW131" s="6"/>
      <c r="CJX131" s="6"/>
      <c r="CJY131" s="6"/>
      <c r="CJZ131" s="6"/>
      <c r="CKA131" s="6"/>
      <c r="CKB131" s="6"/>
      <c r="CKC131" s="6"/>
      <c r="CKD131" s="6"/>
      <c r="CKE131" s="6"/>
      <c r="CKF131" s="6"/>
      <c r="CKG131" s="6"/>
      <c r="CKH131" s="6"/>
      <c r="CKI131" s="6"/>
      <c r="CKJ131" s="6"/>
      <c r="CKK131" s="6"/>
      <c r="CKL131" s="6"/>
      <c r="CKM131" s="6"/>
      <c r="CKN131" s="6"/>
      <c r="CKO131" s="6"/>
      <c r="CKP131" s="6"/>
      <c r="CKQ131" s="6"/>
      <c r="CKR131" s="6"/>
      <c r="CKS131" s="6"/>
      <c r="CKT131" s="6"/>
      <c r="CKU131" s="6"/>
      <c r="CKV131" s="6"/>
      <c r="CKW131" s="6"/>
      <c r="CKX131" s="6"/>
      <c r="CKY131" s="6"/>
      <c r="CKZ131" s="6"/>
      <c r="CLA131" s="6"/>
      <c r="CLB131" s="6"/>
      <c r="CLC131" s="6"/>
      <c r="CLD131" s="6"/>
      <c r="CLE131" s="6"/>
      <c r="CLF131" s="6"/>
      <c r="CLG131" s="6"/>
      <c r="CLH131" s="6"/>
      <c r="CLI131" s="6"/>
      <c r="CLJ131" s="6"/>
      <c r="CLK131" s="6"/>
      <c r="CLL131" s="6"/>
      <c r="CLM131" s="6"/>
      <c r="CLN131" s="6"/>
      <c r="CLO131" s="6"/>
      <c r="CLP131" s="6"/>
      <c r="CLQ131" s="6"/>
      <c r="CLR131" s="6"/>
      <c r="CLS131" s="6"/>
      <c r="CLT131" s="6"/>
      <c r="CLU131" s="6"/>
      <c r="CLV131" s="6"/>
      <c r="CLW131" s="6"/>
      <c r="CLX131" s="6"/>
      <c r="CLY131" s="6"/>
      <c r="CLZ131" s="6"/>
      <c r="CMA131" s="6"/>
      <c r="CMB131" s="6"/>
      <c r="CMC131" s="6"/>
      <c r="CMD131" s="6"/>
      <c r="CME131" s="6"/>
      <c r="CMF131" s="6"/>
      <c r="CMG131" s="6"/>
      <c r="CMH131" s="6"/>
      <c r="CMI131" s="6"/>
      <c r="CMJ131" s="6"/>
      <c r="CMK131" s="6"/>
      <c r="CML131" s="6"/>
      <c r="CMM131" s="6"/>
      <c r="CMN131" s="6"/>
      <c r="CMO131" s="6"/>
      <c r="CMP131" s="6"/>
      <c r="CMQ131" s="6"/>
      <c r="CMR131" s="6"/>
      <c r="CMS131" s="6"/>
      <c r="CMT131" s="6"/>
      <c r="CMU131" s="6"/>
      <c r="CMV131" s="6"/>
      <c r="CMW131" s="6"/>
      <c r="CMX131" s="6"/>
      <c r="CMY131" s="6"/>
      <c r="CMZ131" s="6"/>
      <c r="CNA131" s="6"/>
      <c r="CNB131" s="6"/>
      <c r="CNC131" s="6"/>
      <c r="CND131" s="6"/>
      <c r="CNE131" s="6"/>
      <c r="CNF131" s="6"/>
      <c r="CNG131" s="6"/>
      <c r="CNH131" s="6"/>
      <c r="CNI131" s="6"/>
      <c r="CNJ131" s="6"/>
      <c r="CNK131" s="6"/>
      <c r="CNL131" s="6"/>
      <c r="CNM131" s="6"/>
      <c r="CNN131" s="6"/>
      <c r="CNO131" s="6"/>
      <c r="CNP131" s="6"/>
      <c r="CNQ131" s="6"/>
      <c r="CNR131" s="6"/>
      <c r="CNS131" s="6"/>
      <c r="CNT131" s="6"/>
      <c r="CNU131" s="6"/>
      <c r="CNV131" s="6"/>
      <c r="CNW131" s="6"/>
      <c r="CNX131" s="6"/>
      <c r="CNY131" s="6"/>
      <c r="CNZ131" s="6"/>
      <c r="COA131" s="6"/>
      <c r="COB131" s="6"/>
      <c r="COC131" s="6"/>
      <c r="COD131" s="6"/>
      <c r="COE131" s="6"/>
      <c r="COF131" s="6"/>
      <c r="COG131" s="6"/>
      <c r="COH131" s="6"/>
      <c r="COI131" s="6"/>
      <c r="COJ131" s="6"/>
      <c r="COK131" s="6"/>
      <c r="COL131" s="6"/>
      <c r="COM131" s="6"/>
      <c r="CON131" s="6"/>
      <c r="COO131" s="6"/>
      <c r="COP131" s="6"/>
      <c r="COQ131" s="6"/>
      <c r="COR131" s="6"/>
      <c r="COS131" s="6"/>
      <c r="COT131" s="6"/>
      <c r="COU131" s="6"/>
      <c r="COV131" s="6"/>
      <c r="COW131" s="6"/>
      <c r="COX131" s="6"/>
      <c r="COY131" s="6"/>
      <c r="COZ131" s="6"/>
      <c r="CPA131" s="6"/>
      <c r="CPB131" s="6"/>
      <c r="CPC131" s="6"/>
      <c r="CPD131" s="6"/>
      <c r="CPE131" s="6"/>
      <c r="CPF131" s="6"/>
      <c r="CPG131" s="6"/>
      <c r="CPH131" s="6"/>
      <c r="CPI131" s="6"/>
      <c r="CPJ131" s="6"/>
      <c r="CPK131" s="6"/>
      <c r="CPL131" s="6"/>
      <c r="CPM131" s="6"/>
      <c r="CPN131" s="6"/>
      <c r="CPO131" s="6"/>
      <c r="CPP131" s="6"/>
      <c r="CPQ131" s="6"/>
      <c r="CPR131" s="6"/>
      <c r="CPS131" s="6"/>
      <c r="CPT131" s="6"/>
      <c r="CPU131" s="6"/>
      <c r="CPV131" s="6"/>
      <c r="CPW131" s="6"/>
      <c r="CPX131" s="6"/>
      <c r="CPY131" s="6"/>
      <c r="CPZ131" s="6"/>
      <c r="CQA131" s="6"/>
      <c r="CQB131" s="6"/>
      <c r="CQC131" s="6"/>
      <c r="CQD131" s="6"/>
      <c r="CQE131" s="6"/>
      <c r="CQF131" s="6"/>
      <c r="CQG131" s="6"/>
      <c r="CQH131" s="6"/>
      <c r="CQI131" s="6"/>
      <c r="CQJ131" s="6"/>
      <c r="CQK131" s="6"/>
      <c r="CQL131" s="6"/>
      <c r="CQM131" s="6"/>
      <c r="CQN131" s="6"/>
      <c r="CQO131" s="6"/>
      <c r="CQP131" s="6"/>
      <c r="CQQ131" s="6"/>
      <c r="CQR131" s="6"/>
      <c r="CQS131" s="6"/>
      <c r="CQT131" s="6"/>
      <c r="CQU131" s="6"/>
      <c r="CQV131" s="6"/>
      <c r="CQW131" s="6"/>
      <c r="CQX131" s="6"/>
      <c r="CQY131" s="6"/>
      <c r="CQZ131" s="6"/>
      <c r="CRA131" s="6"/>
      <c r="CRB131" s="6"/>
      <c r="CRC131" s="6"/>
      <c r="CRD131" s="6"/>
      <c r="CRE131" s="6"/>
      <c r="CRF131" s="6"/>
      <c r="CRG131" s="6"/>
      <c r="CRH131" s="6"/>
      <c r="CRI131" s="6"/>
      <c r="CRJ131" s="6"/>
      <c r="CRK131" s="6"/>
      <c r="CRL131" s="6"/>
      <c r="CRM131" s="6"/>
      <c r="CRN131" s="6"/>
      <c r="CRO131" s="6"/>
      <c r="CRP131" s="6"/>
      <c r="CRQ131" s="6"/>
      <c r="CRR131" s="6"/>
      <c r="CRS131" s="6"/>
      <c r="CRT131" s="6"/>
      <c r="CRU131" s="6"/>
      <c r="CRV131" s="6"/>
      <c r="CRW131" s="6"/>
      <c r="CRX131" s="6"/>
      <c r="CRY131" s="6"/>
      <c r="CRZ131" s="6"/>
      <c r="CSA131" s="6"/>
      <c r="CSB131" s="6"/>
      <c r="CSC131" s="6"/>
      <c r="CSD131" s="6"/>
      <c r="CSE131" s="6"/>
      <c r="CSF131" s="6"/>
      <c r="CSG131" s="6"/>
      <c r="CSH131" s="6"/>
      <c r="CSI131" s="6"/>
      <c r="CSJ131" s="6"/>
      <c r="CSK131" s="6"/>
      <c r="CSL131" s="6"/>
      <c r="CSM131" s="6"/>
      <c r="CSN131" s="6"/>
      <c r="CSO131" s="6"/>
      <c r="CSP131" s="6"/>
      <c r="CSQ131" s="6"/>
      <c r="CSR131" s="6"/>
      <c r="CSS131" s="6"/>
      <c r="CST131" s="6"/>
      <c r="CSU131" s="6"/>
      <c r="CSV131" s="6"/>
      <c r="CSW131" s="6"/>
      <c r="CSX131" s="6"/>
      <c r="CSY131" s="6"/>
      <c r="CSZ131" s="6"/>
      <c r="CTA131" s="6"/>
      <c r="CTB131" s="6"/>
      <c r="CTC131" s="6"/>
      <c r="CTD131" s="6"/>
      <c r="CTE131" s="6"/>
      <c r="CTF131" s="6"/>
      <c r="CTG131" s="6"/>
      <c r="CTH131" s="6"/>
      <c r="CTI131" s="6"/>
      <c r="CTJ131" s="6"/>
      <c r="CTK131" s="6"/>
      <c r="CTL131" s="6"/>
      <c r="CTM131" s="6"/>
      <c r="CTN131" s="6"/>
      <c r="CTO131" s="6"/>
      <c r="CTP131" s="6"/>
      <c r="CTQ131" s="6"/>
      <c r="CTR131" s="6"/>
      <c r="CTS131" s="6"/>
      <c r="CTT131" s="6"/>
      <c r="CTU131" s="6"/>
      <c r="CTV131" s="6"/>
      <c r="CTW131" s="6"/>
      <c r="CTX131" s="6"/>
      <c r="CTY131" s="6"/>
      <c r="CTZ131" s="6"/>
      <c r="CUA131" s="6"/>
      <c r="CUB131" s="6"/>
      <c r="CUC131" s="6"/>
      <c r="CUD131" s="6"/>
      <c r="CUE131" s="6"/>
      <c r="CUF131" s="6"/>
      <c r="CUG131" s="6"/>
      <c r="CUH131" s="6"/>
      <c r="CUI131" s="6"/>
      <c r="CUJ131" s="6"/>
      <c r="CUK131" s="6"/>
      <c r="CUL131" s="6"/>
      <c r="CUM131" s="6"/>
      <c r="CUN131" s="6"/>
      <c r="CUO131" s="6"/>
      <c r="CUP131" s="6"/>
      <c r="CUQ131" s="6"/>
      <c r="CUR131" s="6"/>
      <c r="CUS131" s="6"/>
      <c r="CUT131" s="6"/>
      <c r="CUU131" s="6"/>
      <c r="CUV131" s="6"/>
      <c r="CUW131" s="6"/>
      <c r="CUX131" s="6"/>
      <c r="CUY131" s="6"/>
      <c r="CUZ131" s="6"/>
      <c r="CVA131" s="6"/>
      <c r="CVB131" s="6"/>
      <c r="CVC131" s="6"/>
      <c r="CVD131" s="6"/>
      <c r="CVE131" s="6"/>
      <c r="CVF131" s="6"/>
      <c r="CVG131" s="6"/>
      <c r="CVH131" s="6"/>
      <c r="CVI131" s="6"/>
      <c r="CVJ131" s="6"/>
      <c r="CVK131" s="6"/>
      <c r="CVL131" s="6"/>
      <c r="CVM131" s="6"/>
      <c r="CVN131" s="6"/>
      <c r="CVO131" s="6"/>
      <c r="CVP131" s="6"/>
      <c r="CVQ131" s="6"/>
      <c r="CVR131" s="6"/>
      <c r="CVS131" s="6"/>
      <c r="CVT131" s="6"/>
      <c r="CVU131" s="6"/>
      <c r="CVV131" s="6"/>
      <c r="CVW131" s="6"/>
      <c r="CVX131" s="6"/>
      <c r="CVY131" s="6"/>
      <c r="CVZ131" s="6"/>
      <c r="CWA131" s="6"/>
      <c r="CWB131" s="6"/>
      <c r="CWC131" s="6"/>
      <c r="CWD131" s="6"/>
      <c r="CWE131" s="6"/>
      <c r="CWF131" s="6"/>
      <c r="CWG131" s="6"/>
      <c r="CWH131" s="6"/>
      <c r="CWI131" s="6"/>
      <c r="CWJ131" s="6"/>
      <c r="CWK131" s="6"/>
      <c r="CWL131" s="6"/>
      <c r="CWM131" s="6"/>
      <c r="CWN131" s="6"/>
      <c r="CWO131" s="6"/>
      <c r="CWP131" s="6"/>
      <c r="CWQ131" s="6"/>
      <c r="CWR131" s="6"/>
      <c r="CWS131" s="6"/>
      <c r="CWT131" s="6"/>
      <c r="CWU131" s="6"/>
      <c r="CWV131" s="6"/>
      <c r="CWW131" s="6"/>
      <c r="CWX131" s="6"/>
      <c r="CWY131" s="6"/>
      <c r="CWZ131" s="6"/>
      <c r="CXA131" s="6"/>
      <c r="CXB131" s="6"/>
      <c r="CXC131" s="6"/>
      <c r="CXD131" s="6"/>
      <c r="CXE131" s="6"/>
      <c r="CXF131" s="6"/>
      <c r="CXG131" s="6"/>
      <c r="CXH131" s="6"/>
      <c r="CXI131" s="6"/>
      <c r="CXJ131" s="6"/>
      <c r="CXK131" s="6"/>
      <c r="CXL131" s="6"/>
      <c r="CXM131" s="6"/>
      <c r="CXN131" s="6"/>
      <c r="CXO131" s="6"/>
      <c r="CXP131" s="6"/>
      <c r="CXQ131" s="6"/>
      <c r="CXR131" s="6"/>
      <c r="CXS131" s="6"/>
      <c r="CXT131" s="6"/>
      <c r="CXU131" s="6"/>
      <c r="CXV131" s="6"/>
      <c r="CXW131" s="6"/>
      <c r="CXX131" s="6"/>
      <c r="CXY131" s="6"/>
      <c r="CXZ131" s="6"/>
      <c r="CYA131" s="6"/>
      <c r="CYB131" s="6"/>
      <c r="CYC131" s="6"/>
      <c r="CYD131" s="6"/>
      <c r="CYE131" s="6"/>
      <c r="CYF131" s="6"/>
      <c r="CYG131" s="6"/>
      <c r="CYH131" s="6"/>
      <c r="CYI131" s="6"/>
      <c r="CYJ131" s="6"/>
      <c r="CYK131" s="6"/>
      <c r="CYL131" s="6"/>
      <c r="CYM131" s="6"/>
      <c r="CYN131" s="6"/>
      <c r="CYO131" s="6"/>
      <c r="CYP131" s="6"/>
      <c r="CYQ131" s="6"/>
      <c r="CYR131" s="6"/>
      <c r="CYS131" s="6"/>
      <c r="CYT131" s="6"/>
      <c r="CYU131" s="6"/>
      <c r="CYV131" s="6"/>
      <c r="CYW131" s="6"/>
      <c r="CYX131" s="6"/>
      <c r="CYY131" s="6"/>
      <c r="CYZ131" s="6"/>
      <c r="CZA131" s="6"/>
      <c r="CZB131" s="6"/>
      <c r="CZC131" s="6"/>
      <c r="CZD131" s="6"/>
      <c r="CZE131" s="6"/>
      <c r="CZF131" s="6"/>
      <c r="CZG131" s="6"/>
      <c r="CZH131" s="6"/>
      <c r="CZI131" s="6"/>
      <c r="CZJ131" s="6"/>
      <c r="CZK131" s="6"/>
      <c r="CZL131" s="6"/>
      <c r="CZM131" s="6"/>
      <c r="CZN131" s="6"/>
      <c r="CZO131" s="6"/>
      <c r="CZP131" s="6"/>
      <c r="CZQ131" s="6"/>
      <c r="CZR131" s="6"/>
      <c r="CZS131" s="6"/>
      <c r="CZT131" s="6"/>
      <c r="CZU131" s="6"/>
      <c r="CZV131" s="6"/>
      <c r="CZW131" s="6"/>
      <c r="CZX131" s="6"/>
      <c r="CZY131" s="6"/>
      <c r="CZZ131" s="6"/>
      <c r="DAA131" s="6"/>
      <c r="DAB131" s="6"/>
      <c r="DAC131" s="6"/>
      <c r="DAD131" s="6"/>
      <c r="DAE131" s="6"/>
      <c r="DAF131" s="6"/>
      <c r="DAG131" s="6"/>
      <c r="DAH131" s="6"/>
      <c r="DAI131" s="6"/>
      <c r="DAJ131" s="6"/>
      <c r="DAK131" s="6"/>
      <c r="DAL131" s="6"/>
      <c r="DAM131" s="6"/>
      <c r="DAN131" s="6"/>
      <c r="DAO131" s="6"/>
      <c r="DAP131" s="6"/>
      <c r="DAQ131" s="6"/>
      <c r="DAR131" s="6"/>
      <c r="DAS131" s="6"/>
      <c r="DAT131" s="6"/>
      <c r="DAU131" s="6"/>
      <c r="DAV131" s="6"/>
      <c r="DAW131" s="6"/>
      <c r="DAX131" s="6"/>
      <c r="DAY131" s="6"/>
      <c r="DAZ131" s="6"/>
      <c r="DBA131" s="6"/>
      <c r="DBB131" s="6"/>
      <c r="DBC131" s="6"/>
      <c r="DBD131" s="6"/>
      <c r="DBE131" s="6"/>
      <c r="DBF131" s="6"/>
      <c r="DBG131" s="6"/>
      <c r="DBH131" s="6"/>
      <c r="DBI131" s="6"/>
      <c r="DBJ131" s="6"/>
      <c r="DBK131" s="6"/>
      <c r="DBL131" s="6"/>
      <c r="DBM131" s="6"/>
      <c r="DBN131" s="6"/>
      <c r="DBO131" s="6"/>
      <c r="DBP131" s="6"/>
      <c r="DBQ131" s="6"/>
      <c r="DBR131" s="6"/>
      <c r="DBS131" s="6"/>
      <c r="DBT131" s="6"/>
      <c r="DBU131" s="6"/>
      <c r="DBV131" s="6"/>
      <c r="DBW131" s="6"/>
      <c r="DBX131" s="6"/>
      <c r="DBY131" s="6"/>
      <c r="DBZ131" s="6"/>
      <c r="DCA131" s="6"/>
      <c r="DCB131" s="6"/>
      <c r="DCC131" s="6"/>
      <c r="DCD131" s="6"/>
      <c r="DCE131" s="6"/>
      <c r="DCF131" s="6"/>
      <c r="DCG131" s="6"/>
      <c r="DCH131" s="6"/>
      <c r="DCI131" s="6"/>
      <c r="DCJ131" s="6"/>
      <c r="DCK131" s="6"/>
      <c r="DCL131" s="6"/>
      <c r="DCM131" s="6"/>
      <c r="DCN131" s="6"/>
      <c r="DCO131" s="6"/>
      <c r="DCP131" s="6"/>
      <c r="DCQ131" s="6"/>
      <c r="DCR131" s="6"/>
      <c r="DCS131" s="6"/>
      <c r="DCT131" s="6"/>
      <c r="DCU131" s="6"/>
      <c r="DCV131" s="6"/>
      <c r="DCW131" s="6"/>
      <c r="DCX131" s="6"/>
      <c r="DCY131" s="6"/>
      <c r="DCZ131" s="6"/>
      <c r="DDA131" s="6"/>
      <c r="DDB131" s="6"/>
      <c r="DDC131" s="6"/>
      <c r="DDD131" s="6"/>
      <c r="DDE131" s="6"/>
      <c r="DDF131" s="6"/>
      <c r="DDG131" s="6"/>
      <c r="DDH131" s="6"/>
      <c r="DDI131" s="6"/>
      <c r="DDJ131" s="6"/>
      <c r="DDK131" s="6"/>
      <c r="DDL131" s="6"/>
      <c r="DDM131" s="6"/>
      <c r="DDN131" s="6"/>
      <c r="DDO131" s="6"/>
      <c r="DDP131" s="6"/>
      <c r="DDQ131" s="6"/>
      <c r="DDR131" s="6"/>
      <c r="DDS131" s="6"/>
      <c r="DDT131" s="6"/>
      <c r="DDU131" s="6"/>
      <c r="DDV131" s="6"/>
      <c r="DDW131" s="6"/>
      <c r="DDX131" s="6"/>
      <c r="DDY131" s="6"/>
      <c r="DDZ131" s="6"/>
      <c r="DEA131" s="6"/>
      <c r="DEB131" s="6"/>
      <c r="DEC131" s="6"/>
      <c r="DED131" s="6"/>
      <c r="DEE131" s="6"/>
      <c r="DEF131" s="6"/>
      <c r="DEG131" s="6"/>
      <c r="DEH131" s="6"/>
      <c r="DEI131" s="6"/>
      <c r="DEJ131" s="6"/>
      <c r="DEK131" s="6"/>
      <c r="DEL131" s="6"/>
      <c r="DEM131" s="6"/>
      <c r="DEN131" s="6"/>
      <c r="DEO131" s="6"/>
      <c r="DEP131" s="6"/>
      <c r="DEQ131" s="6"/>
      <c r="DER131" s="6"/>
      <c r="DES131" s="6"/>
      <c r="DET131" s="6"/>
      <c r="DEU131" s="6"/>
      <c r="DEV131" s="6"/>
      <c r="DEW131" s="6"/>
      <c r="DEX131" s="6"/>
      <c r="DEY131" s="6"/>
      <c r="DEZ131" s="6"/>
      <c r="DFA131" s="6"/>
      <c r="DFB131" s="6"/>
      <c r="DFC131" s="6"/>
      <c r="DFD131" s="6"/>
      <c r="DFE131" s="6"/>
      <c r="DFF131" s="6"/>
      <c r="DFG131" s="6"/>
      <c r="DFH131" s="6"/>
      <c r="DFI131" s="6"/>
      <c r="DFJ131" s="6"/>
      <c r="DFK131" s="6"/>
      <c r="DFL131" s="6"/>
      <c r="DFM131" s="6"/>
      <c r="DFN131" s="6"/>
      <c r="DFO131" s="6"/>
      <c r="DFP131" s="6"/>
      <c r="DFQ131" s="6"/>
      <c r="DFR131" s="6"/>
      <c r="DFS131" s="6"/>
      <c r="DFT131" s="6"/>
      <c r="DFU131" s="6"/>
      <c r="DFV131" s="6"/>
      <c r="DFW131" s="6"/>
      <c r="DFX131" s="6"/>
      <c r="DFY131" s="6"/>
      <c r="DFZ131" s="6"/>
      <c r="DGA131" s="6"/>
      <c r="DGB131" s="6"/>
      <c r="DGC131" s="6"/>
      <c r="DGD131" s="6"/>
      <c r="DGE131" s="6"/>
      <c r="DGF131" s="6"/>
      <c r="DGG131" s="6"/>
      <c r="DGH131" s="6"/>
      <c r="DGI131" s="6"/>
      <c r="DGJ131" s="6"/>
      <c r="DGK131" s="6"/>
      <c r="DGL131" s="6"/>
      <c r="DGM131" s="6"/>
      <c r="DGN131" s="6"/>
      <c r="DGO131" s="6"/>
      <c r="DGP131" s="6"/>
      <c r="DGQ131" s="6"/>
      <c r="DGR131" s="6"/>
      <c r="DGS131" s="6"/>
      <c r="DGT131" s="6"/>
      <c r="DGU131" s="6"/>
      <c r="DGV131" s="6"/>
      <c r="DGW131" s="6"/>
      <c r="DGX131" s="6"/>
      <c r="DGY131" s="6"/>
      <c r="DGZ131" s="6"/>
      <c r="DHA131" s="6"/>
      <c r="DHB131" s="6"/>
      <c r="DHC131" s="6"/>
      <c r="DHD131" s="6"/>
      <c r="DHE131" s="6"/>
      <c r="DHF131" s="6"/>
      <c r="DHG131" s="6"/>
      <c r="DHH131" s="6"/>
      <c r="DHI131" s="6"/>
      <c r="DHJ131" s="6"/>
      <c r="DHK131" s="6"/>
      <c r="DHL131" s="6"/>
      <c r="DHM131" s="6"/>
      <c r="DHN131" s="6"/>
      <c r="DHO131" s="6"/>
      <c r="DHP131" s="6"/>
      <c r="DHQ131" s="6"/>
      <c r="DHR131" s="6"/>
      <c r="DHS131" s="6"/>
      <c r="DHT131" s="6"/>
      <c r="DHU131" s="6"/>
      <c r="DHV131" s="6"/>
      <c r="DHW131" s="6"/>
      <c r="DHX131" s="6"/>
      <c r="DHY131" s="6"/>
      <c r="DHZ131" s="6"/>
      <c r="DIA131" s="6"/>
      <c r="DIB131" s="6"/>
      <c r="DIC131" s="6"/>
      <c r="DID131" s="6"/>
      <c r="DIE131" s="6"/>
      <c r="DIF131" s="6"/>
      <c r="DIG131" s="6"/>
      <c r="DIH131" s="6"/>
      <c r="DII131" s="6"/>
      <c r="DIJ131" s="6"/>
      <c r="DIK131" s="6"/>
      <c r="DIL131" s="6"/>
      <c r="DIM131" s="6"/>
      <c r="DIN131" s="6"/>
      <c r="DIO131" s="6"/>
      <c r="DIP131" s="6"/>
      <c r="DIQ131" s="6"/>
      <c r="DIR131" s="6"/>
      <c r="DIS131" s="6"/>
      <c r="DIT131" s="6"/>
      <c r="DIU131" s="6"/>
      <c r="DIV131" s="6"/>
      <c r="DIW131" s="6"/>
      <c r="DIX131" s="6"/>
      <c r="DIY131" s="6"/>
      <c r="DIZ131" s="6"/>
      <c r="DJA131" s="6"/>
      <c r="DJB131" s="6"/>
      <c r="DJC131" s="6"/>
      <c r="DJD131" s="6"/>
      <c r="DJE131" s="6"/>
      <c r="DJF131" s="6"/>
      <c r="DJG131" s="6"/>
      <c r="DJH131" s="6"/>
      <c r="DJI131" s="6"/>
      <c r="DJJ131" s="6"/>
      <c r="DJK131" s="6"/>
      <c r="DJL131" s="6"/>
      <c r="DJM131" s="6"/>
      <c r="DJN131" s="6"/>
      <c r="DJO131" s="6"/>
      <c r="DJP131" s="6"/>
      <c r="DJQ131" s="6"/>
      <c r="DJR131" s="6"/>
      <c r="DJS131" s="6"/>
      <c r="DJT131" s="6"/>
      <c r="DJU131" s="6"/>
      <c r="DJV131" s="6"/>
      <c r="DJW131" s="6"/>
      <c r="DJX131" s="6"/>
      <c r="DJY131" s="6"/>
      <c r="DJZ131" s="6"/>
      <c r="DKA131" s="6"/>
      <c r="DKB131" s="6"/>
      <c r="DKC131" s="6"/>
      <c r="DKD131" s="6"/>
      <c r="DKE131" s="6"/>
      <c r="DKF131" s="6"/>
      <c r="DKG131" s="6"/>
      <c r="DKH131" s="6"/>
      <c r="DKI131" s="6"/>
      <c r="DKJ131" s="6"/>
      <c r="DKK131" s="6"/>
      <c r="DKL131" s="6"/>
      <c r="DKM131" s="6"/>
      <c r="DKN131" s="6"/>
      <c r="DKO131" s="6"/>
      <c r="DKP131" s="6"/>
      <c r="DKQ131" s="6"/>
      <c r="DKR131" s="6"/>
      <c r="DKS131" s="6"/>
      <c r="DKT131" s="6"/>
      <c r="DKU131" s="6"/>
      <c r="DKV131" s="6"/>
      <c r="DKW131" s="6"/>
      <c r="DKX131" s="6"/>
      <c r="DKY131" s="6"/>
      <c r="DKZ131" s="6"/>
      <c r="DLA131" s="6"/>
      <c r="DLB131" s="6"/>
      <c r="DLC131" s="6"/>
      <c r="DLD131" s="6"/>
      <c r="DLE131" s="6"/>
      <c r="DLF131" s="6"/>
      <c r="DLG131" s="6"/>
      <c r="DLH131" s="6"/>
      <c r="DLI131" s="6"/>
      <c r="DLJ131" s="6"/>
      <c r="DLK131" s="6"/>
      <c r="DLL131" s="6"/>
      <c r="DLM131" s="6"/>
      <c r="DLN131" s="6"/>
      <c r="DLO131" s="6"/>
      <c r="DLP131" s="6"/>
      <c r="DLQ131" s="6"/>
      <c r="DLR131" s="6"/>
      <c r="DLS131" s="6"/>
      <c r="DLT131" s="6"/>
      <c r="DLU131" s="6"/>
      <c r="DLV131" s="6"/>
      <c r="DLW131" s="6"/>
      <c r="DLX131" s="6"/>
      <c r="DLY131" s="6"/>
      <c r="DLZ131" s="6"/>
      <c r="DMA131" s="6"/>
      <c r="DMB131" s="6"/>
      <c r="DMC131" s="6"/>
      <c r="DMD131" s="6"/>
      <c r="DME131" s="6"/>
      <c r="DMF131" s="6"/>
      <c r="DMG131" s="6"/>
      <c r="DMH131" s="6"/>
      <c r="DMI131" s="6"/>
      <c r="DMJ131" s="6"/>
      <c r="DMK131" s="6"/>
      <c r="DML131" s="6"/>
      <c r="DMM131" s="6"/>
      <c r="DMN131" s="6"/>
      <c r="DMO131" s="6"/>
      <c r="DMP131" s="6"/>
      <c r="DMQ131" s="6"/>
      <c r="DMR131" s="6"/>
      <c r="DMS131" s="6"/>
      <c r="DMT131" s="6"/>
      <c r="DMU131" s="6"/>
      <c r="DMV131" s="6"/>
      <c r="DMW131" s="6"/>
      <c r="DMX131" s="6"/>
      <c r="DMY131" s="6"/>
      <c r="DMZ131" s="6"/>
      <c r="DNA131" s="6"/>
      <c r="DNB131" s="6"/>
      <c r="DNC131" s="6"/>
      <c r="DND131" s="6"/>
      <c r="DNE131" s="6"/>
      <c r="DNF131" s="6"/>
      <c r="DNG131" s="6"/>
      <c r="DNH131" s="6"/>
      <c r="DNI131" s="6"/>
      <c r="DNJ131" s="6"/>
      <c r="DNK131" s="6"/>
      <c r="DNL131" s="6"/>
      <c r="DNM131" s="6"/>
      <c r="DNN131" s="6"/>
      <c r="DNO131" s="6"/>
      <c r="DNP131" s="6"/>
      <c r="DNQ131" s="6"/>
      <c r="DNR131" s="6"/>
      <c r="DNS131" s="6"/>
      <c r="DNT131" s="6"/>
      <c r="DNU131" s="6"/>
      <c r="DNV131" s="6"/>
      <c r="DNW131" s="6"/>
      <c r="DNX131" s="6"/>
      <c r="DNY131" s="6"/>
      <c r="DNZ131" s="6"/>
      <c r="DOA131" s="6"/>
      <c r="DOB131" s="6"/>
      <c r="DOC131" s="6"/>
      <c r="DOD131" s="6"/>
      <c r="DOE131" s="6"/>
      <c r="DOF131" s="6"/>
      <c r="DOG131" s="6"/>
      <c r="DOH131" s="6"/>
      <c r="DOI131" s="6"/>
      <c r="DOJ131" s="6"/>
      <c r="DOK131" s="6"/>
      <c r="DOL131" s="6"/>
      <c r="DOM131" s="6"/>
      <c r="DON131" s="6"/>
      <c r="DOO131" s="6"/>
      <c r="DOP131" s="6"/>
      <c r="DOQ131" s="6"/>
      <c r="DOR131" s="6"/>
      <c r="DOS131" s="6"/>
      <c r="DOT131" s="6"/>
      <c r="DOU131" s="6"/>
      <c r="DOV131" s="6"/>
      <c r="DOW131" s="6"/>
      <c r="DOX131" s="6"/>
      <c r="DOY131" s="6"/>
      <c r="DOZ131" s="6"/>
      <c r="DPA131" s="6"/>
      <c r="DPB131" s="6"/>
      <c r="DPC131" s="6"/>
      <c r="DPD131" s="6"/>
      <c r="DPE131" s="6"/>
      <c r="DPF131" s="6"/>
      <c r="DPG131" s="6"/>
      <c r="DPH131" s="6"/>
      <c r="DPI131" s="6"/>
      <c r="DPJ131" s="6"/>
      <c r="DPK131" s="6"/>
      <c r="DPL131" s="6"/>
      <c r="DPM131" s="6"/>
      <c r="DPN131" s="6"/>
      <c r="DPO131" s="6"/>
      <c r="DPP131" s="6"/>
      <c r="DPQ131" s="6"/>
      <c r="DPR131" s="6"/>
      <c r="DPS131" s="6"/>
      <c r="DPT131" s="6"/>
      <c r="DPU131" s="6"/>
      <c r="DPV131" s="6"/>
      <c r="DPW131" s="6"/>
      <c r="DPX131" s="6"/>
      <c r="DPY131" s="6"/>
      <c r="DPZ131" s="6"/>
      <c r="DQA131" s="6"/>
      <c r="DQB131" s="6"/>
      <c r="DQC131" s="6"/>
      <c r="DQD131" s="6"/>
      <c r="DQE131" s="6"/>
      <c r="DQF131" s="6"/>
      <c r="DQG131" s="6"/>
      <c r="DQH131" s="6"/>
      <c r="DQI131" s="6"/>
      <c r="DQJ131" s="6"/>
      <c r="DQK131" s="6"/>
      <c r="DQL131" s="6"/>
      <c r="DQM131" s="6"/>
      <c r="DQN131" s="6"/>
      <c r="DQO131" s="6"/>
      <c r="DQP131" s="6"/>
      <c r="DQQ131" s="6"/>
      <c r="DQR131" s="6"/>
      <c r="DQS131" s="6"/>
      <c r="DQT131" s="6"/>
      <c r="DQU131" s="6"/>
      <c r="DQV131" s="6"/>
      <c r="DQW131" s="6"/>
      <c r="DQX131" s="6"/>
      <c r="DQY131" s="6"/>
      <c r="DQZ131" s="6"/>
      <c r="DRA131" s="6"/>
      <c r="DRB131" s="6"/>
      <c r="DRC131" s="6"/>
      <c r="DRD131" s="6"/>
      <c r="DRE131" s="6"/>
      <c r="DRF131" s="6"/>
      <c r="DRG131" s="6"/>
      <c r="DRH131" s="6"/>
      <c r="DRI131" s="6"/>
      <c r="DRJ131" s="6"/>
      <c r="DRK131" s="6"/>
      <c r="DRL131" s="6"/>
      <c r="DRM131" s="6"/>
      <c r="DRN131" s="6"/>
      <c r="DRO131" s="6"/>
      <c r="DRP131" s="6"/>
      <c r="DRQ131" s="6"/>
      <c r="DRR131" s="6"/>
      <c r="DRS131" s="6"/>
      <c r="DRT131" s="6"/>
      <c r="DRU131" s="6"/>
      <c r="DRV131" s="6"/>
      <c r="DRW131" s="6"/>
      <c r="DRX131" s="6"/>
      <c r="DRY131" s="6"/>
      <c r="DRZ131" s="6"/>
      <c r="DSA131" s="6"/>
      <c r="DSB131" s="6"/>
      <c r="DSC131" s="6"/>
      <c r="DSD131" s="6"/>
      <c r="DSE131" s="6"/>
      <c r="DSF131" s="6"/>
      <c r="DSG131" s="6"/>
      <c r="DSH131" s="6"/>
      <c r="DSI131" s="6"/>
      <c r="DSJ131" s="6"/>
      <c r="DSK131" s="6"/>
      <c r="DSL131" s="6"/>
      <c r="DSM131" s="6"/>
      <c r="DSN131" s="6"/>
      <c r="DSO131" s="6"/>
      <c r="DSP131" s="6"/>
      <c r="DSQ131" s="6"/>
      <c r="DSR131" s="6"/>
      <c r="DSS131" s="6"/>
      <c r="DST131" s="6"/>
      <c r="DSU131" s="6"/>
      <c r="DSV131" s="6"/>
      <c r="DSW131" s="6"/>
      <c r="DSX131" s="6"/>
      <c r="DSY131" s="6"/>
      <c r="DSZ131" s="6"/>
      <c r="DTA131" s="6"/>
      <c r="DTB131" s="6"/>
      <c r="DTC131" s="6"/>
      <c r="DTD131" s="6"/>
      <c r="DTE131" s="6"/>
      <c r="DTF131" s="6"/>
      <c r="DTG131" s="6"/>
      <c r="DTH131" s="6"/>
      <c r="DTI131" s="6"/>
      <c r="DTJ131" s="6"/>
      <c r="DTK131" s="6"/>
      <c r="DTL131" s="6"/>
      <c r="DTM131" s="6"/>
      <c r="DTN131" s="6"/>
      <c r="DTO131" s="6"/>
      <c r="DTP131" s="6"/>
      <c r="DTQ131" s="6"/>
      <c r="DTR131" s="6"/>
      <c r="DTS131" s="6"/>
      <c r="DTT131" s="6"/>
      <c r="DTU131" s="6"/>
      <c r="DTV131" s="6"/>
      <c r="DTW131" s="6"/>
      <c r="DTX131" s="6"/>
      <c r="DTY131" s="6"/>
      <c r="DTZ131" s="6"/>
      <c r="DUA131" s="6"/>
      <c r="DUB131" s="6"/>
      <c r="DUC131" s="6"/>
      <c r="DUD131" s="6"/>
      <c r="DUE131" s="6"/>
      <c r="DUF131" s="6"/>
      <c r="DUG131" s="6"/>
      <c r="DUH131" s="6"/>
      <c r="DUI131" s="6"/>
      <c r="DUJ131" s="6"/>
      <c r="DUK131" s="6"/>
      <c r="DUL131" s="6"/>
      <c r="DUM131" s="6"/>
      <c r="DUN131" s="6"/>
      <c r="DUO131" s="6"/>
      <c r="DUP131" s="6"/>
      <c r="DUQ131" s="6"/>
      <c r="DUR131" s="6"/>
      <c r="DUS131" s="6"/>
      <c r="DUT131" s="6"/>
      <c r="DUU131" s="6"/>
      <c r="DUV131" s="6"/>
      <c r="DUW131" s="6"/>
      <c r="DUX131" s="6"/>
      <c r="DUY131" s="6"/>
      <c r="DUZ131" s="6"/>
      <c r="DVA131" s="6"/>
      <c r="DVB131" s="6"/>
      <c r="DVC131" s="6"/>
      <c r="DVD131" s="6"/>
      <c r="DVE131" s="6"/>
      <c r="DVF131" s="6"/>
      <c r="DVG131" s="6"/>
      <c r="DVH131" s="6"/>
      <c r="DVI131" s="6"/>
      <c r="DVJ131" s="6"/>
      <c r="DVK131" s="6"/>
      <c r="DVL131" s="6"/>
      <c r="DVM131" s="6"/>
      <c r="DVN131" s="6"/>
      <c r="DVO131" s="6"/>
      <c r="DVP131" s="6"/>
      <c r="DVQ131" s="6"/>
      <c r="DVR131" s="6"/>
      <c r="DVS131" s="6"/>
      <c r="DVT131" s="6"/>
      <c r="DVU131" s="6"/>
      <c r="DVV131" s="6"/>
      <c r="DVW131" s="6"/>
      <c r="DVX131" s="6"/>
      <c r="DVY131" s="6"/>
      <c r="DVZ131" s="6"/>
      <c r="DWA131" s="6"/>
      <c r="DWB131" s="6"/>
      <c r="DWC131" s="6"/>
      <c r="DWD131" s="6"/>
      <c r="DWE131" s="6"/>
      <c r="DWF131" s="6"/>
      <c r="DWG131" s="6"/>
      <c r="DWH131" s="6"/>
      <c r="DWI131" s="6"/>
      <c r="DWJ131" s="6"/>
      <c r="DWK131" s="6"/>
      <c r="DWL131" s="6"/>
      <c r="DWM131" s="6"/>
      <c r="DWN131" s="6"/>
      <c r="DWO131" s="6"/>
      <c r="DWP131" s="6"/>
      <c r="DWQ131" s="6"/>
      <c r="DWR131" s="6"/>
      <c r="DWS131" s="6"/>
      <c r="DWT131" s="6"/>
      <c r="DWU131" s="6"/>
      <c r="DWV131" s="6"/>
      <c r="DWW131" s="6"/>
      <c r="DWX131" s="6"/>
      <c r="DWY131" s="6"/>
      <c r="DWZ131" s="6"/>
      <c r="DXA131" s="6"/>
      <c r="DXB131" s="6"/>
      <c r="DXC131" s="6"/>
      <c r="DXD131" s="6"/>
      <c r="DXE131" s="6"/>
      <c r="DXF131" s="6"/>
      <c r="DXG131" s="6"/>
      <c r="DXH131" s="6"/>
      <c r="DXI131" s="6"/>
      <c r="DXJ131" s="6"/>
      <c r="DXK131" s="6"/>
      <c r="DXL131" s="6"/>
      <c r="DXM131" s="6"/>
      <c r="DXN131" s="6"/>
      <c r="DXO131" s="6"/>
      <c r="DXP131" s="6"/>
      <c r="DXQ131" s="6"/>
      <c r="DXR131" s="6"/>
      <c r="DXS131" s="6"/>
      <c r="DXT131" s="6"/>
      <c r="DXU131" s="6"/>
      <c r="DXV131" s="6"/>
      <c r="DXW131" s="6"/>
      <c r="DXX131" s="6"/>
      <c r="DXY131" s="6"/>
      <c r="DXZ131" s="6"/>
      <c r="DYA131" s="6"/>
      <c r="DYB131" s="6"/>
      <c r="DYC131" s="6"/>
      <c r="DYD131" s="6"/>
      <c r="DYE131" s="6"/>
      <c r="DYF131" s="6"/>
      <c r="DYG131" s="6"/>
      <c r="DYH131" s="6"/>
      <c r="DYI131" s="6"/>
      <c r="DYJ131" s="6"/>
      <c r="DYK131" s="6"/>
      <c r="DYL131" s="6"/>
      <c r="DYM131" s="6"/>
      <c r="DYN131" s="6"/>
      <c r="DYO131" s="6"/>
      <c r="DYP131" s="6"/>
      <c r="DYQ131" s="6"/>
      <c r="DYR131" s="6"/>
      <c r="DYS131" s="6"/>
      <c r="DYT131" s="6"/>
      <c r="DYU131" s="6"/>
      <c r="DYV131" s="6"/>
      <c r="DYW131" s="6"/>
      <c r="DYX131" s="6"/>
      <c r="DYY131" s="6"/>
      <c r="DYZ131" s="6"/>
      <c r="DZA131" s="6"/>
      <c r="DZB131" s="6"/>
      <c r="DZC131" s="6"/>
      <c r="DZD131" s="6"/>
      <c r="DZE131" s="6"/>
      <c r="DZF131" s="6"/>
      <c r="DZG131" s="6"/>
      <c r="DZH131" s="6"/>
      <c r="DZI131" s="6"/>
      <c r="DZJ131" s="6"/>
      <c r="DZK131" s="6"/>
      <c r="DZL131" s="6"/>
      <c r="DZM131" s="6"/>
      <c r="DZN131" s="6"/>
      <c r="DZO131" s="6"/>
      <c r="DZP131" s="6"/>
      <c r="DZQ131" s="6"/>
      <c r="DZR131" s="6"/>
      <c r="DZS131" s="6"/>
      <c r="DZT131" s="6"/>
      <c r="DZU131" s="6"/>
      <c r="DZV131" s="6"/>
      <c r="DZW131" s="6"/>
      <c r="DZX131" s="6"/>
      <c r="DZY131" s="6"/>
      <c r="DZZ131" s="6"/>
      <c r="EAA131" s="6"/>
      <c r="EAB131" s="6"/>
      <c r="EAC131" s="6"/>
      <c r="EAD131" s="6"/>
      <c r="EAE131" s="6"/>
      <c r="EAF131" s="6"/>
      <c r="EAG131" s="6"/>
      <c r="EAH131" s="6"/>
      <c r="EAI131" s="6"/>
      <c r="EAJ131" s="6"/>
      <c r="EAK131" s="6"/>
      <c r="EAL131" s="6"/>
      <c r="EAM131" s="6"/>
      <c r="EAN131" s="6"/>
      <c r="EAO131" s="6"/>
      <c r="EAP131" s="6"/>
      <c r="EAQ131" s="6"/>
      <c r="EAR131" s="6"/>
      <c r="EAS131" s="6"/>
      <c r="EAT131" s="6"/>
      <c r="EAU131" s="6"/>
      <c r="EAV131" s="6"/>
      <c r="EAW131" s="6"/>
      <c r="EAX131" s="6"/>
      <c r="EAY131" s="6"/>
      <c r="EAZ131" s="6"/>
      <c r="EBA131" s="6"/>
      <c r="EBB131" s="6"/>
      <c r="EBC131" s="6"/>
      <c r="EBD131" s="6"/>
      <c r="EBE131" s="6"/>
      <c r="EBF131" s="6"/>
      <c r="EBG131" s="6"/>
      <c r="EBH131" s="6"/>
      <c r="EBI131" s="6"/>
      <c r="EBJ131" s="6"/>
      <c r="EBK131" s="6"/>
      <c r="EBL131" s="6"/>
      <c r="EBM131" s="6"/>
      <c r="EBN131" s="6"/>
      <c r="EBO131" s="6"/>
      <c r="EBP131" s="6"/>
      <c r="EBQ131" s="6"/>
      <c r="EBR131" s="6"/>
      <c r="EBS131" s="6"/>
      <c r="EBT131" s="6"/>
      <c r="EBU131" s="6"/>
      <c r="EBV131" s="6"/>
      <c r="EBW131" s="6"/>
      <c r="EBX131" s="6"/>
      <c r="EBY131" s="6"/>
      <c r="EBZ131" s="6"/>
      <c r="ECA131" s="6"/>
      <c r="ECB131" s="6"/>
      <c r="ECC131" s="6"/>
      <c r="ECD131" s="6"/>
      <c r="ECE131" s="6"/>
      <c r="ECF131" s="6"/>
      <c r="ECG131" s="6"/>
      <c r="ECH131" s="6"/>
      <c r="ECI131" s="6"/>
      <c r="ECJ131" s="6"/>
      <c r="ECK131" s="6"/>
      <c r="ECL131" s="6"/>
      <c r="ECM131" s="6"/>
      <c r="ECN131" s="6"/>
      <c r="ECO131" s="6"/>
      <c r="ECP131" s="6"/>
      <c r="ECQ131" s="6"/>
      <c r="ECR131" s="6"/>
      <c r="ECS131" s="6"/>
      <c r="ECT131" s="6"/>
      <c r="ECU131" s="6"/>
      <c r="ECV131" s="6"/>
      <c r="ECW131" s="6"/>
      <c r="ECX131" s="6"/>
      <c r="ECY131" s="6"/>
      <c r="ECZ131" s="6"/>
      <c r="EDA131" s="6"/>
      <c r="EDB131" s="6"/>
      <c r="EDC131" s="6"/>
      <c r="EDD131" s="6"/>
      <c r="EDE131" s="6"/>
      <c r="EDF131" s="6"/>
      <c r="EDG131" s="6"/>
      <c r="EDH131" s="6"/>
      <c r="EDI131" s="6"/>
      <c r="EDJ131" s="6"/>
      <c r="EDK131" s="6"/>
      <c r="EDL131" s="6"/>
      <c r="EDM131" s="6"/>
      <c r="EDN131" s="6"/>
      <c r="EDO131" s="6"/>
      <c r="EDP131" s="6"/>
      <c r="EDQ131" s="6"/>
      <c r="EDR131" s="6"/>
      <c r="EDS131" s="6"/>
      <c r="EDT131" s="6"/>
      <c r="EDU131" s="6"/>
      <c r="EDV131" s="6"/>
      <c r="EDW131" s="6"/>
      <c r="EDX131" s="6"/>
      <c r="EDY131" s="6"/>
      <c r="EDZ131" s="6"/>
      <c r="EEA131" s="6"/>
      <c r="EEB131" s="6"/>
      <c r="EEC131" s="6"/>
      <c r="EED131" s="6"/>
      <c r="EEE131" s="6"/>
      <c r="EEF131" s="6"/>
      <c r="EEG131" s="6"/>
      <c r="EEH131" s="6"/>
      <c r="EEI131" s="6"/>
      <c r="EEJ131" s="6"/>
      <c r="EEK131" s="6"/>
      <c r="EEL131" s="6"/>
      <c r="EEM131" s="6"/>
      <c r="EEN131" s="6"/>
      <c r="EEO131" s="6"/>
      <c r="EEP131" s="6"/>
      <c r="EEQ131" s="6"/>
      <c r="EER131" s="6"/>
      <c r="EES131" s="6"/>
      <c r="EET131" s="6"/>
      <c r="EEU131" s="6"/>
      <c r="EEV131" s="6"/>
      <c r="EEW131" s="6"/>
      <c r="EEX131" s="6"/>
      <c r="EEY131" s="6"/>
      <c r="EEZ131" s="6"/>
      <c r="EFA131" s="6"/>
      <c r="EFB131" s="6"/>
      <c r="EFC131" s="6"/>
      <c r="EFD131" s="6"/>
      <c r="EFE131" s="6"/>
      <c r="EFF131" s="6"/>
      <c r="EFG131" s="6"/>
      <c r="EFH131" s="6"/>
      <c r="EFI131" s="6"/>
      <c r="EFJ131" s="6"/>
      <c r="EFK131" s="6"/>
      <c r="EFL131" s="6"/>
      <c r="EFM131" s="6"/>
      <c r="EFN131" s="6"/>
      <c r="EFO131" s="6"/>
      <c r="EFP131" s="6"/>
      <c r="EFQ131" s="6"/>
      <c r="EFR131" s="6"/>
      <c r="EFS131" s="6"/>
      <c r="EFT131" s="6"/>
      <c r="EFU131" s="6"/>
      <c r="EFV131" s="6"/>
      <c r="EFW131" s="6"/>
      <c r="EFX131" s="6"/>
      <c r="EFY131" s="6"/>
      <c r="EFZ131" s="6"/>
      <c r="EGA131" s="6"/>
      <c r="EGB131" s="6"/>
      <c r="EGC131" s="6"/>
      <c r="EGD131" s="6"/>
      <c r="EGE131" s="6"/>
      <c r="EGF131" s="6"/>
      <c r="EGG131" s="6"/>
      <c r="EGH131" s="6"/>
      <c r="EGI131" s="6"/>
      <c r="EGJ131" s="6"/>
      <c r="EGK131" s="6"/>
      <c r="EGL131" s="6"/>
      <c r="EGM131" s="6"/>
      <c r="EGN131" s="6"/>
      <c r="EGO131" s="6"/>
      <c r="EGP131" s="6"/>
      <c r="EGQ131" s="6"/>
      <c r="EGR131" s="6"/>
      <c r="EGS131" s="6"/>
      <c r="EGT131" s="6"/>
      <c r="EGU131" s="6"/>
      <c r="EGV131" s="6"/>
      <c r="EGW131" s="6"/>
      <c r="EGX131" s="6"/>
      <c r="EGY131" s="6"/>
      <c r="EGZ131" s="6"/>
      <c r="EHA131" s="6"/>
      <c r="EHB131" s="6"/>
      <c r="EHC131" s="6"/>
      <c r="EHD131" s="6"/>
      <c r="EHE131" s="6"/>
      <c r="EHF131" s="6"/>
      <c r="EHG131" s="6"/>
      <c r="EHH131" s="6"/>
      <c r="EHI131" s="6"/>
      <c r="EHJ131" s="6"/>
      <c r="EHK131" s="6"/>
      <c r="EHL131" s="6"/>
      <c r="EHM131" s="6"/>
      <c r="EHN131" s="6"/>
      <c r="EHO131" s="6"/>
      <c r="EHP131" s="6"/>
      <c r="EHQ131" s="6"/>
      <c r="EHR131" s="6"/>
      <c r="EHS131" s="6"/>
      <c r="EHT131" s="6"/>
      <c r="EHU131" s="6"/>
      <c r="EHV131" s="6"/>
      <c r="EHW131" s="6"/>
      <c r="EHX131" s="6"/>
      <c r="EHY131" s="6"/>
      <c r="EHZ131" s="6"/>
      <c r="EIA131" s="6"/>
      <c r="EIB131" s="6"/>
      <c r="EIC131" s="6"/>
      <c r="EID131" s="6"/>
      <c r="EIE131" s="6"/>
      <c r="EIF131" s="6"/>
      <c r="EIG131" s="6"/>
      <c r="EIH131" s="6"/>
      <c r="EII131" s="6"/>
      <c r="EIJ131" s="6"/>
      <c r="EIK131" s="6"/>
      <c r="EIL131" s="6"/>
      <c r="EIM131" s="6"/>
      <c r="EIN131" s="6"/>
      <c r="EIO131" s="6"/>
      <c r="EIP131" s="6"/>
      <c r="EIQ131" s="6"/>
      <c r="EIR131" s="6"/>
      <c r="EIS131" s="6"/>
      <c r="EIT131" s="6"/>
      <c r="EIU131" s="6"/>
      <c r="EIV131" s="6"/>
      <c r="EIW131" s="6"/>
      <c r="EIX131" s="6"/>
      <c r="EIY131" s="6"/>
      <c r="EIZ131" s="6"/>
      <c r="EJA131" s="6"/>
      <c r="EJB131" s="6"/>
      <c r="EJC131" s="6"/>
      <c r="EJD131" s="6"/>
      <c r="EJE131" s="6"/>
      <c r="EJF131" s="6"/>
      <c r="EJG131" s="6"/>
      <c r="EJH131" s="6"/>
      <c r="EJI131" s="6"/>
      <c r="EJJ131" s="6"/>
      <c r="EJK131" s="6"/>
      <c r="EJL131" s="6"/>
      <c r="EJM131" s="6"/>
      <c r="EJN131" s="6"/>
      <c r="EJO131" s="6"/>
      <c r="EJP131" s="6"/>
      <c r="EJQ131" s="6"/>
      <c r="EJR131" s="6"/>
      <c r="EJS131" s="6"/>
      <c r="EJT131" s="6"/>
      <c r="EJU131" s="6"/>
      <c r="EJV131" s="6"/>
      <c r="EJW131" s="6"/>
      <c r="EJX131" s="6"/>
      <c r="EJY131" s="6"/>
      <c r="EJZ131" s="6"/>
      <c r="EKA131" s="6"/>
      <c r="EKB131" s="6"/>
      <c r="EKC131" s="6"/>
      <c r="EKD131" s="6"/>
      <c r="EKE131" s="6"/>
      <c r="EKF131" s="6"/>
      <c r="EKG131" s="6"/>
      <c r="EKH131" s="6"/>
      <c r="EKI131" s="6"/>
      <c r="EKJ131" s="6"/>
      <c r="EKK131" s="6"/>
      <c r="EKL131" s="6"/>
      <c r="EKM131" s="6"/>
      <c r="EKN131" s="6"/>
      <c r="EKO131" s="6"/>
      <c r="EKP131" s="6"/>
      <c r="EKQ131" s="6"/>
      <c r="EKR131" s="6"/>
      <c r="EKS131" s="6"/>
      <c r="EKT131" s="6"/>
      <c r="EKU131" s="6"/>
      <c r="EKV131" s="6"/>
      <c r="EKW131" s="6"/>
      <c r="EKX131" s="6"/>
      <c r="EKY131" s="6"/>
      <c r="EKZ131" s="6"/>
      <c r="ELA131" s="6"/>
      <c r="ELB131" s="6"/>
      <c r="ELC131" s="6"/>
      <c r="ELD131" s="6"/>
      <c r="ELE131" s="6"/>
      <c r="ELF131" s="6"/>
      <c r="ELG131" s="6"/>
      <c r="ELH131" s="6"/>
      <c r="ELI131" s="6"/>
      <c r="ELJ131" s="6"/>
      <c r="ELK131" s="6"/>
      <c r="ELL131" s="6"/>
      <c r="ELM131" s="6"/>
      <c r="ELN131" s="6"/>
      <c r="ELO131" s="6"/>
      <c r="ELP131" s="6"/>
      <c r="ELQ131" s="6"/>
      <c r="ELR131" s="6"/>
      <c r="ELS131" s="6"/>
      <c r="ELT131" s="6"/>
      <c r="ELU131" s="6"/>
      <c r="ELV131" s="6"/>
      <c r="ELW131" s="6"/>
      <c r="ELX131" s="6"/>
      <c r="ELY131" s="6"/>
      <c r="ELZ131" s="6"/>
      <c r="EMA131" s="6"/>
      <c r="EMB131" s="6"/>
      <c r="EMC131" s="6"/>
      <c r="EMD131" s="6"/>
      <c r="EME131" s="6"/>
      <c r="EMF131" s="6"/>
      <c r="EMG131" s="6"/>
      <c r="EMH131" s="6"/>
      <c r="EMI131" s="6"/>
      <c r="EMJ131" s="6"/>
      <c r="EMK131" s="6"/>
      <c r="EML131" s="6"/>
      <c r="EMM131" s="6"/>
      <c r="EMN131" s="6"/>
      <c r="EMO131" s="6"/>
      <c r="EMP131" s="6"/>
      <c r="EMQ131" s="6"/>
      <c r="EMR131" s="6"/>
      <c r="EMS131" s="6"/>
      <c r="EMT131" s="6"/>
      <c r="EMU131" s="6"/>
      <c r="EMV131" s="6"/>
      <c r="EMW131" s="6"/>
      <c r="EMX131" s="6"/>
      <c r="EMY131" s="6"/>
      <c r="EMZ131" s="6"/>
      <c r="ENA131" s="6"/>
      <c r="ENB131" s="6"/>
      <c r="ENC131" s="6"/>
      <c r="END131" s="6"/>
      <c r="ENE131" s="6"/>
      <c r="ENF131" s="6"/>
      <c r="ENG131" s="6"/>
      <c r="ENH131" s="6"/>
      <c r="ENI131" s="6"/>
      <c r="ENJ131" s="6"/>
      <c r="ENK131" s="6"/>
      <c r="ENL131" s="6"/>
      <c r="ENM131" s="6"/>
      <c r="ENN131" s="6"/>
      <c r="ENO131" s="6"/>
      <c r="ENP131" s="6"/>
      <c r="ENQ131" s="6"/>
      <c r="ENR131" s="6"/>
      <c r="ENS131" s="6"/>
      <c r="ENT131" s="6"/>
      <c r="ENU131" s="6"/>
      <c r="ENV131" s="6"/>
      <c r="ENW131" s="6"/>
      <c r="ENX131" s="6"/>
      <c r="ENY131" s="6"/>
      <c r="ENZ131" s="6"/>
      <c r="EOA131" s="6"/>
      <c r="EOB131" s="6"/>
      <c r="EOC131" s="6"/>
      <c r="EOD131" s="6"/>
      <c r="EOE131" s="6"/>
      <c r="EOF131" s="6"/>
      <c r="EOG131" s="6"/>
      <c r="EOH131" s="6"/>
      <c r="EOI131" s="6"/>
      <c r="EOJ131" s="6"/>
      <c r="EOK131" s="6"/>
      <c r="EOL131" s="6"/>
      <c r="EOM131" s="6"/>
      <c r="EON131" s="6"/>
      <c r="EOO131" s="6"/>
      <c r="EOP131" s="6"/>
      <c r="EOQ131" s="6"/>
      <c r="EOR131" s="6"/>
      <c r="EOS131" s="6"/>
      <c r="EOT131" s="6"/>
      <c r="EOU131" s="6"/>
      <c r="EOV131" s="6"/>
      <c r="EOW131" s="6"/>
      <c r="EOX131" s="6"/>
      <c r="EOY131" s="6"/>
      <c r="EOZ131" s="6"/>
      <c r="EPA131" s="6"/>
      <c r="EPB131" s="6"/>
      <c r="EPC131" s="6"/>
      <c r="EPD131" s="6"/>
      <c r="EPE131" s="6"/>
      <c r="EPF131" s="6"/>
      <c r="EPG131" s="6"/>
      <c r="EPH131" s="6"/>
      <c r="EPI131" s="6"/>
      <c r="EPJ131" s="6"/>
      <c r="EPK131" s="6"/>
      <c r="EPL131" s="6"/>
      <c r="EPM131" s="6"/>
      <c r="EPN131" s="6"/>
      <c r="EPO131" s="6"/>
      <c r="EPP131" s="6"/>
      <c r="EPQ131" s="6"/>
      <c r="EPR131" s="6"/>
      <c r="EPS131" s="6"/>
      <c r="EPT131" s="6"/>
      <c r="EPU131" s="6"/>
      <c r="EPV131" s="6"/>
      <c r="EPW131" s="6"/>
      <c r="EPX131" s="6"/>
      <c r="EPY131" s="6"/>
      <c r="EPZ131" s="6"/>
      <c r="EQA131" s="6"/>
      <c r="EQB131" s="6"/>
      <c r="EQC131" s="6"/>
      <c r="EQD131" s="6"/>
      <c r="EQE131" s="6"/>
      <c r="EQF131" s="6"/>
      <c r="EQG131" s="6"/>
      <c r="EQH131" s="6"/>
      <c r="EQI131" s="6"/>
      <c r="EQJ131" s="6"/>
      <c r="EQK131" s="6"/>
      <c r="EQL131" s="6"/>
      <c r="EQM131" s="6"/>
      <c r="EQN131" s="6"/>
      <c r="EQO131" s="6"/>
      <c r="EQP131" s="6"/>
      <c r="EQQ131" s="6"/>
      <c r="EQR131" s="6"/>
      <c r="EQS131" s="6"/>
      <c r="EQT131" s="6"/>
      <c r="EQU131" s="6"/>
      <c r="EQV131" s="6"/>
      <c r="EQW131" s="6"/>
      <c r="EQX131" s="6"/>
      <c r="EQY131" s="6"/>
      <c r="EQZ131" s="6"/>
      <c r="ERA131" s="6"/>
      <c r="ERB131" s="6"/>
      <c r="ERC131" s="6"/>
      <c r="ERD131" s="6"/>
      <c r="ERE131" s="6"/>
      <c r="ERF131" s="6"/>
      <c r="ERG131" s="6"/>
      <c r="ERH131" s="6"/>
      <c r="ERI131" s="6"/>
      <c r="ERJ131" s="6"/>
      <c r="ERK131" s="6"/>
      <c r="ERL131" s="6"/>
      <c r="ERM131" s="6"/>
      <c r="ERN131" s="6"/>
      <c r="ERO131" s="6"/>
      <c r="ERP131" s="6"/>
      <c r="ERQ131" s="6"/>
      <c r="ERR131" s="6"/>
      <c r="ERS131" s="6"/>
      <c r="ERT131" s="6"/>
      <c r="ERU131" s="6"/>
      <c r="ERV131" s="6"/>
      <c r="ERW131" s="6"/>
      <c r="ERX131" s="6"/>
      <c r="ERY131" s="6"/>
      <c r="ERZ131" s="6"/>
      <c r="ESA131" s="6"/>
      <c r="ESB131" s="6"/>
      <c r="ESC131" s="6"/>
      <c r="ESD131" s="6"/>
      <c r="ESE131" s="6"/>
      <c r="ESF131" s="6"/>
      <c r="ESG131" s="6"/>
      <c r="ESH131" s="6"/>
      <c r="ESI131" s="6"/>
      <c r="ESJ131" s="6"/>
      <c r="ESK131" s="6"/>
      <c r="ESL131" s="6"/>
      <c r="ESM131" s="6"/>
      <c r="ESN131" s="6"/>
      <c r="ESO131" s="6"/>
      <c r="ESP131" s="6"/>
      <c r="ESQ131" s="6"/>
      <c r="ESR131" s="6"/>
      <c r="ESS131" s="6"/>
      <c r="EST131" s="6"/>
      <c r="ESU131" s="6"/>
      <c r="ESV131" s="6"/>
      <c r="ESW131" s="6"/>
      <c r="ESX131" s="6"/>
      <c r="ESY131" s="6"/>
      <c r="ESZ131" s="6"/>
      <c r="ETA131" s="6"/>
      <c r="ETB131" s="6"/>
      <c r="ETC131" s="6"/>
      <c r="ETD131" s="6"/>
      <c r="ETE131" s="6"/>
      <c r="ETF131" s="6"/>
      <c r="ETG131" s="6"/>
      <c r="ETH131" s="6"/>
      <c r="ETI131" s="6"/>
      <c r="ETJ131" s="6"/>
      <c r="ETK131" s="6"/>
      <c r="ETL131" s="6"/>
      <c r="ETM131" s="6"/>
      <c r="ETN131" s="6"/>
      <c r="ETO131" s="6"/>
      <c r="ETP131" s="6"/>
      <c r="ETQ131" s="6"/>
      <c r="ETR131" s="6"/>
      <c r="ETS131" s="6"/>
      <c r="ETT131" s="6"/>
      <c r="ETU131" s="6"/>
      <c r="ETV131" s="6"/>
      <c r="ETW131" s="6"/>
      <c r="ETX131" s="6"/>
      <c r="ETY131" s="6"/>
      <c r="ETZ131" s="6"/>
      <c r="EUA131" s="6"/>
      <c r="EUB131" s="6"/>
      <c r="EUC131" s="6"/>
      <c r="EUD131" s="6"/>
      <c r="EUE131" s="6"/>
      <c r="EUF131" s="6"/>
      <c r="EUG131" s="6"/>
      <c r="EUH131" s="6"/>
      <c r="EUI131" s="6"/>
      <c r="EUJ131" s="6"/>
      <c r="EUK131" s="6"/>
      <c r="EUL131" s="6"/>
      <c r="EUM131" s="6"/>
      <c r="EUN131" s="6"/>
      <c r="EUO131" s="6"/>
      <c r="EUP131" s="6"/>
      <c r="EUQ131" s="6"/>
      <c r="EUR131" s="6"/>
      <c r="EUS131" s="6"/>
      <c r="EUT131" s="6"/>
      <c r="EUU131" s="6"/>
      <c r="EUV131" s="6"/>
      <c r="EUW131" s="6"/>
      <c r="EUX131" s="6"/>
      <c r="EUY131" s="6"/>
      <c r="EUZ131" s="6"/>
      <c r="EVA131" s="6"/>
      <c r="EVB131" s="6"/>
      <c r="EVC131" s="6"/>
      <c r="EVD131" s="6"/>
      <c r="EVE131" s="6"/>
      <c r="EVF131" s="6"/>
      <c r="EVG131" s="6"/>
      <c r="EVH131" s="6"/>
      <c r="EVI131" s="6"/>
      <c r="EVJ131" s="6"/>
      <c r="EVK131" s="6"/>
      <c r="EVL131" s="6"/>
      <c r="EVM131" s="6"/>
      <c r="EVN131" s="6"/>
      <c r="EVO131" s="6"/>
      <c r="EVP131" s="6"/>
      <c r="EVQ131" s="6"/>
      <c r="EVR131" s="6"/>
      <c r="EVS131" s="6"/>
      <c r="EVT131" s="6"/>
      <c r="EVU131" s="6"/>
      <c r="EVV131" s="6"/>
      <c r="EVW131" s="6"/>
      <c r="EVX131" s="6"/>
      <c r="EVY131" s="6"/>
      <c r="EVZ131" s="6"/>
      <c r="EWA131" s="6"/>
      <c r="EWB131" s="6"/>
      <c r="EWC131" s="6"/>
      <c r="EWD131" s="6"/>
      <c r="EWE131" s="6"/>
      <c r="EWF131" s="6"/>
      <c r="EWG131" s="6"/>
      <c r="EWH131" s="6"/>
      <c r="EWI131" s="6"/>
      <c r="EWJ131" s="6"/>
      <c r="EWK131" s="6"/>
      <c r="EWL131" s="6"/>
      <c r="EWM131" s="6"/>
      <c r="EWN131" s="6"/>
      <c r="EWO131" s="6"/>
      <c r="EWP131" s="6"/>
      <c r="EWQ131" s="6"/>
      <c r="EWR131" s="6"/>
      <c r="EWS131" s="6"/>
      <c r="EWT131" s="6"/>
      <c r="EWU131" s="6"/>
      <c r="EWV131" s="6"/>
      <c r="EWW131" s="6"/>
      <c r="EWX131" s="6"/>
      <c r="EWY131" s="6"/>
      <c r="EWZ131" s="6"/>
      <c r="EXA131" s="6"/>
      <c r="EXB131" s="6"/>
      <c r="EXC131" s="6"/>
      <c r="EXD131" s="6"/>
      <c r="EXE131" s="6"/>
      <c r="EXF131" s="6"/>
      <c r="EXG131" s="6"/>
      <c r="EXH131" s="6"/>
      <c r="EXI131" s="6"/>
      <c r="EXJ131" s="6"/>
      <c r="EXK131" s="6"/>
      <c r="EXL131" s="6"/>
      <c r="EXM131" s="6"/>
      <c r="EXN131" s="6"/>
      <c r="EXO131" s="6"/>
      <c r="EXP131" s="6"/>
      <c r="EXQ131" s="6"/>
      <c r="EXR131" s="6"/>
      <c r="EXS131" s="6"/>
      <c r="EXT131" s="6"/>
      <c r="EXU131" s="6"/>
      <c r="EXV131" s="6"/>
      <c r="EXW131" s="6"/>
      <c r="EXX131" s="6"/>
      <c r="EXY131" s="6"/>
      <c r="EXZ131" s="6"/>
      <c r="EYA131" s="6"/>
      <c r="EYB131" s="6"/>
      <c r="EYC131" s="6"/>
      <c r="EYD131" s="6"/>
      <c r="EYE131" s="6"/>
      <c r="EYF131" s="6"/>
      <c r="EYG131" s="6"/>
      <c r="EYH131" s="6"/>
      <c r="EYI131" s="6"/>
      <c r="EYJ131" s="6"/>
      <c r="EYK131" s="6"/>
      <c r="EYL131" s="6"/>
      <c r="EYM131" s="6"/>
      <c r="EYN131" s="6"/>
      <c r="EYO131" s="6"/>
      <c r="EYP131" s="6"/>
      <c r="EYQ131" s="6"/>
      <c r="EYR131" s="6"/>
      <c r="EYS131" s="6"/>
      <c r="EYT131" s="6"/>
      <c r="EYU131" s="6"/>
      <c r="EYV131" s="6"/>
      <c r="EYW131" s="6"/>
      <c r="EYX131" s="6"/>
      <c r="EYY131" s="6"/>
      <c r="EYZ131" s="6"/>
      <c r="EZA131" s="6"/>
      <c r="EZB131" s="6"/>
      <c r="EZC131" s="6"/>
      <c r="EZD131" s="6"/>
      <c r="EZE131" s="6"/>
      <c r="EZF131" s="6"/>
      <c r="EZG131" s="6"/>
      <c r="EZH131" s="6"/>
      <c r="EZI131" s="6"/>
      <c r="EZJ131" s="6"/>
      <c r="EZK131" s="6"/>
      <c r="EZL131" s="6"/>
      <c r="EZM131" s="6"/>
      <c r="EZN131" s="6"/>
      <c r="EZO131" s="6"/>
      <c r="EZP131" s="6"/>
      <c r="EZQ131" s="6"/>
      <c r="EZR131" s="6"/>
      <c r="EZS131" s="6"/>
      <c r="EZT131" s="6"/>
      <c r="EZU131" s="6"/>
      <c r="EZV131" s="6"/>
      <c r="EZW131" s="6"/>
      <c r="EZX131" s="6"/>
      <c r="EZY131" s="6"/>
      <c r="EZZ131" s="6"/>
      <c r="FAA131" s="6"/>
      <c r="FAB131" s="6"/>
      <c r="FAC131" s="6"/>
      <c r="FAD131" s="6"/>
      <c r="FAE131" s="6"/>
      <c r="FAF131" s="6"/>
      <c r="FAG131" s="6"/>
      <c r="FAH131" s="6"/>
      <c r="FAI131" s="6"/>
      <c r="FAJ131" s="6"/>
      <c r="FAK131" s="6"/>
      <c r="FAL131" s="6"/>
      <c r="FAM131" s="6"/>
      <c r="FAN131" s="6"/>
      <c r="FAO131" s="6"/>
      <c r="FAP131" s="6"/>
      <c r="FAQ131" s="6"/>
      <c r="FAR131" s="6"/>
      <c r="FAS131" s="6"/>
      <c r="FAT131" s="6"/>
      <c r="FAU131" s="6"/>
      <c r="FAV131" s="6"/>
      <c r="FAW131" s="6"/>
      <c r="FAX131" s="6"/>
      <c r="FAY131" s="6"/>
      <c r="FAZ131" s="6"/>
      <c r="FBA131" s="6"/>
      <c r="FBB131" s="6"/>
      <c r="FBC131" s="6"/>
      <c r="FBD131" s="6"/>
      <c r="FBE131" s="6"/>
      <c r="FBF131" s="6"/>
      <c r="FBG131" s="6"/>
      <c r="FBH131" s="6"/>
      <c r="FBI131" s="6"/>
      <c r="FBJ131" s="6"/>
      <c r="FBK131" s="6"/>
      <c r="FBL131" s="6"/>
      <c r="FBM131" s="6"/>
      <c r="FBN131" s="6"/>
      <c r="FBO131" s="6"/>
      <c r="FBP131" s="6"/>
      <c r="FBQ131" s="6"/>
      <c r="FBR131" s="6"/>
      <c r="FBS131" s="6"/>
      <c r="FBT131" s="6"/>
      <c r="FBU131" s="6"/>
      <c r="FBV131" s="6"/>
      <c r="FBW131" s="6"/>
      <c r="FBX131" s="6"/>
      <c r="FBY131" s="6"/>
      <c r="FBZ131" s="6"/>
      <c r="FCA131" s="6"/>
      <c r="FCB131" s="6"/>
      <c r="FCC131" s="6"/>
      <c r="FCD131" s="6"/>
      <c r="FCE131" s="6"/>
      <c r="FCF131" s="6"/>
      <c r="FCG131" s="6"/>
      <c r="FCH131" s="6"/>
      <c r="FCI131" s="6"/>
      <c r="FCJ131" s="6"/>
      <c r="FCK131" s="6"/>
      <c r="FCL131" s="6"/>
      <c r="FCM131" s="6"/>
      <c r="FCN131" s="6"/>
      <c r="FCO131" s="6"/>
      <c r="FCP131" s="6"/>
      <c r="FCQ131" s="6"/>
      <c r="FCR131" s="6"/>
      <c r="FCS131" s="6"/>
      <c r="FCT131" s="6"/>
      <c r="FCU131" s="6"/>
      <c r="FCV131" s="6"/>
      <c r="FCW131" s="6"/>
      <c r="FCX131" s="6"/>
      <c r="FCY131" s="6"/>
      <c r="FCZ131" s="6"/>
      <c r="FDA131" s="6"/>
      <c r="FDB131" s="6"/>
      <c r="FDC131" s="6"/>
      <c r="FDD131" s="6"/>
      <c r="FDE131" s="6"/>
      <c r="FDF131" s="6"/>
      <c r="FDG131" s="6"/>
      <c r="FDH131" s="6"/>
      <c r="FDI131" s="6"/>
      <c r="FDJ131" s="6"/>
      <c r="FDK131" s="6"/>
      <c r="FDL131" s="6"/>
      <c r="FDM131" s="6"/>
      <c r="FDN131" s="6"/>
      <c r="FDO131" s="6"/>
      <c r="FDP131" s="6"/>
      <c r="FDQ131" s="6"/>
      <c r="FDR131" s="6"/>
      <c r="FDS131" s="6"/>
      <c r="FDT131" s="6"/>
      <c r="FDU131" s="6"/>
      <c r="FDV131" s="6"/>
      <c r="FDW131" s="6"/>
      <c r="FDX131" s="6"/>
      <c r="FDY131" s="6"/>
      <c r="FDZ131" s="6"/>
      <c r="FEA131" s="6"/>
      <c r="FEB131" s="6"/>
      <c r="FEC131" s="6"/>
      <c r="FED131" s="6"/>
      <c r="FEE131" s="6"/>
      <c r="FEF131" s="6"/>
      <c r="FEG131" s="6"/>
      <c r="FEH131" s="6"/>
      <c r="FEI131" s="6"/>
      <c r="FEJ131" s="6"/>
      <c r="FEK131" s="6"/>
      <c r="FEL131" s="6"/>
      <c r="FEM131" s="6"/>
      <c r="FEN131" s="6"/>
      <c r="FEO131" s="6"/>
      <c r="FEP131" s="6"/>
      <c r="FEQ131" s="6"/>
      <c r="FER131" s="6"/>
      <c r="FES131" s="6"/>
      <c r="FET131" s="6"/>
      <c r="FEU131" s="6"/>
      <c r="FEV131" s="6"/>
      <c r="FEW131" s="6"/>
      <c r="FEX131" s="6"/>
      <c r="FEY131" s="6"/>
      <c r="FEZ131" s="6"/>
      <c r="FFA131" s="6"/>
      <c r="FFB131" s="6"/>
      <c r="FFC131" s="6"/>
      <c r="FFD131" s="6"/>
      <c r="FFE131" s="6"/>
      <c r="FFF131" s="6"/>
      <c r="FFG131" s="6"/>
      <c r="FFH131" s="6"/>
      <c r="FFI131" s="6"/>
      <c r="FFJ131" s="6"/>
      <c r="FFK131" s="6"/>
      <c r="FFL131" s="6"/>
      <c r="FFM131" s="6"/>
      <c r="FFN131" s="6"/>
      <c r="FFO131" s="6"/>
      <c r="FFP131" s="6"/>
      <c r="FFQ131" s="6"/>
      <c r="FFR131" s="6"/>
      <c r="FFS131" s="6"/>
      <c r="FFT131" s="6"/>
      <c r="FFU131" s="6"/>
      <c r="FFV131" s="6"/>
      <c r="FFW131" s="6"/>
      <c r="FFX131" s="6"/>
      <c r="FFY131" s="6"/>
      <c r="FFZ131" s="6"/>
      <c r="FGA131" s="6"/>
      <c r="FGB131" s="6"/>
      <c r="FGC131" s="6"/>
      <c r="FGD131" s="6"/>
      <c r="FGE131" s="6"/>
      <c r="FGF131" s="6"/>
      <c r="FGG131" s="6"/>
      <c r="FGH131" s="6"/>
      <c r="FGI131" s="6"/>
      <c r="FGJ131" s="6"/>
      <c r="FGK131" s="6"/>
      <c r="FGL131" s="6"/>
      <c r="FGM131" s="6"/>
      <c r="FGN131" s="6"/>
      <c r="FGO131" s="6"/>
      <c r="FGP131" s="6"/>
      <c r="FGQ131" s="6"/>
      <c r="FGR131" s="6"/>
      <c r="FGS131" s="6"/>
      <c r="FGT131" s="6"/>
      <c r="FGU131" s="6"/>
      <c r="FGV131" s="6"/>
      <c r="FGW131" s="6"/>
      <c r="FGX131" s="6"/>
      <c r="FGY131" s="6"/>
      <c r="FGZ131" s="6"/>
      <c r="FHA131" s="6"/>
      <c r="FHB131" s="6"/>
      <c r="FHC131" s="6"/>
      <c r="FHD131" s="6"/>
      <c r="FHE131" s="6"/>
      <c r="FHF131" s="6"/>
      <c r="FHG131" s="6"/>
      <c r="FHH131" s="6"/>
      <c r="FHI131" s="6"/>
      <c r="FHJ131" s="6"/>
      <c r="FHK131" s="6"/>
      <c r="FHL131" s="6"/>
      <c r="FHM131" s="6"/>
      <c r="FHN131" s="6"/>
      <c r="FHO131" s="6"/>
      <c r="FHP131" s="6"/>
      <c r="FHQ131" s="6"/>
      <c r="FHR131" s="6"/>
      <c r="FHS131" s="6"/>
      <c r="FHT131" s="6"/>
      <c r="FHU131" s="6"/>
      <c r="FHV131" s="6"/>
      <c r="FHW131" s="6"/>
      <c r="FHX131" s="6"/>
      <c r="FHY131" s="6"/>
      <c r="FHZ131" s="6"/>
      <c r="FIA131" s="6"/>
      <c r="FIB131" s="6"/>
      <c r="FIC131" s="6"/>
      <c r="FID131" s="6"/>
      <c r="FIE131" s="6"/>
      <c r="FIF131" s="6"/>
      <c r="FIG131" s="6"/>
      <c r="FIH131" s="6"/>
      <c r="FII131" s="6"/>
      <c r="FIJ131" s="6"/>
      <c r="FIK131" s="6"/>
      <c r="FIL131" s="6"/>
      <c r="FIM131" s="6"/>
      <c r="FIN131" s="6"/>
      <c r="FIO131" s="6"/>
      <c r="FIP131" s="6"/>
      <c r="FIQ131" s="6"/>
      <c r="FIR131" s="6"/>
      <c r="FIS131" s="6"/>
      <c r="FIT131" s="6"/>
      <c r="FIU131" s="6"/>
      <c r="FIV131" s="6"/>
      <c r="FIW131" s="6"/>
      <c r="FIX131" s="6"/>
      <c r="FIY131" s="6"/>
      <c r="FIZ131" s="6"/>
      <c r="FJA131" s="6"/>
      <c r="FJB131" s="6"/>
      <c r="FJC131" s="6"/>
      <c r="FJD131" s="6"/>
      <c r="FJE131" s="6"/>
      <c r="FJF131" s="6"/>
      <c r="FJG131" s="6"/>
      <c r="FJH131" s="6"/>
      <c r="FJI131" s="6"/>
      <c r="FJJ131" s="6"/>
      <c r="FJK131" s="6"/>
      <c r="FJL131" s="6"/>
      <c r="FJM131" s="6"/>
      <c r="FJN131" s="6"/>
      <c r="FJO131" s="6"/>
      <c r="FJP131" s="6"/>
      <c r="FJQ131" s="6"/>
      <c r="FJR131" s="6"/>
      <c r="FJS131" s="6"/>
      <c r="FJT131" s="6"/>
      <c r="FJU131" s="6"/>
      <c r="FJV131" s="6"/>
      <c r="FJW131" s="6"/>
      <c r="FJX131" s="6"/>
      <c r="FJY131" s="6"/>
      <c r="FJZ131" s="6"/>
      <c r="FKA131" s="6"/>
      <c r="FKB131" s="6"/>
      <c r="FKC131" s="6"/>
      <c r="FKD131" s="6"/>
      <c r="FKE131" s="6"/>
      <c r="FKF131" s="6"/>
      <c r="FKG131" s="6"/>
      <c r="FKH131" s="6"/>
      <c r="FKI131" s="6"/>
      <c r="FKJ131" s="6"/>
      <c r="FKK131" s="6"/>
      <c r="FKL131" s="6"/>
      <c r="FKM131" s="6"/>
      <c r="FKN131" s="6"/>
      <c r="FKO131" s="6"/>
      <c r="FKP131" s="6"/>
      <c r="FKQ131" s="6"/>
      <c r="FKR131" s="6"/>
      <c r="FKS131" s="6"/>
      <c r="FKT131" s="6"/>
      <c r="FKU131" s="6"/>
      <c r="FKV131" s="6"/>
      <c r="FKW131" s="6"/>
      <c r="FKX131" s="6"/>
      <c r="FKY131" s="6"/>
      <c r="FKZ131" s="6"/>
      <c r="FLA131" s="6"/>
      <c r="FLB131" s="6"/>
      <c r="FLC131" s="6"/>
      <c r="FLD131" s="6"/>
      <c r="FLE131" s="6"/>
      <c r="FLF131" s="6"/>
      <c r="FLG131" s="6"/>
      <c r="FLH131" s="6"/>
      <c r="FLI131" s="6"/>
      <c r="FLJ131" s="6"/>
      <c r="FLK131" s="6"/>
      <c r="FLL131" s="6"/>
      <c r="FLM131" s="6"/>
      <c r="FLN131" s="6"/>
      <c r="FLO131" s="6"/>
      <c r="FLP131" s="6"/>
      <c r="FLQ131" s="6"/>
      <c r="FLR131" s="6"/>
      <c r="FLS131" s="6"/>
      <c r="FLT131" s="6"/>
      <c r="FLU131" s="6"/>
      <c r="FLV131" s="6"/>
      <c r="FLW131" s="6"/>
      <c r="FLX131" s="6"/>
      <c r="FLY131" s="6"/>
      <c r="FLZ131" s="6"/>
      <c r="FMA131" s="6"/>
      <c r="FMB131" s="6"/>
      <c r="FMC131" s="6"/>
      <c r="FMD131" s="6"/>
      <c r="FME131" s="6"/>
      <c r="FMF131" s="6"/>
      <c r="FMG131" s="6"/>
      <c r="FMH131" s="6"/>
      <c r="FMI131" s="6"/>
      <c r="FMJ131" s="6"/>
      <c r="FMK131" s="6"/>
      <c r="FML131" s="6"/>
      <c r="FMM131" s="6"/>
      <c r="FMN131" s="6"/>
      <c r="FMO131" s="6"/>
      <c r="FMP131" s="6"/>
      <c r="FMQ131" s="6"/>
      <c r="FMR131" s="6"/>
      <c r="FMS131" s="6"/>
      <c r="FMT131" s="6"/>
      <c r="FMU131" s="6"/>
      <c r="FMV131" s="6"/>
      <c r="FMW131" s="6"/>
      <c r="FMX131" s="6"/>
      <c r="FMY131" s="6"/>
      <c r="FMZ131" s="6"/>
      <c r="FNA131" s="6"/>
      <c r="FNB131" s="6"/>
      <c r="FNC131" s="6"/>
      <c r="FND131" s="6"/>
      <c r="FNE131" s="6"/>
      <c r="FNF131" s="6"/>
      <c r="FNG131" s="6"/>
      <c r="FNH131" s="6"/>
      <c r="FNI131" s="6"/>
      <c r="FNJ131" s="6"/>
      <c r="FNK131" s="6"/>
      <c r="FNL131" s="6"/>
      <c r="FNM131" s="6"/>
      <c r="FNN131" s="6"/>
      <c r="FNO131" s="6"/>
      <c r="FNP131" s="6"/>
      <c r="FNQ131" s="6"/>
      <c r="FNR131" s="6"/>
      <c r="FNS131" s="6"/>
      <c r="FNT131" s="6"/>
      <c r="FNU131" s="6"/>
      <c r="FNV131" s="6"/>
      <c r="FNW131" s="6"/>
      <c r="FNX131" s="6"/>
      <c r="FNY131" s="6"/>
      <c r="FNZ131" s="6"/>
      <c r="FOA131" s="6"/>
      <c r="FOB131" s="6"/>
      <c r="FOC131" s="6"/>
      <c r="FOD131" s="6"/>
      <c r="FOE131" s="6"/>
      <c r="FOF131" s="6"/>
      <c r="FOG131" s="6"/>
      <c r="FOH131" s="6"/>
      <c r="FOI131" s="6"/>
      <c r="FOJ131" s="6"/>
      <c r="FOK131" s="6"/>
      <c r="FOL131" s="6"/>
      <c r="FOM131" s="6"/>
      <c r="FON131" s="6"/>
      <c r="FOO131" s="6"/>
      <c r="FOP131" s="6"/>
      <c r="FOQ131" s="6"/>
      <c r="FOR131" s="6"/>
      <c r="FOS131" s="6"/>
      <c r="FOT131" s="6"/>
      <c r="FOU131" s="6"/>
      <c r="FOV131" s="6"/>
      <c r="FOW131" s="6"/>
      <c r="FOX131" s="6"/>
      <c r="FOY131" s="6"/>
      <c r="FOZ131" s="6"/>
      <c r="FPA131" s="6"/>
      <c r="FPB131" s="6"/>
      <c r="FPC131" s="6"/>
      <c r="FPD131" s="6"/>
      <c r="FPE131" s="6"/>
      <c r="FPF131" s="6"/>
      <c r="FPG131" s="6"/>
      <c r="FPH131" s="6"/>
      <c r="FPI131" s="6"/>
      <c r="FPJ131" s="6"/>
      <c r="FPK131" s="6"/>
      <c r="FPL131" s="6"/>
      <c r="FPM131" s="6"/>
      <c r="FPN131" s="6"/>
      <c r="FPO131" s="6"/>
      <c r="FPP131" s="6"/>
      <c r="FPQ131" s="6"/>
      <c r="FPR131" s="6"/>
      <c r="FPS131" s="6"/>
      <c r="FPT131" s="6"/>
      <c r="FPU131" s="6"/>
      <c r="FPV131" s="6"/>
      <c r="FPW131" s="6"/>
      <c r="FPX131" s="6"/>
      <c r="FPY131" s="6"/>
      <c r="FPZ131" s="6"/>
      <c r="FQA131" s="6"/>
      <c r="FQB131" s="6"/>
      <c r="FQC131" s="6"/>
      <c r="FQD131" s="6"/>
      <c r="FQE131" s="6"/>
      <c r="FQF131" s="6"/>
      <c r="FQG131" s="6"/>
      <c r="FQH131" s="6"/>
      <c r="FQI131" s="6"/>
      <c r="FQJ131" s="6"/>
      <c r="FQK131" s="6"/>
      <c r="FQL131" s="6"/>
      <c r="FQM131" s="6"/>
      <c r="FQN131" s="6"/>
      <c r="FQO131" s="6"/>
      <c r="FQP131" s="6"/>
      <c r="FQQ131" s="6"/>
      <c r="FQR131" s="6"/>
      <c r="FQS131" s="6"/>
      <c r="FQT131" s="6"/>
      <c r="FQU131" s="6"/>
      <c r="FQV131" s="6"/>
      <c r="FQW131" s="6"/>
      <c r="FQX131" s="6"/>
      <c r="FQY131" s="6"/>
      <c r="FQZ131" s="6"/>
      <c r="FRA131" s="6"/>
      <c r="FRB131" s="6"/>
      <c r="FRC131" s="6"/>
      <c r="FRD131" s="6"/>
      <c r="FRE131" s="6"/>
      <c r="FRF131" s="6"/>
      <c r="FRG131" s="6"/>
      <c r="FRH131" s="6"/>
      <c r="FRI131" s="6"/>
      <c r="FRJ131" s="6"/>
      <c r="FRK131" s="6"/>
      <c r="FRL131" s="6"/>
      <c r="FRM131" s="6"/>
      <c r="FRN131" s="6"/>
      <c r="FRO131" s="6"/>
      <c r="FRP131" s="6"/>
      <c r="FRQ131" s="6"/>
      <c r="FRR131" s="6"/>
      <c r="FRS131" s="6"/>
      <c r="FRT131" s="6"/>
      <c r="FRU131" s="6"/>
      <c r="FRV131" s="6"/>
      <c r="FRW131" s="6"/>
      <c r="FRX131" s="6"/>
      <c r="FRY131" s="6"/>
      <c r="FRZ131" s="6"/>
      <c r="FSA131" s="6"/>
      <c r="FSB131" s="6"/>
      <c r="FSC131" s="6"/>
      <c r="FSD131" s="6"/>
      <c r="FSE131" s="6"/>
      <c r="FSF131" s="6"/>
      <c r="FSG131" s="6"/>
      <c r="FSH131" s="6"/>
      <c r="FSI131" s="6"/>
      <c r="FSJ131" s="6"/>
      <c r="FSK131" s="6"/>
      <c r="FSL131" s="6"/>
      <c r="FSM131" s="6"/>
      <c r="FSN131" s="6"/>
      <c r="FSO131" s="6"/>
      <c r="FSP131" s="6"/>
      <c r="FSQ131" s="6"/>
      <c r="FSR131" s="6"/>
      <c r="FSS131" s="6"/>
      <c r="FST131" s="6"/>
      <c r="FSU131" s="6"/>
      <c r="FSV131" s="6"/>
      <c r="FSW131" s="6"/>
      <c r="FSX131" s="6"/>
      <c r="FSY131" s="6"/>
      <c r="FSZ131" s="6"/>
      <c r="FTA131" s="6"/>
      <c r="FTB131" s="6"/>
      <c r="FTC131" s="6"/>
      <c r="FTD131" s="6"/>
      <c r="FTE131" s="6"/>
      <c r="FTF131" s="6"/>
      <c r="FTG131" s="6"/>
      <c r="FTH131" s="6"/>
      <c r="FTI131" s="6"/>
      <c r="FTJ131" s="6"/>
      <c r="FTK131" s="6"/>
      <c r="FTL131" s="6"/>
      <c r="FTM131" s="6"/>
      <c r="FTN131" s="6"/>
      <c r="FTO131" s="6"/>
      <c r="FTP131" s="6"/>
      <c r="FTQ131" s="6"/>
      <c r="FTR131" s="6"/>
      <c r="FTS131" s="6"/>
      <c r="FTT131" s="6"/>
      <c r="FTU131" s="6"/>
      <c r="FTV131" s="6"/>
      <c r="FTW131" s="6"/>
      <c r="FTX131" s="6"/>
      <c r="FTY131" s="6"/>
      <c r="FTZ131" s="6"/>
      <c r="FUA131" s="6"/>
      <c r="FUB131" s="6"/>
      <c r="FUC131" s="6"/>
      <c r="FUD131" s="6"/>
      <c r="FUE131" s="6"/>
      <c r="FUF131" s="6"/>
      <c r="FUG131" s="6"/>
      <c r="FUH131" s="6"/>
      <c r="FUI131" s="6"/>
      <c r="FUJ131" s="6"/>
      <c r="FUK131" s="6"/>
      <c r="FUL131" s="6"/>
      <c r="FUM131" s="6"/>
      <c r="FUN131" s="6"/>
      <c r="FUO131" s="6"/>
      <c r="FUP131" s="6"/>
      <c r="FUQ131" s="6"/>
      <c r="FUR131" s="6"/>
      <c r="FUS131" s="6"/>
      <c r="FUT131" s="6"/>
      <c r="FUU131" s="6"/>
      <c r="FUV131" s="6"/>
      <c r="FUW131" s="6"/>
      <c r="FUX131" s="6"/>
      <c r="FUY131" s="6"/>
      <c r="FUZ131" s="6"/>
      <c r="FVA131" s="6"/>
      <c r="FVB131" s="6"/>
      <c r="FVC131" s="6"/>
      <c r="FVD131" s="6"/>
      <c r="FVE131" s="6"/>
      <c r="FVF131" s="6"/>
      <c r="FVG131" s="6"/>
      <c r="FVH131" s="6"/>
      <c r="FVI131" s="6"/>
      <c r="FVJ131" s="6"/>
      <c r="FVK131" s="6"/>
      <c r="FVL131" s="6"/>
      <c r="FVM131" s="6"/>
      <c r="FVN131" s="6"/>
      <c r="FVO131" s="6"/>
      <c r="FVP131" s="6"/>
      <c r="FVQ131" s="6"/>
      <c r="FVR131" s="6"/>
      <c r="FVS131" s="6"/>
      <c r="FVT131" s="6"/>
      <c r="FVU131" s="6"/>
      <c r="FVV131" s="6"/>
      <c r="FVW131" s="6"/>
      <c r="FVX131" s="6"/>
      <c r="FVY131" s="6"/>
      <c r="FVZ131" s="6"/>
      <c r="FWA131" s="6"/>
      <c r="FWB131" s="6"/>
      <c r="FWC131" s="6"/>
      <c r="FWD131" s="6"/>
      <c r="FWE131" s="6"/>
      <c r="FWF131" s="6"/>
      <c r="FWG131" s="6"/>
      <c r="FWH131" s="6"/>
      <c r="FWI131" s="6"/>
      <c r="FWJ131" s="6"/>
      <c r="FWK131" s="6"/>
      <c r="FWL131" s="6"/>
      <c r="FWM131" s="6"/>
      <c r="FWN131" s="6"/>
      <c r="FWO131" s="6"/>
      <c r="FWP131" s="6"/>
      <c r="FWQ131" s="6"/>
      <c r="FWR131" s="6"/>
      <c r="FWS131" s="6"/>
      <c r="FWT131" s="6"/>
      <c r="FWU131" s="6"/>
      <c r="FWV131" s="6"/>
      <c r="FWW131" s="6"/>
      <c r="FWX131" s="6"/>
      <c r="FWY131" s="6"/>
      <c r="FWZ131" s="6"/>
      <c r="FXA131" s="6"/>
      <c r="FXB131" s="6"/>
      <c r="FXC131" s="6"/>
      <c r="FXD131" s="6"/>
      <c r="FXE131" s="6"/>
      <c r="FXF131" s="6"/>
      <c r="FXG131" s="6"/>
      <c r="FXH131" s="6"/>
      <c r="FXI131" s="6"/>
      <c r="FXJ131" s="6"/>
      <c r="FXK131" s="6"/>
      <c r="FXL131" s="6"/>
      <c r="FXM131" s="6"/>
      <c r="FXN131" s="6"/>
      <c r="FXO131" s="6"/>
      <c r="FXP131" s="6"/>
      <c r="FXQ131" s="6"/>
      <c r="FXR131" s="6"/>
      <c r="FXS131" s="6"/>
      <c r="FXT131" s="6"/>
      <c r="FXU131" s="6"/>
      <c r="FXV131" s="6"/>
      <c r="FXW131" s="6"/>
      <c r="FXX131" s="6"/>
      <c r="FXY131" s="6"/>
      <c r="FXZ131" s="6"/>
      <c r="FYA131" s="6"/>
      <c r="FYB131" s="6"/>
      <c r="FYC131" s="6"/>
      <c r="FYD131" s="6"/>
      <c r="FYE131" s="6"/>
      <c r="FYF131" s="6"/>
      <c r="FYG131" s="6"/>
      <c r="FYH131" s="6"/>
      <c r="FYI131" s="6"/>
      <c r="FYJ131" s="6"/>
      <c r="FYK131" s="6"/>
      <c r="FYL131" s="6"/>
      <c r="FYM131" s="6"/>
      <c r="FYN131" s="6"/>
      <c r="FYO131" s="6"/>
      <c r="FYP131" s="6"/>
      <c r="FYQ131" s="6"/>
      <c r="FYR131" s="6"/>
      <c r="FYS131" s="6"/>
      <c r="FYT131" s="6"/>
      <c r="FYU131" s="6"/>
      <c r="FYV131" s="6"/>
      <c r="FYW131" s="6"/>
      <c r="FYX131" s="6"/>
      <c r="FYY131" s="6"/>
      <c r="FYZ131" s="6"/>
      <c r="FZA131" s="6"/>
      <c r="FZB131" s="6"/>
      <c r="FZC131" s="6"/>
      <c r="FZD131" s="6"/>
      <c r="FZE131" s="6"/>
      <c r="FZF131" s="6"/>
      <c r="FZG131" s="6"/>
      <c r="FZH131" s="6"/>
      <c r="FZI131" s="6"/>
      <c r="FZJ131" s="6"/>
      <c r="FZK131" s="6"/>
      <c r="FZL131" s="6"/>
      <c r="FZM131" s="6"/>
      <c r="FZN131" s="6"/>
      <c r="FZO131" s="6"/>
      <c r="FZP131" s="6"/>
      <c r="FZQ131" s="6"/>
      <c r="FZR131" s="6"/>
      <c r="FZS131" s="6"/>
      <c r="FZT131" s="6"/>
      <c r="FZU131" s="6"/>
      <c r="FZV131" s="6"/>
      <c r="FZW131" s="6"/>
      <c r="FZX131" s="6"/>
      <c r="FZY131" s="6"/>
      <c r="FZZ131" s="6"/>
      <c r="GAA131" s="6"/>
      <c r="GAB131" s="6"/>
      <c r="GAC131" s="6"/>
      <c r="GAD131" s="6"/>
      <c r="GAE131" s="6"/>
      <c r="GAF131" s="6"/>
      <c r="GAG131" s="6"/>
      <c r="GAH131" s="6"/>
      <c r="GAI131" s="6"/>
      <c r="GAJ131" s="6"/>
      <c r="GAK131" s="6"/>
      <c r="GAL131" s="6"/>
      <c r="GAM131" s="6"/>
      <c r="GAN131" s="6"/>
      <c r="GAO131" s="6"/>
      <c r="GAP131" s="6"/>
      <c r="GAQ131" s="6"/>
      <c r="GAR131" s="6"/>
      <c r="GAS131" s="6"/>
      <c r="GAT131" s="6"/>
      <c r="GAU131" s="6"/>
      <c r="GAV131" s="6"/>
      <c r="GAW131" s="6"/>
      <c r="GAX131" s="6"/>
      <c r="GAY131" s="6"/>
      <c r="GAZ131" s="6"/>
      <c r="GBA131" s="6"/>
      <c r="GBB131" s="6"/>
      <c r="GBC131" s="6"/>
      <c r="GBD131" s="6"/>
      <c r="GBE131" s="6"/>
      <c r="GBF131" s="6"/>
      <c r="GBG131" s="6"/>
      <c r="GBH131" s="6"/>
      <c r="GBI131" s="6"/>
      <c r="GBJ131" s="6"/>
      <c r="GBK131" s="6"/>
      <c r="GBL131" s="6"/>
      <c r="GBM131" s="6"/>
      <c r="GBN131" s="6"/>
      <c r="GBO131" s="6"/>
      <c r="GBP131" s="6"/>
      <c r="GBQ131" s="6"/>
      <c r="GBR131" s="6"/>
      <c r="GBS131" s="6"/>
      <c r="GBT131" s="6"/>
      <c r="GBU131" s="6"/>
      <c r="GBV131" s="6"/>
      <c r="GBW131" s="6"/>
      <c r="GBX131" s="6"/>
      <c r="GBY131" s="6"/>
      <c r="GBZ131" s="6"/>
      <c r="GCA131" s="6"/>
      <c r="GCB131" s="6"/>
      <c r="GCC131" s="6"/>
      <c r="GCD131" s="6"/>
      <c r="GCE131" s="6"/>
      <c r="GCF131" s="6"/>
      <c r="GCG131" s="6"/>
      <c r="GCH131" s="6"/>
      <c r="GCI131" s="6"/>
      <c r="GCJ131" s="6"/>
      <c r="GCK131" s="6"/>
      <c r="GCL131" s="6"/>
      <c r="GCM131" s="6"/>
      <c r="GCN131" s="6"/>
      <c r="GCO131" s="6"/>
      <c r="GCP131" s="6"/>
      <c r="GCQ131" s="6"/>
      <c r="GCR131" s="6"/>
      <c r="GCS131" s="6"/>
      <c r="GCT131" s="6"/>
      <c r="GCU131" s="6"/>
      <c r="GCV131" s="6"/>
      <c r="GCW131" s="6"/>
      <c r="GCX131" s="6"/>
      <c r="GCY131" s="6"/>
      <c r="GCZ131" s="6"/>
      <c r="GDA131" s="6"/>
      <c r="GDB131" s="6"/>
      <c r="GDC131" s="6"/>
      <c r="GDD131" s="6"/>
      <c r="GDE131" s="6"/>
      <c r="GDF131" s="6"/>
      <c r="GDG131" s="6"/>
      <c r="GDH131" s="6"/>
      <c r="GDI131" s="6"/>
      <c r="GDJ131" s="6"/>
      <c r="GDK131" s="6"/>
      <c r="GDL131" s="6"/>
      <c r="GDM131" s="6"/>
      <c r="GDN131" s="6"/>
      <c r="GDO131" s="6"/>
      <c r="GDP131" s="6"/>
      <c r="GDQ131" s="6"/>
      <c r="GDR131" s="6"/>
      <c r="GDS131" s="6"/>
      <c r="GDT131" s="6"/>
      <c r="GDU131" s="6"/>
      <c r="GDV131" s="6"/>
      <c r="GDW131" s="6"/>
      <c r="GDX131" s="6"/>
      <c r="GDY131" s="6"/>
      <c r="GDZ131" s="6"/>
      <c r="GEA131" s="6"/>
      <c r="GEB131" s="6"/>
      <c r="GEC131" s="6"/>
      <c r="GED131" s="6"/>
      <c r="GEE131" s="6"/>
      <c r="GEF131" s="6"/>
      <c r="GEG131" s="6"/>
      <c r="GEH131" s="6"/>
      <c r="GEI131" s="6"/>
      <c r="GEJ131" s="6"/>
      <c r="GEK131" s="6"/>
      <c r="GEL131" s="6"/>
      <c r="GEM131" s="6"/>
      <c r="GEN131" s="6"/>
      <c r="GEO131" s="6"/>
      <c r="GEP131" s="6"/>
      <c r="GEQ131" s="6"/>
      <c r="GER131" s="6"/>
      <c r="GES131" s="6"/>
      <c r="GET131" s="6"/>
      <c r="GEU131" s="6"/>
      <c r="GEV131" s="6"/>
      <c r="GEW131" s="6"/>
      <c r="GEX131" s="6"/>
      <c r="GEY131" s="6"/>
      <c r="GEZ131" s="6"/>
      <c r="GFA131" s="6"/>
      <c r="GFB131" s="6"/>
      <c r="GFC131" s="6"/>
      <c r="GFD131" s="6"/>
      <c r="GFE131" s="6"/>
      <c r="GFF131" s="6"/>
      <c r="GFG131" s="6"/>
      <c r="GFH131" s="6"/>
      <c r="GFI131" s="6"/>
      <c r="GFJ131" s="6"/>
      <c r="GFK131" s="6"/>
      <c r="GFL131" s="6"/>
      <c r="GFM131" s="6"/>
      <c r="GFN131" s="6"/>
      <c r="GFO131" s="6"/>
      <c r="GFP131" s="6"/>
      <c r="GFQ131" s="6"/>
      <c r="GFR131" s="6"/>
      <c r="GFS131" s="6"/>
      <c r="GFT131" s="6"/>
      <c r="GFU131" s="6"/>
      <c r="GFV131" s="6"/>
      <c r="GFW131" s="6"/>
      <c r="GFX131" s="6"/>
      <c r="GFY131" s="6"/>
      <c r="GFZ131" s="6"/>
      <c r="GGA131" s="6"/>
      <c r="GGB131" s="6"/>
      <c r="GGC131" s="6"/>
      <c r="GGD131" s="6"/>
      <c r="GGE131" s="6"/>
      <c r="GGF131" s="6"/>
      <c r="GGG131" s="6"/>
      <c r="GGH131" s="6"/>
      <c r="GGI131" s="6"/>
      <c r="GGJ131" s="6"/>
      <c r="GGK131" s="6"/>
      <c r="GGL131" s="6"/>
      <c r="GGM131" s="6"/>
      <c r="GGN131" s="6"/>
      <c r="GGO131" s="6"/>
      <c r="GGP131" s="6"/>
      <c r="GGQ131" s="6"/>
      <c r="GGR131" s="6"/>
      <c r="GGS131" s="6"/>
      <c r="GGT131" s="6"/>
      <c r="GGU131" s="6"/>
      <c r="GGV131" s="6"/>
      <c r="GGW131" s="6"/>
      <c r="GGX131" s="6"/>
      <c r="GGY131" s="6"/>
      <c r="GGZ131" s="6"/>
      <c r="GHA131" s="6"/>
      <c r="GHB131" s="6"/>
      <c r="GHC131" s="6"/>
      <c r="GHD131" s="6"/>
      <c r="GHE131" s="6"/>
      <c r="GHF131" s="6"/>
      <c r="GHG131" s="6"/>
      <c r="GHH131" s="6"/>
      <c r="GHI131" s="6"/>
      <c r="GHJ131" s="6"/>
      <c r="GHK131" s="6"/>
      <c r="GHL131" s="6"/>
      <c r="GHM131" s="6"/>
      <c r="GHN131" s="6"/>
      <c r="GHO131" s="6"/>
      <c r="GHP131" s="6"/>
      <c r="GHQ131" s="6"/>
      <c r="GHR131" s="6"/>
      <c r="GHS131" s="6"/>
      <c r="GHT131" s="6"/>
      <c r="GHU131" s="6"/>
      <c r="GHV131" s="6"/>
      <c r="GHW131" s="6"/>
      <c r="GHX131" s="6"/>
      <c r="GHY131" s="6"/>
      <c r="GHZ131" s="6"/>
      <c r="GIA131" s="6"/>
      <c r="GIB131" s="6"/>
      <c r="GIC131" s="6"/>
      <c r="GID131" s="6"/>
      <c r="GIE131" s="6"/>
      <c r="GIF131" s="6"/>
      <c r="GIG131" s="6"/>
      <c r="GIH131" s="6"/>
      <c r="GII131" s="6"/>
      <c r="GIJ131" s="6"/>
      <c r="GIK131" s="6"/>
      <c r="GIL131" s="6"/>
      <c r="GIM131" s="6"/>
      <c r="GIN131" s="6"/>
      <c r="GIO131" s="6"/>
      <c r="GIP131" s="6"/>
      <c r="GIQ131" s="6"/>
      <c r="GIR131" s="6"/>
      <c r="GIS131" s="6"/>
      <c r="GIT131" s="6"/>
      <c r="GIU131" s="6"/>
      <c r="GIV131" s="6"/>
      <c r="GIW131" s="6"/>
      <c r="GIX131" s="6"/>
      <c r="GIY131" s="6"/>
      <c r="GIZ131" s="6"/>
      <c r="GJA131" s="6"/>
      <c r="GJB131" s="6"/>
      <c r="GJC131" s="6"/>
      <c r="GJD131" s="6"/>
      <c r="GJE131" s="6"/>
      <c r="GJF131" s="6"/>
      <c r="GJG131" s="6"/>
      <c r="GJH131" s="6"/>
      <c r="GJI131" s="6"/>
      <c r="GJJ131" s="6"/>
      <c r="GJK131" s="6"/>
      <c r="GJL131" s="6"/>
      <c r="GJM131" s="6"/>
      <c r="GJN131" s="6"/>
      <c r="GJO131" s="6"/>
      <c r="GJP131" s="6"/>
      <c r="GJQ131" s="6"/>
      <c r="GJR131" s="6"/>
      <c r="GJS131" s="6"/>
      <c r="GJT131" s="6"/>
      <c r="GJU131" s="6"/>
      <c r="GJV131" s="6"/>
      <c r="GJW131" s="6"/>
      <c r="GJX131" s="6"/>
      <c r="GJY131" s="6"/>
      <c r="GJZ131" s="6"/>
      <c r="GKA131" s="6"/>
      <c r="GKB131" s="6"/>
      <c r="GKC131" s="6"/>
      <c r="GKD131" s="6"/>
      <c r="GKE131" s="6"/>
      <c r="GKF131" s="6"/>
      <c r="GKG131" s="6"/>
      <c r="GKH131" s="6"/>
      <c r="GKI131" s="6"/>
      <c r="GKJ131" s="6"/>
      <c r="GKK131" s="6"/>
      <c r="GKL131" s="6"/>
      <c r="GKM131" s="6"/>
      <c r="GKN131" s="6"/>
      <c r="GKO131" s="6"/>
      <c r="GKP131" s="6"/>
      <c r="GKQ131" s="6"/>
      <c r="GKR131" s="6"/>
      <c r="GKS131" s="6"/>
      <c r="GKT131" s="6"/>
      <c r="GKU131" s="6"/>
      <c r="GKV131" s="6"/>
      <c r="GKW131" s="6"/>
      <c r="GKX131" s="6"/>
      <c r="GKY131" s="6"/>
      <c r="GKZ131" s="6"/>
      <c r="GLA131" s="6"/>
      <c r="GLB131" s="6"/>
      <c r="GLC131" s="6"/>
      <c r="GLD131" s="6"/>
      <c r="GLE131" s="6"/>
      <c r="GLF131" s="6"/>
      <c r="GLG131" s="6"/>
      <c r="GLH131" s="6"/>
      <c r="GLI131" s="6"/>
      <c r="GLJ131" s="6"/>
      <c r="GLK131" s="6"/>
      <c r="GLL131" s="6"/>
      <c r="GLM131" s="6"/>
      <c r="GLN131" s="6"/>
      <c r="GLO131" s="6"/>
      <c r="GLP131" s="6"/>
      <c r="GLQ131" s="6"/>
      <c r="GLR131" s="6"/>
      <c r="GLS131" s="6"/>
      <c r="GLT131" s="6"/>
      <c r="GLU131" s="6"/>
      <c r="GLV131" s="6"/>
      <c r="GLW131" s="6"/>
      <c r="GLX131" s="6"/>
      <c r="GLY131" s="6"/>
      <c r="GLZ131" s="6"/>
      <c r="GMA131" s="6"/>
      <c r="GMB131" s="6"/>
      <c r="GMC131" s="6"/>
      <c r="GMD131" s="6"/>
      <c r="GME131" s="6"/>
      <c r="GMF131" s="6"/>
      <c r="GMG131" s="6"/>
      <c r="GMH131" s="6"/>
      <c r="GMI131" s="6"/>
      <c r="GMJ131" s="6"/>
      <c r="GMK131" s="6"/>
      <c r="GML131" s="6"/>
      <c r="GMM131" s="6"/>
      <c r="GMN131" s="6"/>
      <c r="GMO131" s="6"/>
      <c r="GMP131" s="6"/>
      <c r="GMQ131" s="6"/>
      <c r="GMR131" s="6"/>
      <c r="GMS131" s="6"/>
      <c r="GMT131" s="6"/>
      <c r="GMU131" s="6"/>
      <c r="GMV131" s="6"/>
      <c r="GMW131" s="6"/>
      <c r="GMX131" s="6"/>
      <c r="GMY131" s="6"/>
      <c r="GMZ131" s="6"/>
      <c r="GNA131" s="6"/>
      <c r="GNB131" s="6"/>
      <c r="GNC131" s="6"/>
      <c r="GND131" s="6"/>
      <c r="GNE131" s="6"/>
      <c r="GNF131" s="6"/>
      <c r="GNG131" s="6"/>
      <c r="GNH131" s="6"/>
      <c r="GNI131" s="6"/>
      <c r="GNJ131" s="6"/>
      <c r="GNK131" s="6"/>
      <c r="GNL131" s="6"/>
      <c r="GNM131" s="6"/>
      <c r="GNN131" s="6"/>
      <c r="GNO131" s="6"/>
      <c r="GNP131" s="6"/>
      <c r="GNQ131" s="6"/>
      <c r="GNR131" s="6"/>
      <c r="GNS131" s="6"/>
      <c r="GNT131" s="6"/>
      <c r="GNU131" s="6"/>
      <c r="GNV131" s="6"/>
      <c r="GNW131" s="6"/>
      <c r="GNX131" s="6"/>
      <c r="GNY131" s="6"/>
      <c r="GNZ131" s="6"/>
      <c r="GOA131" s="6"/>
      <c r="GOB131" s="6"/>
      <c r="GOC131" s="6"/>
      <c r="GOD131" s="6"/>
      <c r="GOE131" s="6"/>
      <c r="GOF131" s="6"/>
      <c r="GOG131" s="6"/>
      <c r="GOH131" s="6"/>
      <c r="GOI131" s="6"/>
      <c r="GOJ131" s="6"/>
      <c r="GOK131" s="6"/>
      <c r="GOL131" s="6"/>
      <c r="GOM131" s="6"/>
      <c r="GON131" s="6"/>
      <c r="GOO131" s="6"/>
      <c r="GOP131" s="6"/>
      <c r="GOQ131" s="6"/>
      <c r="GOR131" s="6"/>
      <c r="GOS131" s="6"/>
      <c r="GOT131" s="6"/>
      <c r="GOU131" s="6"/>
      <c r="GOV131" s="6"/>
      <c r="GOW131" s="6"/>
      <c r="GOX131" s="6"/>
      <c r="GOY131" s="6"/>
      <c r="GOZ131" s="6"/>
      <c r="GPA131" s="6"/>
      <c r="GPB131" s="6"/>
      <c r="GPC131" s="6"/>
      <c r="GPD131" s="6"/>
      <c r="GPE131" s="6"/>
      <c r="GPF131" s="6"/>
      <c r="GPG131" s="6"/>
      <c r="GPH131" s="6"/>
      <c r="GPI131" s="6"/>
      <c r="GPJ131" s="6"/>
      <c r="GPK131" s="6"/>
      <c r="GPL131" s="6"/>
      <c r="GPM131" s="6"/>
      <c r="GPN131" s="6"/>
      <c r="GPO131" s="6"/>
      <c r="GPP131" s="6"/>
      <c r="GPQ131" s="6"/>
      <c r="GPR131" s="6"/>
      <c r="GPS131" s="6"/>
      <c r="GPT131" s="6"/>
      <c r="GPU131" s="6"/>
      <c r="GPV131" s="6"/>
      <c r="GPW131" s="6"/>
      <c r="GPX131" s="6"/>
      <c r="GPY131" s="6"/>
      <c r="GPZ131" s="6"/>
      <c r="GQA131" s="6"/>
      <c r="GQB131" s="6"/>
      <c r="GQC131" s="6"/>
      <c r="GQD131" s="6"/>
      <c r="GQE131" s="6"/>
      <c r="GQF131" s="6"/>
      <c r="GQG131" s="6"/>
      <c r="GQH131" s="6"/>
      <c r="GQI131" s="6"/>
      <c r="GQJ131" s="6"/>
      <c r="GQK131" s="6"/>
      <c r="GQL131" s="6"/>
      <c r="GQM131" s="6"/>
      <c r="GQN131" s="6"/>
      <c r="GQO131" s="6"/>
      <c r="GQP131" s="6"/>
      <c r="GQQ131" s="6"/>
      <c r="GQR131" s="6"/>
      <c r="GQS131" s="6"/>
      <c r="GQT131" s="6"/>
      <c r="GQU131" s="6"/>
      <c r="GQV131" s="6"/>
      <c r="GQW131" s="6"/>
      <c r="GQX131" s="6"/>
      <c r="GQY131" s="6"/>
      <c r="GQZ131" s="6"/>
      <c r="GRA131" s="6"/>
      <c r="GRB131" s="6"/>
      <c r="GRC131" s="6"/>
      <c r="GRD131" s="6"/>
      <c r="GRE131" s="6"/>
      <c r="GRF131" s="6"/>
      <c r="GRG131" s="6"/>
      <c r="GRH131" s="6"/>
      <c r="GRI131" s="6"/>
      <c r="GRJ131" s="6"/>
      <c r="GRK131" s="6"/>
      <c r="GRL131" s="6"/>
      <c r="GRM131" s="6"/>
      <c r="GRN131" s="6"/>
      <c r="GRO131" s="6"/>
      <c r="GRP131" s="6"/>
      <c r="GRQ131" s="6"/>
      <c r="GRR131" s="6"/>
      <c r="GRS131" s="6"/>
      <c r="GRT131" s="6"/>
      <c r="GRU131" s="6"/>
      <c r="GRV131" s="6"/>
      <c r="GRW131" s="6"/>
      <c r="GRX131" s="6"/>
      <c r="GRY131" s="6"/>
      <c r="GRZ131" s="6"/>
      <c r="GSA131" s="6"/>
      <c r="GSB131" s="6"/>
      <c r="GSC131" s="6"/>
      <c r="GSD131" s="6"/>
      <c r="GSE131" s="6"/>
      <c r="GSF131" s="6"/>
      <c r="GSG131" s="6"/>
      <c r="GSH131" s="6"/>
      <c r="GSI131" s="6"/>
      <c r="GSJ131" s="6"/>
      <c r="GSK131" s="6"/>
      <c r="GSL131" s="6"/>
      <c r="GSM131" s="6"/>
      <c r="GSN131" s="6"/>
      <c r="GSO131" s="6"/>
      <c r="GSP131" s="6"/>
      <c r="GSQ131" s="6"/>
      <c r="GSR131" s="6"/>
      <c r="GSS131" s="6"/>
      <c r="GST131" s="6"/>
      <c r="GSU131" s="6"/>
      <c r="GSV131" s="6"/>
      <c r="GSW131" s="6"/>
      <c r="GSX131" s="6"/>
      <c r="GSY131" s="6"/>
      <c r="GSZ131" s="6"/>
      <c r="GTA131" s="6"/>
      <c r="GTB131" s="6"/>
      <c r="GTC131" s="6"/>
      <c r="GTD131" s="6"/>
      <c r="GTE131" s="6"/>
      <c r="GTF131" s="6"/>
      <c r="GTG131" s="6"/>
      <c r="GTH131" s="6"/>
      <c r="GTI131" s="6"/>
      <c r="GTJ131" s="6"/>
      <c r="GTK131" s="6"/>
      <c r="GTL131" s="6"/>
      <c r="GTM131" s="6"/>
      <c r="GTN131" s="6"/>
      <c r="GTO131" s="6"/>
      <c r="GTP131" s="6"/>
      <c r="GTQ131" s="6"/>
      <c r="GTR131" s="6"/>
      <c r="GTS131" s="6"/>
      <c r="GTT131" s="6"/>
      <c r="GTU131" s="6"/>
      <c r="GTV131" s="6"/>
      <c r="GTW131" s="6"/>
      <c r="GTX131" s="6"/>
      <c r="GTY131" s="6"/>
      <c r="GTZ131" s="6"/>
      <c r="GUA131" s="6"/>
      <c r="GUB131" s="6"/>
      <c r="GUC131" s="6"/>
      <c r="GUD131" s="6"/>
      <c r="GUE131" s="6"/>
      <c r="GUF131" s="6"/>
      <c r="GUG131" s="6"/>
      <c r="GUH131" s="6"/>
      <c r="GUI131" s="6"/>
      <c r="GUJ131" s="6"/>
      <c r="GUK131" s="6"/>
      <c r="GUL131" s="6"/>
      <c r="GUM131" s="6"/>
      <c r="GUN131" s="6"/>
      <c r="GUO131" s="6"/>
      <c r="GUP131" s="6"/>
      <c r="GUQ131" s="6"/>
      <c r="GUR131" s="6"/>
      <c r="GUS131" s="6"/>
      <c r="GUT131" s="6"/>
      <c r="GUU131" s="6"/>
      <c r="GUV131" s="6"/>
      <c r="GUW131" s="6"/>
      <c r="GUX131" s="6"/>
      <c r="GUY131" s="6"/>
      <c r="GUZ131" s="6"/>
      <c r="GVA131" s="6"/>
      <c r="GVB131" s="6"/>
      <c r="GVC131" s="6"/>
      <c r="GVD131" s="6"/>
      <c r="GVE131" s="6"/>
      <c r="GVF131" s="6"/>
      <c r="GVG131" s="6"/>
      <c r="GVH131" s="6"/>
      <c r="GVI131" s="6"/>
      <c r="GVJ131" s="6"/>
      <c r="GVK131" s="6"/>
      <c r="GVL131" s="6"/>
      <c r="GVM131" s="6"/>
      <c r="GVN131" s="6"/>
      <c r="GVO131" s="6"/>
      <c r="GVP131" s="6"/>
      <c r="GVQ131" s="6"/>
      <c r="GVR131" s="6"/>
      <c r="GVS131" s="6"/>
      <c r="GVT131" s="6"/>
      <c r="GVU131" s="6"/>
      <c r="GVV131" s="6"/>
      <c r="GVW131" s="6"/>
      <c r="GVX131" s="6"/>
      <c r="GVY131" s="6"/>
      <c r="GVZ131" s="6"/>
      <c r="GWA131" s="6"/>
      <c r="GWB131" s="6"/>
      <c r="GWC131" s="6"/>
      <c r="GWD131" s="6"/>
      <c r="GWE131" s="6"/>
      <c r="GWF131" s="6"/>
      <c r="GWG131" s="6"/>
      <c r="GWH131" s="6"/>
      <c r="GWI131" s="6"/>
      <c r="GWJ131" s="6"/>
      <c r="GWK131" s="6"/>
      <c r="GWL131" s="6"/>
      <c r="GWM131" s="6"/>
      <c r="GWN131" s="6"/>
      <c r="GWO131" s="6"/>
      <c r="GWP131" s="6"/>
      <c r="GWQ131" s="6"/>
      <c r="GWR131" s="6"/>
      <c r="GWS131" s="6"/>
      <c r="GWT131" s="6"/>
      <c r="GWU131" s="6"/>
      <c r="GWV131" s="6"/>
      <c r="GWW131" s="6"/>
      <c r="GWX131" s="6"/>
      <c r="GWY131" s="6"/>
      <c r="GWZ131" s="6"/>
      <c r="GXA131" s="6"/>
      <c r="GXB131" s="6"/>
      <c r="GXC131" s="6"/>
      <c r="GXD131" s="6"/>
      <c r="GXE131" s="6"/>
      <c r="GXF131" s="6"/>
      <c r="GXG131" s="6"/>
      <c r="GXH131" s="6"/>
      <c r="GXI131" s="6"/>
      <c r="GXJ131" s="6"/>
      <c r="GXK131" s="6"/>
      <c r="GXL131" s="6"/>
      <c r="GXM131" s="6"/>
      <c r="GXN131" s="6"/>
      <c r="GXO131" s="6"/>
      <c r="GXP131" s="6"/>
      <c r="GXQ131" s="6"/>
      <c r="GXR131" s="6"/>
      <c r="GXS131" s="6"/>
      <c r="GXT131" s="6"/>
      <c r="GXU131" s="6"/>
      <c r="GXV131" s="6"/>
      <c r="GXW131" s="6"/>
      <c r="GXX131" s="6"/>
      <c r="GXY131" s="6"/>
      <c r="GXZ131" s="6"/>
      <c r="GYA131" s="6"/>
      <c r="GYB131" s="6"/>
      <c r="GYC131" s="6"/>
      <c r="GYD131" s="6"/>
      <c r="GYE131" s="6"/>
      <c r="GYF131" s="6"/>
      <c r="GYG131" s="6"/>
      <c r="GYH131" s="6"/>
      <c r="GYI131" s="6"/>
      <c r="GYJ131" s="6"/>
      <c r="GYK131" s="6"/>
      <c r="GYL131" s="6"/>
      <c r="GYM131" s="6"/>
      <c r="GYN131" s="6"/>
      <c r="GYO131" s="6"/>
      <c r="GYP131" s="6"/>
      <c r="GYQ131" s="6"/>
      <c r="GYR131" s="6"/>
      <c r="GYS131" s="6"/>
      <c r="GYT131" s="6"/>
      <c r="GYU131" s="6"/>
      <c r="GYV131" s="6"/>
      <c r="GYW131" s="6"/>
      <c r="GYX131" s="6"/>
      <c r="GYY131" s="6"/>
      <c r="GYZ131" s="6"/>
      <c r="GZA131" s="6"/>
      <c r="GZB131" s="6"/>
      <c r="GZC131" s="6"/>
      <c r="GZD131" s="6"/>
      <c r="GZE131" s="6"/>
      <c r="GZF131" s="6"/>
      <c r="GZG131" s="6"/>
      <c r="GZH131" s="6"/>
      <c r="GZI131" s="6"/>
      <c r="GZJ131" s="6"/>
      <c r="GZK131" s="6"/>
      <c r="GZL131" s="6"/>
      <c r="GZM131" s="6"/>
      <c r="GZN131" s="6"/>
      <c r="GZO131" s="6"/>
      <c r="GZP131" s="6"/>
      <c r="GZQ131" s="6"/>
      <c r="GZR131" s="6"/>
      <c r="GZS131" s="6"/>
      <c r="GZT131" s="6"/>
      <c r="GZU131" s="6"/>
      <c r="GZV131" s="6"/>
      <c r="GZW131" s="6"/>
      <c r="GZX131" s="6"/>
      <c r="GZY131" s="6"/>
      <c r="GZZ131" s="6"/>
      <c r="HAA131" s="6"/>
      <c r="HAB131" s="6"/>
      <c r="HAC131" s="6"/>
      <c r="HAD131" s="6"/>
      <c r="HAE131" s="6"/>
      <c r="HAF131" s="6"/>
      <c r="HAG131" s="6"/>
      <c r="HAH131" s="6"/>
      <c r="HAI131" s="6"/>
      <c r="HAJ131" s="6"/>
      <c r="HAK131" s="6"/>
      <c r="HAL131" s="6"/>
      <c r="HAM131" s="6"/>
      <c r="HAN131" s="6"/>
      <c r="HAO131" s="6"/>
      <c r="HAP131" s="6"/>
      <c r="HAQ131" s="6"/>
      <c r="HAR131" s="6"/>
      <c r="HAS131" s="6"/>
      <c r="HAT131" s="6"/>
      <c r="HAU131" s="6"/>
      <c r="HAV131" s="6"/>
      <c r="HAW131" s="6"/>
      <c r="HAX131" s="6"/>
      <c r="HAY131" s="6"/>
      <c r="HAZ131" s="6"/>
      <c r="HBA131" s="6"/>
      <c r="HBB131" s="6"/>
      <c r="HBC131" s="6"/>
      <c r="HBD131" s="6"/>
      <c r="HBE131" s="6"/>
      <c r="HBF131" s="6"/>
      <c r="HBG131" s="6"/>
      <c r="HBH131" s="6"/>
      <c r="HBI131" s="6"/>
      <c r="HBJ131" s="6"/>
      <c r="HBK131" s="6"/>
      <c r="HBL131" s="6"/>
      <c r="HBM131" s="6"/>
      <c r="HBN131" s="6"/>
      <c r="HBO131" s="6"/>
      <c r="HBP131" s="6"/>
      <c r="HBQ131" s="6"/>
      <c r="HBR131" s="6"/>
      <c r="HBS131" s="6"/>
      <c r="HBT131" s="6"/>
      <c r="HBU131" s="6"/>
      <c r="HBV131" s="6"/>
      <c r="HBW131" s="6"/>
      <c r="HBX131" s="6"/>
      <c r="HBY131" s="6"/>
      <c r="HBZ131" s="6"/>
      <c r="HCA131" s="6"/>
      <c r="HCB131" s="6"/>
      <c r="HCC131" s="6"/>
      <c r="HCD131" s="6"/>
      <c r="HCE131" s="6"/>
      <c r="HCF131" s="6"/>
      <c r="HCG131" s="6"/>
      <c r="HCH131" s="6"/>
      <c r="HCI131" s="6"/>
      <c r="HCJ131" s="6"/>
      <c r="HCK131" s="6"/>
      <c r="HCL131" s="6"/>
      <c r="HCM131" s="6"/>
      <c r="HCN131" s="6"/>
      <c r="HCO131" s="6"/>
      <c r="HCP131" s="6"/>
      <c r="HCQ131" s="6"/>
      <c r="HCR131" s="6"/>
      <c r="HCS131" s="6"/>
      <c r="HCT131" s="6"/>
      <c r="HCU131" s="6"/>
      <c r="HCV131" s="6"/>
      <c r="HCW131" s="6"/>
      <c r="HCX131" s="6"/>
      <c r="HCY131" s="6"/>
      <c r="HCZ131" s="6"/>
      <c r="HDA131" s="6"/>
      <c r="HDB131" s="6"/>
      <c r="HDC131" s="6"/>
      <c r="HDD131" s="6"/>
      <c r="HDE131" s="6"/>
      <c r="HDF131" s="6"/>
      <c r="HDG131" s="6"/>
      <c r="HDH131" s="6"/>
      <c r="HDI131" s="6"/>
      <c r="HDJ131" s="6"/>
      <c r="HDK131" s="6"/>
      <c r="HDL131" s="6"/>
      <c r="HDM131" s="6"/>
      <c r="HDN131" s="6"/>
      <c r="HDO131" s="6"/>
      <c r="HDP131" s="6"/>
      <c r="HDQ131" s="6"/>
      <c r="HDR131" s="6"/>
      <c r="HDS131" s="6"/>
      <c r="HDT131" s="6"/>
      <c r="HDU131" s="6"/>
      <c r="HDV131" s="6"/>
      <c r="HDW131" s="6"/>
      <c r="HDX131" s="6"/>
      <c r="HDY131" s="6"/>
      <c r="HDZ131" s="6"/>
      <c r="HEA131" s="6"/>
      <c r="HEB131" s="6"/>
      <c r="HEC131" s="6"/>
      <c r="HED131" s="6"/>
      <c r="HEE131" s="6"/>
      <c r="HEF131" s="6"/>
      <c r="HEG131" s="6"/>
      <c r="HEH131" s="6"/>
      <c r="HEI131" s="6"/>
      <c r="HEJ131" s="6"/>
      <c r="HEK131" s="6"/>
      <c r="HEL131" s="6"/>
      <c r="HEM131" s="6"/>
      <c r="HEN131" s="6"/>
      <c r="HEO131" s="6"/>
      <c r="HEP131" s="6"/>
      <c r="HEQ131" s="6"/>
      <c r="HER131" s="6"/>
      <c r="HES131" s="6"/>
      <c r="HET131" s="6"/>
      <c r="HEU131" s="6"/>
      <c r="HEV131" s="6"/>
      <c r="HEW131" s="6"/>
      <c r="HEX131" s="6"/>
      <c r="HEY131" s="6"/>
      <c r="HEZ131" s="6"/>
      <c r="HFA131" s="6"/>
      <c r="HFB131" s="6"/>
      <c r="HFC131" s="6"/>
      <c r="HFD131" s="6"/>
      <c r="HFE131" s="6"/>
      <c r="HFF131" s="6"/>
      <c r="HFG131" s="6"/>
      <c r="HFH131" s="6"/>
      <c r="HFI131" s="6"/>
      <c r="HFJ131" s="6"/>
      <c r="HFK131" s="6"/>
      <c r="HFL131" s="6"/>
      <c r="HFM131" s="6"/>
      <c r="HFN131" s="6"/>
      <c r="HFO131" s="6"/>
      <c r="HFP131" s="6"/>
      <c r="HFQ131" s="6"/>
      <c r="HFR131" s="6"/>
      <c r="HFS131" s="6"/>
      <c r="HFT131" s="6"/>
      <c r="HFU131" s="6"/>
      <c r="HFV131" s="6"/>
      <c r="HFW131" s="6"/>
      <c r="HFX131" s="6"/>
      <c r="HFY131" s="6"/>
      <c r="HFZ131" s="6"/>
      <c r="HGA131" s="6"/>
      <c r="HGB131" s="6"/>
      <c r="HGC131" s="6"/>
      <c r="HGD131" s="6"/>
      <c r="HGE131" s="6"/>
      <c r="HGF131" s="6"/>
      <c r="HGG131" s="6"/>
      <c r="HGH131" s="6"/>
      <c r="HGI131" s="6"/>
      <c r="HGJ131" s="6"/>
      <c r="HGK131" s="6"/>
      <c r="HGL131" s="6"/>
      <c r="HGM131" s="6"/>
      <c r="HGN131" s="6"/>
      <c r="HGO131" s="6"/>
      <c r="HGP131" s="6"/>
      <c r="HGQ131" s="6"/>
      <c r="HGR131" s="6"/>
      <c r="HGS131" s="6"/>
      <c r="HGT131" s="6"/>
      <c r="HGU131" s="6"/>
      <c r="HGV131" s="6"/>
      <c r="HGW131" s="6"/>
      <c r="HGX131" s="6"/>
      <c r="HGY131" s="6"/>
      <c r="HGZ131" s="6"/>
      <c r="HHA131" s="6"/>
      <c r="HHB131" s="6"/>
      <c r="HHC131" s="6"/>
      <c r="HHD131" s="6"/>
      <c r="HHE131" s="6"/>
      <c r="HHF131" s="6"/>
      <c r="HHG131" s="6"/>
      <c r="HHH131" s="6"/>
      <c r="HHI131" s="6"/>
      <c r="HHJ131" s="6"/>
      <c r="HHK131" s="6"/>
      <c r="HHL131" s="6"/>
      <c r="HHM131" s="6"/>
      <c r="HHN131" s="6"/>
      <c r="HHO131" s="6"/>
      <c r="HHP131" s="6"/>
      <c r="HHQ131" s="6"/>
      <c r="HHR131" s="6"/>
      <c r="HHS131" s="6"/>
      <c r="HHT131" s="6"/>
      <c r="HHU131" s="6"/>
      <c r="HHV131" s="6"/>
      <c r="HHW131" s="6"/>
      <c r="HHX131" s="6"/>
      <c r="HHY131" s="6"/>
      <c r="HHZ131" s="6"/>
      <c r="HIA131" s="6"/>
      <c r="HIB131" s="6"/>
      <c r="HIC131" s="6"/>
      <c r="HID131" s="6"/>
      <c r="HIE131" s="6"/>
      <c r="HIF131" s="6"/>
      <c r="HIG131" s="6"/>
      <c r="HIH131" s="6"/>
      <c r="HII131" s="6"/>
      <c r="HIJ131" s="6"/>
      <c r="HIK131" s="6"/>
      <c r="HIL131" s="6"/>
      <c r="HIM131" s="6"/>
      <c r="HIN131" s="6"/>
      <c r="HIO131" s="6"/>
      <c r="HIP131" s="6"/>
      <c r="HIQ131" s="6"/>
      <c r="HIR131" s="6"/>
      <c r="HIS131" s="6"/>
      <c r="HIT131" s="6"/>
      <c r="HIU131" s="6"/>
      <c r="HIV131" s="6"/>
      <c r="HIW131" s="6"/>
      <c r="HIX131" s="6"/>
      <c r="HIY131" s="6"/>
      <c r="HIZ131" s="6"/>
      <c r="HJA131" s="6"/>
      <c r="HJB131" s="6"/>
      <c r="HJC131" s="6"/>
      <c r="HJD131" s="6"/>
      <c r="HJE131" s="6"/>
      <c r="HJF131" s="6"/>
      <c r="HJG131" s="6"/>
      <c r="HJH131" s="6"/>
      <c r="HJI131" s="6"/>
      <c r="HJJ131" s="6"/>
      <c r="HJK131" s="6"/>
      <c r="HJL131" s="6"/>
      <c r="HJM131" s="6"/>
      <c r="HJN131" s="6"/>
      <c r="HJO131" s="6"/>
      <c r="HJP131" s="6"/>
      <c r="HJQ131" s="6"/>
      <c r="HJR131" s="6"/>
      <c r="HJS131" s="6"/>
      <c r="HJT131" s="6"/>
      <c r="HJU131" s="6"/>
      <c r="HJV131" s="6"/>
      <c r="HJW131" s="6"/>
      <c r="HJX131" s="6"/>
      <c r="HJY131" s="6"/>
      <c r="HJZ131" s="6"/>
      <c r="HKA131" s="6"/>
      <c r="HKB131" s="6"/>
      <c r="HKC131" s="6"/>
      <c r="HKD131" s="6"/>
      <c r="HKE131" s="6"/>
      <c r="HKF131" s="6"/>
      <c r="HKG131" s="6"/>
      <c r="HKH131" s="6"/>
      <c r="HKI131" s="6"/>
      <c r="HKJ131" s="6"/>
      <c r="HKK131" s="6"/>
      <c r="HKL131" s="6"/>
      <c r="HKM131" s="6"/>
      <c r="HKN131" s="6"/>
      <c r="HKO131" s="6"/>
      <c r="HKP131" s="6"/>
      <c r="HKQ131" s="6"/>
      <c r="HKR131" s="6"/>
      <c r="HKS131" s="6"/>
      <c r="HKT131" s="6"/>
      <c r="HKU131" s="6"/>
      <c r="HKV131" s="6"/>
      <c r="HKW131" s="6"/>
      <c r="HKX131" s="6"/>
      <c r="HKY131" s="6"/>
      <c r="HKZ131" s="6"/>
      <c r="HLA131" s="6"/>
      <c r="HLB131" s="6"/>
      <c r="HLC131" s="6"/>
      <c r="HLD131" s="6"/>
      <c r="HLE131" s="6"/>
      <c r="HLF131" s="6"/>
      <c r="HLG131" s="6"/>
      <c r="HLH131" s="6"/>
      <c r="HLI131" s="6"/>
      <c r="HLJ131" s="6"/>
      <c r="HLK131" s="6"/>
      <c r="HLL131" s="6"/>
      <c r="HLM131" s="6"/>
      <c r="HLN131" s="6"/>
      <c r="HLO131" s="6"/>
      <c r="HLP131" s="6"/>
      <c r="HLQ131" s="6"/>
      <c r="HLR131" s="6"/>
      <c r="HLS131" s="6"/>
      <c r="HLT131" s="6"/>
      <c r="HLU131" s="6"/>
      <c r="HLV131" s="6"/>
      <c r="HLW131" s="6"/>
      <c r="HLX131" s="6"/>
      <c r="HLY131" s="6"/>
      <c r="HLZ131" s="6"/>
      <c r="HMA131" s="6"/>
      <c r="HMB131" s="6"/>
      <c r="HMC131" s="6"/>
      <c r="HMD131" s="6"/>
      <c r="HME131" s="6"/>
      <c r="HMF131" s="6"/>
      <c r="HMG131" s="6"/>
      <c r="HMH131" s="6"/>
      <c r="HMI131" s="6"/>
      <c r="HMJ131" s="6"/>
      <c r="HMK131" s="6"/>
      <c r="HML131" s="6"/>
      <c r="HMM131" s="6"/>
      <c r="HMN131" s="6"/>
      <c r="HMO131" s="6"/>
      <c r="HMP131" s="6"/>
      <c r="HMQ131" s="6"/>
      <c r="HMR131" s="6"/>
      <c r="HMS131" s="6"/>
      <c r="HMT131" s="6"/>
      <c r="HMU131" s="6"/>
      <c r="HMV131" s="6"/>
      <c r="HMW131" s="6"/>
      <c r="HMX131" s="6"/>
      <c r="HMY131" s="6"/>
      <c r="HMZ131" s="6"/>
      <c r="HNA131" s="6"/>
      <c r="HNB131" s="6"/>
      <c r="HNC131" s="6"/>
      <c r="HND131" s="6"/>
      <c r="HNE131" s="6"/>
      <c r="HNF131" s="6"/>
      <c r="HNG131" s="6"/>
      <c r="HNH131" s="6"/>
      <c r="HNI131" s="6"/>
      <c r="HNJ131" s="6"/>
      <c r="HNK131" s="6"/>
      <c r="HNL131" s="6"/>
      <c r="HNM131" s="6"/>
      <c r="HNN131" s="6"/>
      <c r="HNO131" s="6"/>
      <c r="HNP131" s="6"/>
      <c r="HNQ131" s="6"/>
      <c r="HNR131" s="6"/>
      <c r="HNS131" s="6"/>
      <c r="HNT131" s="6"/>
      <c r="HNU131" s="6"/>
      <c r="HNV131" s="6"/>
      <c r="HNW131" s="6"/>
      <c r="HNX131" s="6"/>
      <c r="HNY131" s="6"/>
      <c r="HNZ131" s="6"/>
      <c r="HOA131" s="6"/>
      <c r="HOB131" s="6"/>
      <c r="HOC131" s="6"/>
      <c r="HOD131" s="6"/>
      <c r="HOE131" s="6"/>
      <c r="HOF131" s="6"/>
      <c r="HOG131" s="6"/>
      <c r="HOH131" s="6"/>
      <c r="HOI131" s="6"/>
      <c r="HOJ131" s="6"/>
      <c r="HOK131" s="6"/>
      <c r="HOL131" s="6"/>
      <c r="HOM131" s="6"/>
      <c r="HON131" s="6"/>
      <c r="HOO131" s="6"/>
      <c r="HOP131" s="6"/>
      <c r="HOQ131" s="6"/>
      <c r="HOR131" s="6"/>
      <c r="HOS131" s="6"/>
      <c r="HOT131" s="6"/>
      <c r="HOU131" s="6"/>
      <c r="HOV131" s="6"/>
      <c r="HOW131" s="6"/>
      <c r="HOX131" s="6"/>
      <c r="HOY131" s="6"/>
      <c r="HOZ131" s="6"/>
      <c r="HPA131" s="6"/>
      <c r="HPB131" s="6"/>
      <c r="HPC131" s="6"/>
      <c r="HPD131" s="6"/>
      <c r="HPE131" s="6"/>
      <c r="HPF131" s="6"/>
      <c r="HPG131" s="6"/>
      <c r="HPH131" s="6"/>
      <c r="HPI131" s="6"/>
      <c r="HPJ131" s="6"/>
      <c r="HPK131" s="6"/>
      <c r="HPL131" s="6"/>
      <c r="HPM131" s="6"/>
      <c r="HPN131" s="6"/>
      <c r="HPO131" s="6"/>
      <c r="HPP131" s="6"/>
      <c r="HPQ131" s="6"/>
      <c r="HPR131" s="6"/>
      <c r="HPS131" s="6"/>
      <c r="HPT131" s="6"/>
      <c r="HPU131" s="6"/>
      <c r="HPV131" s="6"/>
      <c r="HPW131" s="6"/>
      <c r="HPX131" s="6"/>
      <c r="HPY131" s="6"/>
      <c r="HPZ131" s="6"/>
      <c r="HQA131" s="6"/>
      <c r="HQB131" s="6"/>
      <c r="HQC131" s="6"/>
      <c r="HQD131" s="6"/>
      <c r="HQE131" s="6"/>
      <c r="HQF131" s="6"/>
      <c r="HQG131" s="6"/>
      <c r="HQH131" s="6"/>
      <c r="HQI131" s="6"/>
      <c r="HQJ131" s="6"/>
      <c r="HQK131" s="6"/>
      <c r="HQL131" s="6"/>
      <c r="HQM131" s="6"/>
      <c r="HQN131" s="6"/>
      <c r="HQO131" s="6"/>
      <c r="HQP131" s="6"/>
      <c r="HQQ131" s="6"/>
      <c r="HQR131" s="6"/>
      <c r="HQS131" s="6"/>
      <c r="HQT131" s="6"/>
      <c r="HQU131" s="6"/>
      <c r="HQV131" s="6"/>
      <c r="HQW131" s="6"/>
      <c r="HQX131" s="6"/>
      <c r="HQY131" s="6"/>
      <c r="HQZ131" s="6"/>
      <c r="HRA131" s="6"/>
      <c r="HRB131" s="6"/>
      <c r="HRC131" s="6"/>
      <c r="HRD131" s="6"/>
      <c r="HRE131" s="6"/>
      <c r="HRF131" s="6"/>
      <c r="HRG131" s="6"/>
      <c r="HRH131" s="6"/>
      <c r="HRI131" s="6"/>
      <c r="HRJ131" s="6"/>
      <c r="HRK131" s="6"/>
      <c r="HRL131" s="6"/>
      <c r="HRM131" s="6"/>
      <c r="HRN131" s="6"/>
      <c r="HRO131" s="6"/>
      <c r="HRP131" s="6"/>
      <c r="HRQ131" s="6"/>
      <c r="HRR131" s="6"/>
      <c r="HRS131" s="6"/>
      <c r="HRT131" s="6"/>
      <c r="HRU131" s="6"/>
      <c r="HRV131" s="6"/>
      <c r="HRW131" s="6"/>
      <c r="HRX131" s="6"/>
      <c r="HRY131" s="6"/>
      <c r="HRZ131" s="6"/>
      <c r="HSA131" s="6"/>
      <c r="HSB131" s="6"/>
      <c r="HSC131" s="6"/>
      <c r="HSD131" s="6"/>
      <c r="HSE131" s="6"/>
      <c r="HSF131" s="6"/>
      <c r="HSG131" s="6"/>
      <c r="HSH131" s="6"/>
      <c r="HSI131" s="6"/>
      <c r="HSJ131" s="6"/>
      <c r="HSK131" s="6"/>
      <c r="HSL131" s="6"/>
      <c r="HSM131" s="6"/>
      <c r="HSN131" s="6"/>
      <c r="HSO131" s="6"/>
      <c r="HSP131" s="6"/>
      <c r="HSQ131" s="6"/>
      <c r="HSR131" s="6"/>
      <c r="HSS131" s="6"/>
      <c r="HST131" s="6"/>
      <c r="HSU131" s="6"/>
      <c r="HSV131" s="6"/>
      <c r="HSW131" s="6"/>
      <c r="HSX131" s="6"/>
      <c r="HSY131" s="6"/>
      <c r="HSZ131" s="6"/>
      <c r="HTA131" s="6"/>
      <c r="HTB131" s="6"/>
      <c r="HTC131" s="6"/>
      <c r="HTD131" s="6"/>
      <c r="HTE131" s="6"/>
      <c r="HTF131" s="6"/>
      <c r="HTG131" s="6"/>
      <c r="HTH131" s="6"/>
      <c r="HTI131" s="6"/>
      <c r="HTJ131" s="6"/>
      <c r="HTK131" s="6"/>
      <c r="HTL131" s="6"/>
      <c r="HTM131" s="6"/>
      <c r="HTN131" s="6"/>
      <c r="HTO131" s="6"/>
      <c r="HTP131" s="6"/>
      <c r="HTQ131" s="6"/>
      <c r="HTR131" s="6"/>
      <c r="HTS131" s="6"/>
      <c r="HTT131" s="6"/>
      <c r="HTU131" s="6"/>
      <c r="HTV131" s="6"/>
      <c r="HTW131" s="6"/>
      <c r="HTX131" s="6"/>
      <c r="HTY131" s="6"/>
      <c r="HTZ131" s="6"/>
      <c r="HUA131" s="6"/>
      <c r="HUB131" s="6"/>
      <c r="HUC131" s="6"/>
      <c r="HUD131" s="6"/>
      <c r="HUE131" s="6"/>
      <c r="HUF131" s="6"/>
      <c r="HUG131" s="6"/>
      <c r="HUH131" s="6"/>
      <c r="HUI131" s="6"/>
      <c r="HUJ131" s="6"/>
      <c r="HUK131" s="6"/>
      <c r="HUL131" s="6"/>
      <c r="HUM131" s="6"/>
      <c r="HUN131" s="6"/>
      <c r="HUO131" s="6"/>
      <c r="HUP131" s="6"/>
      <c r="HUQ131" s="6"/>
      <c r="HUR131" s="6"/>
      <c r="HUS131" s="6"/>
      <c r="HUT131" s="6"/>
      <c r="HUU131" s="6"/>
      <c r="HUV131" s="6"/>
      <c r="HUW131" s="6"/>
      <c r="HUX131" s="6"/>
      <c r="HUY131" s="6"/>
      <c r="HUZ131" s="6"/>
      <c r="HVA131" s="6"/>
      <c r="HVB131" s="6"/>
      <c r="HVC131" s="6"/>
      <c r="HVD131" s="6"/>
      <c r="HVE131" s="6"/>
      <c r="HVF131" s="6"/>
      <c r="HVG131" s="6"/>
      <c r="HVH131" s="6"/>
      <c r="HVI131" s="6"/>
      <c r="HVJ131" s="6"/>
      <c r="HVK131" s="6"/>
      <c r="HVL131" s="6"/>
      <c r="HVM131" s="6"/>
      <c r="HVN131" s="6"/>
      <c r="HVO131" s="6"/>
      <c r="HVP131" s="6"/>
      <c r="HVQ131" s="6"/>
      <c r="HVR131" s="6"/>
      <c r="HVS131" s="6"/>
      <c r="HVT131" s="6"/>
      <c r="HVU131" s="6"/>
      <c r="HVV131" s="6"/>
      <c r="HVW131" s="6"/>
      <c r="HVX131" s="6"/>
      <c r="HVY131" s="6"/>
      <c r="HVZ131" s="6"/>
      <c r="HWA131" s="6"/>
      <c r="HWB131" s="6"/>
      <c r="HWC131" s="6"/>
      <c r="HWD131" s="6"/>
      <c r="HWE131" s="6"/>
      <c r="HWF131" s="6"/>
      <c r="HWG131" s="6"/>
      <c r="HWH131" s="6"/>
      <c r="HWI131" s="6"/>
      <c r="HWJ131" s="6"/>
      <c r="HWK131" s="6"/>
      <c r="HWL131" s="6"/>
      <c r="HWM131" s="6"/>
      <c r="HWN131" s="6"/>
      <c r="HWO131" s="6"/>
      <c r="HWP131" s="6"/>
      <c r="HWQ131" s="6"/>
      <c r="HWR131" s="6"/>
      <c r="HWS131" s="6"/>
      <c r="HWT131" s="6"/>
      <c r="HWU131" s="6"/>
      <c r="HWV131" s="6"/>
      <c r="HWW131" s="6"/>
      <c r="HWX131" s="6"/>
      <c r="HWY131" s="6"/>
      <c r="HWZ131" s="6"/>
      <c r="HXA131" s="6"/>
      <c r="HXB131" s="6"/>
      <c r="HXC131" s="6"/>
      <c r="HXD131" s="6"/>
      <c r="HXE131" s="6"/>
      <c r="HXF131" s="6"/>
      <c r="HXG131" s="6"/>
      <c r="HXH131" s="6"/>
      <c r="HXI131" s="6"/>
      <c r="HXJ131" s="6"/>
      <c r="HXK131" s="6"/>
      <c r="HXL131" s="6"/>
      <c r="HXM131" s="6"/>
      <c r="HXN131" s="6"/>
      <c r="HXO131" s="6"/>
      <c r="HXP131" s="6"/>
      <c r="HXQ131" s="6"/>
      <c r="HXR131" s="6"/>
      <c r="HXS131" s="6"/>
      <c r="HXT131" s="6"/>
      <c r="HXU131" s="6"/>
      <c r="HXV131" s="6"/>
      <c r="HXW131" s="6"/>
      <c r="HXX131" s="6"/>
      <c r="HXY131" s="6"/>
      <c r="HXZ131" s="6"/>
      <c r="HYA131" s="6"/>
      <c r="HYB131" s="6"/>
      <c r="HYC131" s="6"/>
      <c r="HYD131" s="6"/>
      <c r="HYE131" s="6"/>
      <c r="HYF131" s="6"/>
      <c r="HYG131" s="6"/>
      <c r="HYH131" s="6"/>
      <c r="HYI131" s="6"/>
      <c r="HYJ131" s="6"/>
      <c r="HYK131" s="6"/>
      <c r="HYL131" s="6"/>
      <c r="HYM131" s="6"/>
      <c r="HYN131" s="6"/>
      <c r="HYO131" s="6"/>
      <c r="HYP131" s="6"/>
      <c r="HYQ131" s="6"/>
      <c r="HYR131" s="6"/>
      <c r="HYS131" s="6"/>
      <c r="HYT131" s="6"/>
      <c r="HYU131" s="6"/>
      <c r="HYV131" s="6"/>
      <c r="HYW131" s="6"/>
      <c r="HYX131" s="6"/>
      <c r="HYY131" s="6"/>
      <c r="HYZ131" s="6"/>
      <c r="HZA131" s="6"/>
      <c r="HZB131" s="6"/>
      <c r="HZC131" s="6"/>
      <c r="HZD131" s="6"/>
      <c r="HZE131" s="6"/>
      <c r="HZF131" s="6"/>
      <c r="HZG131" s="6"/>
      <c r="HZH131" s="6"/>
      <c r="HZI131" s="6"/>
      <c r="HZJ131" s="6"/>
      <c r="HZK131" s="6"/>
      <c r="HZL131" s="6"/>
      <c r="HZM131" s="6"/>
      <c r="HZN131" s="6"/>
      <c r="HZO131" s="6"/>
      <c r="HZP131" s="6"/>
      <c r="HZQ131" s="6"/>
      <c r="HZR131" s="6"/>
      <c r="HZS131" s="6"/>
      <c r="HZT131" s="6"/>
      <c r="HZU131" s="6"/>
      <c r="HZV131" s="6"/>
      <c r="HZW131" s="6"/>
      <c r="HZX131" s="6"/>
      <c r="HZY131" s="6"/>
      <c r="HZZ131" s="6"/>
      <c r="IAA131" s="6"/>
      <c r="IAB131" s="6"/>
      <c r="IAC131" s="6"/>
      <c r="IAD131" s="6"/>
      <c r="IAE131" s="6"/>
      <c r="IAF131" s="6"/>
      <c r="IAG131" s="6"/>
      <c r="IAH131" s="6"/>
      <c r="IAI131" s="6"/>
      <c r="IAJ131" s="6"/>
      <c r="IAK131" s="6"/>
      <c r="IAL131" s="6"/>
      <c r="IAM131" s="6"/>
      <c r="IAN131" s="6"/>
      <c r="IAO131" s="6"/>
      <c r="IAP131" s="6"/>
      <c r="IAQ131" s="6"/>
      <c r="IAR131" s="6"/>
      <c r="IAS131" s="6"/>
      <c r="IAT131" s="6"/>
      <c r="IAU131" s="6"/>
      <c r="IAV131" s="6"/>
      <c r="IAW131" s="6"/>
      <c r="IAX131" s="6"/>
      <c r="IAY131" s="6"/>
      <c r="IAZ131" s="6"/>
      <c r="IBA131" s="6"/>
      <c r="IBB131" s="6"/>
      <c r="IBC131" s="6"/>
      <c r="IBD131" s="6"/>
      <c r="IBE131" s="6"/>
      <c r="IBF131" s="6"/>
      <c r="IBG131" s="6"/>
      <c r="IBH131" s="6"/>
      <c r="IBI131" s="6"/>
      <c r="IBJ131" s="6"/>
      <c r="IBK131" s="6"/>
      <c r="IBL131" s="6"/>
      <c r="IBM131" s="6"/>
      <c r="IBN131" s="6"/>
      <c r="IBO131" s="6"/>
      <c r="IBP131" s="6"/>
      <c r="IBQ131" s="6"/>
      <c r="IBR131" s="6"/>
      <c r="IBS131" s="6"/>
      <c r="IBT131" s="6"/>
      <c r="IBU131" s="6"/>
      <c r="IBV131" s="6"/>
      <c r="IBW131" s="6"/>
      <c r="IBX131" s="6"/>
      <c r="IBY131" s="6"/>
      <c r="IBZ131" s="6"/>
      <c r="ICA131" s="6"/>
      <c r="ICB131" s="6"/>
      <c r="ICC131" s="6"/>
      <c r="ICD131" s="6"/>
      <c r="ICE131" s="6"/>
      <c r="ICF131" s="6"/>
      <c r="ICG131" s="6"/>
      <c r="ICH131" s="6"/>
      <c r="ICI131" s="6"/>
      <c r="ICJ131" s="6"/>
      <c r="ICK131" s="6"/>
      <c r="ICL131" s="6"/>
      <c r="ICM131" s="6"/>
      <c r="ICN131" s="6"/>
      <c r="ICO131" s="6"/>
      <c r="ICP131" s="6"/>
      <c r="ICQ131" s="6"/>
      <c r="ICR131" s="6"/>
      <c r="ICS131" s="6"/>
      <c r="ICT131" s="6"/>
      <c r="ICU131" s="6"/>
      <c r="ICV131" s="6"/>
      <c r="ICW131" s="6"/>
      <c r="ICX131" s="6"/>
      <c r="ICY131" s="6"/>
      <c r="ICZ131" s="6"/>
      <c r="IDA131" s="6"/>
      <c r="IDB131" s="6"/>
      <c r="IDC131" s="6"/>
      <c r="IDD131" s="6"/>
      <c r="IDE131" s="6"/>
      <c r="IDF131" s="6"/>
      <c r="IDG131" s="6"/>
      <c r="IDH131" s="6"/>
      <c r="IDI131" s="6"/>
      <c r="IDJ131" s="6"/>
      <c r="IDK131" s="6"/>
      <c r="IDL131" s="6"/>
      <c r="IDM131" s="6"/>
      <c r="IDN131" s="6"/>
      <c r="IDO131" s="6"/>
      <c r="IDP131" s="6"/>
      <c r="IDQ131" s="6"/>
      <c r="IDR131" s="6"/>
      <c r="IDS131" s="6"/>
      <c r="IDT131" s="6"/>
      <c r="IDU131" s="6"/>
      <c r="IDV131" s="6"/>
      <c r="IDW131" s="6"/>
      <c r="IDX131" s="6"/>
      <c r="IDY131" s="6"/>
      <c r="IDZ131" s="6"/>
      <c r="IEA131" s="6"/>
      <c r="IEB131" s="6"/>
      <c r="IEC131" s="6"/>
      <c r="IED131" s="6"/>
      <c r="IEE131" s="6"/>
      <c r="IEF131" s="6"/>
      <c r="IEG131" s="6"/>
      <c r="IEH131" s="6"/>
      <c r="IEI131" s="6"/>
      <c r="IEJ131" s="6"/>
      <c r="IEK131" s="6"/>
      <c r="IEL131" s="6"/>
      <c r="IEM131" s="6"/>
      <c r="IEN131" s="6"/>
      <c r="IEO131" s="6"/>
      <c r="IEP131" s="6"/>
      <c r="IEQ131" s="6"/>
      <c r="IER131" s="6"/>
      <c r="IES131" s="6"/>
      <c r="IET131" s="6"/>
      <c r="IEU131" s="6"/>
      <c r="IEV131" s="6"/>
      <c r="IEW131" s="6"/>
      <c r="IEX131" s="6"/>
      <c r="IEY131" s="6"/>
      <c r="IEZ131" s="6"/>
      <c r="IFA131" s="6"/>
      <c r="IFB131" s="6"/>
      <c r="IFC131" s="6"/>
      <c r="IFD131" s="6"/>
      <c r="IFE131" s="6"/>
      <c r="IFF131" s="6"/>
      <c r="IFG131" s="6"/>
      <c r="IFH131" s="6"/>
      <c r="IFI131" s="6"/>
      <c r="IFJ131" s="6"/>
      <c r="IFK131" s="6"/>
      <c r="IFL131" s="6"/>
      <c r="IFM131" s="6"/>
      <c r="IFN131" s="6"/>
      <c r="IFO131" s="6"/>
      <c r="IFP131" s="6"/>
      <c r="IFQ131" s="6"/>
      <c r="IFR131" s="6"/>
      <c r="IFS131" s="6"/>
      <c r="IFT131" s="6"/>
      <c r="IFU131" s="6"/>
      <c r="IFV131" s="6"/>
      <c r="IFW131" s="6"/>
      <c r="IFX131" s="6"/>
      <c r="IFY131" s="6"/>
      <c r="IFZ131" s="6"/>
      <c r="IGA131" s="6"/>
      <c r="IGB131" s="6"/>
      <c r="IGC131" s="6"/>
      <c r="IGD131" s="6"/>
      <c r="IGE131" s="6"/>
      <c r="IGF131" s="6"/>
      <c r="IGG131" s="6"/>
      <c r="IGH131" s="6"/>
      <c r="IGI131" s="6"/>
      <c r="IGJ131" s="6"/>
      <c r="IGK131" s="6"/>
      <c r="IGL131" s="6"/>
      <c r="IGM131" s="6"/>
      <c r="IGN131" s="6"/>
      <c r="IGO131" s="6"/>
      <c r="IGP131" s="6"/>
      <c r="IGQ131" s="6"/>
      <c r="IGR131" s="6"/>
      <c r="IGS131" s="6"/>
      <c r="IGT131" s="6"/>
      <c r="IGU131" s="6"/>
      <c r="IGV131" s="6"/>
      <c r="IGW131" s="6"/>
      <c r="IGX131" s="6"/>
      <c r="IGY131" s="6"/>
      <c r="IGZ131" s="6"/>
      <c r="IHA131" s="6"/>
      <c r="IHB131" s="6"/>
      <c r="IHC131" s="6"/>
      <c r="IHD131" s="6"/>
      <c r="IHE131" s="6"/>
      <c r="IHF131" s="6"/>
      <c r="IHG131" s="6"/>
      <c r="IHH131" s="6"/>
      <c r="IHI131" s="6"/>
      <c r="IHJ131" s="6"/>
      <c r="IHK131" s="6"/>
      <c r="IHL131" s="6"/>
      <c r="IHM131" s="6"/>
      <c r="IHN131" s="6"/>
      <c r="IHO131" s="6"/>
      <c r="IHP131" s="6"/>
      <c r="IHQ131" s="6"/>
      <c r="IHR131" s="6"/>
      <c r="IHS131" s="6"/>
      <c r="IHT131" s="6"/>
      <c r="IHU131" s="6"/>
      <c r="IHV131" s="6"/>
      <c r="IHW131" s="6"/>
      <c r="IHX131" s="6"/>
      <c r="IHY131" s="6"/>
      <c r="IHZ131" s="6"/>
      <c r="IIA131" s="6"/>
      <c r="IIB131" s="6"/>
      <c r="IIC131" s="6"/>
      <c r="IID131" s="6"/>
      <c r="IIE131" s="6"/>
      <c r="IIF131" s="6"/>
      <c r="IIG131" s="6"/>
      <c r="IIH131" s="6"/>
      <c r="III131" s="6"/>
      <c r="IIJ131" s="6"/>
      <c r="IIK131" s="6"/>
      <c r="IIL131" s="6"/>
      <c r="IIM131" s="6"/>
      <c r="IIN131" s="6"/>
      <c r="IIO131" s="6"/>
      <c r="IIP131" s="6"/>
      <c r="IIQ131" s="6"/>
      <c r="IIR131" s="6"/>
      <c r="IIS131" s="6"/>
      <c r="IIT131" s="6"/>
      <c r="IIU131" s="6"/>
      <c r="IIV131" s="6"/>
      <c r="IIW131" s="6"/>
      <c r="IIX131" s="6"/>
      <c r="IIY131" s="6"/>
      <c r="IIZ131" s="6"/>
      <c r="IJA131" s="6"/>
      <c r="IJB131" s="6"/>
      <c r="IJC131" s="6"/>
      <c r="IJD131" s="6"/>
      <c r="IJE131" s="6"/>
      <c r="IJF131" s="6"/>
      <c r="IJG131" s="6"/>
      <c r="IJH131" s="6"/>
      <c r="IJI131" s="6"/>
      <c r="IJJ131" s="6"/>
      <c r="IJK131" s="6"/>
      <c r="IJL131" s="6"/>
      <c r="IJM131" s="6"/>
      <c r="IJN131" s="6"/>
      <c r="IJO131" s="6"/>
      <c r="IJP131" s="6"/>
      <c r="IJQ131" s="6"/>
      <c r="IJR131" s="6"/>
      <c r="IJS131" s="6"/>
      <c r="IJT131" s="6"/>
      <c r="IJU131" s="6"/>
      <c r="IJV131" s="6"/>
      <c r="IJW131" s="6"/>
      <c r="IJX131" s="6"/>
      <c r="IJY131" s="6"/>
      <c r="IJZ131" s="6"/>
      <c r="IKA131" s="6"/>
      <c r="IKB131" s="6"/>
      <c r="IKC131" s="6"/>
      <c r="IKD131" s="6"/>
      <c r="IKE131" s="6"/>
      <c r="IKF131" s="6"/>
      <c r="IKG131" s="6"/>
      <c r="IKH131" s="6"/>
      <c r="IKI131" s="6"/>
      <c r="IKJ131" s="6"/>
      <c r="IKK131" s="6"/>
      <c r="IKL131" s="6"/>
      <c r="IKM131" s="6"/>
      <c r="IKN131" s="6"/>
      <c r="IKO131" s="6"/>
      <c r="IKP131" s="6"/>
      <c r="IKQ131" s="6"/>
      <c r="IKR131" s="6"/>
      <c r="IKS131" s="6"/>
      <c r="IKT131" s="6"/>
      <c r="IKU131" s="6"/>
      <c r="IKV131" s="6"/>
      <c r="IKW131" s="6"/>
      <c r="IKX131" s="6"/>
      <c r="IKY131" s="6"/>
      <c r="IKZ131" s="6"/>
      <c r="ILA131" s="6"/>
      <c r="ILB131" s="6"/>
      <c r="ILC131" s="6"/>
      <c r="ILD131" s="6"/>
      <c r="ILE131" s="6"/>
      <c r="ILF131" s="6"/>
      <c r="ILG131" s="6"/>
      <c r="ILH131" s="6"/>
      <c r="ILI131" s="6"/>
      <c r="ILJ131" s="6"/>
      <c r="ILK131" s="6"/>
      <c r="ILL131" s="6"/>
      <c r="ILM131" s="6"/>
      <c r="ILN131" s="6"/>
      <c r="ILO131" s="6"/>
      <c r="ILP131" s="6"/>
      <c r="ILQ131" s="6"/>
      <c r="ILR131" s="6"/>
      <c r="ILS131" s="6"/>
      <c r="ILT131" s="6"/>
      <c r="ILU131" s="6"/>
      <c r="ILV131" s="6"/>
      <c r="ILW131" s="6"/>
      <c r="ILX131" s="6"/>
      <c r="ILY131" s="6"/>
      <c r="ILZ131" s="6"/>
      <c r="IMA131" s="6"/>
      <c r="IMB131" s="6"/>
      <c r="IMC131" s="6"/>
      <c r="IMD131" s="6"/>
      <c r="IME131" s="6"/>
      <c r="IMF131" s="6"/>
      <c r="IMG131" s="6"/>
      <c r="IMH131" s="6"/>
      <c r="IMI131" s="6"/>
      <c r="IMJ131" s="6"/>
      <c r="IMK131" s="6"/>
      <c r="IML131" s="6"/>
      <c r="IMM131" s="6"/>
      <c r="IMN131" s="6"/>
      <c r="IMO131" s="6"/>
      <c r="IMP131" s="6"/>
      <c r="IMQ131" s="6"/>
      <c r="IMR131" s="6"/>
      <c r="IMS131" s="6"/>
      <c r="IMT131" s="6"/>
      <c r="IMU131" s="6"/>
      <c r="IMV131" s="6"/>
      <c r="IMW131" s="6"/>
      <c r="IMX131" s="6"/>
      <c r="IMY131" s="6"/>
      <c r="IMZ131" s="6"/>
      <c r="INA131" s="6"/>
      <c r="INB131" s="6"/>
      <c r="INC131" s="6"/>
      <c r="IND131" s="6"/>
      <c r="INE131" s="6"/>
      <c r="INF131" s="6"/>
      <c r="ING131" s="6"/>
      <c r="INH131" s="6"/>
      <c r="INI131" s="6"/>
      <c r="INJ131" s="6"/>
      <c r="INK131" s="6"/>
      <c r="INL131" s="6"/>
      <c r="INM131" s="6"/>
      <c r="INN131" s="6"/>
      <c r="INO131" s="6"/>
      <c r="INP131" s="6"/>
      <c r="INQ131" s="6"/>
      <c r="INR131" s="6"/>
      <c r="INS131" s="6"/>
      <c r="INT131" s="6"/>
      <c r="INU131" s="6"/>
      <c r="INV131" s="6"/>
      <c r="INW131" s="6"/>
      <c r="INX131" s="6"/>
      <c r="INY131" s="6"/>
      <c r="INZ131" s="6"/>
      <c r="IOA131" s="6"/>
      <c r="IOB131" s="6"/>
      <c r="IOC131" s="6"/>
      <c r="IOD131" s="6"/>
      <c r="IOE131" s="6"/>
      <c r="IOF131" s="6"/>
      <c r="IOG131" s="6"/>
      <c r="IOH131" s="6"/>
      <c r="IOI131" s="6"/>
      <c r="IOJ131" s="6"/>
      <c r="IOK131" s="6"/>
      <c r="IOL131" s="6"/>
      <c r="IOM131" s="6"/>
      <c r="ION131" s="6"/>
      <c r="IOO131" s="6"/>
      <c r="IOP131" s="6"/>
      <c r="IOQ131" s="6"/>
      <c r="IOR131" s="6"/>
      <c r="IOS131" s="6"/>
      <c r="IOT131" s="6"/>
      <c r="IOU131" s="6"/>
      <c r="IOV131" s="6"/>
      <c r="IOW131" s="6"/>
      <c r="IOX131" s="6"/>
      <c r="IOY131" s="6"/>
      <c r="IOZ131" s="6"/>
      <c r="IPA131" s="6"/>
      <c r="IPB131" s="6"/>
      <c r="IPC131" s="6"/>
      <c r="IPD131" s="6"/>
      <c r="IPE131" s="6"/>
      <c r="IPF131" s="6"/>
      <c r="IPG131" s="6"/>
      <c r="IPH131" s="6"/>
      <c r="IPI131" s="6"/>
      <c r="IPJ131" s="6"/>
      <c r="IPK131" s="6"/>
      <c r="IPL131" s="6"/>
      <c r="IPM131" s="6"/>
      <c r="IPN131" s="6"/>
      <c r="IPO131" s="6"/>
      <c r="IPP131" s="6"/>
      <c r="IPQ131" s="6"/>
      <c r="IPR131" s="6"/>
      <c r="IPS131" s="6"/>
      <c r="IPT131" s="6"/>
      <c r="IPU131" s="6"/>
      <c r="IPV131" s="6"/>
      <c r="IPW131" s="6"/>
      <c r="IPX131" s="6"/>
      <c r="IPY131" s="6"/>
      <c r="IPZ131" s="6"/>
      <c r="IQA131" s="6"/>
      <c r="IQB131" s="6"/>
      <c r="IQC131" s="6"/>
      <c r="IQD131" s="6"/>
      <c r="IQE131" s="6"/>
      <c r="IQF131" s="6"/>
      <c r="IQG131" s="6"/>
      <c r="IQH131" s="6"/>
      <c r="IQI131" s="6"/>
      <c r="IQJ131" s="6"/>
      <c r="IQK131" s="6"/>
      <c r="IQL131" s="6"/>
      <c r="IQM131" s="6"/>
      <c r="IQN131" s="6"/>
      <c r="IQO131" s="6"/>
      <c r="IQP131" s="6"/>
      <c r="IQQ131" s="6"/>
      <c r="IQR131" s="6"/>
      <c r="IQS131" s="6"/>
      <c r="IQT131" s="6"/>
      <c r="IQU131" s="6"/>
      <c r="IQV131" s="6"/>
      <c r="IQW131" s="6"/>
      <c r="IQX131" s="6"/>
      <c r="IQY131" s="6"/>
      <c r="IQZ131" s="6"/>
      <c r="IRA131" s="6"/>
      <c r="IRB131" s="6"/>
      <c r="IRC131" s="6"/>
      <c r="IRD131" s="6"/>
      <c r="IRE131" s="6"/>
      <c r="IRF131" s="6"/>
      <c r="IRG131" s="6"/>
      <c r="IRH131" s="6"/>
      <c r="IRI131" s="6"/>
      <c r="IRJ131" s="6"/>
      <c r="IRK131" s="6"/>
      <c r="IRL131" s="6"/>
      <c r="IRM131" s="6"/>
      <c r="IRN131" s="6"/>
      <c r="IRO131" s="6"/>
      <c r="IRP131" s="6"/>
      <c r="IRQ131" s="6"/>
      <c r="IRR131" s="6"/>
      <c r="IRS131" s="6"/>
      <c r="IRT131" s="6"/>
      <c r="IRU131" s="6"/>
      <c r="IRV131" s="6"/>
      <c r="IRW131" s="6"/>
      <c r="IRX131" s="6"/>
      <c r="IRY131" s="6"/>
      <c r="IRZ131" s="6"/>
      <c r="ISA131" s="6"/>
      <c r="ISB131" s="6"/>
      <c r="ISC131" s="6"/>
      <c r="ISD131" s="6"/>
      <c r="ISE131" s="6"/>
      <c r="ISF131" s="6"/>
      <c r="ISG131" s="6"/>
      <c r="ISH131" s="6"/>
      <c r="ISI131" s="6"/>
      <c r="ISJ131" s="6"/>
      <c r="ISK131" s="6"/>
      <c r="ISL131" s="6"/>
      <c r="ISM131" s="6"/>
      <c r="ISN131" s="6"/>
      <c r="ISO131" s="6"/>
      <c r="ISP131" s="6"/>
      <c r="ISQ131" s="6"/>
      <c r="ISR131" s="6"/>
      <c r="ISS131" s="6"/>
      <c r="IST131" s="6"/>
      <c r="ISU131" s="6"/>
      <c r="ISV131" s="6"/>
      <c r="ISW131" s="6"/>
      <c r="ISX131" s="6"/>
      <c r="ISY131" s="6"/>
      <c r="ISZ131" s="6"/>
      <c r="ITA131" s="6"/>
      <c r="ITB131" s="6"/>
      <c r="ITC131" s="6"/>
      <c r="ITD131" s="6"/>
      <c r="ITE131" s="6"/>
      <c r="ITF131" s="6"/>
      <c r="ITG131" s="6"/>
      <c r="ITH131" s="6"/>
      <c r="ITI131" s="6"/>
      <c r="ITJ131" s="6"/>
      <c r="ITK131" s="6"/>
      <c r="ITL131" s="6"/>
      <c r="ITM131" s="6"/>
      <c r="ITN131" s="6"/>
      <c r="ITO131" s="6"/>
      <c r="ITP131" s="6"/>
      <c r="ITQ131" s="6"/>
      <c r="ITR131" s="6"/>
      <c r="ITS131" s="6"/>
      <c r="ITT131" s="6"/>
      <c r="ITU131" s="6"/>
      <c r="ITV131" s="6"/>
      <c r="ITW131" s="6"/>
      <c r="ITX131" s="6"/>
      <c r="ITY131" s="6"/>
      <c r="ITZ131" s="6"/>
      <c r="IUA131" s="6"/>
      <c r="IUB131" s="6"/>
      <c r="IUC131" s="6"/>
      <c r="IUD131" s="6"/>
      <c r="IUE131" s="6"/>
      <c r="IUF131" s="6"/>
      <c r="IUG131" s="6"/>
      <c r="IUH131" s="6"/>
      <c r="IUI131" s="6"/>
      <c r="IUJ131" s="6"/>
      <c r="IUK131" s="6"/>
      <c r="IUL131" s="6"/>
      <c r="IUM131" s="6"/>
      <c r="IUN131" s="6"/>
      <c r="IUO131" s="6"/>
      <c r="IUP131" s="6"/>
      <c r="IUQ131" s="6"/>
      <c r="IUR131" s="6"/>
      <c r="IUS131" s="6"/>
      <c r="IUT131" s="6"/>
      <c r="IUU131" s="6"/>
      <c r="IUV131" s="6"/>
      <c r="IUW131" s="6"/>
      <c r="IUX131" s="6"/>
      <c r="IUY131" s="6"/>
      <c r="IUZ131" s="6"/>
      <c r="IVA131" s="6"/>
      <c r="IVB131" s="6"/>
      <c r="IVC131" s="6"/>
      <c r="IVD131" s="6"/>
      <c r="IVE131" s="6"/>
      <c r="IVF131" s="6"/>
      <c r="IVG131" s="6"/>
      <c r="IVH131" s="6"/>
      <c r="IVI131" s="6"/>
      <c r="IVJ131" s="6"/>
      <c r="IVK131" s="6"/>
      <c r="IVL131" s="6"/>
      <c r="IVM131" s="6"/>
      <c r="IVN131" s="6"/>
      <c r="IVO131" s="6"/>
      <c r="IVP131" s="6"/>
      <c r="IVQ131" s="6"/>
      <c r="IVR131" s="6"/>
      <c r="IVS131" s="6"/>
      <c r="IVT131" s="6"/>
      <c r="IVU131" s="6"/>
      <c r="IVV131" s="6"/>
      <c r="IVW131" s="6"/>
      <c r="IVX131" s="6"/>
      <c r="IVY131" s="6"/>
      <c r="IVZ131" s="6"/>
      <c r="IWA131" s="6"/>
      <c r="IWB131" s="6"/>
      <c r="IWC131" s="6"/>
      <c r="IWD131" s="6"/>
      <c r="IWE131" s="6"/>
      <c r="IWF131" s="6"/>
      <c r="IWG131" s="6"/>
      <c r="IWH131" s="6"/>
      <c r="IWI131" s="6"/>
      <c r="IWJ131" s="6"/>
      <c r="IWK131" s="6"/>
      <c r="IWL131" s="6"/>
      <c r="IWM131" s="6"/>
      <c r="IWN131" s="6"/>
      <c r="IWO131" s="6"/>
      <c r="IWP131" s="6"/>
      <c r="IWQ131" s="6"/>
      <c r="IWR131" s="6"/>
      <c r="IWS131" s="6"/>
      <c r="IWT131" s="6"/>
      <c r="IWU131" s="6"/>
      <c r="IWV131" s="6"/>
      <c r="IWW131" s="6"/>
      <c r="IWX131" s="6"/>
      <c r="IWY131" s="6"/>
      <c r="IWZ131" s="6"/>
      <c r="IXA131" s="6"/>
      <c r="IXB131" s="6"/>
      <c r="IXC131" s="6"/>
      <c r="IXD131" s="6"/>
      <c r="IXE131" s="6"/>
      <c r="IXF131" s="6"/>
      <c r="IXG131" s="6"/>
      <c r="IXH131" s="6"/>
      <c r="IXI131" s="6"/>
      <c r="IXJ131" s="6"/>
      <c r="IXK131" s="6"/>
      <c r="IXL131" s="6"/>
      <c r="IXM131" s="6"/>
      <c r="IXN131" s="6"/>
      <c r="IXO131" s="6"/>
      <c r="IXP131" s="6"/>
      <c r="IXQ131" s="6"/>
      <c r="IXR131" s="6"/>
      <c r="IXS131" s="6"/>
      <c r="IXT131" s="6"/>
      <c r="IXU131" s="6"/>
      <c r="IXV131" s="6"/>
      <c r="IXW131" s="6"/>
      <c r="IXX131" s="6"/>
      <c r="IXY131" s="6"/>
      <c r="IXZ131" s="6"/>
      <c r="IYA131" s="6"/>
      <c r="IYB131" s="6"/>
      <c r="IYC131" s="6"/>
      <c r="IYD131" s="6"/>
      <c r="IYE131" s="6"/>
      <c r="IYF131" s="6"/>
      <c r="IYG131" s="6"/>
      <c r="IYH131" s="6"/>
      <c r="IYI131" s="6"/>
      <c r="IYJ131" s="6"/>
      <c r="IYK131" s="6"/>
      <c r="IYL131" s="6"/>
      <c r="IYM131" s="6"/>
      <c r="IYN131" s="6"/>
      <c r="IYO131" s="6"/>
      <c r="IYP131" s="6"/>
      <c r="IYQ131" s="6"/>
      <c r="IYR131" s="6"/>
      <c r="IYS131" s="6"/>
      <c r="IYT131" s="6"/>
      <c r="IYU131" s="6"/>
      <c r="IYV131" s="6"/>
      <c r="IYW131" s="6"/>
      <c r="IYX131" s="6"/>
      <c r="IYY131" s="6"/>
      <c r="IYZ131" s="6"/>
      <c r="IZA131" s="6"/>
      <c r="IZB131" s="6"/>
      <c r="IZC131" s="6"/>
      <c r="IZD131" s="6"/>
      <c r="IZE131" s="6"/>
      <c r="IZF131" s="6"/>
      <c r="IZG131" s="6"/>
      <c r="IZH131" s="6"/>
      <c r="IZI131" s="6"/>
      <c r="IZJ131" s="6"/>
      <c r="IZK131" s="6"/>
      <c r="IZL131" s="6"/>
      <c r="IZM131" s="6"/>
      <c r="IZN131" s="6"/>
      <c r="IZO131" s="6"/>
      <c r="IZP131" s="6"/>
      <c r="IZQ131" s="6"/>
      <c r="IZR131" s="6"/>
      <c r="IZS131" s="6"/>
      <c r="IZT131" s="6"/>
      <c r="IZU131" s="6"/>
      <c r="IZV131" s="6"/>
      <c r="IZW131" s="6"/>
      <c r="IZX131" s="6"/>
      <c r="IZY131" s="6"/>
      <c r="IZZ131" s="6"/>
      <c r="JAA131" s="6"/>
      <c r="JAB131" s="6"/>
      <c r="JAC131" s="6"/>
      <c r="JAD131" s="6"/>
      <c r="JAE131" s="6"/>
      <c r="JAF131" s="6"/>
      <c r="JAG131" s="6"/>
      <c r="JAH131" s="6"/>
      <c r="JAI131" s="6"/>
      <c r="JAJ131" s="6"/>
      <c r="JAK131" s="6"/>
      <c r="JAL131" s="6"/>
      <c r="JAM131" s="6"/>
      <c r="JAN131" s="6"/>
      <c r="JAO131" s="6"/>
      <c r="JAP131" s="6"/>
      <c r="JAQ131" s="6"/>
      <c r="JAR131" s="6"/>
      <c r="JAS131" s="6"/>
      <c r="JAT131" s="6"/>
      <c r="JAU131" s="6"/>
      <c r="JAV131" s="6"/>
      <c r="JAW131" s="6"/>
      <c r="JAX131" s="6"/>
      <c r="JAY131" s="6"/>
      <c r="JAZ131" s="6"/>
      <c r="JBA131" s="6"/>
      <c r="JBB131" s="6"/>
      <c r="JBC131" s="6"/>
      <c r="JBD131" s="6"/>
      <c r="JBE131" s="6"/>
      <c r="JBF131" s="6"/>
      <c r="JBG131" s="6"/>
      <c r="JBH131" s="6"/>
      <c r="JBI131" s="6"/>
      <c r="JBJ131" s="6"/>
      <c r="JBK131" s="6"/>
      <c r="JBL131" s="6"/>
      <c r="JBM131" s="6"/>
      <c r="JBN131" s="6"/>
      <c r="JBO131" s="6"/>
      <c r="JBP131" s="6"/>
      <c r="JBQ131" s="6"/>
      <c r="JBR131" s="6"/>
      <c r="JBS131" s="6"/>
      <c r="JBT131" s="6"/>
      <c r="JBU131" s="6"/>
      <c r="JBV131" s="6"/>
      <c r="JBW131" s="6"/>
      <c r="JBX131" s="6"/>
      <c r="JBY131" s="6"/>
      <c r="JBZ131" s="6"/>
      <c r="JCA131" s="6"/>
      <c r="JCB131" s="6"/>
      <c r="JCC131" s="6"/>
      <c r="JCD131" s="6"/>
      <c r="JCE131" s="6"/>
      <c r="JCF131" s="6"/>
      <c r="JCG131" s="6"/>
      <c r="JCH131" s="6"/>
      <c r="JCI131" s="6"/>
      <c r="JCJ131" s="6"/>
      <c r="JCK131" s="6"/>
      <c r="JCL131" s="6"/>
      <c r="JCM131" s="6"/>
      <c r="JCN131" s="6"/>
      <c r="JCO131" s="6"/>
      <c r="JCP131" s="6"/>
      <c r="JCQ131" s="6"/>
      <c r="JCR131" s="6"/>
      <c r="JCS131" s="6"/>
      <c r="JCT131" s="6"/>
      <c r="JCU131" s="6"/>
      <c r="JCV131" s="6"/>
      <c r="JCW131" s="6"/>
      <c r="JCX131" s="6"/>
      <c r="JCY131" s="6"/>
      <c r="JCZ131" s="6"/>
      <c r="JDA131" s="6"/>
      <c r="JDB131" s="6"/>
      <c r="JDC131" s="6"/>
      <c r="JDD131" s="6"/>
      <c r="JDE131" s="6"/>
      <c r="JDF131" s="6"/>
      <c r="JDG131" s="6"/>
      <c r="JDH131" s="6"/>
      <c r="JDI131" s="6"/>
      <c r="JDJ131" s="6"/>
      <c r="JDK131" s="6"/>
      <c r="JDL131" s="6"/>
      <c r="JDM131" s="6"/>
      <c r="JDN131" s="6"/>
      <c r="JDO131" s="6"/>
      <c r="JDP131" s="6"/>
      <c r="JDQ131" s="6"/>
      <c r="JDR131" s="6"/>
      <c r="JDS131" s="6"/>
      <c r="JDT131" s="6"/>
      <c r="JDU131" s="6"/>
      <c r="JDV131" s="6"/>
      <c r="JDW131" s="6"/>
      <c r="JDX131" s="6"/>
      <c r="JDY131" s="6"/>
      <c r="JDZ131" s="6"/>
      <c r="JEA131" s="6"/>
      <c r="JEB131" s="6"/>
      <c r="JEC131" s="6"/>
      <c r="JED131" s="6"/>
      <c r="JEE131" s="6"/>
      <c r="JEF131" s="6"/>
      <c r="JEG131" s="6"/>
      <c r="JEH131" s="6"/>
      <c r="JEI131" s="6"/>
      <c r="JEJ131" s="6"/>
      <c r="JEK131" s="6"/>
      <c r="JEL131" s="6"/>
      <c r="JEM131" s="6"/>
      <c r="JEN131" s="6"/>
      <c r="JEO131" s="6"/>
      <c r="JEP131" s="6"/>
      <c r="JEQ131" s="6"/>
      <c r="JER131" s="6"/>
      <c r="JES131" s="6"/>
      <c r="JET131" s="6"/>
      <c r="JEU131" s="6"/>
      <c r="JEV131" s="6"/>
      <c r="JEW131" s="6"/>
      <c r="JEX131" s="6"/>
      <c r="JEY131" s="6"/>
      <c r="JEZ131" s="6"/>
      <c r="JFA131" s="6"/>
      <c r="JFB131" s="6"/>
      <c r="JFC131" s="6"/>
      <c r="JFD131" s="6"/>
      <c r="JFE131" s="6"/>
      <c r="JFF131" s="6"/>
      <c r="JFG131" s="6"/>
      <c r="JFH131" s="6"/>
      <c r="JFI131" s="6"/>
      <c r="JFJ131" s="6"/>
      <c r="JFK131" s="6"/>
      <c r="JFL131" s="6"/>
      <c r="JFM131" s="6"/>
      <c r="JFN131" s="6"/>
      <c r="JFO131" s="6"/>
      <c r="JFP131" s="6"/>
      <c r="JFQ131" s="6"/>
      <c r="JFR131" s="6"/>
      <c r="JFS131" s="6"/>
      <c r="JFT131" s="6"/>
      <c r="JFU131" s="6"/>
      <c r="JFV131" s="6"/>
      <c r="JFW131" s="6"/>
      <c r="JFX131" s="6"/>
      <c r="JFY131" s="6"/>
      <c r="JFZ131" s="6"/>
      <c r="JGA131" s="6"/>
      <c r="JGB131" s="6"/>
      <c r="JGC131" s="6"/>
      <c r="JGD131" s="6"/>
      <c r="JGE131" s="6"/>
      <c r="JGF131" s="6"/>
      <c r="JGG131" s="6"/>
      <c r="JGH131" s="6"/>
      <c r="JGI131" s="6"/>
      <c r="JGJ131" s="6"/>
      <c r="JGK131" s="6"/>
      <c r="JGL131" s="6"/>
      <c r="JGM131" s="6"/>
      <c r="JGN131" s="6"/>
      <c r="JGO131" s="6"/>
      <c r="JGP131" s="6"/>
      <c r="JGQ131" s="6"/>
      <c r="JGR131" s="6"/>
      <c r="JGS131" s="6"/>
      <c r="JGT131" s="6"/>
      <c r="JGU131" s="6"/>
      <c r="JGV131" s="6"/>
      <c r="JGW131" s="6"/>
      <c r="JGX131" s="6"/>
      <c r="JGY131" s="6"/>
      <c r="JGZ131" s="6"/>
      <c r="JHA131" s="6"/>
      <c r="JHB131" s="6"/>
      <c r="JHC131" s="6"/>
      <c r="JHD131" s="6"/>
      <c r="JHE131" s="6"/>
      <c r="JHF131" s="6"/>
      <c r="JHG131" s="6"/>
      <c r="JHH131" s="6"/>
      <c r="JHI131" s="6"/>
      <c r="JHJ131" s="6"/>
      <c r="JHK131" s="6"/>
      <c r="JHL131" s="6"/>
      <c r="JHM131" s="6"/>
      <c r="JHN131" s="6"/>
      <c r="JHO131" s="6"/>
      <c r="JHP131" s="6"/>
      <c r="JHQ131" s="6"/>
      <c r="JHR131" s="6"/>
      <c r="JHS131" s="6"/>
      <c r="JHT131" s="6"/>
      <c r="JHU131" s="6"/>
      <c r="JHV131" s="6"/>
      <c r="JHW131" s="6"/>
      <c r="JHX131" s="6"/>
      <c r="JHY131" s="6"/>
      <c r="JHZ131" s="6"/>
      <c r="JIA131" s="6"/>
      <c r="JIB131" s="6"/>
      <c r="JIC131" s="6"/>
      <c r="JID131" s="6"/>
      <c r="JIE131" s="6"/>
      <c r="JIF131" s="6"/>
      <c r="JIG131" s="6"/>
      <c r="JIH131" s="6"/>
      <c r="JII131" s="6"/>
      <c r="JIJ131" s="6"/>
      <c r="JIK131" s="6"/>
      <c r="JIL131" s="6"/>
      <c r="JIM131" s="6"/>
      <c r="JIN131" s="6"/>
      <c r="JIO131" s="6"/>
      <c r="JIP131" s="6"/>
      <c r="JIQ131" s="6"/>
      <c r="JIR131" s="6"/>
      <c r="JIS131" s="6"/>
      <c r="JIT131" s="6"/>
      <c r="JIU131" s="6"/>
      <c r="JIV131" s="6"/>
      <c r="JIW131" s="6"/>
      <c r="JIX131" s="6"/>
      <c r="JIY131" s="6"/>
      <c r="JIZ131" s="6"/>
      <c r="JJA131" s="6"/>
      <c r="JJB131" s="6"/>
      <c r="JJC131" s="6"/>
      <c r="JJD131" s="6"/>
      <c r="JJE131" s="6"/>
      <c r="JJF131" s="6"/>
      <c r="JJG131" s="6"/>
      <c r="JJH131" s="6"/>
      <c r="JJI131" s="6"/>
      <c r="JJJ131" s="6"/>
      <c r="JJK131" s="6"/>
      <c r="JJL131" s="6"/>
      <c r="JJM131" s="6"/>
      <c r="JJN131" s="6"/>
      <c r="JJO131" s="6"/>
      <c r="JJP131" s="6"/>
      <c r="JJQ131" s="6"/>
      <c r="JJR131" s="6"/>
      <c r="JJS131" s="6"/>
      <c r="JJT131" s="6"/>
      <c r="JJU131" s="6"/>
      <c r="JJV131" s="6"/>
      <c r="JJW131" s="6"/>
      <c r="JJX131" s="6"/>
      <c r="JJY131" s="6"/>
      <c r="JJZ131" s="6"/>
      <c r="JKA131" s="6"/>
      <c r="JKB131" s="6"/>
      <c r="JKC131" s="6"/>
      <c r="JKD131" s="6"/>
      <c r="JKE131" s="6"/>
      <c r="JKF131" s="6"/>
      <c r="JKG131" s="6"/>
      <c r="JKH131" s="6"/>
      <c r="JKI131" s="6"/>
      <c r="JKJ131" s="6"/>
      <c r="JKK131" s="6"/>
      <c r="JKL131" s="6"/>
      <c r="JKM131" s="6"/>
      <c r="JKN131" s="6"/>
      <c r="JKO131" s="6"/>
      <c r="JKP131" s="6"/>
      <c r="JKQ131" s="6"/>
      <c r="JKR131" s="6"/>
      <c r="JKS131" s="6"/>
      <c r="JKT131" s="6"/>
      <c r="JKU131" s="6"/>
      <c r="JKV131" s="6"/>
      <c r="JKW131" s="6"/>
      <c r="JKX131" s="6"/>
      <c r="JKY131" s="6"/>
      <c r="JKZ131" s="6"/>
      <c r="JLA131" s="6"/>
      <c r="JLB131" s="6"/>
      <c r="JLC131" s="6"/>
      <c r="JLD131" s="6"/>
      <c r="JLE131" s="6"/>
      <c r="JLF131" s="6"/>
      <c r="JLG131" s="6"/>
      <c r="JLH131" s="6"/>
      <c r="JLI131" s="6"/>
      <c r="JLJ131" s="6"/>
      <c r="JLK131" s="6"/>
      <c r="JLL131" s="6"/>
      <c r="JLM131" s="6"/>
      <c r="JLN131" s="6"/>
      <c r="JLO131" s="6"/>
      <c r="JLP131" s="6"/>
      <c r="JLQ131" s="6"/>
      <c r="JLR131" s="6"/>
      <c r="JLS131" s="6"/>
      <c r="JLT131" s="6"/>
      <c r="JLU131" s="6"/>
      <c r="JLV131" s="6"/>
      <c r="JLW131" s="6"/>
      <c r="JLX131" s="6"/>
      <c r="JLY131" s="6"/>
      <c r="JLZ131" s="6"/>
      <c r="JMA131" s="6"/>
      <c r="JMB131" s="6"/>
      <c r="JMC131" s="6"/>
      <c r="JMD131" s="6"/>
      <c r="JME131" s="6"/>
      <c r="JMF131" s="6"/>
      <c r="JMG131" s="6"/>
      <c r="JMH131" s="6"/>
      <c r="JMI131" s="6"/>
      <c r="JMJ131" s="6"/>
      <c r="JMK131" s="6"/>
      <c r="JML131" s="6"/>
      <c r="JMM131" s="6"/>
      <c r="JMN131" s="6"/>
      <c r="JMO131" s="6"/>
      <c r="JMP131" s="6"/>
      <c r="JMQ131" s="6"/>
      <c r="JMR131" s="6"/>
      <c r="JMS131" s="6"/>
      <c r="JMT131" s="6"/>
      <c r="JMU131" s="6"/>
      <c r="JMV131" s="6"/>
      <c r="JMW131" s="6"/>
      <c r="JMX131" s="6"/>
      <c r="JMY131" s="6"/>
      <c r="JMZ131" s="6"/>
      <c r="JNA131" s="6"/>
      <c r="JNB131" s="6"/>
      <c r="JNC131" s="6"/>
      <c r="JND131" s="6"/>
      <c r="JNE131" s="6"/>
      <c r="JNF131" s="6"/>
      <c r="JNG131" s="6"/>
      <c r="JNH131" s="6"/>
      <c r="JNI131" s="6"/>
      <c r="JNJ131" s="6"/>
      <c r="JNK131" s="6"/>
      <c r="JNL131" s="6"/>
      <c r="JNM131" s="6"/>
      <c r="JNN131" s="6"/>
      <c r="JNO131" s="6"/>
      <c r="JNP131" s="6"/>
      <c r="JNQ131" s="6"/>
      <c r="JNR131" s="6"/>
      <c r="JNS131" s="6"/>
      <c r="JNT131" s="6"/>
      <c r="JNU131" s="6"/>
      <c r="JNV131" s="6"/>
      <c r="JNW131" s="6"/>
      <c r="JNX131" s="6"/>
      <c r="JNY131" s="6"/>
      <c r="JNZ131" s="6"/>
      <c r="JOA131" s="6"/>
      <c r="JOB131" s="6"/>
      <c r="JOC131" s="6"/>
      <c r="JOD131" s="6"/>
      <c r="JOE131" s="6"/>
      <c r="JOF131" s="6"/>
      <c r="JOG131" s="6"/>
      <c r="JOH131" s="6"/>
      <c r="JOI131" s="6"/>
      <c r="JOJ131" s="6"/>
      <c r="JOK131" s="6"/>
      <c r="JOL131" s="6"/>
      <c r="JOM131" s="6"/>
      <c r="JON131" s="6"/>
      <c r="JOO131" s="6"/>
      <c r="JOP131" s="6"/>
      <c r="JOQ131" s="6"/>
      <c r="JOR131" s="6"/>
      <c r="JOS131" s="6"/>
      <c r="JOT131" s="6"/>
      <c r="JOU131" s="6"/>
      <c r="JOV131" s="6"/>
      <c r="JOW131" s="6"/>
      <c r="JOX131" s="6"/>
      <c r="JOY131" s="6"/>
      <c r="JOZ131" s="6"/>
      <c r="JPA131" s="6"/>
      <c r="JPB131" s="6"/>
      <c r="JPC131" s="6"/>
      <c r="JPD131" s="6"/>
      <c r="JPE131" s="6"/>
      <c r="JPF131" s="6"/>
      <c r="JPG131" s="6"/>
      <c r="JPH131" s="6"/>
      <c r="JPI131" s="6"/>
      <c r="JPJ131" s="6"/>
      <c r="JPK131" s="6"/>
      <c r="JPL131" s="6"/>
      <c r="JPM131" s="6"/>
      <c r="JPN131" s="6"/>
      <c r="JPO131" s="6"/>
      <c r="JPP131" s="6"/>
      <c r="JPQ131" s="6"/>
      <c r="JPR131" s="6"/>
      <c r="JPS131" s="6"/>
      <c r="JPT131" s="6"/>
      <c r="JPU131" s="6"/>
      <c r="JPV131" s="6"/>
      <c r="JPW131" s="6"/>
      <c r="JPX131" s="6"/>
      <c r="JPY131" s="6"/>
      <c r="JPZ131" s="6"/>
      <c r="JQA131" s="6"/>
      <c r="JQB131" s="6"/>
      <c r="JQC131" s="6"/>
      <c r="JQD131" s="6"/>
      <c r="JQE131" s="6"/>
      <c r="JQF131" s="6"/>
      <c r="JQG131" s="6"/>
      <c r="JQH131" s="6"/>
      <c r="JQI131" s="6"/>
      <c r="JQJ131" s="6"/>
      <c r="JQK131" s="6"/>
      <c r="JQL131" s="6"/>
      <c r="JQM131" s="6"/>
      <c r="JQN131" s="6"/>
      <c r="JQO131" s="6"/>
      <c r="JQP131" s="6"/>
      <c r="JQQ131" s="6"/>
      <c r="JQR131" s="6"/>
      <c r="JQS131" s="6"/>
      <c r="JQT131" s="6"/>
      <c r="JQU131" s="6"/>
      <c r="JQV131" s="6"/>
      <c r="JQW131" s="6"/>
      <c r="JQX131" s="6"/>
      <c r="JQY131" s="6"/>
      <c r="JQZ131" s="6"/>
      <c r="JRA131" s="6"/>
      <c r="JRB131" s="6"/>
      <c r="JRC131" s="6"/>
      <c r="JRD131" s="6"/>
      <c r="JRE131" s="6"/>
      <c r="JRF131" s="6"/>
      <c r="JRG131" s="6"/>
      <c r="JRH131" s="6"/>
      <c r="JRI131" s="6"/>
      <c r="JRJ131" s="6"/>
      <c r="JRK131" s="6"/>
      <c r="JRL131" s="6"/>
      <c r="JRM131" s="6"/>
      <c r="JRN131" s="6"/>
      <c r="JRO131" s="6"/>
      <c r="JRP131" s="6"/>
      <c r="JRQ131" s="6"/>
      <c r="JRR131" s="6"/>
      <c r="JRS131" s="6"/>
      <c r="JRT131" s="6"/>
      <c r="JRU131" s="6"/>
      <c r="JRV131" s="6"/>
      <c r="JRW131" s="6"/>
      <c r="JRX131" s="6"/>
      <c r="JRY131" s="6"/>
      <c r="JRZ131" s="6"/>
      <c r="JSA131" s="6"/>
      <c r="JSB131" s="6"/>
      <c r="JSC131" s="6"/>
      <c r="JSD131" s="6"/>
      <c r="JSE131" s="6"/>
      <c r="JSF131" s="6"/>
      <c r="JSG131" s="6"/>
      <c r="JSH131" s="6"/>
      <c r="JSI131" s="6"/>
      <c r="JSJ131" s="6"/>
      <c r="JSK131" s="6"/>
      <c r="JSL131" s="6"/>
      <c r="JSM131" s="6"/>
      <c r="JSN131" s="6"/>
      <c r="JSO131" s="6"/>
      <c r="JSP131" s="6"/>
      <c r="JSQ131" s="6"/>
      <c r="JSR131" s="6"/>
      <c r="JSS131" s="6"/>
      <c r="JST131" s="6"/>
      <c r="JSU131" s="6"/>
      <c r="JSV131" s="6"/>
      <c r="JSW131" s="6"/>
      <c r="JSX131" s="6"/>
      <c r="JSY131" s="6"/>
      <c r="JSZ131" s="6"/>
      <c r="JTA131" s="6"/>
      <c r="JTB131" s="6"/>
      <c r="JTC131" s="6"/>
      <c r="JTD131" s="6"/>
      <c r="JTE131" s="6"/>
      <c r="JTF131" s="6"/>
      <c r="JTG131" s="6"/>
      <c r="JTH131" s="6"/>
      <c r="JTI131" s="6"/>
      <c r="JTJ131" s="6"/>
      <c r="JTK131" s="6"/>
      <c r="JTL131" s="6"/>
      <c r="JTM131" s="6"/>
      <c r="JTN131" s="6"/>
      <c r="JTO131" s="6"/>
      <c r="JTP131" s="6"/>
      <c r="JTQ131" s="6"/>
      <c r="JTR131" s="6"/>
      <c r="JTS131" s="6"/>
      <c r="JTT131" s="6"/>
      <c r="JTU131" s="6"/>
      <c r="JTV131" s="6"/>
      <c r="JTW131" s="6"/>
      <c r="JTX131" s="6"/>
      <c r="JTY131" s="6"/>
      <c r="JTZ131" s="6"/>
      <c r="JUA131" s="6"/>
      <c r="JUB131" s="6"/>
      <c r="JUC131" s="6"/>
      <c r="JUD131" s="6"/>
      <c r="JUE131" s="6"/>
      <c r="JUF131" s="6"/>
      <c r="JUG131" s="6"/>
      <c r="JUH131" s="6"/>
      <c r="JUI131" s="6"/>
      <c r="JUJ131" s="6"/>
      <c r="JUK131" s="6"/>
      <c r="JUL131" s="6"/>
      <c r="JUM131" s="6"/>
      <c r="JUN131" s="6"/>
      <c r="JUO131" s="6"/>
      <c r="JUP131" s="6"/>
      <c r="JUQ131" s="6"/>
      <c r="JUR131" s="6"/>
      <c r="JUS131" s="6"/>
      <c r="JUT131" s="6"/>
      <c r="JUU131" s="6"/>
      <c r="JUV131" s="6"/>
      <c r="JUW131" s="6"/>
      <c r="JUX131" s="6"/>
      <c r="JUY131" s="6"/>
      <c r="JUZ131" s="6"/>
      <c r="JVA131" s="6"/>
      <c r="JVB131" s="6"/>
      <c r="JVC131" s="6"/>
      <c r="JVD131" s="6"/>
      <c r="JVE131" s="6"/>
      <c r="JVF131" s="6"/>
      <c r="JVG131" s="6"/>
      <c r="JVH131" s="6"/>
      <c r="JVI131" s="6"/>
      <c r="JVJ131" s="6"/>
      <c r="JVK131" s="6"/>
      <c r="JVL131" s="6"/>
      <c r="JVM131" s="6"/>
      <c r="JVN131" s="6"/>
      <c r="JVO131" s="6"/>
      <c r="JVP131" s="6"/>
      <c r="JVQ131" s="6"/>
      <c r="JVR131" s="6"/>
      <c r="JVS131" s="6"/>
      <c r="JVT131" s="6"/>
      <c r="JVU131" s="6"/>
      <c r="JVV131" s="6"/>
      <c r="JVW131" s="6"/>
      <c r="JVX131" s="6"/>
      <c r="JVY131" s="6"/>
      <c r="JVZ131" s="6"/>
      <c r="JWA131" s="6"/>
      <c r="JWB131" s="6"/>
      <c r="JWC131" s="6"/>
      <c r="JWD131" s="6"/>
      <c r="JWE131" s="6"/>
      <c r="JWF131" s="6"/>
      <c r="JWG131" s="6"/>
      <c r="JWH131" s="6"/>
      <c r="JWI131" s="6"/>
      <c r="JWJ131" s="6"/>
      <c r="JWK131" s="6"/>
      <c r="JWL131" s="6"/>
      <c r="JWM131" s="6"/>
      <c r="JWN131" s="6"/>
      <c r="JWO131" s="6"/>
      <c r="JWP131" s="6"/>
      <c r="JWQ131" s="6"/>
      <c r="JWR131" s="6"/>
      <c r="JWS131" s="6"/>
      <c r="JWT131" s="6"/>
      <c r="JWU131" s="6"/>
      <c r="JWV131" s="6"/>
      <c r="JWW131" s="6"/>
      <c r="JWX131" s="6"/>
      <c r="JWY131" s="6"/>
      <c r="JWZ131" s="6"/>
      <c r="JXA131" s="6"/>
      <c r="JXB131" s="6"/>
      <c r="JXC131" s="6"/>
      <c r="JXD131" s="6"/>
      <c r="JXE131" s="6"/>
      <c r="JXF131" s="6"/>
      <c r="JXG131" s="6"/>
      <c r="JXH131" s="6"/>
      <c r="JXI131" s="6"/>
      <c r="JXJ131" s="6"/>
      <c r="JXK131" s="6"/>
      <c r="JXL131" s="6"/>
      <c r="JXM131" s="6"/>
      <c r="JXN131" s="6"/>
      <c r="JXO131" s="6"/>
      <c r="JXP131" s="6"/>
      <c r="JXQ131" s="6"/>
      <c r="JXR131" s="6"/>
      <c r="JXS131" s="6"/>
      <c r="JXT131" s="6"/>
      <c r="JXU131" s="6"/>
      <c r="JXV131" s="6"/>
      <c r="JXW131" s="6"/>
      <c r="JXX131" s="6"/>
      <c r="JXY131" s="6"/>
      <c r="JXZ131" s="6"/>
      <c r="JYA131" s="6"/>
      <c r="JYB131" s="6"/>
      <c r="JYC131" s="6"/>
      <c r="JYD131" s="6"/>
      <c r="JYE131" s="6"/>
      <c r="JYF131" s="6"/>
      <c r="JYG131" s="6"/>
      <c r="JYH131" s="6"/>
      <c r="JYI131" s="6"/>
      <c r="JYJ131" s="6"/>
      <c r="JYK131" s="6"/>
      <c r="JYL131" s="6"/>
      <c r="JYM131" s="6"/>
      <c r="JYN131" s="6"/>
      <c r="JYO131" s="6"/>
      <c r="JYP131" s="6"/>
      <c r="JYQ131" s="6"/>
      <c r="JYR131" s="6"/>
      <c r="JYS131" s="6"/>
      <c r="JYT131" s="6"/>
      <c r="JYU131" s="6"/>
      <c r="JYV131" s="6"/>
      <c r="JYW131" s="6"/>
      <c r="JYX131" s="6"/>
      <c r="JYY131" s="6"/>
      <c r="JYZ131" s="6"/>
      <c r="JZA131" s="6"/>
      <c r="JZB131" s="6"/>
      <c r="JZC131" s="6"/>
      <c r="JZD131" s="6"/>
      <c r="JZE131" s="6"/>
      <c r="JZF131" s="6"/>
      <c r="JZG131" s="6"/>
      <c r="JZH131" s="6"/>
      <c r="JZI131" s="6"/>
      <c r="JZJ131" s="6"/>
      <c r="JZK131" s="6"/>
      <c r="JZL131" s="6"/>
      <c r="JZM131" s="6"/>
      <c r="JZN131" s="6"/>
      <c r="JZO131" s="6"/>
      <c r="JZP131" s="6"/>
      <c r="JZQ131" s="6"/>
      <c r="JZR131" s="6"/>
      <c r="JZS131" s="6"/>
      <c r="JZT131" s="6"/>
      <c r="JZU131" s="6"/>
      <c r="JZV131" s="6"/>
      <c r="JZW131" s="6"/>
      <c r="JZX131" s="6"/>
      <c r="JZY131" s="6"/>
      <c r="JZZ131" s="6"/>
      <c r="KAA131" s="6"/>
      <c r="KAB131" s="6"/>
      <c r="KAC131" s="6"/>
      <c r="KAD131" s="6"/>
      <c r="KAE131" s="6"/>
      <c r="KAF131" s="6"/>
      <c r="KAG131" s="6"/>
      <c r="KAH131" s="6"/>
      <c r="KAI131" s="6"/>
      <c r="KAJ131" s="6"/>
      <c r="KAK131" s="6"/>
      <c r="KAL131" s="6"/>
      <c r="KAM131" s="6"/>
      <c r="KAN131" s="6"/>
      <c r="KAO131" s="6"/>
      <c r="KAP131" s="6"/>
      <c r="KAQ131" s="6"/>
      <c r="KAR131" s="6"/>
      <c r="KAS131" s="6"/>
      <c r="KAT131" s="6"/>
      <c r="KAU131" s="6"/>
      <c r="KAV131" s="6"/>
      <c r="KAW131" s="6"/>
      <c r="KAX131" s="6"/>
      <c r="KAY131" s="6"/>
      <c r="KAZ131" s="6"/>
      <c r="KBA131" s="6"/>
      <c r="KBB131" s="6"/>
      <c r="KBC131" s="6"/>
      <c r="KBD131" s="6"/>
      <c r="KBE131" s="6"/>
      <c r="KBF131" s="6"/>
      <c r="KBG131" s="6"/>
      <c r="KBH131" s="6"/>
      <c r="KBI131" s="6"/>
      <c r="KBJ131" s="6"/>
      <c r="KBK131" s="6"/>
      <c r="KBL131" s="6"/>
      <c r="KBM131" s="6"/>
      <c r="KBN131" s="6"/>
      <c r="KBO131" s="6"/>
      <c r="KBP131" s="6"/>
      <c r="KBQ131" s="6"/>
      <c r="KBR131" s="6"/>
      <c r="KBS131" s="6"/>
      <c r="KBT131" s="6"/>
      <c r="KBU131" s="6"/>
      <c r="KBV131" s="6"/>
      <c r="KBW131" s="6"/>
      <c r="KBX131" s="6"/>
      <c r="KBY131" s="6"/>
      <c r="KBZ131" s="6"/>
      <c r="KCA131" s="6"/>
      <c r="KCB131" s="6"/>
      <c r="KCC131" s="6"/>
      <c r="KCD131" s="6"/>
      <c r="KCE131" s="6"/>
      <c r="KCF131" s="6"/>
      <c r="KCG131" s="6"/>
      <c r="KCH131" s="6"/>
      <c r="KCI131" s="6"/>
      <c r="KCJ131" s="6"/>
      <c r="KCK131" s="6"/>
      <c r="KCL131" s="6"/>
      <c r="KCM131" s="6"/>
      <c r="KCN131" s="6"/>
      <c r="KCO131" s="6"/>
      <c r="KCP131" s="6"/>
      <c r="KCQ131" s="6"/>
      <c r="KCR131" s="6"/>
      <c r="KCS131" s="6"/>
      <c r="KCT131" s="6"/>
      <c r="KCU131" s="6"/>
      <c r="KCV131" s="6"/>
      <c r="KCW131" s="6"/>
      <c r="KCX131" s="6"/>
      <c r="KCY131" s="6"/>
      <c r="KCZ131" s="6"/>
      <c r="KDA131" s="6"/>
      <c r="KDB131" s="6"/>
      <c r="KDC131" s="6"/>
      <c r="KDD131" s="6"/>
      <c r="KDE131" s="6"/>
      <c r="KDF131" s="6"/>
      <c r="KDG131" s="6"/>
      <c r="KDH131" s="6"/>
      <c r="KDI131" s="6"/>
      <c r="KDJ131" s="6"/>
      <c r="KDK131" s="6"/>
      <c r="KDL131" s="6"/>
      <c r="KDM131" s="6"/>
      <c r="KDN131" s="6"/>
      <c r="KDO131" s="6"/>
      <c r="KDP131" s="6"/>
      <c r="KDQ131" s="6"/>
      <c r="KDR131" s="6"/>
      <c r="KDS131" s="6"/>
      <c r="KDT131" s="6"/>
      <c r="KDU131" s="6"/>
      <c r="KDV131" s="6"/>
      <c r="KDW131" s="6"/>
      <c r="KDX131" s="6"/>
      <c r="KDY131" s="6"/>
      <c r="KDZ131" s="6"/>
      <c r="KEA131" s="6"/>
      <c r="KEB131" s="6"/>
      <c r="KEC131" s="6"/>
      <c r="KED131" s="6"/>
      <c r="KEE131" s="6"/>
      <c r="KEF131" s="6"/>
      <c r="KEG131" s="6"/>
      <c r="KEH131" s="6"/>
      <c r="KEI131" s="6"/>
      <c r="KEJ131" s="6"/>
      <c r="KEK131" s="6"/>
      <c r="KEL131" s="6"/>
      <c r="KEM131" s="6"/>
      <c r="KEN131" s="6"/>
      <c r="KEO131" s="6"/>
      <c r="KEP131" s="6"/>
      <c r="KEQ131" s="6"/>
      <c r="KER131" s="6"/>
      <c r="KES131" s="6"/>
      <c r="KET131" s="6"/>
      <c r="KEU131" s="6"/>
      <c r="KEV131" s="6"/>
      <c r="KEW131" s="6"/>
      <c r="KEX131" s="6"/>
      <c r="KEY131" s="6"/>
      <c r="KEZ131" s="6"/>
      <c r="KFA131" s="6"/>
      <c r="KFB131" s="6"/>
      <c r="KFC131" s="6"/>
      <c r="KFD131" s="6"/>
      <c r="KFE131" s="6"/>
      <c r="KFF131" s="6"/>
      <c r="KFG131" s="6"/>
      <c r="KFH131" s="6"/>
      <c r="KFI131" s="6"/>
      <c r="KFJ131" s="6"/>
      <c r="KFK131" s="6"/>
      <c r="KFL131" s="6"/>
      <c r="KFM131" s="6"/>
      <c r="KFN131" s="6"/>
      <c r="KFO131" s="6"/>
      <c r="KFP131" s="6"/>
      <c r="KFQ131" s="6"/>
      <c r="KFR131" s="6"/>
      <c r="KFS131" s="6"/>
      <c r="KFT131" s="6"/>
      <c r="KFU131" s="6"/>
      <c r="KFV131" s="6"/>
      <c r="KFW131" s="6"/>
      <c r="KFX131" s="6"/>
      <c r="KFY131" s="6"/>
      <c r="KFZ131" s="6"/>
      <c r="KGA131" s="6"/>
      <c r="KGB131" s="6"/>
      <c r="KGC131" s="6"/>
      <c r="KGD131" s="6"/>
      <c r="KGE131" s="6"/>
      <c r="KGF131" s="6"/>
      <c r="KGG131" s="6"/>
      <c r="KGH131" s="6"/>
      <c r="KGI131" s="6"/>
      <c r="KGJ131" s="6"/>
      <c r="KGK131" s="6"/>
      <c r="KGL131" s="6"/>
      <c r="KGM131" s="6"/>
      <c r="KGN131" s="6"/>
      <c r="KGO131" s="6"/>
      <c r="KGP131" s="6"/>
      <c r="KGQ131" s="6"/>
      <c r="KGR131" s="6"/>
      <c r="KGS131" s="6"/>
      <c r="KGT131" s="6"/>
      <c r="KGU131" s="6"/>
      <c r="KGV131" s="6"/>
      <c r="KGW131" s="6"/>
      <c r="KGX131" s="6"/>
      <c r="KGY131" s="6"/>
      <c r="KGZ131" s="6"/>
      <c r="KHA131" s="6"/>
      <c r="KHB131" s="6"/>
      <c r="KHC131" s="6"/>
      <c r="KHD131" s="6"/>
      <c r="KHE131" s="6"/>
      <c r="KHF131" s="6"/>
      <c r="KHG131" s="6"/>
      <c r="KHH131" s="6"/>
      <c r="KHI131" s="6"/>
      <c r="KHJ131" s="6"/>
      <c r="KHK131" s="6"/>
      <c r="KHL131" s="6"/>
      <c r="KHM131" s="6"/>
      <c r="KHN131" s="6"/>
      <c r="KHO131" s="6"/>
      <c r="KHP131" s="6"/>
      <c r="KHQ131" s="6"/>
      <c r="KHR131" s="6"/>
      <c r="KHS131" s="6"/>
      <c r="KHT131" s="6"/>
      <c r="KHU131" s="6"/>
      <c r="KHV131" s="6"/>
      <c r="KHW131" s="6"/>
      <c r="KHX131" s="6"/>
      <c r="KHY131" s="6"/>
      <c r="KHZ131" s="6"/>
      <c r="KIA131" s="6"/>
      <c r="KIB131" s="6"/>
      <c r="KIC131" s="6"/>
      <c r="KID131" s="6"/>
      <c r="KIE131" s="6"/>
      <c r="KIF131" s="6"/>
      <c r="KIG131" s="6"/>
      <c r="KIH131" s="6"/>
      <c r="KII131" s="6"/>
      <c r="KIJ131" s="6"/>
      <c r="KIK131" s="6"/>
      <c r="KIL131" s="6"/>
      <c r="KIM131" s="6"/>
      <c r="KIN131" s="6"/>
      <c r="KIO131" s="6"/>
      <c r="KIP131" s="6"/>
      <c r="KIQ131" s="6"/>
      <c r="KIR131" s="6"/>
      <c r="KIS131" s="6"/>
      <c r="KIT131" s="6"/>
      <c r="KIU131" s="6"/>
      <c r="KIV131" s="6"/>
      <c r="KIW131" s="6"/>
      <c r="KIX131" s="6"/>
      <c r="KIY131" s="6"/>
      <c r="KIZ131" s="6"/>
      <c r="KJA131" s="6"/>
      <c r="KJB131" s="6"/>
      <c r="KJC131" s="6"/>
      <c r="KJD131" s="6"/>
      <c r="KJE131" s="6"/>
      <c r="KJF131" s="6"/>
      <c r="KJG131" s="6"/>
      <c r="KJH131" s="6"/>
      <c r="KJI131" s="6"/>
      <c r="KJJ131" s="6"/>
      <c r="KJK131" s="6"/>
      <c r="KJL131" s="6"/>
      <c r="KJM131" s="6"/>
      <c r="KJN131" s="6"/>
      <c r="KJO131" s="6"/>
      <c r="KJP131" s="6"/>
      <c r="KJQ131" s="6"/>
      <c r="KJR131" s="6"/>
      <c r="KJS131" s="6"/>
      <c r="KJT131" s="6"/>
      <c r="KJU131" s="6"/>
      <c r="KJV131" s="6"/>
      <c r="KJW131" s="6"/>
      <c r="KJX131" s="6"/>
      <c r="KJY131" s="6"/>
      <c r="KJZ131" s="6"/>
      <c r="KKA131" s="6"/>
      <c r="KKB131" s="6"/>
      <c r="KKC131" s="6"/>
      <c r="KKD131" s="6"/>
      <c r="KKE131" s="6"/>
      <c r="KKF131" s="6"/>
      <c r="KKG131" s="6"/>
      <c r="KKH131" s="6"/>
      <c r="KKI131" s="6"/>
      <c r="KKJ131" s="6"/>
      <c r="KKK131" s="6"/>
      <c r="KKL131" s="6"/>
      <c r="KKM131" s="6"/>
      <c r="KKN131" s="6"/>
      <c r="KKO131" s="6"/>
      <c r="KKP131" s="6"/>
      <c r="KKQ131" s="6"/>
      <c r="KKR131" s="6"/>
      <c r="KKS131" s="6"/>
      <c r="KKT131" s="6"/>
      <c r="KKU131" s="6"/>
      <c r="KKV131" s="6"/>
      <c r="KKW131" s="6"/>
      <c r="KKX131" s="6"/>
      <c r="KKY131" s="6"/>
      <c r="KKZ131" s="6"/>
      <c r="KLA131" s="6"/>
      <c r="KLB131" s="6"/>
      <c r="KLC131" s="6"/>
      <c r="KLD131" s="6"/>
      <c r="KLE131" s="6"/>
      <c r="KLF131" s="6"/>
      <c r="KLG131" s="6"/>
      <c r="KLH131" s="6"/>
      <c r="KLI131" s="6"/>
      <c r="KLJ131" s="6"/>
      <c r="KLK131" s="6"/>
      <c r="KLL131" s="6"/>
      <c r="KLM131" s="6"/>
      <c r="KLN131" s="6"/>
      <c r="KLO131" s="6"/>
      <c r="KLP131" s="6"/>
      <c r="KLQ131" s="6"/>
      <c r="KLR131" s="6"/>
      <c r="KLS131" s="6"/>
      <c r="KLT131" s="6"/>
      <c r="KLU131" s="6"/>
      <c r="KLV131" s="6"/>
      <c r="KLW131" s="6"/>
      <c r="KLX131" s="6"/>
      <c r="KLY131" s="6"/>
      <c r="KLZ131" s="6"/>
      <c r="KMA131" s="6"/>
      <c r="KMB131" s="6"/>
      <c r="KMC131" s="6"/>
      <c r="KMD131" s="6"/>
      <c r="KME131" s="6"/>
      <c r="KMF131" s="6"/>
      <c r="KMG131" s="6"/>
      <c r="KMH131" s="6"/>
      <c r="KMI131" s="6"/>
      <c r="KMJ131" s="6"/>
      <c r="KMK131" s="6"/>
      <c r="KML131" s="6"/>
      <c r="KMM131" s="6"/>
      <c r="KMN131" s="6"/>
      <c r="KMO131" s="6"/>
      <c r="KMP131" s="6"/>
      <c r="KMQ131" s="6"/>
      <c r="KMR131" s="6"/>
      <c r="KMS131" s="6"/>
      <c r="KMT131" s="6"/>
      <c r="KMU131" s="6"/>
      <c r="KMV131" s="6"/>
      <c r="KMW131" s="6"/>
      <c r="KMX131" s="6"/>
      <c r="KMY131" s="6"/>
      <c r="KMZ131" s="6"/>
      <c r="KNA131" s="6"/>
      <c r="KNB131" s="6"/>
      <c r="KNC131" s="6"/>
      <c r="KND131" s="6"/>
      <c r="KNE131" s="6"/>
      <c r="KNF131" s="6"/>
      <c r="KNG131" s="6"/>
      <c r="KNH131" s="6"/>
      <c r="KNI131" s="6"/>
      <c r="KNJ131" s="6"/>
      <c r="KNK131" s="6"/>
      <c r="KNL131" s="6"/>
      <c r="KNM131" s="6"/>
      <c r="KNN131" s="6"/>
      <c r="KNO131" s="6"/>
      <c r="KNP131" s="6"/>
      <c r="KNQ131" s="6"/>
      <c r="KNR131" s="6"/>
      <c r="KNS131" s="6"/>
      <c r="KNT131" s="6"/>
      <c r="KNU131" s="6"/>
      <c r="KNV131" s="6"/>
      <c r="KNW131" s="6"/>
      <c r="KNX131" s="6"/>
      <c r="KNY131" s="6"/>
      <c r="KNZ131" s="6"/>
      <c r="KOA131" s="6"/>
      <c r="KOB131" s="6"/>
      <c r="KOC131" s="6"/>
      <c r="KOD131" s="6"/>
      <c r="KOE131" s="6"/>
      <c r="KOF131" s="6"/>
      <c r="KOG131" s="6"/>
      <c r="KOH131" s="6"/>
      <c r="KOI131" s="6"/>
      <c r="KOJ131" s="6"/>
      <c r="KOK131" s="6"/>
      <c r="KOL131" s="6"/>
      <c r="KOM131" s="6"/>
      <c r="KON131" s="6"/>
      <c r="KOO131" s="6"/>
      <c r="KOP131" s="6"/>
      <c r="KOQ131" s="6"/>
      <c r="KOR131" s="6"/>
      <c r="KOS131" s="6"/>
      <c r="KOT131" s="6"/>
      <c r="KOU131" s="6"/>
      <c r="KOV131" s="6"/>
      <c r="KOW131" s="6"/>
      <c r="KOX131" s="6"/>
      <c r="KOY131" s="6"/>
      <c r="KOZ131" s="6"/>
      <c r="KPA131" s="6"/>
      <c r="KPB131" s="6"/>
      <c r="KPC131" s="6"/>
      <c r="KPD131" s="6"/>
      <c r="KPE131" s="6"/>
      <c r="KPF131" s="6"/>
      <c r="KPG131" s="6"/>
      <c r="KPH131" s="6"/>
      <c r="KPI131" s="6"/>
      <c r="KPJ131" s="6"/>
      <c r="KPK131" s="6"/>
      <c r="KPL131" s="6"/>
      <c r="KPM131" s="6"/>
      <c r="KPN131" s="6"/>
      <c r="KPO131" s="6"/>
      <c r="KPP131" s="6"/>
      <c r="KPQ131" s="6"/>
      <c r="KPR131" s="6"/>
      <c r="KPS131" s="6"/>
      <c r="KPT131" s="6"/>
      <c r="KPU131" s="6"/>
      <c r="KPV131" s="6"/>
      <c r="KPW131" s="6"/>
      <c r="KPX131" s="6"/>
      <c r="KPY131" s="6"/>
      <c r="KPZ131" s="6"/>
      <c r="KQA131" s="6"/>
      <c r="KQB131" s="6"/>
      <c r="KQC131" s="6"/>
      <c r="KQD131" s="6"/>
      <c r="KQE131" s="6"/>
      <c r="KQF131" s="6"/>
      <c r="KQG131" s="6"/>
      <c r="KQH131" s="6"/>
      <c r="KQI131" s="6"/>
      <c r="KQJ131" s="6"/>
      <c r="KQK131" s="6"/>
      <c r="KQL131" s="6"/>
      <c r="KQM131" s="6"/>
      <c r="KQN131" s="6"/>
      <c r="KQO131" s="6"/>
      <c r="KQP131" s="6"/>
      <c r="KQQ131" s="6"/>
      <c r="KQR131" s="6"/>
      <c r="KQS131" s="6"/>
      <c r="KQT131" s="6"/>
      <c r="KQU131" s="6"/>
      <c r="KQV131" s="6"/>
      <c r="KQW131" s="6"/>
      <c r="KQX131" s="6"/>
      <c r="KQY131" s="6"/>
      <c r="KQZ131" s="6"/>
      <c r="KRA131" s="6"/>
      <c r="KRB131" s="6"/>
      <c r="KRC131" s="6"/>
      <c r="KRD131" s="6"/>
      <c r="KRE131" s="6"/>
      <c r="KRF131" s="6"/>
      <c r="KRG131" s="6"/>
      <c r="KRH131" s="6"/>
      <c r="KRI131" s="6"/>
      <c r="KRJ131" s="6"/>
      <c r="KRK131" s="6"/>
      <c r="KRL131" s="6"/>
      <c r="KRM131" s="6"/>
      <c r="KRN131" s="6"/>
      <c r="KRO131" s="6"/>
      <c r="KRP131" s="6"/>
      <c r="KRQ131" s="6"/>
      <c r="KRR131" s="6"/>
      <c r="KRS131" s="6"/>
      <c r="KRT131" s="6"/>
      <c r="KRU131" s="6"/>
      <c r="KRV131" s="6"/>
      <c r="KRW131" s="6"/>
      <c r="KRX131" s="6"/>
      <c r="KRY131" s="6"/>
      <c r="KRZ131" s="6"/>
      <c r="KSA131" s="6"/>
      <c r="KSB131" s="6"/>
      <c r="KSC131" s="6"/>
      <c r="KSD131" s="6"/>
      <c r="KSE131" s="6"/>
      <c r="KSF131" s="6"/>
      <c r="KSG131" s="6"/>
      <c r="KSH131" s="6"/>
      <c r="KSI131" s="6"/>
      <c r="KSJ131" s="6"/>
      <c r="KSK131" s="6"/>
      <c r="KSL131" s="6"/>
      <c r="KSM131" s="6"/>
      <c r="KSN131" s="6"/>
      <c r="KSO131" s="6"/>
      <c r="KSP131" s="6"/>
      <c r="KSQ131" s="6"/>
      <c r="KSR131" s="6"/>
      <c r="KSS131" s="6"/>
      <c r="KST131" s="6"/>
      <c r="KSU131" s="6"/>
      <c r="KSV131" s="6"/>
      <c r="KSW131" s="6"/>
      <c r="KSX131" s="6"/>
      <c r="KSY131" s="6"/>
      <c r="KSZ131" s="6"/>
      <c r="KTA131" s="6"/>
      <c r="KTB131" s="6"/>
      <c r="KTC131" s="6"/>
      <c r="KTD131" s="6"/>
      <c r="KTE131" s="6"/>
      <c r="KTF131" s="6"/>
      <c r="KTG131" s="6"/>
      <c r="KTH131" s="6"/>
      <c r="KTI131" s="6"/>
      <c r="KTJ131" s="6"/>
      <c r="KTK131" s="6"/>
      <c r="KTL131" s="6"/>
      <c r="KTM131" s="6"/>
      <c r="KTN131" s="6"/>
      <c r="KTO131" s="6"/>
      <c r="KTP131" s="6"/>
      <c r="KTQ131" s="6"/>
      <c r="KTR131" s="6"/>
      <c r="KTS131" s="6"/>
      <c r="KTT131" s="6"/>
      <c r="KTU131" s="6"/>
      <c r="KTV131" s="6"/>
      <c r="KTW131" s="6"/>
      <c r="KTX131" s="6"/>
      <c r="KTY131" s="6"/>
      <c r="KTZ131" s="6"/>
      <c r="KUA131" s="6"/>
      <c r="KUB131" s="6"/>
      <c r="KUC131" s="6"/>
      <c r="KUD131" s="6"/>
      <c r="KUE131" s="6"/>
      <c r="KUF131" s="6"/>
      <c r="KUG131" s="6"/>
      <c r="KUH131" s="6"/>
      <c r="KUI131" s="6"/>
      <c r="KUJ131" s="6"/>
      <c r="KUK131" s="6"/>
      <c r="KUL131" s="6"/>
      <c r="KUM131" s="6"/>
      <c r="KUN131" s="6"/>
      <c r="KUO131" s="6"/>
      <c r="KUP131" s="6"/>
      <c r="KUQ131" s="6"/>
      <c r="KUR131" s="6"/>
      <c r="KUS131" s="6"/>
      <c r="KUT131" s="6"/>
      <c r="KUU131" s="6"/>
      <c r="KUV131" s="6"/>
      <c r="KUW131" s="6"/>
      <c r="KUX131" s="6"/>
      <c r="KUY131" s="6"/>
      <c r="KUZ131" s="6"/>
      <c r="KVA131" s="6"/>
      <c r="KVB131" s="6"/>
      <c r="KVC131" s="6"/>
      <c r="KVD131" s="6"/>
      <c r="KVE131" s="6"/>
      <c r="KVF131" s="6"/>
      <c r="KVG131" s="6"/>
      <c r="KVH131" s="6"/>
      <c r="KVI131" s="6"/>
      <c r="KVJ131" s="6"/>
      <c r="KVK131" s="6"/>
      <c r="KVL131" s="6"/>
      <c r="KVM131" s="6"/>
      <c r="KVN131" s="6"/>
      <c r="KVO131" s="6"/>
      <c r="KVP131" s="6"/>
      <c r="KVQ131" s="6"/>
      <c r="KVR131" s="6"/>
      <c r="KVS131" s="6"/>
      <c r="KVT131" s="6"/>
      <c r="KVU131" s="6"/>
      <c r="KVV131" s="6"/>
      <c r="KVW131" s="6"/>
      <c r="KVX131" s="6"/>
      <c r="KVY131" s="6"/>
      <c r="KVZ131" s="6"/>
      <c r="KWA131" s="6"/>
      <c r="KWB131" s="6"/>
      <c r="KWC131" s="6"/>
      <c r="KWD131" s="6"/>
      <c r="KWE131" s="6"/>
      <c r="KWF131" s="6"/>
      <c r="KWG131" s="6"/>
      <c r="KWH131" s="6"/>
      <c r="KWI131" s="6"/>
      <c r="KWJ131" s="6"/>
      <c r="KWK131" s="6"/>
      <c r="KWL131" s="6"/>
      <c r="KWM131" s="6"/>
      <c r="KWN131" s="6"/>
      <c r="KWO131" s="6"/>
      <c r="KWP131" s="6"/>
      <c r="KWQ131" s="6"/>
      <c r="KWR131" s="6"/>
      <c r="KWS131" s="6"/>
      <c r="KWT131" s="6"/>
      <c r="KWU131" s="6"/>
      <c r="KWV131" s="6"/>
      <c r="KWW131" s="6"/>
      <c r="KWX131" s="6"/>
      <c r="KWY131" s="6"/>
      <c r="KWZ131" s="6"/>
      <c r="KXA131" s="6"/>
      <c r="KXB131" s="6"/>
      <c r="KXC131" s="6"/>
      <c r="KXD131" s="6"/>
      <c r="KXE131" s="6"/>
      <c r="KXF131" s="6"/>
      <c r="KXG131" s="6"/>
      <c r="KXH131" s="6"/>
      <c r="KXI131" s="6"/>
      <c r="KXJ131" s="6"/>
      <c r="KXK131" s="6"/>
      <c r="KXL131" s="6"/>
      <c r="KXM131" s="6"/>
      <c r="KXN131" s="6"/>
      <c r="KXO131" s="6"/>
      <c r="KXP131" s="6"/>
      <c r="KXQ131" s="6"/>
      <c r="KXR131" s="6"/>
      <c r="KXS131" s="6"/>
      <c r="KXT131" s="6"/>
      <c r="KXU131" s="6"/>
      <c r="KXV131" s="6"/>
      <c r="KXW131" s="6"/>
      <c r="KXX131" s="6"/>
      <c r="KXY131" s="6"/>
      <c r="KXZ131" s="6"/>
      <c r="KYA131" s="6"/>
      <c r="KYB131" s="6"/>
      <c r="KYC131" s="6"/>
      <c r="KYD131" s="6"/>
      <c r="KYE131" s="6"/>
      <c r="KYF131" s="6"/>
      <c r="KYG131" s="6"/>
      <c r="KYH131" s="6"/>
      <c r="KYI131" s="6"/>
      <c r="KYJ131" s="6"/>
      <c r="KYK131" s="6"/>
      <c r="KYL131" s="6"/>
      <c r="KYM131" s="6"/>
      <c r="KYN131" s="6"/>
      <c r="KYO131" s="6"/>
      <c r="KYP131" s="6"/>
      <c r="KYQ131" s="6"/>
      <c r="KYR131" s="6"/>
      <c r="KYS131" s="6"/>
      <c r="KYT131" s="6"/>
      <c r="KYU131" s="6"/>
      <c r="KYV131" s="6"/>
      <c r="KYW131" s="6"/>
      <c r="KYX131" s="6"/>
      <c r="KYY131" s="6"/>
      <c r="KYZ131" s="6"/>
      <c r="KZA131" s="6"/>
      <c r="KZB131" s="6"/>
      <c r="KZC131" s="6"/>
      <c r="KZD131" s="6"/>
      <c r="KZE131" s="6"/>
      <c r="KZF131" s="6"/>
      <c r="KZG131" s="6"/>
      <c r="KZH131" s="6"/>
      <c r="KZI131" s="6"/>
      <c r="KZJ131" s="6"/>
      <c r="KZK131" s="6"/>
      <c r="KZL131" s="6"/>
      <c r="KZM131" s="6"/>
      <c r="KZN131" s="6"/>
      <c r="KZO131" s="6"/>
      <c r="KZP131" s="6"/>
      <c r="KZQ131" s="6"/>
      <c r="KZR131" s="6"/>
      <c r="KZS131" s="6"/>
      <c r="KZT131" s="6"/>
      <c r="KZU131" s="6"/>
      <c r="KZV131" s="6"/>
      <c r="KZW131" s="6"/>
      <c r="KZX131" s="6"/>
      <c r="KZY131" s="6"/>
      <c r="KZZ131" s="6"/>
      <c r="LAA131" s="6"/>
      <c r="LAB131" s="6"/>
      <c r="LAC131" s="6"/>
      <c r="LAD131" s="6"/>
      <c r="LAE131" s="6"/>
      <c r="LAF131" s="6"/>
      <c r="LAG131" s="6"/>
      <c r="LAH131" s="6"/>
      <c r="LAI131" s="6"/>
      <c r="LAJ131" s="6"/>
      <c r="LAK131" s="6"/>
      <c r="LAL131" s="6"/>
      <c r="LAM131" s="6"/>
      <c r="LAN131" s="6"/>
      <c r="LAO131" s="6"/>
      <c r="LAP131" s="6"/>
      <c r="LAQ131" s="6"/>
      <c r="LAR131" s="6"/>
      <c r="LAS131" s="6"/>
      <c r="LAT131" s="6"/>
      <c r="LAU131" s="6"/>
      <c r="LAV131" s="6"/>
      <c r="LAW131" s="6"/>
      <c r="LAX131" s="6"/>
      <c r="LAY131" s="6"/>
      <c r="LAZ131" s="6"/>
      <c r="LBA131" s="6"/>
      <c r="LBB131" s="6"/>
      <c r="LBC131" s="6"/>
      <c r="LBD131" s="6"/>
      <c r="LBE131" s="6"/>
      <c r="LBF131" s="6"/>
      <c r="LBG131" s="6"/>
      <c r="LBH131" s="6"/>
      <c r="LBI131" s="6"/>
      <c r="LBJ131" s="6"/>
      <c r="LBK131" s="6"/>
      <c r="LBL131" s="6"/>
      <c r="LBM131" s="6"/>
      <c r="LBN131" s="6"/>
      <c r="LBO131" s="6"/>
      <c r="LBP131" s="6"/>
      <c r="LBQ131" s="6"/>
      <c r="LBR131" s="6"/>
      <c r="LBS131" s="6"/>
      <c r="LBT131" s="6"/>
      <c r="LBU131" s="6"/>
      <c r="LBV131" s="6"/>
      <c r="LBW131" s="6"/>
      <c r="LBX131" s="6"/>
      <c r="LBY131" s="6"/>
      <c r="LBZ131" s="6"/>
      <c r="LCA131" s="6"/>
      <c r="LCB131" s="6"/>
      <c r="LCC131" s="6"/>
      <c r="LCD131" s="6"/>
      <c r="LCE131" s="6"/>
      <c r="LCF131" s="6"/>
      <c r="LCG131" s="6"/>
      <c r="LCH131" s="6"/>
      <c r="LCI131" s="6"/>
      <c r="LCJ131" s="6"/>
      <c r="LCK131" s="6"/>
      <c r="LCL131" s="6"/>
      <c r="LCM131" s="6"/>
      <c r="LCN131" s="6"/>
      <c r="LCO131" s="6"/>
      <c r="LCP131" s="6"/>
      <c r="LCQ131" s="6"/>
      <c r="LCR131" s="6"/>
      <c r="LCS131" s="6"/>
      <c r="LCT131" s="6"/>
      <c r="LCU131" s="6"/>
      <c r="LCV131" s="6"/>
      <c r="LCW131" s="6"/>
      <c r="LCX131" s="6"/>
      <c r="LCY131" s="6"/>
      <c r="LCZ131" s="6"/>
      <c r="LDA131" s="6"/>
      <c r="LDB131" s="6"/>
      <c r="LDC131" s="6"/>
      <c r="LDD131" s="6"/>
      <c r="LDE131" s="6"/>
      <c r="LDF131" s="6"/>
      <c r="LDG131" s="6"/>
      <c r="LDH131" s="6"/>
      <c r="LDI131" s="6"/>
      <c r="LDJ131" s="6"/>
      <c r="LDK131" s="6"/>
      <c r="LDL131" s="6"/>
      <c r="LDM131" s="6"/>
      <c r="LDN131" s="6"/>
      <c r="LDO131" s="6"/>
      <c r="LDP131" s="6"/>
      <c r="LDQ131" s="6"/>
      <c r="LDR131" s="6"/>
      <c r="LDS131" s="6"/>
      <c r="LDT131" s="6"/>
      <c r="LDU131" s="6"/>
      <c r="LDV131" s="6"/>
      <c r="LDW131" s="6"/>
      <c r="LDX131" s="6"/>
      <c r="LDY131" s="6"/>
      <c r="LDZ131" s="6"/>
      <c r="LEA131" s="6"/>
      <c r="LEB131" s="6"/>
      <c r="LEC131" s="6"/>
      <c r="LED131" s="6"/>
      <c r="LEE131" s="6"/>
      <c r="LEF131" s="6"/>
      <c r="LEG131" s="6"/>
      <c r="LEH131" s="6"/>
      <c r="LEI131" s="6"/>
      <c r="LEJ131" s="6"/>
      <c r="LEK131" s="6"/>
      <c r="LEL131" s="6"/>
      <c r="LEM131" s="6"/>
      <c r="LEN131" s="6"/>
      <c r="LEO131" s="6"/>
      <c r="LEP131" s="6"/>
      <c r="LEQ131" s="6"/>
      <c r="LER131" s="6"/>
      <c r="LES131" s="6"/>
      <c r="LET131" s="6"/>
      <c r="LEU131" s="6"/>
      <c r="LEV131" s="6"/>
      <c r="LEW131" s="6"/>
      <c r="LEX131" s="6"/>
      <c r="LEY131" s="6"/>
      <c r="LEZ131" s="6"/>
      <c r="LFA131" s="6"/>
      <c r="LFB131" s="6"/>
      <c r="LFC131" s="6"/>
      <c r="LFD131" s="6"/>
      <c r="LFE131" s="6"/>
      <c r="LFF131" s="6"/>
      <c r="LFG131" s="6"/>
      <c r="LFH131" s="6"/>
      <c r="LFI131" s="6"/>
      <c r="LFJ131" s="6"/>
      <c r="LFK131" s="6"/>
      <c r="LFL131" s="6"/>
      <c r="LFM131" s="6"/>
      <c r="LFN131" s="6"/>
      <c r="LFO131" s="6"/>
      <c r="LFP131" s="6"/>
      <c r="LFQ131" s="6"/>
      <c r="LFR131" s="6"/>
      <c r="LFS131" s="6"/>
      <c r="LFT131" s="6"/>
      <c r="LFU131" s="6"/>
      <c r="LFV131" s="6"/>
      <c r="LFW131" s="6"/>
      <c r="LFX131" s="6"/>
      <c r="LFY131" s="6"/>
      <c r="LFZ131" s="6"/>
      <c r="LGA131" s="6"/>
      <c r="LGB131" s="6"/>
      <c r="LGC131" s="6"/>
      <c r="LGD131" s="6"/>
      <c r="LGE131" s="6"/>
      <c r="LGF131" s="6"/>
      <c r="LGG131" s="6"/>
      <c r="LGH131" s="6"/>
      <c r="LGI131" s="6"/>
      <c r="LGJ131" s="6"/>
      <c r="LGK131" s="6"/>
      <c r="LGL131" s="6"/>
      <c r="LGM131" s="6"/>
      <c r="LGN131" s="6"/>
      <c r="LGO131" s="6"/>
      <c r="LGP131" s="6"/>
      <c r="LGQ131" s="6"/>
      <c r="LGR131" s="6"/>
      <c r="LGS131" s="6"/>
      <c r="LGT131" s="6"/>
      <c r="LGU131" s="6"/>
      <c r="LGV131" s="6"/>
      <c r="LGW131" s="6"/>
      <c r="LGX131" s="6"/>
      <c r="LGY131" s="6"/>
      <c r="LGZ131" s="6"/>
      <c r="LHA131" s="6"/>
      <c r="LHB131" s="6"/>
      <c r="LHC131" s="6"/>
      <c r="LHD131" s="6"/>
      <c r="LHE131" s="6"/>
      <c r="LHF131" s="6"/>
      <c r="LHG131" s="6"/>
      <c r="LHH131" s="6"/>
      <c r="LHI131" s="6"/>
      <c r="LHJ131" s="6"/>
      <c r="LHK131" s="6"/>
      <c r="LHL131" s="6"/>
      <c r="LHM131" s="6"/>
      <c r="LHN131" s="6"/>
      <c r="LHO131" s="6"/>
      <c r="LHP131" s="6"/>
      <c r="LHQ131" s="6"/>
      <c r="LHR131" s="6"/>
      <c r="LHS131" s="6"/>
      <c r="LHT131" s="6"/>
      <c r="LHU131" s="6"/>
      <c r="LHV131" s="6"/>
      <c r="LHW131" s="6"/>
      <c r="LHX131" s="6"/>
      <c r="LHY131" s="6"/>
      <c r="LHZ131" s="6"/>
      <c r="LIA131" s="6"/>
      <c r="LIB131" s="6"/>
      <c r="LIC131" s="6"/>
      <c r="LID131" s="6"/>
      <c r="LIE131" s="6"/>
      <c r="LIF131" s="6"/>
      <c r="LIG131" s="6"/>
      <c r="LIH131" s="6"/>
      <c r="LII131" s="6"/>
      <c r="LIJ131" s="6"/>
      <c r="LIK131" s="6"/>
      <c r="LIL131" s="6"/>
      <c r="LIM131" s="6"/>
      <c r="LIN131" s="6"/>
      <c r="LIO131" s="6"/>
      <c r="LIP131" s="6"/>
      <c r="LIQ131" s="6"/>
      <c r="LIR131" s="6"/>
      <c r="LIS131" s="6"/>
      <c r="LIT131" s="6"/>
      <c r="LIU131" s="6"/>
      <c r="LIV131" s="6"/>
      <c r="LIW131" s="6"/>
      <c r="LIX131" s="6"/>
      <c r="LIY131" s="6"/>
      <c r="LIZ131" s="6"/>
      <c r="LJA131" s="6"/>
      <c r="LJB131" s="6"/>
      <c r="LJC131" s="6"/>
      <c r="LJD131" s="6"/>
      <c r="LJE131" s="6"/>
      <c r="LJF131" s="6"/>
      <c r="LJG131" s="6"/>
      <c r="LJH131" s="6"/>
      <c r="LJI131" s="6"/>
      <c r="LJJ131" s="6"/>
      <c r="LJK131" s="6"/>
      <c r="LJL131" s="6"/>
      <c r="LJM131" s="6"/>
      <c r="LJN131" s="6"/>
      <c r="LJO131" s="6"/>
      <c r="LJP131" s="6"/>
      <c r="LJQ131" s="6"/>
      <c r="LJR131" s="6"/>
      <c r="LJS131" s="6"/>
      <c r="LJT131" s="6"/>
      <c r="LJU131" s="6"/>
      <c r="LJV131" s="6"/>
      <c r="LJW131" s="6"/>
      <c r="LJX131" s="6"/>
      <c r="LJY131" s="6"/>
      <c r="LJZ131" s="6"/>
      <c r="LKA131" s="6"/>
      <c r="LKB131" s="6"/>
      <c r="LKC131" s="6"/>
      <c r="LKD131" s="6"/>
      <c r="LKE131" s="6"/>
      <c r="LKF131" s="6"/>
      <c r="LKG131" s="6"/>
      <c r="LKH131" s="6"/>
      <c r="LKI131" s="6"/>
      <c r="LKJ131" s="6"/>
      <c r="LKK131" s="6"/>
      <c r="LKL131" s="6"/>
      <c r="LKM131" s="6"/>
      <c r="LKN131" s="6"/>
      <c r="LKO131" s="6"/>
      <c r="LKP131" s="6"/>
      <c r="LKQ131" s="6"/>
      <c r="LKR131" s="6"/>
      <c r="LKS131" s="6"/>
      <c r="LKT131" s="6"/>
      <c r="LKU131" s="6"/>
      <c r="LKV131" s="6"/>
      <c r="LKW131" s="6"/>
      <c r="LKX131" s="6"/>
      <c r="LKY131" s="6"/>
      <c r="LKZ131" s="6"/>
      <c r="LLA131" s="6"/>
      <c r="LLB131" s="6"/>
      <c r="LLC131" s="6"/>
      <c r="LLD131" s="6"/>
      <c r="LLE131" s="6"/>
      <c r="LLF131" s="6"/>
      <c r="LLG131" s="6"/>
      <c r="LLH131" s="6"/>
      <c r="LLI131" s="6"/>
      <c r="LLJ131" s="6"/>
      <c r="LLK131" s="6"/>
      <c r="LLL131" s="6"/>
      <c r="LLM131" s="6"/>
      <c r="LLN131" s="6"/>
      <c r="LLO131" s="6"/>
      <c r="LLP131" s="6"/>
      <c r="LLQ131" s="6"/>
      <c r="LLR131" s="6"/>
      <c r="LLS131" s="6"/>
      <c r="LLT131" s="6"/>
      <c r="LLU131" s="6"/>
      <c r="LLV131" s="6"/>
      <c r="LLW131" s="6"/>
      <c r="LLX131" s="6"/>
      <c r="LLY131" s="6"/>
      <c r="LLZ131" s="6"/>
      <c r="LMA131" s="6"/>
      <c r="LMB131" s="6"/>
      <c r="LMC131" s="6"/>
      <c r="LMD131" s="6"/>
      <c r="LME131" s="6"/>
      <c r="LMF131" s="6"/>
      <c r="LMG131" s="6"/>
      <c r="LMH131" s="6"/>
      <c r="LMI131" s="6"/>
      <c r="LMJ131" s="6"/>
      <c r="LMK131" s="6"/>
      <c r="LML131" s="6"/>
      <c r="LMM131" s="6"/>
      <c r="LMN131" s="6"/>
      <c r="LMO131" s="6"/>
      <c r="LMP131" s="6"/>
      <c r="LMQ131" s="6"/>
      <c r="LMR131" s="6"/>
      <c r="LMS131" s="6"/>
      <c r="LMT131" s="6"/>
      <c r="LMU131" s="6"/>
      <c r="LMV131" s="6"/>
      <c r="LMW131" s="6"/>
      <c r="LMX131" s="6"/>
      <c r="LMY131" s="6"/>
      <c r="LMZ131" s="6"/>
      <c r="LNA131" s="6"/>
      <c r="LNB131" s="6"/>
      <c r="LNC131" s="6"/>
      <c r="LND131" s="6"/>
      <c r="LNE131" s="6"/>
      <c r="LNF131" s="6"/>
      <c r="LNG131" s="6"/>
      <c r="LNH131" s="6"/>
      <c r="LNI131" s="6"/>
      <c r="LNJ131" s="6"/>
      <c r="LNK131" s="6"/>
      <c r="LNL131" s="6"/>
      <c r="LNM131" s="6"/>
      <c r="LNN131" s="6"/>
      <c r="LNO131" s="6"/>
      <c r="LNP131" s="6"/>
      <c r="LNQ131" s="6"/>
      <c r="LNR131" s="6"/>
      <c r="LNS131" s="6"/>
      <c r="LNT131" s="6"/>
      <c r="LNU131" s="6"/>
      <c r="LNV131" s="6"/>
      <c r="LNW131" s="6"/>
      <c r="LNX131" s="6"/>
      <c r="LNY131" s="6"/>
      <c r="LNZ131" s="6"/>
      <c r="LOA131" s="6"/>
      <c r="LOB131" s="6"/>
      <c r="LOC131" s="6"/>
      <c r="LOD131" s="6"/>
      <c r="LOE131" s="6"/>
      <c r="LOF131" s="6"/>
      <c r="LOG131" s="6"/>
      <c r="LOH131" s="6"/>
      <c r="LOI131" s="6"/>
      <c r="LOJ131" s="6"/>
      <c r="LOK131" s="6"/>
      <c r="LOL131" s="6"/>
      <c r="LOM131" s="6"/>
      <c r="LON131" s="6"/>
      <c r="LOO131" s="6"/>
      <c r="LOP131" s="6"/>
      <c r="LOQ131" s="6"/>
      <c r="LOR131" s="6"/>
      <c r="LOS131" s="6"/>
      <c r="LOT131" s="6"/>
      <c r="LOU131" s="6"/>
      <c r="LOV131" s="6"/>
      <c r="LOW131" s="6"/>
      <c r="LOX131" s="6"/>
      <c r="LOY131" s="6"/>
      <c r="LOZ131" s="6"/>
      <c r="LPA131" s="6"/>
      <c r="LPB131" s="6"/>
      <c r="LPC131" s="6"/>
      <c r="LPD131" s="6"/>
      <c r="LPE131" s="6"/>
      <c r="LPF131" s="6"/>
      <c r="LPG131" s="6"/>
      <c r="LPH131" s="6"/>
      <c r="LPI131" s="6"/>
      <c r="LPJ131" s="6"/>
      <c r="LPK131" s="6"/>
      <c r="LPL131" s="6"/>
      <c r="LPM131" s="6"/>
      <c r="LPN131" s="6"/>
      <c r="LPO131" s="6"/>
      <c r="LPP131" s="6"/>
      <c r="LPQ131" s="6"/>
      <c r="LPR131" s="6"/>
      <c r="LPS131" s="6"/>
      <c r="LPT131" s="6"/>
      <c r="LPU131" s="6"/>
      <c r="LPV131" s="6"/>
      <c r="LPW131" s="6"/>
      <c r="LPX131" s="6"/>
      <c r="LPY131" s="6"/>
      <c r="LPZ131" s="6"/>
      <c r="LQA131" s="6"/>
      <c r="LQB131" s="6"/>
      <c r="LQC131" s="6"/>
      <c r="LQD131" s="6"/>
      <c r="LQE131" s="6"/>
      <c r="LQF131" s="6"/>
      <c r="LQG131" s="6"/>
      <c r="LQH131" s="6"/>
      <c r="LQI131" s="6"/>
      <c r="LQJ131" s="6"/>
      <c r="LQK131" s="6"/>
      <c r="LQL131" s="6"/>
      <c r="LQM131" s="6"/>
      <c r="LQN131" s="6"/>
      <c r="LQO131" s="6"/>
      <c r="LQP131" s="6"/>
      <c r="LQQ131" s="6"/>
      <c r="LQR131" s="6"/>
      <c r="LQS131" s="6"/>
      <c r="LQT131" s="6"/>
      <c r="LQU131" s="6"/>
      <c r="LQV131" s="6"/>
      <c r="LQW131" s="6"/>
      <c r="LQX131" s="6"/>
      <c r="LQY131" s="6"/>
      <c r="LQZ131" s="6"/>
      <c r="LRA131" s="6"/>
      <c r="LRB131" s="6"/>
      <c r="LRC131" s="6"/>
      <c r="LRD131" s="6"/>
      <c r="LRE131" s="6"/>
      <c r="LRF131" s="6"/>
      <c r="LRG131" s="6"/>
      <c r="LRH131" s="6"/>
      <c r="LRI131" s="6"/>
      <c r="LRJ131" s="6"/>
      <c r="LRK131" s="6"/>
      <c r="LRL131" s="6"/>
      <c r="LRM131" s="6"/>
      <c r="LRN131" s="6"/>
      <c r="LRO131" s="6"/>
      <c r="LRP131" s="6"/>
      <c r="LRQ131" s="6"/>
      <c r="LRR131" s="6"/>
      <c r="LRS131" s="6"/>
      <c r="LRT131" s="6"/>
      <c r="LRU131" s="6"/>
      <c r="LRV131" s="6"/>
      <c r="LRW131" s="6"/>
      <c r="LRX131" s="6"/>
      <c r="LRY131" s="6"/>
      <c r="LRZ131" s="6"/>
      <c r="LSA131" s="6"/>
      <c r="LSB131" s="6"/>
      <c r="LSC131" s="6"/>
      <c r="LSD131" s="6"/>
      <c r="LSE131" s="6"/>
      <c r="LSF131" s="6"/>
      <c r="LSG131" s="6"/>
      <c r="LSH131" s="6"/>
      <c r="LSI131" s="6"/>
      <c r="LSJ131" s="6"/>
      <c r="LSK131" s="6"/>
      <c r="LSL131" s="6"/>
      <c r="LSM131" s="6"/>
      <c r="LSN131" s="6"/>
      <c r="LSO131" s="6"/>
      <c r="LSP131" s="6"/>
      <c r="LSQ131" s="6"/>
      <c r="LSR131" s="6"/>
      <c r="LSS131" s="6"/>
      <c r="LST131" s="6"/>
      <c r="LSU131" s="6"/>
      <c r="LSV131" s="6"/>
      <c r="LSW131" s="6"/>
      <c r="LSX131" s="6"/>
      <c r="LSY131" s="6"/>
      <c r="LSZ131" s="6"/>
      <c r="LTA131" s="6"/>
      <c r="LTB131" s="6"/>
      <c r="LTC131" s="6"/>
      <c r="LTD131" s="6"/>
      <c r="LTE131" s="6"/>
      <c r="LTF131" s="6"/>
      <c r="LTG131" s="6"/>
      <c r="LTH131" s="6"/>
      <c r="LTI131" s="6"/>
      <c r="LTJ131" s="6"/>
      <c r="LTK131" s="6"/>
      <c r="LTL131" s="6"/>
      <c r="LTM131" s="6"/>
      <c r="LTN131" s="6"/>
      <c r="LTO131" s="6"/>
      <c r="LTP131" s="6"/>
      <c r="LTQ131" s="6"/>
      <c r="LTR131" s="6"/>
      <c r="LTS131" s="6"/>
      <c r="LTT131" s="6"/>
      <c r="LTU131" s="6"/>
      <c r="LTV131" s="6"/>
      <c r="LTW131" s="6"/>
      <c r="LTX131" s="6"/>
      <c r="LTY131" s="6"/>
      <c r="LTZ131" s="6"/>
      <c r="LUA131" s="6"/>
      <c r="LUB131" s="6"/>
      <c r="LUC131" s="6"/>
      <c r="LUD131" s="6"/>
      <c r="LUE131" s="6"/>
      <c r="LUF131" s="6"/>
      <c r="LUG131" s="6"/>
      <c r="LUH131" s="6"/>
      <c r="LUI131" s="6"/>
      <c r="LUJ131" s="6"/>
      <c r="LUK131" s="6"/>
      <c r="LUL131" s="6"/>
      <c r="LUM131" s="6"/>
      <c r="LUN131" s="6"/>
      <c r="LUO131" s="6"/>
      <c r="LUP131" s="6"/>
      <c r="LUQ131" s="6"/>
      <c r="LUR131" s="6"/>
      <c r="LUS131" s="6"/>
      <c r="LUT131" s="6"/>
      <c r="LUU131" s="6"/>
      <c r="LUV131" s="6"/>
      <c r="LUW131" s="6"/>
      <c r="LUX131" s="6"/>
      <c r="LUY131" s="6"/>
      <c r="LUZ131" s="6"/>
      <c r="LVA131" s="6"/>
      <c r="LVB131" s="6"/>
      <c r="LVC131" s="6"/>
      <c r="LVD131" s="6"/>
      <c r="LVE131" s="6"/>
      <c r="LVF131" s="6"/>
      <c r="LVG131" s="6"/>
      <c r="LVH131" s="6"/>
      <c r="LVI131" s="6"/>
      <c r="LVJ131" s="6"/>
      <c r="LVK131" s="6"/>
      <c r="LVL131" s="6"/>
      <c r="LVM131" s="6"/>
      <c r="LVN131" s="6"/>
      <c r="LVO131" s="6"/>
      <c r="LVP131" s="6"/>
      <c r="LVQ131" s="6"/>
      <c r="LVR131" s="6"/>
      <c r="LVS131" s="6"/>
      <c r="LVT131" s="6"/>
      <c r="LVU131" s="6"/>
      <c r="LVV131" s="6"/>
      <c r="LVW131" s="6"/>
      <c r="LVX131" s="6"/>
      <c r="LVY131" s="6"/>
      <c r="LVZ131" s="6"/>
      <c r="LWA131" s="6"/>
      <c r="LWB131" s="6"/>
      <c r="LWC131" s="6"/>
      <c r="LWD131" s="6"/>
      <c r="LWE131" s="6"/>
      <c r="LWF131" s="6"/>
      <c r="LWG131" s="6"/>
      <c r="LWH131" s="6"/>
      <c r="LWI131" s="6"/>
      <c r="LWJ131" s="6"/>
      <c r="LWK131" s="6"/>
      <c r="LWL131" s="6"/>
      <c r="LWM131" s="6"/>
      <c r="LWN131" s="6"/>
      <c r="LWO131" s="6"/>
      <c r="LWP131" s="6"/>
      <c r="LWQ131" s="6"/>
      <c r="LWR131" s="6"/>
      <c r="LWS131" s="6"/>
      <c r="LWT131" s="6"/>
      <c r="LWU131" s="6"/>
      <c r="LWV131" s="6"/>
      <c r="LWW131" s="6"/>
      <c r="LWX131" s="6"/>
      <c r="LWY131" s="6"/>
      <c r="LWZ131" s="6"/>
      <c r="LXA131" s="6"/>
      <c r="LXB131" s="6"/>
      <c r="LXC131" s="6"/>
      <c r="LXD131" s="6"/>
      <c r="LXE131" s="6"/>
      <c r="LXF131" s="6"/>
      <c r="LXG131" s="6"/>
      <c r="LXH131" s="6"/>
      <c r="LXI131" s="6"/>
      <c r="LXJ131" s="6"/>
      <c r="LXK131" s="6"/>
      <c r="LXL131" s="6"/>
      <c r="LXM131" s="6"/>
      <c r="LXN131" s="6"/>
      <c r="LXO131" s="6"/>
      <c r="LXP131" s="6"/>
      <c r="LXQ131" s="6"/>
      <c r="LXR131" s="6"/>
      <c r="LXS131" s="6"/>
      <c r="LXT131" s="6"/>
      <c r="LXU131" s="6"/>
      <c r="LXV131" s="6"/>
      <c r="LXW131" s="6"/>
      <c r="LXX131" s="6"/>
      <c r="LXY131" s="6"/>
      <c r="LXZ131" s="6"/>
      <c r="LYA131" s="6"/>
      <c r="LYB131" s="6"/>
      <c r="LYC131" s="6"/>
      <c r="LYD131" s="6"/>
      <c r="LYE131" s="6"/>
      <c r="LYF131" s="6"/>
      <c r="LYG131" s="6"/>
      <c r="LYH131" s="6"/>
      <c r="LYI131" s="6"/>
      <c r="LYJ131" s="6"/>
      <c r="LYK131" s="6"/>
      <c r="LYL131" s="6"/>
      <c r="LYM131" s="6"/>
      <c r="LYN131" s="6"/>
      <c r="LYO131" s="6"/>
      <c r="LYP131" s="6"/>
      <c r="LYQ131" s="6"/>
      <c r="LYR131" s="6"/>
      <c r="LYS131" s="6"/>
      <c r="LYT131" s="6"/>
      <c r="LYU131" s="6"/>
      <c r="LYV131" s="6"/>
      <c r="LYW131" s="6"/>
      <c r="LYX131" s="6"/>
      <c r="LYY131" s="6"/>
      <c r="LYZ131" s="6"/>
      <c r="LZA131" s="6"/>
      <c r="LZB131" s="6"/>
      <c r="LZC131" s="6"/>
      <c r="LZD131" s="6"/>
      <c r="LZE131" s="6"/>
      <c r="LZF131" s="6"/>
      <c r="LZG131" s="6"/>
      <c r="LZH131" s="6"/>
      <c r="LZI131" s="6"/>
      <c r="LZJ131" s="6"/>
      <c r="LZK131" s="6"/>
      <c r="LZL131" s="6"/>
      <c r="LZM131" s="6"/>
      <c r="LZN131" s="6"/>
      <c r="LZO131" s="6"/>
      <c r="LZP131" s="6"/>
      <c r="LZQ131" s="6"/>
      <c r="LZR131" s="6"/>
      <c r="LZS131" s="6"/>
      <c r="LZT131" s="6"/>
      <c r="LZU131" s="6"/>
      <c r="LZV131" s="6"/>
      <c r="LZW131" s="6"/>
      <c r="LZX131" s="6"/>
      <c r="LZY131" s="6"/>
      <c r="LZZ131" s="6"/>
      <c r="MAA131" s="6"/>
      <c r="MAB131" s="6"/>
      <c r="MAC131" s="6"/>
      <c r="MAD131" s="6"/>
      <c r="MAE131" s="6"/>
      <c r="MAF131" s="6"/>
      <c r="MAG131" s="6"/>
      <c r="MAH131" s="6"/>
      <c r="MAI131" s="6"/>
      <c r="MAJ131" s="6"/>
      <c r="MAK131" s="6"/>
      <c r="MAL131" s="6"/>
      <c r="MAM131" s="6"/>
      <c r="MAN131" s="6"/>
      <c r="MAO131" s="6"/>
      <c r="MAP131" s="6"/>
      <c r="MAQ131" s="6"/>
      <c r="MAR131" s="6"/>
      <c r="MAS131" s="6"/>
      <c r="MAT131" s="6"/>
      <c r="MAU131" s="6"/>
      <c r="MAV131" s="6"/>
      <c r="MAW131" s="6"/>
      <c r="MAX131" s="6"/>
      <c r="MAY131" s="6"/>
      <c r="MAZ131" s="6"/>
      <c r="MBA131" s="6"/>
      <c r="MBB131" s="6"/>
      <c r="MBC131" s="6"/>
      <c r="MBD131" s="6"/>
      <c r="MBE131" s="6"/>
      <c r="MBF131" s="6"/>
      <c r="MBG131" s="6"/>
      <c r="MBH131" s="6"/>
      <c r="MBI131" s="6"/>
      <c r="MBJ131" s="6"/>
      <c r="MBK131" s="6"/>
      <c r="MBL131" s="6"/>
      <c r="MBM131" s="6"/>
      <c r="MBN131" s="6"/>
      <c r="MBO131" s="6"/>
      <c r="MBP131" s="6"/>
      <c r="MBQ131" s="6"/>
      <c r="MBR131" s="6"/>
      <c r="MBS131" s="6"/>
      <c r="MBT131" s="6"/>
      <c r="MBU131" s="6"/>
      <c r="MBV131" s="6"/>
      <c r="MBW131" s="6"/>
      <c r="MBX131" s="6"/>
      <c r="MBY131" s="6"/>
      <c r="MBZ131" s="6"/>
      <c r="MCA131" s="6"/>
      <c r="MCB131" s="6"/>
      <c r="MCC131" s="6"/>
      <c r="MCD131" s="6"/>
      <c r="MCE131" s="6"/>
      <c r="MCF131" s="6"/>
      <c r="MCG131" s="6"/>
      <c r="MCH131" s="6"/>
      <c r="MCI131" s="6"/>
      <c r="MCJ131" s="6"/>
      <c r="MCK131" s="6"/>
      <c r="MCL131" s="6"/>
      <c r="MCM131" s="6"/>
      <c r="MCN131" s="6"/>
      <c r="MCO131" s="6"/>
      <c r="MCP131" s="6"/>
      <c r="MCQ131" s="6"/>
      <c r="MCR131" s="6"/>
      <c r="MCS131" s="6"/>
      <c r="MCT131" s="6"/>
      <c r="MCU131" s="6"/>
      <c r="MCV131" s="6"/>
      <c r="MCW131" s="6"/>
      <c r="MCX131" s="6"/>
      <c r="MCY131" s="6"/>
      <c r="MCZ131" s="6"/>
      <c r="MDA131" s="6"/>
      <c r="MDB131" s="6"/>
      <c r="MDC131" s="6"/>
      <c r="MDD131" s="6"/>
      <c r="MDE131" s="6"/>
      <c r="MDF131" s="6"/>
      <c r="MDG131" s="6"/>
      <c r="MDH131" s="6"/>
      <c r="MDI131" s="6"/>
      <c r="MDJ131" s="6"/>
      <c r="MDK131" s="6"/>
      <c r="MDL131" s="6"/>
      <c r="MDM131" s="6"/>
      <c r="MDN131" s="6"/>
      <c r="MDO131" s="6"/>
      <c r="MDP131" s="6"/>
      <c r="MDQ131" s="6"/>
      <c r="MDR131" s="6"/>
      <c r="MDS131" s="6"/>
      <c r="MDT131" s="6"/>
      <c r="MDU131" s="6"/>
      <c r="MDV131" s="6"/>
      <c r="MDW131" s="6"/>
      <c r="MDX131" s="6"/>
      <c r="MDY131" s="6"/>
      <c r="MDZ131" s="6"/>
      <c r="MEA131" s="6"/>
      <c r="MEB131" s="6"/>
      <c r="MEC131" s="6"/>
      <c r="MED131" s="6"/>
      <c r="MEE131" s="6"/>
      <c r="MEF131" s="6"/>
      <c r="MEG131" s="6"/>
      <c r="MEH131" s="6"/>
      <c r="MEI131" s="6"/>
      <c r="MEJ131" s="6"/>
      <c r="MEK131" s="6"/>
      <c r="MEL131" s="6"/>
      <c r="MEM131" s="6"/>
      <c r="MEN131" s="6"/>
      <c r="MEO131" s="6"/>
      <c r="MEP131" s="6"/>
      <c r="MEQ131" s="6"/>
      <c r="MER131" s="6"/>
      <c r="MES131" s="6"/>
      <c r="MET131" s="6"/>
      <c r="MEU131" s="6"/>
      <c r="MEV131" s="6"/>
      <c r="MEW131" s="6"/>
      <c r="MEX131" s="6"/>
      <c r="MEY131" s="6"/>
      <c r="MEZ131" s="6"/>
      <c r="MFA131" s="6"/>
      <c r="MFB131" s="6"/>
      <c r="MFC131" s="6"/>
      <c r="MFD131" s="6"/>
      <c r="MFE131" s="6"/>
      <c r="MFF131" s="6"/>
      <c r="MFG131" s="6"/>
      <c r="MFH131" s="6"/>
      <c r="MFI131" s="6"/>
      <c r="MFJ131" s="6"/>
      <c r="MFK131" s="6"/>
      <c r="MFL131" s="6"/>
      <c r="MFM131" s="6"/>
      <c r="MFN131" s="6"/>
      <c r="MFO131" s="6"/>
      <c r="MFP131" s="6"/>
      <c r="MFQ131" s="6"/>
      <c r="MFR131" s="6"/>
      <c r="MFS131" s="6"/>
      <c r="MFT131" s="6"/>
      <c r="MFU131" s="6"/>
      <c r="MFV131" s="6"/>
      <c r="MFW131" s="6"/>
      <c r="MFX131" s="6"/>
      <c r="MFY131" s="6"/>
      <c r="MFZ131" s="6"/>
      <c r="MGA131" s="6"/>
      <c r="MGB131" s="6"/>
      <c r="MGC131" s="6"/>
      <c r="MGD131" s="6"/>
      <c r="MGE131" s="6"/>
      <c r="MGF131" s="6"/>
      <c r="MGG131" s="6"/>
      <c r="MGH131" s="6"/>
      <c r="MGI131" s="6"/>
      <c r="MGJ131" s="6"/>
      <c r="MGK131" s="6"/>
      <c r="MGL131" s="6"/>
      <c r="MGM131" s="6"/>
      <c r="MGN131" s="6"/>
      <c r="MGO131" s="6"/>
      <c r="MGP131" s="6"/>
      <c r="MGQ131" s="6"/>
      <c r="MGR131" s="6"/>
      <c r="MGS131" s="6"/>
      <c r="MGT131" s="6"/>
      <c r="MGU131" s="6"/>
      <c r="MGV131" s="6"/>
      <c r="MGW131" s="6"/>
      <c r="MGX131" s="6"/>
      <c r="MGY131" s="6"/>
      <c r="MGZ131" s="6"/>
      <c r="MHA131" s="6"/>
      <c r="MHB131" s="6"/>
      <c r="MHC131" s="6"/>
      <c r="MHD131" s="6"/>
      <c r="MHE131" s="6"/>
      <c r="MHF131" s="6"/>
      <c r="MHG131" s="6"/>
      <c r="MHH131" s="6"/>
      <c r="MHI131" s="6"/>
      <c r="MHJ131" s="6"/>
      <c r="MHK131" s="6"/>
      <c r="MHL131" s="6"/>
      <c r="MHM131" s="6"/>
      <c r="MHN131" s="6"/>
      <c r="MHO131" s="6"/>
      <c r="MHP131" s="6"/>
      <c r="MHQ131" s="6"/>
      <c r="MHR131" s="6"/>
      <c r="MHS131" s="6"/>
      <c r="MHT131" s="6"/>
      <c r="MHU131" s="6"/>
      <c r="MHV131" s="6"/>
      <c r="MHW131" s="6"/>
      <c r="MHX131" s="6"/>
      <c r="MHY131" s="6"/>
      <c r="MHZ131" s="6"/>
      <c r="MIA131" s="6"/>
      <c r="MIB131" s="6"/>
      <c r="MIC131" s="6"/>
      <c r="MID131" s="6"/>
      <c r="MIE131" s="6"/>
      <c r="MIF131" s="6"/>
      <c r="MIG131" s="6"/>
      <c r="MIH131" s="6"/>
      <c r="MII131" s="6"/>
      <c r="MIJ131" s="6"/>
      <c r="MIK131" s="6"/>
      <c r="MIL131" s="6"/>
      <c r="MIM131" s="6"/>
      <c r="MIN131" s="6"/>
      <c r="MIO131" s="6"/>
      <c r="MIP131" s="6"/>
      <c r="MIQ131" s="6"/>
      <c r="MIR131" s="6"/>
      <c r="MIS131" s="6"/>
      <c r="MIT131" s="6"/>
      <c r="MIU131" s="6"/>
      <c r="MIV131" s="6"/>
      <c r="MIW131" s="6"/>
      <c r="MIX131" s="6"/>
      <c r="MIY131" s="6"/>
      <c r="MIZ131" s="6"/>
      <c r="MJA131" s="6"/>
      <c r="MJB131" s="6"/>
      <c r="MJC131" s="6"/>
      <c r="MJD131" s="6"/>
      <c r="MJE131" s="6"/>
      <c r="MJF131" s="6"/>
      <c r="MJG131" s="6"/>
      <c r="MJH131" s="6"/>
      <c r="MJI131" s="6"/>
      <c r="MJJ131" s="6"/>
      <c r="MJK131" s="6"/>
      <c r="MJL131" s="6"/>
      <c r="MJM131" s="6"/>
      <c r="MJN131" s="6"/>
      <c r="MJO131" s="6"/>
      <c r="MJP131" s="6"/>
      <c r="MJQ131" s="6"/>
      <c r="MJR131" s="6"/>
      <c r="MJS131" s="6"/>
      <c r="MJT131" s="6"/>
      <c r="MJU131" s="6"/>
      <c r="MJV131" s="6"/>
      <c r="MJW131" s="6"/>
      <c r="MJX131" s="6"/>
      <c r="MJY131" s="6"/>
      <c r="MJZ131" s="6"/>
      <c r="MKA131" s="6"/>
      <c r="MKB131" s="6"/>
      <c r="MKC131" s="6"/>
      <c r="MKD131" s="6"/>
      <c r="MKE131" s="6"/>
      <c r="MKF131" s="6"/>
      <c r="MKG131" s="6"/>
      <c r="MKH131" s="6"/>
      <c r="MKI131" s="6"/>
      <c r="MKJ131" s="6"/>
      <c r="MKK131" s="6"/>
      <c r="MKL131" s="6"/>
      <c r="MKM131" s="6"/>
      <c r="MKN131" s="6"/>
      <c r="MKO131" s="6"/>
      <c r="MKP131" s="6"/>
      <c r="MKQ131" s="6"/>
      <c r="MKR131" s="6"/>
      <c r="MKS131" s="6"/>
      <c r="MKT131" s="6"/>
      <c r="MKU131" s="6"/>
      <c r="MKV131" s="6"/>
      <c r="MKW131" s="6"/>
      <c r="MKX131" s="6"/>
      <c r="MKY131" s="6"/>
      <c r="MKZ131" s="6"/>
      <c r="MLA131" s="6"/>
      <c r="MLB131" s="6"/>
      <c r="MLC131" s="6"/>
      <c r="MLD131" s="6"/>
      <c r="MLE131" s="6"/>
      <c r="MLF131" s="6"/>
      <c r="MLG131" s="6"/>
      <c r="MLH131" s="6"/>
      <c r="MLI131" s="6"/>
      <c r="MLJ131" s="6"/>
      <c r="MLK131" s="6"/>
      <c r="MLL131" s="6"/>
      <c r="MLM131" s="6"/>
      <c r="MLN131" s="6"/>
      <c r="MLO131" s="6"/>
      <c r="MLP131" s="6"/>
      <c r="MLQ131" s="6"/>
      <c r="MLR131" s="6"/>
      <c r="MLS131" s="6"/>
      <c r="MLT131" s="6"/>
      <c r="MLU131" s="6"/>
      <c r="MLV131" s="6"/>
      <c r="MLW131" s="6"/>
      <c r="MLX131" s="6"/>
      <c r="MLY131" s="6"/>
      <c r="MLZ131" s="6"/>
      <c r="MMA131" s="6"/>
      <c r="MMB131" s="6"/>
      <c r="MMC131" s="6"/>
      <c r="MMD131" s="6"/>
      <c r="MME131" s="6"/>
      <c r="MMF131" s="6"/>
      <c r="MMG131" s="6"/>
      <c r="MMH131" s="6"/>
      <c r="MMI131" s="6"/>
      <c r="MMJ131" s="6"/>
      <c r="MMK131" s="6"/>
      <c r="MML131" s="6"/>
      <c r="MMM131" s="6"/>
      <c r="MMN131" s="6"/>
      <c r="MMO131" s="6"/>
      <c r="MMP131" s="6"/>
      <c r="MMQ131" s="6"/>
      <c r="MMR131" s="6"/>
      <c r="MMS131" s="6"/>
      <c r="MMT131" s="6"/>
      <c r="MMU131" s="6"/>
      <c r="MMV131" s="6"/>
      <c r="MMW131" s="6"/>
      <c r="MMX131" s="6"/>
      <c r="MMY131" s="6"/>
      <c r="MMZ131" s="6"/>
      <c r="MNA131" s="6"/>
      <c r="MNB131" s="6"/>
      <c r="MNC131" s="6"/>
      <c r="MND131" s="6"/>
      <c r="MNE131" s="6"/>
      <c r="MNF131" s="6"/>
      <c r="MNG131" s="6"/>
      <c r="MNH131" s="6"/>
      <c r="MNI131" s="6"/>
      <c r="MNJ131" s="6"/>
      <c r="MNK131" s="6"/>
      <c r="MNL131" s="6"/>
      <c r="MNM131" s="6"/>
      <c r="MNN131" s="6"/>
      <c r="MNO131" s="6"/>
      <c r="MNP131" s="6"/>
      <c r="MNQ131" s="6"/>
      <c r="MNR131" s="6"/>
      <c r="MNS131" s="6"/>
      <c r="MNT131" s="6"/>
      <c r="MNU131" s="6"/>
      <c r="MNV131" s="6"/>
      <c r="MNW131" s="6"/>
      <c r="MNX131" s="6"/>
      <c r="MNY131" s="6"/>
      <c r="MNZ131" s="6"/>
      <c r="MOA131" s="6"/>
      <c r="MOB131" s="6"/>
      <c r="MOC131" s="6"/>
      <c r="MOD131" s="6"/>
      <c r="MOE131" s="6"/>
      <c r="MOF131" s="6"/>
      <c r="MOG131" s="6"/>
      <c r="MOH131" s="6"/>
      <c r="MOI131" s="6"/>
      <c r="MOJ131" s="6"/>
      <c r="MOK131" s="6"/>
      <c r="MOL131" s="6"/>
      <c r="MOM131" s="6"/>
      <c r="MON131" s="6"/>
      <c r="MOO131" s="6"/>
      <c r="MOP131" s="6"/>
      <c r="MOQ131" s="6"/>
      <c r="MOR131" s="6"/>
      <c r="MOS131" s="6"/>
      <c r="MOT131" s="6"/>
      <c r="MOU131" s="6"/>
      <c r="MOV131" s="6"/>
      <c r="MOW131" s="6"/>
      <c r="MOX131" s="6"/>
      <c r="MOY131" s="6"/>
      <c r="MOZ131" s="6"/>
      <c r="MPA131" s="6"/>
      <c r="MPB131" s="6"/>
      <c r="MPC131" s="6"/>
      <c r="MPD131" s="6"/>
      <c r="MPE131" s="6"/>
      <c r="MPF131" s="6"/>
      <c r="MPG131" s="6"/>
      <c r="MPH131" s="6"/>
      <c r="MPI131" s="6"/>
      <c r="MPJ131" s="6"/>
      <c r="MPK131" s="6"/>
      <c r="MPL131" s="6"/>
      <c r="MPM131" s="6"/>
      <c r="MPN131" s="6"/>
      <c r="MPO131" s="6"/>
      <c r="MPP131" s="6"/>
      <c r="MPQ131" s="6"/>
      <c r="MPR131" s="6"/>
      <c r="MPS131" s="6"/>
      <c r="MPT131" s="6"/>
      <c r="MPU131" s="6"/>
      <c r="MPV131" s="6"/>
      <c r="MPW131" s="6"/>
      <c r="MPX131" s="6"/>
      <c r="MPY131" s="6"/>
      <c r="MPZ131" s="6"/>
      <c r="MQA131" s="6"/>
      <c r="MQB131" s="6"/>
      <c r="MQC131" s="6"/>
      <c r="MQD131" s="6"/>
      <c r="MQE131" s="6"/>
      <c r="MQF131" s="6"/>
      <c r="MQG131" s="6"/>
      <c r="MQH131" s="6"/>
      <c r="MQI131" s="6"/>
      <c r="MQJ131" s="6"/>
      <c r="MQK131" s="6"/>
      <c r="MQL131" s="6"/>
      <c r="MQM131" s="6"/>
      <c r="MQN131" s="6"/>
      <c r="MQO131" s="6"/>
      <c r="MQP131" s="6"/>
      <c r="MQQ131" s="6"/>
      <c r="MQR131" s="6"/>
      <c r="MQS131" s="6"/>
      <c r="MQT131" s="6"/>
      <c r="MQU131" s="6"/>
      <c r="MQV131" s="6"/>
      <c r="MQW131" s="6"/>
      <c r="MQX131" s="6"/>
      <c r="MQY131" s="6"/>
      <c r="MQZ131" s="6"/>
      <c r="MRA131" s="6"/>
      <c r="MRB131" s="6"/>
      <c r="MRC131" s="6"/>
      <c r="MRD131" s="6"/>
      <c r="MRE131" s="6"/>
      <c r="MRF131" s="6"/>
      <c r="MRG131" s="6"/>
      <c r="MRH131" s="6"/>
      <c r="MRI131" s="6"/>
      <c r="MRJ131" s="6"/>
      <c r="MRK131" s="6"/>
      <c r="MRL131" s="6"/>
      <c r="MRM131" s="6"/>
      <c r="MRN131" s="6"/>
      <c r="MRO131" s="6"/>
      <c r="MRP131" s="6"/>
      <c r="MRQ131" s="6"/>
      <c r="MRR131" s="6"/>
      <c r="MRS131" s="6"/>
      <c r="MRT131" s="6"/>
      <c r="MRU131" s="6"/>
      <c r="MRV131" s="6"/>
      <c r="MRW131" s="6"/>
      <c r="MRX131" s="6"/>
      <c r="MRY131" s="6"/>
      <c r="MRZ131" s="6"/>
      <c r="MSA131" s="6"/>
      <c r="MSB131" s="6"/>
      <c r="MSC131" s="6"/>
      <c r="MSD131" s="6"/>
      <c r="MSE131" s="6"/>
      <c r="MSF131" s="6"/>
      <c r="MSG131" s="6"/>
      <c r="MSH131" s="6"/>
      <c r="MSI131" s="6"/>
      <c r="MSJ131" s="6"/>
      <c r="MSK131" s="6"/>
      <c r="MSL131" s="6"/>
      <c r="MSM131" s="6"/>
      <c r="MSN131" s="6"/>
      <c r="MSO131" s="6"/>
      <c r="MSP131" s="6"/>
      <c r="MSQ131" s="6"/>
      <c r="MSR131" s="6"/>
      <c r="MSS131" s="6"/>
      <c r="MST131" s="6"/>
      <c r="MSU131" s="6"/>
      <c r="MSV131" s="6"/>
      <c r="MSW131" s="6"/>
      <c r="MSX131" s="6"/>
      <c r="MSY131" s="6"/>
      <c r="MSZ131" s="6"/>
      <c r="MTA131" s="6"/>
      <c r="MTB131" s="6"/>
      <c r="MTC131" s="6"/>
      <c r="MTD131" s="6"/>
      <c r="MTE131" s="6"/>
      <c r="MTF131" s="6"/>
      <c r="MTG131" s="6"/>
      <c r="MTH131" s="6"/>
      <c r="MTI131" s="6"/>
      <c r="MTJ131" s="6"/>
      <c r="MTK131" s="6"/>
      <c r="MTL131" s="6"/>
      <c r="MTM131" s="6"/>
      <c r="MTN131" s="6"/>
      <c r="MTO131" s="6"/>
      <c r="MTP131" s="6"/>
      <c r="MTQ131" s="6"/>
      <c r="MTR131" s="6"/>
      <c r="MTS131" s="6"/>
      <c r="MTT131" s="6"/>
      <c r="MTU131" s="6"/>
      <c r="MTV131" s="6"/>
      <c r="MTW131" s="6"/>
      <c r="MTX131" s="6"/>
      <c r="MTY131" s="6"/>
      <c r="MTZ131" s="6"/>
      <c r="MUA131" s="6"/>
      <c r="MUB131" s="6"/>
      <c r="MUC131" s="6"/>
      <c r="MUD131" s="6"/>
      <c r="MUE131" s="6"/>
      <c r="MUF131" s="6"/>
      <c r="MUG131" s="6"/>
      <c r="MUH131" s="6"/>
      <c r="MUI131" s="6"/>
      <c r="MUJ131" s="6"/>
      <c r="MUK131" s="6"/>
      <c r="MUL131" s="6"/>
      <c r="MUM131" s="6"/>
      <c r="MUN131" s="6"/>
      <c r="MUO131" s="6"/>
      <c r="MUP131" s="6"/>
      <c r="MUQ131" s="6"/>
      <c r="MUR131" s="6"/>
      <c r="MUS131" s="6"/>
      <c r="MUT131" s="6"/>
      <c r="MUU131" s="6"/>
      <c r="MUV131" s="6"/>
      <c r="MUW131" s="6"/>
      <c r="MUX131" s="6"/>
      <c r="MUY131" s="6"/>
      <c r="MUZ131" s="6"/>
      <c r="MVA131" s="6"/>
      <c r="MVB131" s="6"/>
      <c r="MVC131" s="6"/>
      <c r="MVD131" s="6"/>
      <c r="MVE131" s="6"/>
      <c r="MVF131" s="6"/>
      <c r="MVG131" s="6"/>
      <c r="MVH131" s="6"/>
      <c r="MVI131" s="6"/>
      <c r="MVJ131" s="6"/>
      <c r="MVK131" s="6"/>
      <c r="MVL131" s="6"/>
      <c r="MVM131" s="6"/>
      <c r="MVN131" s="6"/>
      <c r="MVO131" s="6"/>
      <c r="MVP131" s="6"/>
      <c r="MVQ131" s="6"/>
      <c r="MVR131" s="6"/>
      <c r="MVS131" s="6"/>
      <c r="MVT131" s="6"/>
      <c r="MVU131" s="6"/>
      <c r="MVV131" s="6"/>
      <c r="MVW131" s="6"/>
      <c r="MVX131" s="6"/>
      <c r="MVY131" s="6"/>
      <c r="MVZ131" s="6"/>
      <c r="MWA131" s="6"/>
      <c r="MWB131" s="6"/>
      <c r="MWC131" s="6"/>
      <c r="MWD131" s="6"/>
      <c r="MWE131" s="6"/>
      <c r="MWF131" s="6"/>
      <c r="MWG131" s="6"/>
      <c r="MWH131" s="6"/>
      <c r="MWI131" s="6"/>
      <c r="MWJ131" s="6"/>
      <c r="MWK131" s="6"/>
      <c r="MWL131" s="6"/>
      <c r="MWM131" s="6"/>
      <c r="MWN131" s="6"/>
      <c r="MWO131" s="6"/>
      <c r="MWP131" s="6"/>
      <c r="MWQ131" s="6"/>
      <c r="MWR131" s="6"/>
      <c r="MWS131" s="6"/>
      <c r="MWT131" s="6"/>
      <c r="MWU131" s="6"/>
      <c r="MWV131" s="6"/>
      <c r="MWW131" s="6"/>
      <c r="MWX131" s="6"/>
      <c r="MWY131" s="6"/>
      <c r="MWZ131" s="6"/>
      <c r="MXA131" s="6"/>
      <c r="MXB131" s="6"/>
      <c r="MXC131" s="6"/>
      <c r="MXD131" s="6"/>
      <c r="MXE131" s="6"/>
      <c r="MXF131" s="6"/>
      <c r="MXG131" s="6"/>
      <c r="MXH131" s="6"/>
      <c r="MXI131" s="6"/>
      <c r="MXJ131" s="6"/>
      <c r="MXK131" s="6"/>
      <c r="MXL131" s="6"/>
      <c r="MXM131" s="6"/>
      <c r="MXN131" s="6"/>
      <c r="MXO131" s="6"/>
      <c r="MXP131" s="6"/>
      <c r="MXQ131" s="6"/>
      <c r="MXR131" s="6"/>
      <c r="MXS131" s="6"/>
      <c r="MXT131" s="6"/>
      <c r="MXU131" s="6"/>
      <c r="MXV131" s="6"/>
      <c r="MXW131" s="6"/>
      <c r="MXX131" s="6"/>
      <c r="MXY131" s="6"/>
      <c r="MXZ131" s="6"/>
      <c r="MYA131" s="6"/>
      <c r="MYB131" s="6"/>
      <c r="MYC131" s="6"/>
      <c r="MYD131" s="6"/>
      <c r="MYE131" s="6"/>
      <c r="MYF131" s="6"/>
      <c r="MYG131" s="6"/>
      <c r="MYH131" s="6"/>
      <c r="MYI131" s="6"/>
      <c r="MYJ131" s="6"/>
      <c r="MYK131" s="6"/>
      <c r="MYL131" s="6"/>
      <c r="MYM131" s="6"/>
      <c r="MYN131" s="6"/>
      <c r="MYO131" s="6"/>
      <c r="MYP131" s="6"/>
      <c r="MYQ131" s="6"/>
      <c r="MYR131" s="6"/>
      <c r="MYS131" s="6"/>
      <c r="MYT131" s="6"/>
      <c r="MYU131" s="6"/>
      <c r="MYV131" s="6"/>
      <c r="MYW131" s="6"/>
      <c r="MYX131" s="6"/>
      <c r="MYY131" s="6"/>
      <c r="MYZ131" s="6"/>
      <c r="MZA131" s="6"/>
      <c r="MZB131" s="6"/>
      <c r="MZC131" s="6"/>
      <c r="MZD131" s="6"/>
      <c r="MZE131" s="6"/>
      <c r="MZF131" s="6"/>
      <c r="MZG131" s="6"/>
      <c r="MZH131" s="6"/>
      <c r="MZI131" s="6"/>
      <c r="MZJ131" s="6"/>
      <c r="MZK131" s="6"/>
      <c r="MZL131" s="6"/>
      <c r="MZM131" s="6"/>
      <c r="MZN131" s="6"/>
      <c r="MZO131" s="6"/>
      <c r="MZP131" s="6"/>
      <c r="MZQ131" s="6"/>
      <c r="MZR131" s="6"/>
      <c r="MZS131" s="6"/>
      <c r="MZT131" s="6"/>
      <c r="MZU131" s="6"/>
      <c r="MZV131" s="6"/>
      <c r="MZW131" s="6"/>
      <c r="MZX131" s="6"/>
      <c r="MZY131" s="6"/>
      <c r="MZZ131" s="6"/>
      <c r="NAA131" s="6"/>
      <c r="NAB131" s="6"/>
      <c r="NAC131" s="6"/>
      <c r="NAD131" s="6"/>
      <c r="NAE131" s="6"/>
      <c r="NAF131" s="6"/>
      <c r="NAG131" s="6"/>
      <c r="NAH131" s="6"/>
      <c r="NAI131" s="6"/>
      <c r="NAJ131" s="6"/>
      <c r="NAK131" s="6"/>
      <c r="NAL131" s="6"/>
      <c r="NAM131" s="6"/>
      <c r="NAN131" s="6"/>
      <c r="NAO131" s="6"/>
      <c r="NAP131" s="6"/>
      <c r="NAQ131" s="6"/>
      <c r="NAR131" s="6"/>
      <c r="NAS131" s="6"/>
      <c r="NAT131" s="6"/>
      <c r="NAU131" s="6"/>
      <c r="NAV131" s="6"/>
      <c r="NAW131" s="6"/>
      <c r="NAX131" s="6"/>
      <c r="NAY131" s="6"/>
      <c r="NAZ131" s="6"/>
      <c r="NBA131" s="6"/>
      <c r="NBB131" s="6"/>
      <c r="NBC131" s="6"/>
      <c r="NBD131" s="6"/>
      <c r="NBE131" s="6"/>
      <c r="NBF131" s="6"/>
      <c r="NBG131" s="6"/>
      <c r="NBH131" s="6"/>
      <c r="NBI131" s="6"/>
      <c r="NBJ131" s="6"/>
      <c r="NBK131" s="6"/>
      <c r="NBL131" s="6"/>
      <c r="NBM131" s="6"/>
      <c r="NBN131" s="6"/>
      <c r="NBO131" s="6"/>
      <c r="NBP131" s="6"/>
      <c r="NBQ131" s="6"/>
      <c r="NBR131" s="6"/>
      <c r="NBS131" s="6"/>
      <c r="NBT131" s="6"/>
      <c r="NBU131" s="6"/>
      <c r="NBV131" s="6"/>
      <c r="NBW131" s="6"/>
      <c r="NBX131" s="6"/>
      <c r="NBY131" s="6"/>
      <c r="NBZ131" s="6"/>
      <c r="NCA131" s="6"/>
      <c r="NCB131" s="6"/>
      <c r="NCC131" s="6"/>
      <c r="NCD131" s="6"/>
      <c r="NCE131" s="6"/>
      <c r="NCF131" s="6"/>
      <c r="NCG131" s="6"/>
      <c r="NCH131" s="6"/>
      <c r="NCI131" s="6"/>
      <c r="NCJ131" s="6"/>
      <c r="NCK131" s="6"/>
      <c r="NCL131" s="6"/>
      <c r="NCM131" s="6"/>
      <c r="NCN131" s="6"/>
      <c r="NCO131" s="6"/>
      <c r="NCP131" s="6"/>
      <c r="NCQ131" s="6"/>
      <c r="NCR131" s="6"/>
      <c r="NCS131" s="6"/>
      <c r="NCT131" s="6"/>
      <c r="NCU131" s="6"/>
      <c r="NCV131" s="6"/>
      <c r="NCW131" s="6"/>
      <c r="NCX131" s="6"/>
      <c r="NCY131" s="6"/>
      <c r="NCZ131" s="6"/>
      <c r="NDA131" s="6"/>
      <c r="NDB131" s="6"/>
      <c r="NDC131" s="6"/>
      <c r="NDD131" s="6"/>
      <c r="NDE131" s="6"/>
      <c r="NDF131" s="6"/>
      <c r="NDG131" s="6"/>
      <c r="NDH131" s="6"/>
      <c r="NDI131" s="6"/>
      <c r="NDJ131" s="6"/>
      <c r="NDK131" s="6"/>
      <c r="NDL131" s="6"/>
      <c r="NDM131" s="6"/>
      <c r="NDN131" s="6"/>
      <c r="NDO131" s="6"/>
      <c r="NDP131" s="6"/>
      <c r="NDQ131" s="6"/>
      <c r="NDR131" s="6"/>
      <c r="NDS131" s="6"/>
      <c r="NDT131" s="6"/>
      <c r="NDU131" s="6"/>
      <c r="NDV131" s="6"/>
      <c r="NDW131" s="6"/>
      <c r="NDX131" s="6"/>
      <c r="NDY131" s="6"/>
      <c r="NDZ131" s="6"/>
      <c r="NEA131" s="6"/>
      <c r="NEB131" s="6"/>
      <c r="NEC131" s="6"/>
      <c r="NED131" s="6"/>
      <c r="NEE131" s="6"/>
      <c r="NEF131" s="6"/>
      <c r="NEG131" s="6"/>
      <c r="NEH131" s="6"/>
      <c r="NEI131" s="6"/>
      <c r="NEJ131" s="6"/>
      <c r="NEK131" s="6"/>
      <c r="NEL131" s="6"/>
      <c r="NEM131" s="6"/>
      <c r="NEN131" s="6"/>
      <c r="NEO131" s="6"/>
      <c r="NEP131" s="6"/>
      <c r="NEQ131" s="6"/>
      <c r="NER131" s="6"/>
      <c r="NES131" s="6"/>
      <c r="NET131" s="6"/>
      <c r="NEU131" s="6"/>
      <c r="NEV131" s="6"/>
      <c r="NEW131" s="6"/>
      <c r="NEX131" s="6"/>
      <c r="NEY131" s="6"/>
      <c r="NEZ131" s="6"/>
      <c r="NFA131" s="6"/>
      <c r="NFB131" s="6"/>
      <c r="NFC131" s="6"/>
      <c r="NFD131" s="6"/>
      <c r="NFE131" s="6"/>
      <c r="NFF131" s="6"/>
      <c r="NFG131" s="6"/>
      <c r="NFH131" s="6"/>
      <c r="NFI131" s="6"/>
      <c r="NFJ131" s="6"/>
      <c r="NFK131" s="6"/>
      <c r="NFL131" s="6"/>
      <c r="NFM131" s="6"/>
      <c r="NFN131" s="6"/>
      <c r="NFO131" s="6"/>
      <c r="NFP131" s="6"/>
      <c r="NFQ131" s="6"/>
      <c r="NFR131" s="6"/>
      <c r="NFS131" s="6"/>
      <c r="NFT131" s="6"/>
      <c r="NFU131" s="6"/>
      <c r="NFV131" s="6"/>
      <c r="NFW131" s="6"/>
      <c r="NFX131" s="6"/>
      <c r="NFY131" s="6"/>
      <c r="NFZ131" s="6"/>
      <c r="NGA131" s="6"/>
      <c r="NGB131" s="6"/>
      <c r="NGC131" s="6"/>
      <c r="NGD131" s="6"/>
      <c r="NGE131" s="6"/>
      <c r="NGF131" s="6"/>
      <c r="NGG131" s="6"/>
      <c r="NGH131" s="6"/>
      <c r="NGI131" s="6"/>
      <c r="NGJ131" s="6"/>
      <c r="NGK131" s="6"/>
      <c r="NGL131" s="6"/>
      <c r="NGM131" s="6"/>
      <c r="NGN131" s="6"/>
      <c r="NGO131" s="6"/>
      <c r="NGP131" s="6"/>
      <c r="NGQ131" s="6"/>
      <c r="NGR131" s="6"/>
      <c r="NGS131" s="6"/>
      <c r="NGT131" s="6"/>
      <c r="NGU131" s="6"/>
      <c r="NGV131" s="6"/>
      <c r="NGW131" s="6"/>
      <c r="NGX131" s="6"/>
      <c r="NGY131" s="6"/>
      <c r="NGZ131" s="6"/>
      <c r="NHA131" s="6"/>
      <c r="NHB131" s="6"/>
      <c r="NHC131" s="6"/>
      <c r="NHD131" s="6"/>
      <c r="NHE131" s="6"/>
      <c r="NHF131" s="6"/>
      <c r="NHG131" s="6"/>
      <c r="NHH131" s="6"/>
      <c r="NHI131" s="6"/>
      <c r="NHJ131" s="6"/>
      <c r="NHK131" s="6"/>
      <c r="NHL131" s="6"/>
      <c r="NHM131" s="6"/>
      <c r="NHN131" s="6"/>
      <c r="NHO131" s="6"/>
      <c r="NHP131" s="6"/>
      <c r="NHQ131" s="6"/>
      <c r="NHR131" s="6"/>
      <c r="NHS131" s="6"/>
      <c r="NHT131" s="6"/>
      <c r="NHU131" s="6"/>
      <c r="NHV131" s="6"/>
      <c r="NHW131" s="6"/>
      <c r="NHX131" s="6"/>
      <c r="NHY131" s="6"/>
      <c r="NHZ131" s="6"/>
      <c r="NIA131" s="6"/>
      <c r="NIB131" s="6"/>
      <c r="NIC131" s="6"/>
      <c r="NID131" s="6"/>
      <c r="NIE131" s="6"/>
      <c r="NIF131" s="6"/>
      <c r="NIG131" s="6"/>
      <c r="NIH131" s="6"/>
      <c r="NII131" s="6"/>
      <c r="NIJ131" s="6"/>
      <c r="NIK131" s="6"/>
      <c r="NIL131" s="6"/>
      <c r="NIM131" s="6"/>
      <c r="NIN131" s="6"/>
      <c r="NIO131" s="6"/>
      <c r="NIP131" s="6"/>
      <c r="NIQ131" s="6"/>
      <c r="NIR131" s="6"/>
      <c r="NIS131" s="6"/>
      <c r="NIT131" s="6"/>
      <c r="NIU131" s="6"/>
      <c r="NIV131" s="6"/>
      <c r="NIW131" s="6"/>
      <c r="NIX131" s="6"/>
      <c r="NIY131" s="6"/>
      <c r="NIZ131" s="6"/>
      <c r="NJA131" s="6"/>
      <c r="NJB131" s="6"/>
      <c r="NJC131" s="6"/>
      <c r="NJD131" s="6"/>
      <c r="NJE131" s="6"/>
      <c r="NJF131" s="6"/>
      <c r="NJG131" s="6"/>
      <c r="NJH131" s="6"/>
      <c r="NJI131" s="6"/>
      <c r="NJJ131" s="6"/>
      <c r="NJK131" s="6"/>
      <c r="NJL131" s="6"/>
      <c r="NJM131" s="6"/>
      <c r="NJN131" s="6"/>
      <c r="NJO131" s="6"/>
      <c r="NJP131" s="6"/>
      <c r="NJQ131" s="6"/>
      <c r="NJR131" s="6"/>
      <c r="NJS131" s="6"/>
      <c r="NJT131" s="6"/>
      <c r="NJU131" s="6"/>
      <c r="NJV131" s="6"/>
      <c r="NJW131" s="6"/>
      <c r="NJX131" s="6"/>
      <c r="NJY131" s="6"/>
      <c r="NJZ131" s="6"/>
      <c r="NKA131" s="6"/>
      <c r="NKB131" s="6"/>
      <c r="NKC131" s="6"/>
      <c r="NKD131" s="6"/>
      <c r="NKE131" s="6"/>
      <c r="NKF131" s="6"/>
      <c r="NKG131" s="6"/>
      <c r="NKH131" s="6"/>
      <c r="NKI131" s="6"/>
      <c r="NKJ131" s="6"/>
      <c r="NKK131" s="6"/>
      <c r="NKL131" s="6"/>
      <c r="NKM131" s="6"/>
      <c r="NKN131" s="6"/>
      <c r="NKO131" s="6"/>
      <c r="NKP131" s="6"/>
      <c r="NKQ131" s="6"/>
      <c r="NKR131" s="6"/>
      <c r="NKS131" s="6"/>
      <c r="NKT131" s="6"/>
      <c r="NKU131" s="6"/>
      <c r="NKV131" s="6"/>
      <c r="NKW131" s="6"/>
      <c r="NKX131" s="6"/>
      <c r="NKY131" s="6"/>
      <c r="NKZ131" s="6"/>
      <c r="NLA131" s="6"/>
      <c r="NLB131" s="6"/>
      <c r="NLC131" s="6"/>
      <c r="NLD131" s="6"/>
      <c r="NLE131" s="6"/>
      <c r="NLF131" s="6"/>
      <c r="NLG131" s="6"/>
      <c r="NLH131" s="6"/>
      <c r="NLI131" s="6"/>
      <c r="NLJ131" s="6"/>
      <c r="NLK131" s="6"/>
      <c r="NLL131" s="6"/>
      <c r="NLM131" s="6"/>
      <c r="NLN131" s="6"/>
      <c r="NLO131" s="6"/>
      <c r="NLP131" s="6"/>
      <c r="NLQ131" s="6"/>
      <c r="NLR131" s="6"/>
      <c r="NLS131" s="6"/>
      <c r="NLT131" s="6"/>
      <c r="NLU131" s="6"/>
      <c r="NLV131" s="6"/>
      <c r="NLW131" s="6"/>
      <c r="NLX131" s="6"/>
      <c r="NLY131" s="6"/>
      <c r="NLZ131" s="6"/>
      <c r="NMA131" s="6"/>
      <c r="NMB131" s="6"/>
      <c r="NMC131" s="6"/>
      <c r="NMD131" s="6"/>
      <c r="NME131" s="6"/>
      <c r="NMF131" s="6"/>
      <c r="NMG131" s="6"/>
      <c r="NMH131" s="6"/>
      <c r="NMI131" s="6"/>
      <c r="NMJ131" s="6"/>
      <c r="NMK131" s="6"/>
      <c r="NML131" s="6"/>
      <c r="NMM131" s="6"/>
      <c r="NMN131" s="6"/>
      <c r="NMO131" s="6"/>
      <c r="NMP131" s="6"/>
      <c r="NMQ131" s="6"/>
      <c r="NMR131" s="6"/>
      <c r="NMS131" s="6"/>
      <c r="NMT131" s="6"/>
      <c r="NMU131" s="6"/>
      <c r="NMV131" s="6"/>
      <c r="NMW131" s="6"/>
      <c r="NMX131" s="6"/>
      <c r="NMY131" s="6"/>
      <c r="NMZ131" s="6"/>
      <c r="NNA131" s="6"/>
      <c r="NNB131" s="6"/>
      <c r="NNC131" s="6"/>
      <c r="NND131" s="6"/>
      <c r="NNE131" s="6"/>
      <c r="NNF131" s="6"/>
      <c r="NNG131" s="6"/>
      <c r="NNH131" s="6"/>
      <c r="NNI131" s="6"/>
      <c r="NNJ131" s="6"/>
      <c r="NNK131" s="6"/>
      <c r="NNL131" s="6"/>
      <c r="NNM131" s="6"/>
      <c r="NNN131" s="6"/>
      <c r="NNO131" s="6"/>
      <c r="NNP131" s="6"/>
      <c r="NNQ131" s="6"/>
      <c r="NNR131" s="6"/>
      <c r="NNS131" s="6"/>
      <c r="NNT131" s="6"/>
      <c r="NNU131" s="6"/>
      <c r="NNV131" s="6"/>
      <c r="NNW131" s="6"/>
      <c r="NNX131" s="6"/>
      <c r="NNY131" s="6"/>
      <c r="NNZ131" s="6"/>
      <c r="NOA131" s="6"/>
      <c r="NOB131" s="6"/>
      <c r="NOC131" s="6"/>
      <c r="NOD131" s="6"/>
      <c r="NOE131" s="6"/>
      <c r="NOF131" s="6"/>
      <c r="NOG131" s="6"/>
      <c r="NOH131" s="6"/>
      <c r="NOI131" s="6"/>
      <c r="NOJ131" s="6"/>
      <c r="NOK131" s="6"/>
      <c r="NOL131" s="6"/>
      <c r="NOM131" s="6"/>
      <c r="NON131" s="6"/>
      <c r="NOO131" s="6"/>
      <c r="NOP131" s="6"/>
      <c r="NOQ131" s="6"/>
      <c r="NOR131" s="6"/>
      <c r="NOS131" s="6"/>
      <c r="NOT131" s="6"/>
      <c r="NOU131" s="6"/>
      <c r="NOV131" s="6"/>
      <c r="NOW131" s="6"/>
      <c r="NOX131" s="6"/>
      <c r="NOY131" s="6"/>
      <c r="NOZ131" s="6"/>
      <c r="NPA131" s="6"/>
      <c r="NPB131" s="6"/>
      <c r="NPC131" s="6"/>
      <c r="NPD131" s="6"/>
      <c r="NPE131" s="6"/>
      <c r="NPF131" s="6"/>
      <c r="NPG131" s="6"/>
      <c r="NPH131" s="6"/>
      <c r="NPI131" s="6"/>
      <c r="NPJ131" s="6"/>
      <c r="NPK131" s="6"/>
      <c r="NPL131" s="6"/>
      <c r="NPM131" s="6"/>
      <c r="NPN131" s="6"/>
      <c r="NPO131" s="6"/>
      <c r="NPP131" s="6"/>
      <c r="NPQ131" s="6"/>
      <c r="NPR131" s="6"/>
      <c r="NPS131" s="6"/>
      <c r="NPT131" s="6"/>
      <c r="NPU131" s="6"/>
      <c r="NPV131" s="6"/>
      <c r="NPW131" s="6"/>
      <c r="NPX131" s="6"/>
      <c r="NPY131" s="6"/>
      <c r="NPZ131" s="6"/>
      <c r="NQA131" s="6"/>
      <c r="NQB131" s="6"/>
      <c r="NQC131" s="6"/>
      <c r="NQD131" s="6"/>
      <c r="NQE131" s="6"/>
      <c r="NQF131" s="6"/>
      <c r="NQG131" s="6"/>
      <c r="NQH131" s="6"/>
      <c r="NQI131" s="6"/>
      <c r="NQJ131" s="6"/>
      <c r="NQK131" s="6"/>
      <c r="NQL131" s="6"/>
      <c r="NQM131" s="6"/>
      <c r="NQN131" s="6"/>
      <c r="NQO131" s="6"/>
      <c r="NQP131" s="6"/>
      <c r="NQQ131" s="6"/>
      <c r="NQR131" s="6"/>
      <c r="NQS131" s="6"/>
      <c r="NQT131" s="6"/>
      <c r="NQU131" s="6"/>
      <c r="NQV131" s="6"/>
      <c r="NQW131" s="6"/>
      <c r="NQX131" s="6"/>
      <c r="NQY131" s="6"/>
      <c r="NQZ131" s="6"/>
      <c r="NRA131" s="6"/>
      <c r="NRB131" s="6"/>
      <c r="NRC131" s="6"/>
      <c r="NRD131" s="6"/>
      <c r="NRE131" s="6"/>
      <c r="NRF131" s="6"/>
      <c r="NRG131" s="6"/>
      <c r="NRH131" s="6"/>
      <c r="NRI131" s="6"/>
      <c r="NRJ131" s="6"/>
      <c r="NRK131" s="6"/>
      <c r="NRL131" s="6"/>
      <c r="NRM131" s="6"/>
      <c r="NRN131" s="6"/>
      <c r="NRO131" s="6"/>
      <c r="NRP131" s="6"/>
      <c r="NRQ131" s="6"/>
      <c r="NRR131" s="6"/>
      <c r="NRS131" s="6"/>
      <c r="NRT131" s="6"/>
      <c r="NRU131" s="6"/>
      <c r="NRV131" s="6"/>
      <c r="NRW131" s="6"/>
      <c r="NRX131" s="6"/>
      <c r="NRY131" s="6"/>
      <c r="NRZ131" s="6"/>
      <c r="NSA131" s="6"/>
      <c r="NSB131" s="6"/>
      <c r="NSC131" s="6"/>
      <c r="NSD131" s="6"/>
      <c r="NSE131" s="6"/>
      <c r="NSF131" s="6"/>
      <c r="NSG131" s="6"/>
      <c r="NSH131" s="6"/>
      <c r="NSI131" s="6"/>
      <c r="NSJ131" s="6"/>
      <c r="NSK131" s="6"/>
      <c r="NSL131" s="6"/>
      <c r="NSM131" s="6"/>
      <c r="NSN131" s="6"/>
      <c r="NSO131" s="6"/>
      <c r="NSP131" s="6"/>
      <c r="NSQ131" s="6"/>
      <c r="NSR131" s="6"/>
      <c r="NSS131" s="6"/>
      <c r="NST131" s="6"/>
      <c r="NSU131" s="6"/>
      <c r="NSV131" s="6"/>
      <c r="NSW131" s="6"/>
      <c r="NSX131" s="6"/>
      <c r="NSY131" s="6"/>
      <c r="NSZ131" s="6"/>
      <c r="NTA131" s="6"/>
      <c r="NTB131" s="6"/>
      <c r="NTC131" s="6"/>
      <c r="NTD131" s="6"/>
      <c r="NTE131" s="6"/>
      <c r="NTF131" s="6"/>
      <c r="NTG131" s="6"/>
      <c r="NTH131" s="6"/>
      <c r="NTI131" s="6"/>
      <c r="NTJ131" s="6"/>
      <c r="NTK131" s="6"/>
      <c r="NTL131" s="6"/>
      <c r="NTM131" s="6"/>
      <c r="NTN131" s="6"/>
      <c r="NTO131" s="6"/>
      <c r="NTP131" s="6"/>
      <c r="NTQ131" s="6"/>
      <c r="NTR131" s="6"/>
      <c r="NTS131" s="6"/>
      <c r="NTT131" s="6"/>
      <c r="NTU131" s="6"/>
      <c r="NTV131" s="6"/>
      <c r="NTW131" s="6"/>
      <c r="NTX131" s="6"/>
      <c r="NTY131" s="6"/>
      <c r="NTZ131" s="6"/>
      <c r="NUA131" s="6"/>
      <c r="NUB131" s="6"/>
      <c r="NUC131" s="6"/>
      <c r="NUD131" s="6"/>
      <c r="NUE131" s="6"/>
      <c r="NUF131" s="6"/>
      <c r="NUG131" s="6"/>
      <c r="NUH131" s="6"/>
      <c r="NUI131" s="6"/>
      <c r="NUJ131" s="6"/>
      <c r="NUK131" s="6"/>
      <c r="NUL131" s="6"/>
      <c r="NUM131" s="6"/>
      <c r="NUN131" s="6"/>
      <c r="NUO131" s="6"/>
      <c r="NUP131" s="6"/>
      <c r="NUQ131" s="6"/>
      <c r="NUR131" s="6"/>
      <c r="NUS131" s="6"/>
      <c r="NUT131" s="6"/>
      <c r="NUU131" s="6"/>
      <c r="NUV131" s="6"/>
      <c r="NUW131" s="6"/>
      <c r="NUX131" s="6"/>
      <c r="NUY131" s="6"/>
      <c r="NUZ131" s="6"/>
      <c r="NVA131" s="6"/>
      <c r="NVB131" s="6"/>
      <c r="NVC131" s="6"/>
      <c r="NVD131" s="6"/>
      <c r="NVE131" s="6"/>
      <c r="NVF131" s="6"/>
      <c r="NVG131" s="6"/>
      <c r="NVH131" s="6"/>
      <c r="NVI131" s="6"/>
      <c r="NVJ131" s="6"/>
      <c r="NVK131" s="6"/>
      <c r="NVL131" s="6"/>
      <c r="NVM131" s="6"/>
      <c r="NVN131" s="6"/>
      <c r="NVO131" s="6"/>
      <c r="NVP131" s="6"/>
      <c r="NVQ131" s="6"/>
      <c r="NVR131" s="6"/>
      <c r="NVS131" s="6"/>
      <c r="NVT131" s="6"/>
      <c r="NVU131" s="6"/>
      <c r="NVV131" s="6"/>
      <c r="NVW131" s="6"/>
      <c r="NVX131" s="6"/>
      <c r="NVY131" s="6"/>
      <c r="NVZ131" s="6"/>
      <c r="NWA131" s="6"/>
      <c r="NWB131" s="6"/>
      <c r="NWC131" s="6"/>
      <c r="NWD131" s="6"/>
      <c r="NWE131" s="6"/>
      <c r="NWF131" s="6"/>
      <c r="NWG131" s="6"/>
      <c r="NWH131" s="6"/>
      <c r="NWI131" s="6"/>
      <c r="NWJ131" s="6"/>
      <c r="NWK131" s="6"/>
      <c r="NWL131" s="6"/>
      <c r="NWM131" s="6"/>
      <c r="NWN131" s="6"/>
      <c r="NWO131" s="6"/>
      <c r="NWP131" s="6"/>
      <c r="NWQ131" s="6"/>
      <c r="NWR131" s="6"/>
      <c r="NWS131" s="6"/>
      <c r="NWT131" s="6"/>
      <c r="NWU131" s="6"/>
      <c r="NWV131" s="6"/>
      <c r="NWW131" s="6"/>
      <c r="NWX131" s="6"/>
      <c r="NWY131" s="6"/>
      <c r="NWZ131" s="6"/>
      <c r="NXA131" s="6"/>
      <c r="NXB131" s="6"/>
      <c r="NXC131" s="6"/>
      <c r="NXD131" s="6"/>
      <c r="NXE131" s="6"/>
      <c r="NXF131" s="6"/>
      <c r="NXG131" s="6"/>
      <c r="NXH131" s="6"/>
      <c r="NXI131" s="6"/>
      <c r="NXJ131" s="6"/>
      <c r="NXK131" s="6"/>
      <c r="NXL131" s="6"/>
      <c r="NXM131" s="6"/>
      <c r="NXN131" s="6"/>
      <c r="NXO131" s="6"/>
      <c r="NXP131" s="6"/>
      <c r="NXQ131" s="6"/>
      <c r="NXR131" s="6"/>
      <c r="NXS131" s="6"/>
      <c r="NXT131" s="6"/>
      <c r="NXU131" s="6"/>
      <c r="NXV131" s="6"/>
      <c r="NXW131" s="6"/>
      <c r="NXX131" s="6"/>
      <c r="NXY131" s="6"/>
      <c r="NXZ131" s="6"/>
      <c r="NYA131" s="6"/>
      <c r="NYB131" s="6"/>
      <c r="NYC131" s="6"/>
      <c r="NYD131" s="6"/>
      <c r="NYE131" s="6"/>
      <c r="NYF131" s="6"/>
      <c r="NYG131" s="6"/>
      <c r="NYH131" s="6"/>
      <c r="NYI131" s="6"/>
      <c r="NYJ131" s="6"/>
      <c r="NYK131" s="6"/>
      <c r="NYL131" s="6"/>
      <c r="NYM131" s="6"/>
      <c r="NYN131" s="6"/>
      <c r="NYO131" s="6"/>
      <c r="NYP131" s="6"/>
      <c r="NYQ131" s="6"/>
      <c r="NYR131" s="6"/>
      <c r="NYS131" s="6"/>
      <c r="NYT131" s="6"/>
      <c r="NYU131" s="6"/>
      <c r="NYV131" s="6"/>
      <c r="NYW131" s="6"/>
      <c r="NYX131" s="6"/>
      <c r="NYY131" s="6"/>
      <c r="NYZ131" s="6"/>
      <c r="NZA131" s="6"/>
      <c r="NZB131" s="6"/>
      <c r="NZC131" s="6"/>
      <c r="NZD131" s="6"/>
      <c r="NZE131" s="6"/>
      <c r="NZF131" s="6"/>
      <c r="NZG131" s="6"/>
      <c r="NZH131" s="6"/>
      <c r="NZI131" s="6"/>
      <c r="NZJ131" s="6"/>
      <c r="NZK131" s="6"/>
      <c r="NZL131" s="6"/>
      <c r="NZM131" s="6"/>
      <c r="NZN131" s="6"/>
      <c r="NZO131" s="6"/>
      <c r="NZP131" s="6"/>
      <c r="NZQ131" s="6"/>
      <c r="NZR131" s="6"/>
      <c r="NZS131" s="6"/>
      <c r="NZT131" s="6"/>
      <c r="NZU131" s="6"/>
      <c r="NZV131" s="6"/>
      <c r="NZW131" s="6"/>
      <c r="NZX131" s="6"/>
      <c r="NZY131" s="6"/>
      <c r="NZZ131" s="6"/>
      <c r="OAA131" s="6"/>
      <c r="OAB131" s="6"/>
      <c r="OAC131" s="6"/>
      <c r="OAD131" s="6"/>
      <c r="OAE131" s="6"/>
      <c r="OAF131" s="6"/>
      <c r="OAG131" s="6"/>
      <c r="OAH131" s="6"/>
      <c r="OAI131" s="6"/>
      <c r="OAJ131" s="6"/>
      <c r="OAK131" s="6"/>
      <c r="OAL131" s="6"/>
      <c r="OAM131" s="6"/>
      <c r="OAN131" s="6"/>
      <c r="OAO131" s="6"/>
      <c r="OAP131" s="6"/>
      <c r="OAQ131" s="6"/>
      <c r="OAR131" s="6"/>
      <c r="OAS131" s="6"/>
      <c r="OAT131" s="6"/>
      <c r="OAU131" s="6"/>
      <c r="OAV131" s="6"/>
      <c r="OAW131" s="6"/>
      <c r="OAX131" s="6"/>
      <c r="OAY131" s="6"/>
      <c r="OAZ131" s="6"/>
      <c r="OBA131" s="6"/>
      <c r="OBB131" s="6"/>
      <c r="OBC131" s="6"/>
      <c r="OBD131" s="6"/>
      <c r="OBE131" s="6"/>
      <c r="OBF131" s="6"/>
      <c r="OBG131" s="6"/>
      <c r="OBH131" s="6"/>
      <c r="OBI131" s="6"/>
      <c r="OBJ131" s="6"/>
      <c r="OBK131" s="6"/>
      <c r="OBL131" s="6"/>
      <c r="OBM131" s="6"/>
      <c r="OBN131" s="6"/>
      <c r="OBO131" s="6"/>
      <c r="OBP131" s="6"/>
      <c r="OBQ131" s="6"/>
      <c r="OBR131" s="6"/>
      <c r="OBS131" s="6"/>
      <c r="OBT131" s="6"/>
      <c r="OBU131" s="6"/>
      <c r="OBV131" s="6"/>
      <c r="OBW131" s="6"/>
      <c r="OBX131" s="6"/>
      <c r="OBY131" s="6"/>
      <c r="OBZ131" s="6"/>
      <c r="OCA131" s="6"/>
      <c r="OCB131" s="6"/>
      <c r="OCC131" s="6"/>
      <c r="OCD131" s="6"/>
      <c r="OCE131" s="6"/>
      <c r="OCF131" s="6"/>
      <c r="OCG131" s="6"/>
      <c r="OCH131" s="6"/>
      <c r="OCI131" s="6"/>
      <c r="OCJ131" s="6"/>
      <c r="OCK131" s="6"/>
      <c r="OCL131" s="6"/>
      <c r="OCM131" s="6"/>
      <c r="OCN131" s="6"/>
      <c r="OCO131" s="6"/>
      <c r="OCP131" s="6"/>
      <c r="OCQ131" s="6"/>
      <c r="OCR131" s="6"/>
      <c r="OCS131" s="6"/>
      <c r="OCT131" s="6"/>
      <c r="OCU131" s="6"/>
      <c r="OCV131" s="6"/>
      <c r="OCW131" s="6"/>
      <c r="OCX131" s="6"/>
      <c r="OCY131" s="6"/>
      <c r="OCZ131" s="6"/>
      <c r="ODA131" s="6"/>
      <c r="ODB131" s="6"/>
      <c r="ODC131" s="6"/>
      <c r="ODD131" s="6"/>
      <c r="ODE131" s="6"/>
      <c r="ODF131" s="6"/>
      <c r="ODG131" s="6"/>
      <c r="ODH131" s="6"/>
      <c r="ODI131" s="6"/>
      <c r="ODJ131" s="6"/>
      <c r="ODK131" s="6"/>
      <c r="ODL131" s="6"/>
      <c r="ODM131" s="6"/>
      <c r="ODN131" s="6"/>
      <c r="ODO131" s="6"/>
      <c r="ODP131" s="6"/>
      <c r="ODQ131" s="6"/>
      <c r="ODR131" s="6"/>
      <c r="ODS131" s="6"/>
      <c r="ODT131" s="6"/>
      <c r="ODU131" s="6"/>
      <c r="ODV131" s="6"/>
      <c r="ODW131" s="6"/>
      <c r="ODX131" s="6"/>
      <c r="ODY131" s="6"/>
      <c r="ODZ131" s="6"/>
      <c r="OEA131" s="6"/>
      <c r="OEB131" s="6"/>
      <c r="OEC131" s="6"/>
      <c r="OED131" s="6"/>
      <c r="OEE131" s="6"/>
      <c r="OEF131" s="6"/>
      <c r="OEG131" s="6"/>
      <c r="OEH131" s="6"/>
      <c r="OEI131" s="6"/>
      <c r="OEJ131" s="6"/>
      <c r="OEK131" s="6"/>
      <c r="OEL131" s="6"/>
      <c r="OEM131" s="6"/>
      <c r="OEN131" s="6"/>
      <c r="OEO131" s="6"/>
      <c r="OEP131" s="6"/>
      <c r="OEQ131" s="6"/>
      <c r="OER131" s="6"/>
      <c r="OES131" s="6"/>
      <c r="OET131" s="6"/>
      <c r="OEU131" s="6"/>
      <c r="OEV131" s="6"/>
      <c r="OEW131" s="6"/>
      <c r="OEX131" s="6"/>
      <c r="OEY131" s="6"/>
      <c r="OEZ131" s="6"/>
      <c r="OFA131" s="6"/>
      <c r="OFB131" s="6"/>
      <c r="OFC131" s="6"/>
      <c r="OFD131" s="6"/>
      <c r="OFE131" s="6"/>
      <c r="OFF131" s="6"/>
      <c r="OFG131" s="6"/>
      <c r="OFH131" s="6"/>
      <c r="OFI131" s="6"/>
      <c r="OFJ131" s="6"/>
      <c r="OFK131" s="6"/>
      <c r="OFL131" s="6"/>
      <c r="OFM131" s="6"/>
      <c r="OFN131" s="6"/>
      <c r="OFO131" s="6"/>
      <c r="OFP131" s="6"/>
      <c r="OFQ131" s="6"/>
      <c r="OFR131" s="6"/>
      <c r="OFS131" s="6"/>
      <c r="OFT131" s="6"/>
      <c r="OFU131" s="6"/>
      <c r="OFV131" s="6"/>
      <c r="OFW131" s="6"/>
      <c r="OFX131" s="6"/>
      <c r="OFY131" s="6"/>
      <c r="OFZ131" s="6"/>
      <c r="OGA131" s="6"/>
      <c r="OGB131" s="6"/>
      <c r="OGC131" s="6"/>
      <c r="OGD131" s="6"/>
      <c r="OGE131" s="6"/>
      <c r="OGF131" s="6"/>
      <c r="OGG131" s="6"/>
      <c r="OGH131" s="6"/>
      <c r="OGI131" s="6"/>
      <c r="OGJ131" s="6"/>
      <c r="OGK131" s="6"/>
      <c r="OGL131" s="6"/>
      <c r="OGM131" s="6"/>
      <c r="OGN131" s="6"/>
      <c r="OGO131" s="6"/>
      <c r="OGP131" s="6"/>
      <c r="OGQ131" s="6"/>
      <c r="OGR131" s="6"/>
      <c r="OGS131" s="6"/>
      <c r="OGT131" s="6"/>
      <c r="OGU131" s="6"/>
      <c r="OGV131" s="6"/>
      <c r="OGW131" s="6"/>
      <c r="OGX131" s="6"/>
      <c r="OGY131" s="6"/>
      <c r="OGZ131" s="6"/>
      <c r="OHA131" s="6"/>
      <c r="OHB131" s="6"/>
      <c r="OHC131" s="6"/>
      <c r="OHD131" s="6"/>
      <c r="OHE131" s="6"/>
      <c r="OHF131" s="6"/>
      <c r="OHG131" s="6"/>
      <c r="OHH131" s="6"/>
      <c r="OHI131" s="6"/>
      <c r="OHJ131" s="6"/>
      <c r="OHK131" s="6"/>
      <c r="OHL131" s="6"/>
      <c r="OHM131" s="6"/>
      <c r="OHN131" s="6"/>
      <c r="OHO131" s="6"/>
      <c r="OHP131" s="6"/>
      <c r="OHQ131" s="6"/>
      <c r="OHR131" s="6"/>
      <c r="OHS131" s="6"/>
      <c r="OHT131" s="6"/>
      <c r="OHU131" s="6"/>
      <c r="OHV131" s="6"/>
      <c r="OHW131" s="6"/>
      <c r="OHX131" s="6"/>
      <c r="OHY131" s="6"/>
      <c r="OHZ131" s="6"/>
      <c r="OIA131" s="6"/>
      <c r="OIB131" s="6"/>
      <c r="OIC131" s="6"/>
      <c r="OID131" s="6"/>
      <c r="OIE131" s="6"/>
      <c r="OIF131" s="6"/>
      <c r="OIG131" s="6"/>
      <c r="OIH131" s="6"/>
      <c r="OII131" s="6"/>
      <c r="OIJ131" s="6"/>
      <c r="OIK131" s="6"/>
      <c r="OIL131" s="6"/>
      <c r="OIM131" s="6"/>
      <c r="OIN131" s="6"/>
      <c r="OIO131" s="6"/>
      <c r="OIP131" s="6"/>
      <c r="OIQ131" s="6"/>
      <c r="OIR131" s="6"/>
      <c r="OIS131" s="6"/>
      <c r="OIT131" s="6"/>
      <c r="OIU131" s="6"/>
      <c r="OIV131" s="6"/>
      <c r="OIW131" s="6"/>
      <c r="OIX131" s="6"/>
      <c r="OIY131" s="6"/>
      <c r="OIZ131" s="6"/>
      <c r="OJA131" s="6"/>
      <c r="OJB131" s="6"/>
      <c r="OJC131" s="6"/>
      <c r="OJD131" s="6"/>
      <c r="OJE131" s="6"/>
      <c r="OJF131" s="6"/>
      <c r="OJG131" s="6"/>
      <c r="OJH131" s="6"/>
      <c r="OJI131" s="6"/>
      <c r="OJJ131" s="6"/>
      <c r="OJK131" s="6"/>
      <c r="OJL131" s="6"/>
      <c r="OJM131" s="6"/>
      <c r="OJN131" s="6"/>
      <c r="OJO131" s="6"/>
      <c r="OJP131" s="6"/>
      <c r="OJQ131" s="6"/>
      <c r="OJR131" s="6"/>
      <c r="OJS131" s="6"/>
      <c r="OJT131" s="6"/>
      <c r="OJU131" s="6"/>
      <c r="OJV131" s="6"/>
      <c r="OJW131" s="6"/>
      <c r="OJX131" s="6"/>
      <c r="OJY131" s="6"/>
      <c r="OJZ131" s="6"/>
      <c r="OKA131" s="6"/>
      <c r="OKB131" s="6"/>
      <c r="OKC131" s="6"/>
      <c r="OKD131" s="6"/>
      <c r="OKE131" s="6"/>
      <c r="OKF131" s="6"/>
      <c r="OKG131" s="6"/>
      <c r="OKH131" s="6"/>
      <c r="OKI131" s="6"/>
      <c r="OKJ131" s="6"/>
      <c r="OKK131" s="6"/>
      <c r="OKL131" s="6"/>
      <c r="OKM131" s="6"/>
      <c r="OKN131" s="6"/>
      <c r="OKO131" s="6"/>
      <c r="OKP131" s="6"/>
      <c r="OKQ131" s="6"/>
      <c r="OKR131" s="6"/>
      <c r="OKS131" s="6"/>
      <c r="OKT131" s="6"/>
      <c r="OKU131" s="6"/>
      <c r="OKV131" s="6"/>
      <c r="OKW131" s="6"/>
      <c r="OKX131" s="6"/>
      <c r="OKY131" s="6"/>
      <c r="OKZ131" s="6"/>
      <c r="OLA131" s="6"/>
      <c r="OLB131" s="6"/>
      <c r="OLC131" s="6"/>
      <c r="OLD131" s="6"/>
      <c r="OLE131" s="6"/>
      <c r="OLF131" s="6"/>
      <c r="OLG131" s="6"/>
      <c r="OLH131" s="6"/>
      <c r="OLI131" s="6"/>
      <c r="OLJ131" s="6"/>
      <c r="OLK131" s="6"/>
      <c r="OLL131" s="6"/>
      <c r="OLM131" s="6"/>
      <c r="OLN131" s="6"/>
      <c r="OLO131" s="6"/>
      <c r="OLP131" s="6"/>
      <c r="OLQ131" s="6"/>
      <c r="OLR131" s="6"/>
      <c r="OLS131" s="6"/>
      <c r="OLT131" s="6"/>
      <c r="OLU131" s="6"/>
      <c r="OLV131" s="6"/>
      <c r="OLW131" s="6"/>
      <c r="OLX131" s="6"/>
      <c r="OLY131" s="6"/>
      <c r="OLZ131" s="6"/>
      <c r="OMA131" s="6"/>
      <c r="OMB131" s="6"/>
      <c r="OMC131" s="6"/>
      <c r="OMD131" s="6"/>
      <c r="OME131" s="6"/>
      <c r="OMF131" s="6"/>
      <c r="OMG131" s="6"/>
      <c r="OMH131" s="6"/>
      <c r="OMI131" s="6"/>
      <c r="OMJ131" s="6"/>
      <c r="OMK131" s="6"/>
      <c r="OML131" s="6"/>
      <c r="OMM131" s="6"/>
      <c r="OMN131" s="6"/>
      <c r="OMO131" s="6"/>
      <c r="OMP131" s="6"/>
      <c r="OMQ131" s="6"/>
      <c r="OMR131" s="6"/>
      <c r="OMS131" s="6"/>
      <c r="OMT131" s="6"/>
      <c r="OMU131" s="6"/>
      <c r="OMV131" s="6"/>
      <c r="OMW131" s="6"/>
      <c r="OMX131" s="6"/>
      <c r="OMY131" s="6"/>
      <c r="OMZ131" s="6"/>
      <c r="ONA131" s="6"/>
      <c r="ONB131" s="6"/>
      <c r="ONC131" s="6"/>
      <c r="OND131" s="6"/>
      <c r="ONE131" s="6"/>
      <c r="ONF131" s="6"/>
      <c r="ONG131" s="6"/>
      <c r="ONH131" s="6"/>
      <c r="ONI131" s="6"/>
      <c r="ONJ131" s="6"/>
      <c r="ONK131" s="6"/>
      <c r="ONL131" s="6"/>
      <c r="ONM131" s="6"/>
      <c r="ONN131" s="6"/>
      <c r="ONO131" s="6"/>
      <c r="ONP131" s="6"/>
      <c r="ONQ131" s="6"/>
      <c r="ONR131" s="6"/>
      <c r="ONS131" s="6"/>
      <c r="ONT131" s="6"/>
      <c r="ONU131" s="6"/>
      <c r="ONV131" s="6"/>
      <c r="ONW131" s="6"/>
      <c r="ONX131" s="6"/>
      <c r="ONY131" s="6"/>
      <c r="ONZ131" s="6"/>
      <c r="OOA131" s="6"/>
      <c r="OOB131" s="6"/>
      <c r="OOC131" s="6"/>
      <c r="OOD131" s="6"/>
      <c r="OOE131" s="6"/>
      <c r="OOF131" s="6"/>
      <c r="OOG131" s="6"/>
      <c r="OOH131" s="6"/>
      <c r="OOI131" s="6"/>
      <c r="OOJ131" s="6"/>
      <c r="OOK131" s="6"/>
      <c r="OOL131" s="6"/>
      <c r="OOM131" s="6"/>
      <c r="OON131" s="6"/>
      <c r="OOO131" s="6"/>
      <c r="OOP131" s="6"/>
      <c r="OOQ131" s="6"/>
      <c r="OOR131" s="6"/>
      <c r="OOS131" s="6"/>
      <c r="OOT131" s="6"/>
      <c r="OOU131" s="6"/>
      <c r="OOV131" s="6"/>
      <c r="OOW131" s="6"/>
      <c r="OOX131" s="6"/>
      <c r="OOY131" s="6"/>
      <c r="OOZ131" s="6"/>
      <c r="OPA131" s="6"/>
      <c r="OPB131" s="6"/>
      <c r="OPC131" s="6"/>
      <c r="OPD131" s="6"/>
      <c r="OPE131" s="6"/>
      <c r="OPF131" s="6"/>
      <c r="OPG131" s="6"/>
      <c r="OPH131" s="6"/>
      <c r="OPI131" s="6"/>
      <c r="OPJ131" s="6"/>
      <c r="OPK131" s="6"/>
      <c r="OPL131" s="6"/>
      <c r="OPM131" s="6"/>
      <c r="OPN131" s="6"/>
      <c r="OPO131" s="6"/>
      <c r="OPP131" s="6"/>
      <c r="OPQ131" s="6"/>
      <c r="OPR131" s="6"/>
      <c r="OPS131" s="6"/>
      <c r="OPT131" s="6"/>
      <c r="OPU131" s="6"/>
      <c r="OPV131" s="6"/>
      <c r="OPW131" s="6"/>
      <c r="OPX131" s="6"/>
      <c r="OPY131" s="6"/>
      <c r="OPZ131" s="6"/>
      <c r="OQA131" s="6"/>
      <c r="OQB131" s="6"/>
      <c r="OQC131" s="6"/>
      <c r="OQD131" s="6"/>
      <c r="OQE131" s="6"/>
      <c r="OQF131" s="6"/>
      <c r="OQG131" s="6"/>
      <c r="OQH131" s="6"/>
      <c r="OQI131" s="6"/>
      <c r="OQJ131" s="6"/>
      <c r="OQK131" s="6"/>
      <c r="OQL131" s="6"/>
      <c r="OQM131" s="6"/>
      <c r="OQN131" s="6"/>
      <c r="OQO131" s="6"/>
      <c r="OQP131" s="6"/>
      <c r="OQQ131" s="6"/>
      <c r="OQR131" s="6"/>
      <c r="OQS131" s="6"/>
      <c r="OQT131" s="6"/>
      <c r="OQU131" s="6"/>
      <c r="OQV131" s="6"/>
      <c r="OQW131" s="6"/>
      <c r="OQX131" s="6"/>
      <c r="OQY131" s="6"/>
      <c r="OQZ131" s="6"/>
      <c r="ORA131" s="6"/>
      <c r="ORB131" s="6"/>
      <c r="ORC131" s="6"/>
      <c r="ORD131" s="6"/>
      <c r="ORE131" s="6"/>
      <c r="ORF131" s="6"/>
      <c r="ORG131" s="6"/>
      <c r="ORH131" s="6"/>
      <c r="ORI131" s="6"/>
      <c r="ORJ131" s="6"/>
      <c r="ORK131" s="6"/>
      <c r="ORL131" s="6"/>
      <c r="ORM131" s="6"/>
      <c r="ORN131" s="6"/>
      <c r="ORO131" s="6"/>
      <c r="ORP131" s="6"/>
      <c r="ORQ131" s="6"/>
      <c r="ORR131" s="6"/>
      <c r="ORS131" s="6"/>
      <c r="ORT131" s="6"/>
      <c r="ORU131" s="6"/>
      <c r="ORV131" s="6"/>
      <c r="ORW131" s="6"/>
      <c r="ORX131" s="6"/>
      <c r="ORY131" s="6"/>
      <c r="ORZ131" s="6"/>
      <c r="OSA131" s="6"/>
      <c r="OSB131" s="6"/>
      <c r="OSC131" s="6"/>
      <c r="OSD131" s="6"/>
      <c r="OSE131" s="6"/>
      <c r="OSF131" s="6"/>
      <c r="OSG131" s="6"/>
      <c r="OSH131" s="6"/>
      <c r="OSI131" s="6"/>
      <c r="OSJ131" s="6"/>
      <c r="OSK131" s="6"/>
      <c r="OSL131" s="6"/>
      <c r="OSM131" s="6"/>
      <c r="OSN131" s="6"/>
      <c r="OSO131" s="6"/>
      <c r="OSP131" s="6"/>
      <c r="OSQ131" s="6"/>
      <c r="OSR131" s="6"/>
      <c r="OSS131" s="6"/>
      <c r="OST131" s="6"/>
      <c r="OSU131" s="6"/>
      <c r="OSV131" s="6"/>
      <c r="OSW131" s="6"/>
      <c r="OSX131" s="6"/>
      <c r="OSY131" s="6"/>
      <c r="OSZ131" s="6"/>
      <c r="OTA131" s="6"/>
      <c r="OTB131" s="6"/>
      <c r="OTC131" s="6"/>
      <c r="OTD131" s="6"/>
      <c r="OTE131" s="6"/>
      <c r="OTF131" s="6"/>
      <c r="OTG131" s="6"/>
      <c r="OTH131" s="6"/>
      <c r="OTI131" s="6"/>
      <c r="OTJ131" s="6"/>
      <c r="OTK131" s="6"/>
      <c r="OTL131" s="6"/>
      <c r="OTM131" s="6"/>
      <c r="OTN131" s="6"/>
      <c r="OTO131" s="6"/>
      <c r="OTP131" s="6"/>
      <c r="OTQ131" s="6"/>
      <c r="OTR131" s="6"/>
      <c r="OTS131" s="6"/>
      <c r="OTT131" s="6"/>
      <c r="OTU131" s="6"/>
      <c r="OTV131" s="6"/>
      <c r="OTW131" s="6"/>
      <c r="OTX131" s="6"/>
      <c r="OTY131" s="6"/>
      <c r="OTZ131" s="6"/>
      <c r="OUA131" s="6"/>
      <c r="OUB131" s="6"/>
      <c r="OUC131" s="6"/>
      <c r="OUD131" s="6"/>
      <c r="OUE131" s="6"/>
      <c r="OUF131" s="6"/>
      <c r="OUG131" s="6"/>
      <c r="OUH131" s="6"/>
      <c r="OUI131" s="6"/>
      <c r="OUJ131" s="6"/>
      <c r="OUK131" s="6"/>
      <c r="OUL131" s="6"/>
      <c r="OUM131" s="6"/>
      <c r="OUN131" s="6"/>
      <c r="OUO131" s="6"/>
      <c r="OUP131" s="6"/>
      <c r="OUQ131" s="6"/>
      <c r="OUR131" s="6"/>
      <c r="OUS131" s="6"/>
      <c r="OUT131" s="6"/>
      <c r="OUU131" s="6"/>
      <c r="OUV131" s="6"/>
      <c r="OUW131" s="6"/>
      <c r="OUX131" s="6"/>
      <c r="OUY131" s="6"/>
      <c r="OUZ131" s="6"/>
      <c r="OVA131" s="6"/>
      <c r="OVB131" s="6"/>
      <c r="OVC131" s="6"/>
      <c r="OVD131" s="6"/>
      <c r="OVE131" s="6"/>
      <c r="OVF131" s="6"/>
      <c r="OVG131" s="6"/>
      <c r="OVH131" s="6"/>
      <c r="OVI131" s="6"/>
      <c r="OVJ131" s="6"/>
      <c r="OVK131" s="6"/>
      <c r="OVL131" s="6"/>
      <c r="OVM131" s="6"/>
      <c r="OVN131" s="6"/>
      <c r="OVO131" s="6"/>
      <c r="OVP131" s="6"/>
      <c r="OVQ131" s="6"/>
      <c r="OVR131" s="6"/>
      <c r="OVS131" s="6"/>
      <c r="OVT131" s="6"/>
      <c r="OVU131" s="6"/>
      <c r="OVV131" s="6"/>
      <c r="OVW131" s="6"/>
      <c r="OVX131" s="6"/>
      <c r="OVY131" s="6"/>
      <c r="OVZ131" s="6"/>
      <c r="OWA131" s="6"/>
      <c r="OWB131" s="6"/>
      <c r="OWC131" s="6"/>
      <c r="OWD131" s="6"/>
      <c r="OWE131" s="6"/>
      <c r="OWF131" s="6"/>
      <c r="OWG131" s="6"/>
      <c r="OWH131" s="6"/>
      <c r="OWI131" s="6"/>
      <c r="OWJ131" s="6"/>
      <c r="OWK131" s="6"/>
      <c r="OWL131" s="6"/>
      <c r="OWM131" s="6"/>
      <c r="OWN131" s="6"/>
      <c r="OWO131" s="6"/>
      <c r="OWP131" s="6"/>
      <c r="OWQ131" s="6"/>
      <c r="OWR131" s="6"/>
      <c r="OWS131" s="6"/>
      <c r="OWT131" s="6"/>
      <c r="OWU131" s="6"/>
      <c r="OWV131" s="6"/>
      <c r="OWW131" s="6"/>
      <c r="OWX131" s="6"/>
      <c r="OWY131" s="6"/>
      <c r="OWZ131" s="6"/>
      <c r="OXA131" s="6"/>
      <c r="OXB131" s="6"/>
      <c r="OXC131" s="6"/>
      <c r="OXD131" s="6"/>
      <c r="OXE131" s="6"/>
      <c r="OXF131" s="6"/>
      <c r="OXG131" s="6"/>
      <c r="OXH131" s="6"/>
      <c r="OXI131" s="6"/>
      <c r="OXJ131" s="6"/>
      <c r="OXK131" s="6"/>
      <c r="OXL131" s="6"/>
      <c r="OXM131" s="6"/>
      <c r="OXN131" s="6"/>
      <c r="OXO131" s="6"/>
      <c r="OXP131" s="6"/>
      <c r="OXQ131" s="6"/>
      <c r="OXR131" s="6"/>
      <c r="OXS131" s="6"/>
      <c r="OXT131" s="6"/>
      <c r="OXU131" s="6"/>
      <c r="OXV131" s="6"/>
      <c r="OXW131" s="6"/>
      <c r="OXX131" s="6"/>
      <c r="OXY131" s="6"/>
      <c r="OXZ131" s="6"/>
      <c r="OYA131" s="6"/>
      <c r="OYB131" s="6"/>
      <c r="OYC131" s="6"/>
      <c r="OYD131" s="6"/>
      <c r="OYE131" s="6"/>
      <c r="OYF131" s="6"/>
      <c r="OYG131" s="6"/>
      <c r="OYH131" s="6"/>
      <c r="OYI131" s="6"/>
      <c r="OYJ131" s="6"/>
      <c r="OYK131" s="6"/>
      <c r="OYL131" s="6"/>
      <c r="OYM131" s="6"/>
      <c r="OYN131" s="6"/>
      <c r="OYO131" s="6"/>
      <c r="OYP131" s="6"/>
      <c r="OYQ131" s="6"/>
      <c r="OYR131" s="6"/>
      <c r="OYS131" s="6"/>
      <c r="OYT131" s="6"/>
      <c r="OYU131" s="6"/>
      <c r="OYV131" s="6"/>
      <c r="OYW131" s="6"/>
      <c r="OYX131" s="6"/>
      <c r="OYY131" s="6"/>
      <c r="OYZ131" s="6"/>
      <c r="OZA131" s="6"/>
      <c r="OZB131" s="6"/>
      <c r="OZC131" s="6"/>
      <c r="OZD131" s="6"/>
      <c r="OZE131" s="6"/>
      <c r="OZF131" s="6"/>
      <c r="OZG131" s="6"/>
      <c r="OZH131" s="6"/>
      <c r="OZI131" s="6"/>
      <c r="OZJ131" s="6"/>
      <c r="OZK131" s="6"/>
      <c r="OZL131" s="6"/>
      <c r="OZM131" s="6"/>
      <c r="OZN131" s="6"/>
      <c r="OZO131" s="6"/>
      <c r="OZP131" s="6"/>
      <c r="OZQ131" s="6"/>
      <c r="OZR131" s="6"/>
      <c r="OZS131" s="6"/>
      <c r="OZT131" s="6"/>
      <c r="OZU131" s="6"/>
      <c r="OZV131" s="6"/>
      <c r="OZW131" s="6"/>
      <c r="OZX131" s="6"/>
      <c r="OZY131" s="6"/>
      <c r="OZZ131" s="6"/>
      <c r="PAA131" s="6"/>
      <c r="PAB131" s="6"/>
      <c r="PAC131" s="6"/>
      <c r="PAD131" s="6"/>
      <c r="PAE131" s="6"/>
      <c r="PAF131" s="6"/>
      <c r="PAG131" s="6"/>
      <c r="PAH131" s="6"/>
      <c r="PAI131" s="6"/>
      <c r="PAJ131" s="6"/>
      <c r="PAK131" s="6"/>
      <c r="PAL131" s="6"/>
      <c r="PAM131" s="6"/>
      <c r="PAN131" s="6"/>
      <c r="PAO131" s="6"/>
      <c r="PAP131" s="6"/>
      <c r="PAQ131" s="6"/>
      <c r="PAR131" s="6"/>
      <c r="PAS131" s="6"/>
      <c r="PAT131" s="6"/>
      <c r="PAU131" s="6"/>
      <c r="PAV131" s="6"/>
      <c r="PAW131" s="6"/>
      <c r="PAX131" s="6"/>
      <c r="PAY131" s="6"/>
      <c r="PAZ131" s="6"/>
      <c r="PBA131" s="6"/>
      <c r="PBB131" s="6"/>
      <c r="PBC131" s="6"/>
      <c r="PBD131" s="6"/>
      <c r="PBE131" s="6"/>
      <c r="PBF131" s="6"/>
      <c r="PBG131" s="6"/>
      <c r="PBH131" s="6"/>
      <c r="PBI131" s="6"/>
      <c r="PBJ131" s="6"/>
      <c r="PBK131" s="6"/>
      <c r="PBL131" s="6"/>
      <c r="PBM131" s="6"/>
      <c r="PBN131" s="6"/>
      <c r="PBO131" s="6"/>
      <c r="PBP131" s="6"/>
      <c r="PBQ131" s="6"/>
      <c r="PBR131" s="6"/>
      <c r="PBS131" s="6"/>
      <c r="PBT131" s="6"/>
      <c r="PBU131" s="6"/>
      <c r="PBV131" s="6"/>
      <c r="PBW131" s="6"/>
      <c r="PBX131" s="6"/>
      <c r="PBY131" s="6"/>
      <c r="PBZ131" s="6"/>
      <c r="PCA131" s="6"/>
      <c r="PCB131" s="6"/>
      <c r="PCC131" s="6"/>
      <c r="PCD131" s="6"/>
      <c r="PCE131" s="6"/>
      <c r="PCF131" s="6"/>
      <c r="PCG131" s="6"/>
      <c r="PCH131" s="6"/>
      <c r="PCI131" s="6"/>
      <c r="PCJ131" s="6"/>
      <c r="PCK131" s="6"/>
      <c r="PCL131" s="6"/>
      <c r="PCM131" s="6"/>
      <c r="PCN131" s="6"/>
      <c r="PCO131" s="6"/>
      <c r="PCP131" s="6"/>
      <c r="PCQ131" s="6"/>
      <c r="PCR131" s="6"/>
      <c r="PCS131" s="6"/>
      <c r="PCT131" s="6"/>
      <c r="PCU131" s="6"/>
      <c r="PCV131" s="6"/>
      <c r="PCW131" s="6"/>
      <c r="PCX131" s="6"/>
      <c r="PCY131" s="6"/>
      <c r="PCZ131" s="6"/>
      <c r="PDA131" s="6"/>
      <c r="PDB131" s="6"/>
      <c r="PDC131" s="6"/>
      <c r="PDD131" s="6"/>
      <c r="PDE131" s="6"/>
      <c r="PDF131" s="6"/>
      <c r="PDG131" s="6"/>
      <c r="PDH131" s="6"/>
      <c r="PDI131" s="6"/>
      <c r="PDJ131" s="6"/>
      <c r="PDK131" s="6"/>
      <c r="PDL131" s="6"/>
      <c r="PDM131" s="6"/>
      <c r="PDN131" s="6"/>
      <c r="PDO131" s="6"/>
      <c r="PDP131" s="6"/>
      <c r="PDQ131" s="6"/>
      <c r="PDR131" s="6"/>
      <c r="PDS131" s="6"/>
      <c r="PDT131" s="6"/>
      <c r="PDU131" s="6"/>
      <c r="PDV131" s="6"/>
      <c r="PDW131" s="6"/>
      <c r="PDX131" s="6"/>
      <c r="PDY131" s="6"/>
      <c r="PDZ131" s="6"/>
      <c r="PEA131" s="6"/>
      <c r="PEB131" s="6"/>
      <c r="PEC131" s="6"/>
      <c r="PED131" s="6"/>
      <c r="PEE131" s="6"/>
      <c r="PEF131" s="6"/>
      <c r="PEG131" s="6"/>
      <c r="PEH131" s="6"/>
      <c r="PEI131" s="6"/>
      <c r="PEJ131" s="6"/>
      <c r="PEK131" s="6"/>
      <c r="PEL131" s="6"/>
      <c r="PEM131" s="6"/>
      <c r="PEN131" s="6"/>
      <c r="PEO131" s="6"/>
      <c r="PEP131" s="6"/>
      <c r="PEQ131" s="6"/>
      <c r="PER131" s="6"/>
      <c r="PES131" s="6"/>
      <c r="PET131" s="6"/>
      <c r="PEU131" s="6"/>
      <c r="PEV131" s="6"/>
      <c r="PEW131" s="6"/>
      <c r="PEX131" s="6"/>
      <c r="PEY131" s="6"/>
      <c r="PEZ131" s="6"/>
      <c r="PFA131" s="6"/>
      <c r="PFB131" s="6"/>
      <c r="PFC131" s="6"/>
      <c r="PFD131" s="6"/>
      <c r="PFE131" s="6"/>
      <c r="PFF131" s="6"/>
      <c r="PFG131" s="6"/>
      <c r="PFH131" s="6"/>
      <c r="PFI131" s="6"/>
      <c r="PFJ131" s="6"/>
      <c r="PFK131" s="6"/>
      <c r="PFL131" s="6"/>
      <c r="PFM131" s="6"/>
      <c r="PFN131" s="6"/>
      <c r="PFO131" s="6"/>
      <c r="PFP131" s="6"/>
      <c r="PFQ131" s="6"/>
      <c r="PFR131" s="6"/>
      <c r="PFS131" s="6"/>
      <c r="PFT131" s="6"/>
      <c r="PFU131" s="6"/>
      <c r="PFV131" s="6"/>
      <c r="PFW131" s="6"/>
      <c r="PFX131" s="6"/>
      <c r="PFY131" s="6"/>
      <c r="PFZ131" s="6"/>
      <c r="PGA131" s="6"/>
      <c r="PGB131" s="6"/>
      <c r="PGC131" s="6"/>
      <c r="PGD131" s="6"/>
      <c r="PGE131" s="6"/>
      <c r="PGF131" s="6"/>
      <c r="PGG131" s="6"/>
      <c r="PGH131" s="6"/>
      <c r="PGI131" s="6"/>
      <c r="PGJ131" s="6"/>
      <c r="PGK131" s="6"/>
      <c r="PGL131" s="6"/>
      <c r="PGM131" s="6"/>
      <c r="PGN131" s="6"/>
      <c r="PGO131" s="6"/>
      <c r="PGP131" s="6"/>
      <c r="PGQ131" s="6"/>
      <c r="PGR131" s="6"/>
      <c r="PGS131" s="6"/>
      <c r="PGT131" s="6"/>
      <c r="PGU131" s="6"/>
      <c r="PGV131" s="6"/>
      <c r="PGW131" s="6"/>
      <c r="PGX131" s="6"/>
      <c r="PGY131" s="6"/>
      <c r="PGZ131" s="6"/>
      <c r="PHA131" s="6"/>
      <c r="PHB131" s="6"/>
      <c r="PHC131" s="6"/>
      <c r="PHD131" s="6"/>
      <c r="PHE131" s="6"/>
      <c r="PHF131" s="6"/>
      <c r="PHG131" s="6"/>
      <c r="PHH131" s="6"/>
      <c r="PHI131" s="6"/>
      <c r="PHJ131" s="6"/>
      <c r="PHK131" s="6"/>
      <c r="PHL131" s="6"/>
      <c r="PHM131" s="6"/>
      <c r="PHN131" s="6"/>
      <c r="PHO131" s="6"/>
      <c r="PHP131" s="6"/>
      <c r="PHQ131" s="6"/>
      <c r="PHR131" s="6"/>
      <c r="PHS131" s="6"/>
      <c r="PHT131" s="6"/>
      <c r="PHU131" s="6"/>
      <c r="PHV131" s="6"/>
      <c r="PHW131" s="6"/>
      <c r="PHX131" s="6"/>
      <c r="PHY131" s="6"/>
      <c r="PHZ131" s="6"/>
      <c r="PIA131" s="6"/>
      <c r="PIB131" s="6"/>
      <c r="PIC131" s="6"/>
      <c r="PID131" s="6"/>
      <c r="PIE131" s="6"/>
      <c r="PIF131" s="6"/>
      <c r="PIG131" s="6"/>
      <c r="PIH131" s="6"/>
      <c r="PII131" s="6"/>
      <c r="PIJ131" s="6"/>
      <c r="PIK131" s="6"/>
      <c r="PIL131" s="6"/>
      <c r="PIM131" s="6"/>
      <c r="PIN131" s="6"/>
      <c r="PIO131" s="6"/>
      <c r="PIP131" s="6"/>
      <c r="PIQ131" s="6"/>
      <c r="PIR131" s="6"/>
      <c r="PIS131" s="6"/>
      <c r="PIT131" s="6"/>
      <c r="PIU131" s="6"/>
      <c r="PIV131" s="6"/>
      <c r="PIW131" s="6"/>
      <c r="PIX131" s="6"/>
      <c r="PIY131" s="6"/>
      <c r="PIZ131" s="6"/>
      <c r="PJA131" s="6"/>
      <c r="PJB131" s="6"/>
      <c r="PJC131" s="6"/>
      <c r="PJD131" s="6"/>
      <c r="PJE131" s="6"/>
      <c r="PJF131" s="6"/>
      <c r="PJG131" s="6"/>
      <c r="PJH131" s="6"/>
      <c r="PJI131" s="6"/>
      <c r="PJJ131" s="6"/>
      <c r="PJK131" s="6"/>
      <c r="PJL131" s="6"/>
      <c r="PJM131" s="6"/>
      <c r="PJN131" s="6"/>
      <c r="PJO131" s="6"/>
      <c r="PJP131" s="6"/>
      <c r="PJQ131" s="6"/>
      <c r="PJR131" s="6"/>
      <c r="PJS131" s="6"/>
      <c r="PJT131" s="6"/>
      <c r="PJU131" s="6"/>
      <c r="PJV131" s="6"/>
      <c r="PJW131" s="6"/>
      <c r="PJX131" s="6"/>
      <c r="PJY131" s="6"/>
      <c r="PJZ131" s="6"/>
      <c r="PKA131" s="6"/>
      <c r="PKB131" s="6"/>
      <c r="PKC131" s="6"/>
      <c r="PKD131" s="6"/>
      <c r="PKE131" s="6"/>
      <c r="PKF131" s="6"/>
      <c r="PKG131" s="6"/>
      <c r="PKH131" s="6"/>
      <c r="PKI131" s="6"/>
      <c r="PKJ131" s="6"/>
      <c r="PKK131" s="6"/>
      <c r="PKL131" s="6"/>
      <c r="PKM131" s="6"/>
      <c r="PKN131" s="6"/>
      <c r="PKO131" s="6"/>
      <c r="PKP131" s="6"/>
      <c r="PKQ131" s="6"/>
      <c r="PKR131" s="6"/>
      <c r="PKS131" s="6"/>
      <c r="PKT131" s="6"/>
      <c r="PKU131" s="6"/>
      <c r="PKV131" s="6"/>
      <c r="PKW131" s="6"/>
      <c r="PKX131" s="6"/>
      <c r="PKY131" s="6"/>
      <c r="PKZ131" s="6"/>
      <c r="PLA131" s="6"/>
      <c r="PLB131" s="6"/>
      <c r="PLC131" s="6"/>
      <c r="PLD131" s="6"/>
      <c r="PLE131" s="6"/>
      <c r="PLF131" s="6"/>
      <c r="PLG131" s="6"/>
      <c r="PLH131" s="6"/>
      <c r="PLI131" s="6"/>
      <c r="PLJ131" s="6"/>
      <c r="PLK131" s="6"/>
      <c r="PLL131" s="6"/>
      <c r="PLM131" s="6"/>
      <c r="PLN131" s="6"/>
      <c r="PLO131" s="6"/>
      <c r="PLP131" s="6"/>
      <c r="PLQ131" s="6"/>
      <c r="PLR131" s="6"/>
      <c r="PLS131" s="6"/>
      <c r="PLT131" s="6"/>
      <c r="PLU131" s="6"/>
      <c r="PLV131" s="6"/>
      <c r="PLW131" s="6"/>
      <c r="PLX131" s="6"/>
      <c r="PLY131" s="6"/>
      <c r="PLZ131" s="6"/>
      <c r="PMA131" s="6"/>
      <c r="PMB131" s="6"/>
      <c r="PMC131" s="6"/>
      <c r="PMD131" s="6"/>
      <c r="PME131" s="6"/>
      <c r="PMF131" s="6"/>
      <c r="PMG131" s="6"/>
      <c r="PMH131" s="6"/>
      <c r="PMI131" s="6"/>
      <c r="PMJ131" s="6"/>
      <c r="PMK131" s="6"/>
      <c r="PML131" s="6"/>
      <c r="PMM131" s="6"/>
      <c r="PMN131" s="6"/>
      <c r="PMO131" s="6"/>
      <c r="PMP131" s="6"/>
      <c r="PMQ131" s="6"/>
      <c r="PMR131" s="6"/>
      <c r="PMS131" s="6"/>
      <c r="PMT131" s="6"/>
      <c r="PMU131" s="6"/>
      <c r="PMV131" s="6"/>
      <c r="PMW131" s="6"/>
      <c r="PMX131" s="6"/>
      <c r="PMY131" s="6"/>
      <c r="PMZ131" s="6"/>
      <c r="PNA131" s="6"/>
      <c r="PNB131" s="6"/>
      <c r="PNC131" s="6"/>
      <c r="PND131" s="6"/>
      <c r="PNE131" s="6"/>
      <c r="PNF131" s="6"/>
      <c r="PNG131" s="6"/>
      <c r="PNH131" s="6"/>
      <c r="PNI131" s="6"/>
      <c r="PNJ131" s="6"/>
      <c r="PNK131" s="6"/>
      <c r="PNL131" s="6"/>
      <c r="PNM131" s="6"/>
      <c r="PNN131" s="6"/>
      <c r="PNO131" s="6"/>
      <c r="PNP131" s="6"/>
      <c r="PNQ131" s="6"/>
      <c r="PNR131" s="6"/>
      <c r="PNS131" s="6"/>
      <c r="PNT131" s="6"/>
      <c r="PNU131" s="6"/>
      <c r="PNV131" s="6"/>
      <c r="PNW131" s="6"/>
      <c r="PNX131" s="6"/>
      <c r="PNY131" s="6"/>
      <c r="PNZ131" s="6"/>
      <c r="POA131" s="6"/>
      <c r="POB131" s="6"/>
      <c r="POC131" s="6"/>
      <c r="POD131" s="6"/>
      <c r="POE131" s="6"/>
      <c r="POF131" s="6"/>
      <c r="POG131" s="6"/>
      <c r="POH131" s="6"/>
      <c r="POI131" s="6"/>
      <c r="POJ131" s="6"/>
      <c r="POK131" s="6"/>
      <c r="POL131" s="6"/>
      <c r="POM131" s="6"/>
      <c r="PON131" s="6"/>
      <c r="POO131" s="6"/>
      <c r="POP131" s="6"/>
      <c r="POQ131" s="6"/>
      <c r="POR131" s="6"/>
      <c r="POS131" s="6"/>
      <c r="POT131" s="6"/>
      <c r="POU131" s="6"/>
      <c r="POV131" s="6"/>
      <c r="POW131" s="6"/>
      <c r="POX131" s="6"/>
      <c r="POY131" s="6"/>
      <c r="POZ131" s="6"/>
      <c r="PPA131" s="6"/>
      <c r="PPB131" s="6"/>
      <c r="PPC131" s="6"/>
      <c r="PPD131" s="6"/>
      <c r="PPE131" s="6"/>
      <c r="PPF131" s="6"/>
      <c r="PPG131" s="6"/>
      <c r="PPH131" s="6"/>
      <c r="PPI131" s="6"/>
      <c r="PPJ131" s="6"/>
      <c r="PPK131" s="6"/>
      <c r="PPL131" s="6"/>
      <c r="PPM131" s="6"/>
      <c r="PPN131" s="6"/>
      <c r="PPO131" s="6"/>
      <c r="PPP131" s="6"/>
      <c r="PPQ131" s="6"/>
      <c r="PPR131" s="6"/>
      <c r="PPS131" s="6"/>
      <c r="PPT131" s="6"/>
      <c r="PPU131" s="6"/>
      <c r="PPV131" s="6"/>
      <c r="PPW131" s="6"/>
      <c r="PPX131" s="6"/>
      <c r="PPY131" s="6"/>
      <c r="PPZ131" s="6"/>
      <c r="PQA131" s="6"/>
      <c r="PQB131" s="6"/>
      <c r="PQC131" s="6"/>
      <c r="PQD131" s="6"/>
      <c r="PQE131" s="6"/>
      <c r="PQF131" s="6"/>
      <c r="PQG131" s="6"/>
      <c r="PQH131" s="6"/>
      <c r="PQI131" s="6"/>
      <c r="PQJ131" s="6"/>
      <c r="PQK131" s="6"/>
      <c r="PQL131" s="6"/>
      <c r="PQM131" s="6"/>
      <c r="PQN131" s="6"/>
      <c r="PQO131" s="6"/>
      <c r="PQP131" s="6"/>
      <c r="PQQ131" s="6"/>
      <c r="PQR131" s="6"/>
      <c r="PQS131" s="6"/>
      <c r="PQT131" s="6"/>
      <c r="PQU131" s="6"/>
      <c r="PQV131" s="6"/>
      <c r="PQW131" s="6"/>
      <c r="PQX131" s="6"/>
      <c r="PQY131" s="6"/>
      <c r="PQZ131" s="6"/>
      <c r="PRA131" s="6"/>
      <c r="PRB131" s="6"/>
      <c r="PRC131" s="6"/>
      <c r="PRD131" s="6"/>
      <c r="PRE131" s="6"/>
      <c r="PRF131" s="6"/>
      <c r="PRG131" s="6"/>
      <c r="PRH131" s="6"/>
      <c r="PRI131" s="6"/>
      <c r="PRJ131" s="6"/>
      <c r="PRK131" s="6"/>
      <c r="PRL131" s="6"/>
      <c r="PRM131" s="6"/>
      <c r="PRN131" s="6"/>
      <c r="PRO131" s="6"/>
      <c r="PRP131" s="6"/>
      <c r="PRQ131" s="6"/>
      <c r="PRR131" s="6"/>
      <c r="PRS131" s="6"/>
      <c r="PRT131" s="6"/>
      <c r="PRU131" s="6"/>
      <c r="PRV131" s="6"/>
      <c r="PRW131" s="6"/>
      <c r="PRX131" s="6"/>
      <c r="PRY131" s="6"/>
      <c r="PRZ131" s="6"/>
      <c r="PSA131" s="6"/>
      <c r="PSB131" s="6"/>
      <c r="PSC131" s="6"/>
      <c r="PSD131" s="6"/>
      <c r="PSE131" s="6"/>
      <c r="PSF131" s="6"/>
      <c r="PSG131" s="6"/>
      <c r="PSH131" s="6"/>
      <c r="PSI131" s="6"/>
      <c r="PSJ131" s="6"/>
      <c r="PSK131" s="6"/>
      <c r="PSL131" s="6"/>
      <c r="PSM131" s="6"/>
      <c r="PSN131" s="6"/>
      <c r="PSO131" s="6"/>
      <c r="PSP131" s="6"/>
      <c r="PSQ131" s="6"/>
      <c r="PSR131" s="6"/>
      <c r="PSS131" s="6"/>
      <c r="PST131" s="6"/>
      <c r="PSU131" s="6"/>
      <c r="PSV131" s="6"/>
      <c r="PSW131" s="6"/>
      <c r="PSX131" s="6"/>
      <c r="PSY131" s="6"/>
      <c r="PSZ131" s="6"/>
      <c r="PTA131" s="6"/>
      <c r="PTB131" s="6"/>
      <c r="PTC131" s="6"/>
      <c r="PTD131" s="6"/>
      <c r="PTE131" s="6"/>
      <c r="PTF131" s="6"/>
      <c r="PTG131" s="6"/>
      <c r="PTH131" s="6"/>
      <c r="PTI131" s="6"/>
      <c r="PTJ131" s="6"/>
      <c r="PTK131" s="6"/>
      <c r="PTL131" s="6"/>
      <c r="PTM131" s="6"/>
      <c r="PTN131" s="6"/>
      <c r="PTO131" s="6"/>
      <c r="PTP131" s="6"/>
      <c r="PTQ131" s="6"/>
      <c r="PTR131" s="6"/>
      <c r="PTS131" s="6"/>
      <c r="PTT131" s="6"/>
      <c r="PTU131" s="6"/>
      <c r="PTV131" s="6"/>
      <c r="PTW131" s="6"/>
      <c r="PTX131" s="6"/>
      <c r="PTY131" s="6"/>
      <c r="PTZ131" s="6"/>
      <c r="PUA131" s="6"/>
      <c r="PUB131" s="6"/>
      <c r="PUC131" s="6"/>
      <c r="PUD131" s="6"/>
      <c r="PUE131" s="6"/>
      <c r="PUF131" s="6"/>
      <c r="PUG131" s="6"/>
      <c r="PUH131" s="6"/>
      <c r="PUI131" s="6"/>
      <c r="PUJ131" s="6"/>
      <c r="PUK131" s="6"/>
      <c r="PUL131" s="6"/>
      <c r="PUM131" s="6"/>
      <c r="PUN131" s="6"/>
      <c r="PUO131" s="6"/>
      <c r="PUP131" s="6"/>
      <c r="PUQ131" s="6"/>
      <c r="PUR131" s="6"/>
      <c r="PUS131" s="6"/>
      <c r="PUT131" s="6"/>
      <c r="PUU131" s="6"/>
      <c r="PUV131" s="6"/>
      <c r="PUW131" s="6"/>
      <c r="PUX131" s="6"/>
      <c r="PUY131" s="6"/>
      <c r="PUZ131" s="6"/>
      <c r="PVA131" s="6"/>
      <c r="PVB131" s="6"/>
      <c r="PVC131" s="6"/>
      <c r="PVD131" s="6"/>
      <c r="PVE131" s="6"/>
      <c r="PVF131" s="6"/>
      <c r="PVG131" s="6"/>
      <c r="PVH131" s="6"/>
      <c r="PVI131" s="6"/>
      <c r="PVJ131" s="6"/>
      <c r="PVK131" s="6"/>
      <c r="PVL131" s="6"/>
      <c r="PVM131" s="6"/>
      <c r="PVN131" s="6"/>
      <c r="PVO131" s="6"/>
      <c r="PVP131" s="6"/>
      <c r="PVQ131" s="6"/>
      <c r="PVR131" s="6"/>
      <c r="PVS131" s="6"/>
      <c r="PVT131" s="6"/>
      <c r="PVU131" s="6"/>
      <c r="PVV131" s="6"/>
      <c r="PVW131" s="6"/>
      <c r="PVX131" s="6"/>
      <c r="PVY131" s="6"/>
      <c r="PVZ131" s="6"/>
      <c r="PWA131" s="6"/>
      <c r="PWB131" s="6"/>
      <c r="PWC131" s="6"/>
      <c r="PWD131" s="6"/>
      <c r="PWE131" s="6"/>
      <c r="PWF131" s="6"/>
      <c r="PWG131" s="6"/>
      <c r="PWH131" s="6"/>
      <c r="PWI131" s="6"/>
      <c r="PWJ131" s="6"/>
      <c r="PWK131" s="6"/>
      <c r="PWL131" s="6"/>
      <c r="PWM131" s="6"/>
      <c r="PWN131" s="6"/>
      <c r="PWO131" s="6"/>
      <c r="PWP131" s="6"/>
      <c r="PWQ131" s="6"/>
      <c r="PWR131" s="6"/>
      <c r="PWS131" s="6"/>
      <c r="PWT131" s="6"/>
      <c r="PWU131" s="6"/>
      <c r="PWV131" s="6"/>
      <c r="PWW131" s="6"/>
      <c r="PWX131" s="6"/>
      <c r="PWY131" s="6"/>
      <c r="PWZ131" s="6"/>
      <c r="PXA131" s="6"/>
      <c r="PXB131" s="6"/>
      <c r="PXC131" s="6"/>
      <c r="PXD131" s="6"/>
      <c r="PXE131" s="6"/>
      <c r="PXF131" s="6"/>
      <c r="PXG131" s="6"/>
      <c r="PXH131" s="6"/>
      <c r="PXI131" s="6"/>
      <c r="PXJ131" s="6"/>
      <c r="PXK131" s="6"/>
      <c r="PXL131" s="6"/>
      <c r="PXM131" s="6"/>
      <c r="PXN131" s="6"/>
      <c r="PXO131" s="6"/>
      <c r="PXP131" s="6"/>
      <c r="PXQ131" s="6"/>
      <c r="PXR131" s="6"/>
      <c r="PXS131" s="6"/>
      <c r="PXT131" s="6"/>
      <c r="PXU131" s="6"/>
      <c r="PXV131" s="6"/>
      <c r="PXW131" s="6"/>
      <c r="PXX131" s="6"/>
      <c r="PXY131" s="6"/>
      <c r="PXZ131" s="6"/>
      <c r="PYA131" s="6"/>
      <c r="PYB131" s="6"/>
      <c r="PYC131" s="6"/>
      <c r="PYD131" s="6"/>
      <c r="PYE131" s="6"/>
      <c r="PYF131" s="6"/>
      <c r="PYG131" s="6"/>
      <c r="PYH131" s="6"/>
      <c r="PYI131" s="6"/>
      <c r="PYJ131" s="6"/>
      <c r="PYK131" s="6"/>
      <c r="PYL131" s="6"/>
      <c r="PYM131" s="6"/>
      <c r="PYN131" s="6"/>
      <c r="PYO131" s="6"/>
      <c r="PYP131" s="6"/>
      <c r="PYQ131" s="6"/>
      <c r="PYR131" s="6"/>
      <c r="PYS131" s="6"/>
      <c r="PYT131" s="6"/>
      <c r="PYU131" s="6"/>
      <c r="PYV131" s="6"/>
      <c r="PYW131" s="6"/>
      <c r="PYX131" s="6"/>
      <c r="PYY131" s="6"/>
      <c r="PYZ131" s="6"/>
      <c r="PZA131" s="6"/>
      <c r="PZB131" s="6"/>
      <c r="PZC131" s="6"/>
      <c r="PZD131" s="6"/>
      <c r="PZE131" s="6"/>
      <c r="PZF131" s="6"/>
      <c r="PZG131" s="6"/>
      <c r="PZH131" s="6"/>
      <c r="PZI131" s="6"/>
      <c r="PZJ131" s="6"/>
      <c r="PZK131" s="6"/>
      <c r="PZL131" s="6"/>
      <c r="PZM131" s="6"/>
      <c r="PZN131" s="6"/>
      <c r="PZO131" s="6"/>
      <c r="PZP131" s="6"/>
      <c r="PZQ131" s="6"/>
      <c r="PZR131" s="6"/>
      <c r="PZS131" s="6"/>
      <c r="PZT131" s="6"/>
      <c r="PZU131" s="6"/>
      <c r="PZV131" s="6"/>
      <c r="PZW131" s="6"/>
      <c r="PZX131" s="6"/>
      <c r="PZY131" s="6"/>
      <c r="PZZ131" s="6"/>
      <c r="QAA131" s="6"/>
      <c r="QAB131" s="6"/>
      <c r="QAC131" s="6"/>
      <c r="QAD131" s="6"/>
      <c r="QAE131" s="6"/>
      <c r="QAF131" s="6"/>
      <c r="QAG131" s="6"/>
      <c r="QAH131" s="6"/>
      <c r="QAI131" s="6"/>
      <c r="QAJ131" s="6"/>
      <c r="QAK131" s="6"/>
      <c r="QAL131" s="6"/>
      <c r="QAM131" s="6"/>
      <c r="QAN131" s="6"/>
      <c r="QAO131" s="6"/>
      <c r="QAP131" s="6"/>
      <c r="QAQ131" s="6"/>
      <c r="QAR131" s="6"/>
      <c r="QAS131" s="6"/>
      <c r="QAT131" s="6"/>
      <c r="QAU131" s="6"/>
      <c r="QAV131" s="6"/>
      <c r="QAW131" s="6"/>
      <c r="QAX131" s="6"/>
      <c r="QAY131" s="6"/>
      <c r="QAZ131" s="6"/>
      <c r="QBA131" s="6"/>
      <c r="QBB131" s="6"/>
      <c r="QBC131" s="6"/>
      <c r="QBD131" s="6"/>
      <c r="QBE131" s="6"/>
      <c r="QBF131" s="6"/>
      <c r="QBG131" s="6"/>
      <c r="QBH131" s="6"/>
      <c r="QBI131" s="6"/>
      <c r="QBJ131" s="6"/>
      <c r="QBK131" s="6"/>
      <c r="QBL131" s="6"/>
      <c r="QBM131" s="6"/>
      <c r="QBN131" s="6"/>
      <c r="QBO131" s="6"/>
      <c r="QBP131" s="6"/>
      <c r="QBQ131" s="6"/>
      <c r="QBR131" s="6"/>
      <c r="QBS131" s="6"/>
      <c r="QBT131" s="6"/>
      <c r="QBU131" s="6"/>
      <c r="QBV131" s="6"/>
      <c r="QBW131" s="6"/>
      <c r="QBX131" s="6"/>
      <c r="QBY131" s="6"/>
      <c r="QBZ131" s="6"/>
      <c r="QCA131" s="6"/>
      <c r="QCB131" s="6"/>
      <c r="QCC131" s="6"/>
      <c r="QCD131" s="6"/>
      <c r="QCE131" s="6"/>
      <c r="QCF131" s="6"/>
      <c r="QCG131" s="6"/>
      <c r="QCH131" s="6"/>
      <c r="QCI131" s="6"/>
      <c r="QCJ131" s="6"/>
      <c r="QCK131" s="6"/>
      <c r="QCL131" s="6"/>
      <c r="QCM131" s="6"/>
      <c r="QCN131" s="6"/>
      <c r="QCO131" s="6"/>
      <c r="QCP131" s="6"/>
      <c r="QCQ131" s="6"/>
      <c r="QCR131" s="6"/>
      <c r="QCS131" s="6"/>
      <c r="QCT131" s="6"/>
      <c r="QCU131" s="6"/>
      <c r="QCV131" s="6"/>
      <c r="QCW131" s="6"/>
      <c r="QCX131" s="6"/>
      <c r="QCY131" s="6"/>
      <c r="QCZ131" s="6"/>
      <c r="QDA131" s="6"/>
      <c r="QDB131" s="6"/>
      <c r="QDC131" s="6"/>
      <c r="QDD131" s="6"/>
      <c r="QDE131" s="6"/>
      <c r="QDF131" s="6"/>
      <c r="QDG131" s="6"/>
      <c r="QDH131" s="6"/>
      <c r="QDI131" s="6"/>
      <c r="QDJ131" s="6"/>
      <c r="QDK131" s="6"/>
      <c r="QDL131" s="6"/>
      <c r="QDM131" s="6"/>
      <c r="QDN131" s="6"/>
      <c r="QDO131" s="6"/>
      <c r="QDP131" s="6"/>
      <c r="QDQ131" s="6"/>
      <c r="QDR131" s="6"/>
      <c r="QDS131" s="6"/>
      <c r="QDT131" s="6"/>
      <c r="QDU131" s="6"/>
      <c r="QDV131" s="6"/>
      <c r="QDW131" s="6"/>
      <c r="QDX131" s="6"/>
      <c r="QDY131" s="6"/>
      <c r="QDZ131" s="6"/>
      <c r="QEA131" s="6"/>
      <c r="QEB131" s="6"/>
      <c r="QEC131" s="6"/>
      <c r="QED131" s="6"/>
      <c r="QEE131" s="6"/>
      <c r="QEF131" s="6"/>
      <c r="QEG131" s="6"/>
      <c r="QEH131" s="6"/>
      <c r="QEI131" s="6"/>
      <c r="QEJ131" s="6"/>
      <c r="QEK131" s="6"/>
      <c r="QEL131" s="6"/>
      <c r="QEM131" s="6"/>
      <c r="QEN131" s="6"/>
      <c r="QEO131" s="6"/>
      <c r="QEP131" s="6"/>
      <c r="QEQ131" s="6"/>
      <c r="QER131" s="6"/>
      <c r="QES131" s="6"/>
      <c r="QET131" s="6"/>
      <c r="QEU131" s="6"/>
      <c r="QEV131" s="6"/>
      <c r="QEW131" s="6"/>
      <c r="QEX131" s="6"/>
      <c r="QEY131" s="6"/>
      <c r="QEZ131" s="6"/>
      <c r="QFA131" s="6"/>
      <c r="QFB131" s="6"/>
      <c r="QFC131" s="6"/>
      <c r="QFD131" s="6"/>
      <c r="QFE131" s="6"/>
      <c r="QFF131" s="6"/>
      <c r="QFG131" s="6"/>
      <c r="QFH131" s="6"/>
      <c r="QFI131" s="6"/>
      <c r="QFJ131" s="6"/>
      <c r="QFK131" s="6"/>
      <c r="QFL131" s="6"/>
      <c r="QFM131" s="6"/>
      <c r="QFN131" s="6"/>
      <c r="QFO131" s="6"/>
      <c r="QFP131" s="6"/>
      <c r="QFQ131" s="6"/>
      <c r="QFR131" s="6"/>
      <c r="QFS131" s="6"/>
      <c r="QFT131" s="6"/>
      <c r="QFU131" s="6"/>
      <c r="QFV131" s="6"/>
      <c r="QFW131" s="6"/>
      <c r="QFX131" s="6"/>
      <c r="QFY131" s="6"/>
      <c r="QFZ131" s="6"/>
      <c r="QGA131" s="6"/>
      <c r="QGB131" s="6"/>
      <c r="QGC131" s="6"/>
      <c r="QGD131" s="6"/>
      <c r="QGE131" s="6"/>
      <c r="QGF131" s="6"/>
      <c r="QGG131" s="6"/>
      <c r="QGH131" s="6"/>
      <c r="QGI131" s="6"/>
      <c r="QGJ131" s="6"/>
      <c r="QGK131" s="6"/>
      <c r="QGL131" s="6"/>
      <c r="QGM131" s="6"/>
      <c r="QGN131" s="6"/>
      <c r="QGO131" s="6"/>
      <c r="QGP131" s="6"/>
      <c r="QGQ131" s="6"/>
      <c r="QGR131" s="6"/>
      <c r="QGS131" s="6"/>
      <c r="QGT131" s="6"/>
      <c r="QGU131" s="6"/>
      <c r="QGV131" s="6"/>
      <c r="QGW131" s="6"/>
      <c r="QGX131" s="6"/>
      <c r="QGY131" s="6"/>
      <c r="QGZ131" s="6"/>
      <c r="QHA131" s="6"/>
      <c r="QHB131" s="6"/>
      <c r="QHC131" s="6"/>
      <c r="QHD131" s="6"/>
      <c r="QHE131" s="6"/>
      <c r="QHF131" s="6"/>
      <c r="QHG131" s="6"/>
      <c r="QHH131" s="6"/>
      <c r="QHI131" s="6"/>
      <c r="QHJ131" s="6"/>
      <c r="QHK131" s="6"/>
      <c r="QHL131" s="6"/>
      <c r="QHM131" s="6"/>
      <c r="QHN131" s="6"/>
      <c r="QHO131" s="6"/>
      <c r="QHP131" s="6"/>
      <c r="QHQ131" s="6"/>
      <c r="QHR131" s="6"/>
      <c r="QHS131" s="6"/>
      <c r="QHT131" s="6"/>
      <c r="QHU131" s="6"/>
      <c r="QHV131" s="6"/>
      <c r="QHW131" s="6"/>
      <c r="QHX131" s="6"/>
      <c r="QHY131" s="6"/>
      <c r="QHZ131" s="6"/>
      <c r="QIA131" s="6"/>
      <c r="QIB131" s="6"/>
      <c r="QIC131" s="6"/>
      <c r="QID131" s="6"/>
      <c r="QIE131" s="6"/>
      <c r="QIF131" s="6"/>
      <c r="QIG131" s="6"/>
      <c r="QIH131" s="6"/>
      <c r="QII131" s="6"/>
      <c r="QIJ131" s="6"/>
      <c r="QIK131" s="6"/>
      <c r="QIL131" s="6"/>
      <c r="QIM131" s="6"/>
      <c r="QIN131" s="6"/>
      <c r="QIO131" s="6"/>
      <c r="QIP131" s="6"/>
      <c r="QIQ131" s="6"/>
      <c r="QIR131" s="6"/>
      <c r="QIS131" s="6"/>
      <c r="QIT131" s="6"/>
      <c r="QIU131" s="6"/>
      <c r="QIV131" s="6"/>
      <c r="QIW131" s="6"/>
      <c r="QIX131" s="6"/>
      <c r="QIY131" s="6"/>
      <c r="QIZ131" s="6"/>
      <c r="QJA131" s="6"/>
      <c r="QJB131" s="6"/>
      <c r="QJC131" s="6"/>
      <c r="QJD131" s="6"/>
      <c r="QJE131" s="6"/>
      <c r="QJF131" s="6"/>
      <c r="QJG131" s="6"/>
      <c r="QJH131" s="6"/>
      <c r="QJI131" s="6"/>
      <c r="QJJ131" s="6"/>
      <c r="QJK131" s="6"/>
      <c r="QJL131" s="6"/>
      <c r="QJM131" s="6"/>
      <c r="QJN131" s="6"/>
      <c r="QJO131" s="6"/>
      <c r="QJP131" s="6"/>
      <c r="QJQ131" s="6"/>
      <c r="QJR131" s="6"/>
      <c r="QJS131" s="6"/>
      <c r="QJT131" s="6"/>
      <c r="QJU131" s="6"/>
      <c r="QJV131" s="6"/>
      <c r="QJW131" s="6"/>
      <c r="QJX131" s="6"/>
      <c r="QJY131" s="6"/>
      <c r="QJZ131" s="6"/>
      <c r="QKA131" s="6"/>
      <c r="QKB131" s="6"/>
      <c r="QKC131" s="6"/>
      <c r="QKD131" s="6"/>
      <c r="QKE131" s="6"/>
      <c r="QKF131" s="6"/>
      <c r="QKG131" s="6"/>
      <c r="QKH131" s="6"/>
      <c r="QKI131" s="6"/>
      <c r="QKJ131" s="6"/>
      <c r="QKK131" s="6"/>
      <c r="QKL131" s="6"/>
      <c r="QKM131" s="6"/>
      <c r="QKN131" s="6"/>
      <c r="QKO131" s="6"/>
      <c r="QKP131" s="6"/>
      <c r="QKQ131" s="6"/>
      <c r="QKR131" s="6"/>
      <c r="QKS131" s="6"/>
      <c r="QKT131" s="6"/>
      <c r="QKU131" s="6"/>
      <c r="QKV131" s="6"/>
      <c r="QKW131" s="6"/>
      <c r="QKX131" s="6"/>
      <c r="QKY131" s="6"/>
      <c r="QKZ131" s="6"/>
      <c r="QLA131" s="6"/>
      <c r="QLB131" s="6"/>
      <c r="QLC131" s="6"/>
      <c r="QLD131" s="6"/>
      <c r="QLE131" s="6"/>
      <c r="QLF131" s="6"/>
      <c r="QLG131" s="6"/>
      <c r="QLH131" s="6"/>
      <c r="QLI131" s="6"/>
      <c r="QLJ131" s="6"/>
      <c r="QLK131" s="6"/>
      <c r="QLL131" s="6"/>
      <c r="QLM131" s="6"/>
      <c r="QLN131" s="6"/>
      <c r="QLO131" s="6"/>
      <c r="QLP131" s="6"/>
      <c r="QLQ131" s="6"/>
      <c r="QLR131" s="6"/>
      <c r="QLS131" s="6"/>
      <c r="QLT131" s="6"/>
      <c r="QLU131" s="6"/>
      <c r="QLV131" s="6"/>
      <c r="QLW131" s="6"/>
      <c r="QLX131" s="6"/>
      <c r="QLY131" s="6"/>
      <c r="QLZ131" s="6"/>
      <c r="QMA131" s="6"/>
      <c r="QMB131" s="6"/>
      <c r="QMC131" s="6"/>
      <c r="QMD131" s="6"/>
      <c r="QME131" s="6"/>
      <c r="QMF131" s="6"/>
      <c r="QMG131" s="6"/>
      <c r="QMH131" s="6"/>
      <c r="QMI131" s="6"/>
      <c r="QMJ131" s="6"/>
      <c r="QMK131" s="6"/>
      <c r="QML131" s="6"/>
      <c r="QMM131" s="6"/>
      <c r="QMN131" s="6"/>
      <c r="QMO131" s="6"/>
      <c r="QMP131" s="6"/>
      <c r="QMQ131" s="6"/>
      <c r="QMR131" s="6"/>
      <c r="QMS131" s="6"/>
      <c r="QMT131" s="6"/>
      <c r="QMU131" s="6"/>
      <c r="QMV131" s="6"/>
      <c r="QMW131" s="6"/>
      <c r="QMX131" s="6"/>
      <c r="QMY131" s="6"/>
      <c r="QMZ131" s="6"/>
      <c r="QNA131" s="6"/>
      <c r="QNB131" s="6"/>
      <c r="QNC131" s="6"/>
      <c r="QND131" s="6"/>
      <c r="QNE131" s="6"/>
      <c r="QNF131" s="6"/>
      <c r="QNG131" s="6"/>
      <c r="QNH131" s="6"/>
      <c r="QNI131" s="6"/>
      <c r="QNJ131" s="6"/>
      <c r="QNK131" s="6"/>
      <c r="QNL131" s="6"/>
      <c r="QNM131" s="6"/>
      <c r="QNN131" s="6"/>
      <c r="QNO131" s="6"/>
      <c r="QNP131" s="6"/>
      <c r="QNQ131" s="6"/>
      <c r="QNR131" s="6"/>
      <c r="QNS131" s="6"/>
      <c r="QNT131" s="6"/>
      <c r="QNU131" s="6"/>
      <c r="QNV131" s="6"/>
      <c r="QNW131" s="6"/>
      <c r="QNX131" s="6"/>
      <c r="QNY131" s="6"/>
      <c r="QNZ131" s="6"/>
      <c r="QOA131" s="6"/>
      <c r="QOB131" s="6"/>
      <c r="QOC131" s="6"/>
      <c r="QOD131" s="6"/>
      <c r="QOE131" s="6"/>
      <c r="QOF131" s="6"/>
      <c r="QOG131" s="6"/>
      <c r="QOH131" s="6"/>
      <c r="QOI131" s="6"/>
      <c r="QOJ131" s="6"/>
      <c r="QOK131" s="6"/>
      <c r="QOL131" s="6"/>
      <c r="QOM131" s="6"/>
      <c r="QON131" s="6"/>
      <c r="QOO131" s="6"/>
      <c r="QOP131" s="6"/>
      <c r="QOQ131" s="6"/>
      <c r="QOR131" s="6"/>
      <c r="QOS131" s="6"/>
      <c r="QOT131" s="6"/>
      <c r="QOU131" s="6"/>
      <c r="QOV131" s="6"/>
      <c r="QOW131" s="6"/>
      <c r="QOX131" s="6"/>
      <c r="QOY131" s="6"/>
      <c r="QOZ131" s="6"/>
      <c r="QPA131" s="6"/>
      <c r="QPB131" s="6"/>
      <c r="QPC131" s="6"/>
      <c r="QPD131" s="6"/>
      <c r="QPE131" s="6"/>
      <c r="QPF131" s="6"/>
      <c r="QPG131" s="6"/>
      <c r="QPH131" s="6"/>
      <c r="QPI131" s="6"/>
      <c r="QPJ131" s="6"/>
      <c r="QPK131" s="6"/>
      <c r="QPL131" s="6"/>
      <c r="QPM131" s="6"/>
      <c r="QPN131" s="6"/>
      <c r="QPO131" s="6"/>
      <c r="QPP131" s="6"/>
      <c r="QPQ131" s="6"/>
      <c r="QPR131" s="6"/>
      <c r="QPS131" s="6"/>
      <c r="QPT131" s="6"/>
      <c r="QPU131" s="6"/>
      <c r="QPV131" s="6"/>
      <c r="QPW131" s="6"/>
      <c r="QPX131" s="6"/>
      <c r="QPY131" s="6"/>
      <c r="QPZ131" s="6"/>
      <c r="QQA131" s="6"/>
      <c r="QQB131" s="6"/>
      <c r="QQC131" s="6"/>
      <c r="QQD131" s="6"/>
      <c r="QQE131" s="6"/>
      <c r="QQF131" s="6"/>
      <c r="QQG131" s="6"/>
      <c r="QQH131" s="6"/>
      <c r="QQI131" s="6"/>
      <c r="QQJ131" s="6"/>
      <c r="QQK131" s="6"/>
      <c r="QQL131" s="6"/>
      <c r="QQM131" s="6"/>
      <c r="QQN131" s="6"/>
      <c r="QQO131" s="6"/>
      <c r="QQP131" s="6"/>
      <c r="QQQ131" s="6"/>
      <c r="QQR131" s="6"/>
      <c r="QQS131" s="6"/>
      <c r="QQT131" s="6"/>
      <c r="QQU131" s="6"/>
      <c r="QQV131" s="6"/>
      <c r="QQW131" s="6"/>
      <c r="QQX131" s="6"/>
      <c r="QQY131" s="6"/>
      <c r="QQZ131" s="6"/>
      <c r="QRA131" s="6"/>
      <c r="QRB131" s="6"/>
      <c r="QRC131" s="6"/>
      <c r="QRD131" s="6"/>
      <c r="QRE131" s="6"/>
      <c r="QRF131" s="6"/>
      <c r="QRG131" s="6"/>
      <c r="QRH131" s="6"/>
      <c r="QRI131" s="6"/>
      <c r="QRJ131" s="6"/>
      <c r="QRK131" s="6"/>
      <c r="QRL131" s="6"/>
      <c r="QRM131" s="6"/>
      <c r="QRN131" s="6"/>
      <c r="QRO131" s="6"/>
      <c r="QRP131" s="6"/>
      <c r="QRQ131" s="6"/>
      <c r="QRR131" s="6"/>
      <c r="QRS131" s="6"/>
      <c r="QRT131" s="6"/>
      <c r="QRU131" s="6"/>
      <c r="QRV131" s="6"/>
      <c r="QRW131" s="6"/>
      <c r="QRX131" s="6"/>
      <c r="QRY131" s="6"/>
      <c r="QRZ131" s="6"/>
      <c r="QSA131" s="6"/>
      <c r="QSB131" s="6"/>
      <c r="QSC131" s="6"/>
      <c r="QSD131" s="6"/>
      <c r="QSE131" s="6"/>
      <c r="QSF131" s="6"/>
      <c r="QSG131" s="6"/>
      <c r="QSH131" s="6"/>
      <c r="QSI131" s="6"/>
      <c r="QSJ131" s="6"/>
      <c r="QSK131" s="6"/>
      <c r="QSL131" s="6"/>
      <c r="QSM131" s="6"/>
      <c r="QSN131" s="6"/>
      <c r="QSO131" s="6"/>
      <c r="QSP131" s="6"/>
      <c r="QSQ131" s="6"/>
      <c r="QSR131" s="6"/>
      <c r="QSS131" s="6"/>
      <c r="QST131" s="6"/>
      <c r="QSU131" s="6"/>
      <c r="QSV131" s="6"/>
      <c r="QSW131" s="6"/>
      <c r="QSX131" s="6"/>
      <c r="QSY131" s="6"/>
      <c r="QSZ131" s="6"/>
      <c r="QTA131" s="6"/>
      <c r="QTB131" s="6"/>
      <c r="QTC131" s="6"/>
      <c r="QTD131" s="6"/>
      <c r="QTE131" s="6"/>
      <c r="QTF131" s="6"/>
      <c r="QTG131" s="6"/>
      <c r="QTH131" s="6"/>
      <c r="QTI131" s="6"/>
      <c r="QTJ131" s="6"/>
      <c r="QTK131" s="6"/>
      <c r="QTL131" s="6"/>
      <c r="QTM131" s="6"/>
      <c r="QTN131" s="6"/>
      <c r="QTO131" s="6"/>
      <c r="QTP131" s="6"/>
      <c r="QTQ131" s="6"/>
      <c r="QTR131" s="6"/>
      <c r="QTS131" s="6"/>
      <c r="QTT131" s="6"/>
      <c r="QTU131" s="6"/>
      <c r="QTV131" s="6"/>
      <c r="QTW131" s="6"/>
      <c r="QTX131" s="6"/>
      <c r="QTY131" s="6"/>
      <c r="QTZ131" s="6"/>
      <c r="QUA131" s="6"/>
      <c r="QUB131" s="6"/>
      <c r="QUC131" s="6"/>
      <c r="QUD131" s="6"/>
      <c r="QUE131" s="6"/>
      <c r="QUF131" s="6"/>
      <c r="QUG131" s="6"/>
      <c r="QUH131" s="6"/>
      <c r="QUI131" s="6"/>
      <c r="QUJ131" s="6"/>
      <c r="QUK131" s="6"/>
      <c r="QUL131" s="6"/>
      <c r="QUM131" s="6"/>
      <c r="QUN131" s="6"/>
      <c r="QUO131" s="6"/>
      <c r="QUP131" s="6"/>
      <c r="QUQ131" s="6"/>
      <c r="QUR131" s="6"/>
      <c r="QUS131" s="6"/>
      <c r="QUT131" s="6"/>
      <c r="QUU131" s="6"/>
      <c r="QUV131" s="6"/>
      <c r="QUW131" s="6"/>
      <c r="QUX131" s="6"/>
      <c r="QUY131" s="6"/>
      <c r="QUZ131" s="6"/>
      <c r="QVA131" s="6"/>
      <c r="QVB131" s="6"/>
      <c r="QVC131" s="6"/>
      <c r="QVD131" s="6"/>
      <c r="QVE131" s="6"/>
      <c r="QVF131" s="6"/>
      <c r="QVG131" s="6"/>
      <c r="QVH131" s="6"/>
      <c r="QVI131" s="6"/>
      <c r="QVJ131" s="6"/>
      <c r="QVK131" s="6"/>
      <c r="QVL131" s="6"/>
      <c r="QVM131" s="6"/>
      <c r="QVN131" s="6"/>
      <c r="QVO131" s="6"/>
      <c r="QVP131" s="6"/>
      <c r="QVQ131" s="6"/>
      <c r="QVR131" s="6"/>
      <c r="QVS131" s="6"/>
      <c r="QVT131" s="6"/>
      <c r="QVU131" s="6"/>
      <c r="QVV131" s="6"/>
      <c r="QVW131" s="6"/>
      <c r="QVX131" s="6"/>
      <c r="QVY131" s="6"/>
      <c r="QVZ131" s="6"/>
      <c r="QWA131" s="6"/>
      <c r="QWB131" s="6"/>
      <c r="QWC131" s="6"/>
      <c r="QWD131" s="6"/>
      <c r="QWE131" s="6"/>
      <c r="QWF131" s="6"/>
      <c r="QWG131" s="6"/>
      <c r="QWH131" s="6"/>
      <c r="QWI131" s="6"/>
      <c r="QWJ131" s="6"/>
      <c r="QWK131" s="6"/>
      <c r="QWL131" s="6"/>
      <c r="QWM131" s="6"/>
      <c r="QWN131" s="6"/>
      <c r="QWO131" s="6"/>
      <c r="QWP131" s="6"/>
      <c r="QWQ131" s="6"/>
      <c r="QWR131" s="6"/>
      <c r="QWS131" s="6"/>
      <c r="QWT131" s="6"/>
      <c r="QWU131" s="6"/>
      <c r="QWV131" s="6"/>
      <c r="QWW131" s="6"/>
      <c r="QWX131" s="6"/>
      <c r="QWY131" s="6"/>
      <c r="QWZ131" s="6"/>
      <c r="QXA131" s="6"/>
      <c r="QXB131" s="6"/>
      <c r="QXC131" s="6"/>
      <c r="QXD131" s="6"/>
      <c r="QXE131" s="6"/>
      <c r="QXF131" s="6"/>
      <c r="QXG131" s="6"/>
      <c r="QXH131" s="6"/>
      <c r="QXI131" s="6"/>
      <c r="QXJ131" s="6"/>
      <c r="QXK131" s="6"/>
      <c r="QXL131" s="6"/>
      <c r="QXM131" s="6"/>
      <c r="QXN131" s="6"/>
      <c r="QXO131" s="6"/>
      <c r="QXP131" s="6"/>
      <c r="QXQ131" s="6"/>
      <c r="QXR131" s="6"/>
      <c r="QXS131" s="6"/>
      <c r="QXT131" s="6"/>
      <c r="QXU131" s="6"/>
      <c r="QXV131" s="6"/>
      <c r="QXW131" s="6"/>
      <c r="QXX131" s="6"/>
      <c r="QXY131" s="6"/>
      <c r="QXZ131" s="6"/>
      <c r="QYA131" s="6"/>
      <c r="QYB131" s="6"/>
      <c r="QYC131" s="6"/>
      <c r="QYD131" s="6"/>
      <c r="QYE131" s="6"/>
      <c r="QYF131" s="6"/>
      <c r="QYG131" s="6"/>
      <c r="QYH131" s="6"/>
      <c r="QYI131" s="6"/>
      <c r="QYJ131" s="6"/>
      <c r="QYK131" s="6"/>
      <c r="QYL131" s="6"/>
      <c r="QYM131" s="6"/>
      <c r="QYN131" s="6"/>
      <c r="QYO131" s="6"/>
      <c r="QYP131" s="6"/>
      <c r="QYQ131" s="6"/>
      <c r="QYR131" s="6"/>
      <c r="QYS131" s="6"/>
      <c r="QYT131" s="6"/>
      <c r="QYU131" s="6"/>
      <c r="QYV131" s="6"/>
      <c r="QYW131" s="6"/>
      <c r="QYX131" s="6"/>
      <c r="QYY131" s="6"/>
      <c r="QYZ131" s="6"/>
      <c r="QZA131" s="6"/>
      <c r="QZB131" s="6"/>
      <c r="QZC131" s="6"/>
      <c r="QZD131" s="6"/>
      <c r="QZE131" s="6"/>
      <c r="QZF131" s="6"/>
      <c r="QZG131" s="6"/>
      <c r="QZH131" s="6"/>
      <c r="QZI131" s="6"/>
      <c r="QZJ131" s="6"/>
      <c r="QZK131" s="6"/>
      <c r="QZL131" s="6"/>
      <c r="QZM131" s="6"/>
      <c r="QZN131" s="6"/>
      <c r="QZO131" s="6"/>
      <c r="QZP131" s="6"/>
      <c r="QZQ131" s="6"/>
      <c r="QZR131" s="6"/>
      <c r="QZS131" s="6"/>
      <c r="QZT131" s="6"/>
      <c r="QZU131" s="6"/>
      <c r="QZV131" s="6"/>
      <c r="QZW131" s="6"/>
      <c r="QZX131" s="6"/>
      <c r="QZY131" s="6"/>
      <c r="QZZ131" s="6"/>
      <c r="RAA131" s="6"/>
      <c r="RAB131" s="6"/>
      <c r="RAC131" s="6"/>
      <c r="RAD131" s="6"/>
      <c r="RAE131" s="6"/>
      <c r="RAF131" s="6"/>
      <c r="RAG131" s="6"/>
      <c r="RAH131" s="6"/>
      <c r="RAI131" s="6"/>
      <c r="RAJ131" s="6"/>
      <c r="RAK131" s="6"/>
      <c r="RAL131" s="6"/>
      <c r="RAM131" s="6"/>
      <c r="RAN131" s="6"/>
      <c r="RAO131" s="6"/>
      <c r="RAP131" s="6"/>
      <c r="RAQ131" s="6"/>
      <c r="RAR131" s="6"/>
      <c r="RAS131" s="6"/>
      <c r="RAT131" s="6"/>
      <c r="RAU131" s="6"/>
      <c r="RAV131" s="6"/>
      <c r="RAW131" s="6"/>
      <c r="RAX131" s="6"/>
      <c r="RAY131" s="6"/>
      <c r="RAZ131" s="6"/>
      <c r="RBA131" s="6"/>
      <c r="RBB131" s="6"/>
      <c r="RBC131" s="6"/>
      <c r="RBD131" s="6"/>
      <c r="RBE131" s="6"/>
      <c r="RBF131" s="6"/>
      <c r="RBG131" s="6"/>
      <c r="RBH131" s="6"/>
      <c r="RBI131" s="6"/>
      <c r="RBJ131" s="6"/>
      <c r="RBK131" s="6"/>
      <c r="RBL131" s="6"/>
      <c r="RBM131" s="6"/>
      <c r="RBN131" s="6"/>
      <c r="RBO131" s="6"/>
      <c r="RBP131" s="6"/>
      <c r="RBQ131" s="6"/>
      <c r="RBR131" s="6"/>
      <c r="RBS131" s="6"/>
      <c r="RBT131" s="6"/>
      <c r="RBU131" s="6"/>
      <c r="RBV131" s="6"/>
      <c r="RBW131" s="6"/>
      <c r="RBX131" s="6"/>
      <c r="RBY131" s="6"/>
      <c r="RBZ131" s="6"/>
      <c r="RCA131" s="6"/>
      <c r="RCB131" s="6"/>
      <c r="RCC131" s="6"/>
      <c r="RCD131" s="6"/>
      <c r="RCE131" s="6"/>
      <c r="RCF131" s="6"/>
      <c r="RCG131" s="6"/>
      <c r="RCH131" s="6"/>
      <c r="RCI131" s="6"/>
      <c r="RCJ131" s="6"/>
      <c r="RCK131" s="6"/>
      <c r="RCL131" s="6"/>
      <c r="RCM131" s="6"/>
      <c r="RCN131" s="6"/>
      <c r="RCO131" s="6"/>
      <c r="RCP131" s="6"/>
      <c r="RCQ131" s="6"/>
      <c r="RCR131" s="6"/>
      <c r="RCS131" s="6"/>
      <c r="RCT131" s="6"/>
      <c r="RCU131" s="6"/>
      <c r="RCV131" s="6"/>
      <c r="RCW131" s="6"/>
      <c r="RCX131" s="6"/>
      <c r="RCY131" s="6"/>
      <c r="RCZ131" s="6"/>
      <c r="RDA131" s="6"/>
      <c r="RDB131" s="6"/>
      <c r="RDC131" s="6"/>
      <c r="RDD131" s="6"/>
      <c r="RDE131" s="6"/>
      <c r="RDF131" s="6"/>
      <c r="RDG131" s="6"/>
      <c r="RDH131" s="6"/>
      <c r="RDI131" s="6"/>
      <c r="RDJ131" s="6"/>
      <c r="RDK131" s="6"/>
      <c r="RDL131" s="6"/>
      <c r="RDM131" s="6"/>
      <c r="RDN131" s="6"/>
      <c r="RDO131" s="6"/>
      <c r="RDP131" s="6"/>
      <c r="RDQ131" s="6"/>
      <c r="RDR131" s="6"/>
      <c r="RDS131" s="6"/>
      <c r="RDT131" s="6"/>
      <c r="RDU131" s="6"/>
      <c r="RDV131" s="6"/>
      <c r="RDW131" s="6"/>
      <c r="RDX131" s="6"/>
      <c r="RDY131" s="6"/>
      <c r="RDZ131" s="6"/>
      <c r="REA131" s="6"/>
      <c r="REB131" s="6"/>
      <c r="REC131" s="6"/>
      <c r="RED131" s="6"/>
      <c r="REE131" s="6"/>
      <c r="REF131" s="6"/>
      <c r="REG131" s="6"/>
      <c r="REH131" s="6"/>
      <c r="REI131" s="6"/>
      <c r="REJ131" s="6"/>
      <c r="REK131" s="6"/>
      <c r="REL131" s="6"/>
      <c r="REM131" s="6"/>
      <c r="REN131" s="6"/>
      <c r="REO131" s="6"/>
      <c r="REP131" s="6"/>
      <c r="REQ131" s="6"/>
      <c r="RER131" s="6"/>
      <c r="RES131" s="6"/>
      <c r="RET131" s="6"/>
      <c r="REU131" s="6"/>
      <c r="REV131" s="6"/>
      <c r="REW131" s="6"/>
      <c r="REX131" s="6"/>
      <c r="REY131" s="6"/>
      <c r="REZ131" s="6"/>
      <c r="RFA131" s="6"/>
      <c r="RFB131" s="6"/>
      <c r="RFC131" s="6"/>
      <c r="RFD131" s="6"/>
      <c r="RFE131" s="6"/>
      <c r="RFF131" s="6"/>
      <c r="RFG131" s="6"/>
      <c r="RFH131" s="6"/>
      <c r="RFI131" s="6"/>
      <c r="RFJ131" s="6"/>
      <c r="RFK131" s="6"/>
      <c r="RFL131" s="6"/>
      <c r="RFM131" s="6"/>
      <c r="RFN131" s="6"/>
      <c r="RFO131" s="6"/>
      <c r="RFP131" s="6"/>
      <c r="RFQ131" s="6"/>
      <c r="RFR131" s="6"/>
      <c r="RFS131" s="6"/>
      <c r="RFT131" s="6"/>
      <c r="RFU131" s="6"/>
      <c r="RFV131" s="6"/>
      <c r="RFW131" s="6"/>
      <c r="RFX131" s="6"/>
      <c r="RFY131" s="6"/>
      <c r="RFZ131" s="6"/>
      <c r="RGA131" s="6"/>
      <c r="RGB131" s="6"/>
      <c r="RGC131" s="6"/>
      <c r="RGD131" s="6"/>
      <c r="RGE131" s="6"/>
      <c r="RGF131" s="6"/>
      <c r="RGG131" s="6"/>
      <c r="RGH131" s="6"/>
      <c r="RGI131" s="6"/>
      <c r="RGJ131" s="6"/>
      <c r="RGK131" s="6"/>
      <c r="RGL131" s="6"/>
      <c r="RGM131" s="6"/>
      <c r="RGN131" s="6"/>
      <c r="RGO131" s="6"/>
      <c r="RGP131" s="6"/>
      <c r="RGQ131" s="6"/>
      <c r="RGR131" s="6"/>
      <c r="RGS131" s="6"/>
      <c r="RGT131" s="6"/>
      <c r="RGU131" s="6"/>
      <c r="RGV131" s="6"/>
      <c r="RGW131" s="6"/>
      <c r="RGX131" s="6"/>
      <c r="RGY131" s="6"/>
      <c r="RGZ131" s="6"/>
      <c r="RHA131" s="6"/>
      <c r="RHB131" s="6"/>
      <c r="RHC131" s="6"/>
      <c r="RHD131" s="6"/>
      <c r="RHE131" s="6"/>
      <c r="RHF131" s="6"/>
      <c r="RHG131" s="6"/>
      <c r="RHH131" s="6"/>
      <c r="RHI131" s="6"/>
      <c r="RHJ131" s="6"/>
      <c r="RHK131" s="6"/>
      <c r="RHL131" s="6"/>
      <c r="RHM131" s="6"/>
      <c r="RHN131" s="6"/>
      <c r="RHO131" s="6"/>
      <c r="RHP131" s="6"/>
      <c r="RHQ131" s="6"/>
      <c r="RHR131" s="6"/>
      <c r="RHS131" s="6"/>
      <c r="RHT131" s="6"/>
      <c r="RHU131" s="6"/>
      <c r="RHV131" s="6"/>
      <c r="RHW131" s="6"/>
      <c r="RHX131" s="6"/>
      <c r="RHY131" s="6"/>
      <c r="RHZ131" s="6"/>
      <c r="RIA131" s="6"/>
      <c r="RIB131" s="6"/>
      <c r="RIC131" s="6"/>
      <c r="RID131" s="6"/>
      <c r="RIE131" s="6"/>
      <c r="RIF131" s="6"/>
      <c r="RIG131" s="6"/>
      <c r="RIH131" s="6"/>
      <c r="RII131" s="6"/>
      <c r="RIJ131" s="6"/>
      <c r="RIK131" s="6"/>
      <c r="RIL131" s="6"/>
      <c r="RIM131" s="6"/>
      <c r="RIN131" s="6"/>
      <c r="RIO131" s="6"/>
      <c r="RIP131" s="6"/>
      <c r="RIQ131" s="6"/>
      <c r="RIR131" s="6"/>
      <c r="RIS131" s="6"/>
      <c r="RIT131" s="6"/>
      <c r="RIU131" s="6"/>
      <c r="RIV131" s="6"/>
      <c r="RIW131" s="6"/>
      <c r="RIX131" s="6"/>
      <c r="RIY131" s="6"/>
      <c r="RIZ131" s="6"/>
      <c r="RJA131" s="6"/>
      <c r="RJB131" s="6"/>
      <c r="RJC131" s="6"/>
      <c r="RJD131" s="6"/>
      <c r="RJE131" s="6"/>
      <c r="RJF131" s="6"/>
      <c r="RJG131" s="6"/>
      <c r="RJH131" s="6"/>
      <c r="RJI131" s="6"/>
      <c r="RJJ131" s="6"/>
      <c r="RJK131" s="6"/>
      <c r="RJL131" s="6"/>
      <c r="RJM131" s="6"/>
      <c r="RJN131" s="6"/>
      <c r="RJO131" s="6"/>
      <c r="RJP131" s="6"/>
      <c r="RJQ131" s="6"/>
      <c r="RJR131" s="6"/>
      <c r="RJS131" s="6"/>
      <c r="RJT131" s="6"/>
      <c r="RJU131" s="6"/>
      <c r="RJV131" s="6"/>
      <c r="RJW131" s="6"/>
      <c r="RJX131" s="6"/>
      <c r="RJY131" s="6"/>
      <c r="RJZ131" s="6"/>
      <c r="RKA131" s="6"/>
      <c r="RKB131" s="6"/>
      <c r="RKC131" s="6"/>
      <c r="RKD131" s="6"/>
      <c r="RKE131" s="6"/>
      <c r="RKF131" s="6"/>
      <c r="RKG131" s="6"/>
      <c r="RKH131" s="6"/>
      <c r="RKI131" s="6"/>
      <c r="RKJ131" s="6"/>
      <c r="RKK131" s="6"/>
      <c r="RKL131" s="6"/>
      <c r="RKM131" s="6"/>
      <c r="RKN131" s="6"/>
      <c r="RKO131" s="6"/>
      <c r="RKP131" s="6"/>
      <c r="RKQ131" s="6"/>
      <c r="RKR131" s="6"/>
      <c r="RKS131" s="6"/>
      <c r="RKT131" s="6"/>
      <c r="RKU131" s="6"/>
      <c r="RKV131" s="6"/>
      <c r="RKW131" s="6"/>
      <c r="RKX131" s="6"/>
      <c r="RKY131" s="6"/>
      <c r="RKZ131" s="6"/>
      <c r="RLA131" s="6"/>
      <c r="RLB131" s="6"/>
      <c r="RLC131" s="6"/>
      <c r="RLD131" s="6"/>
      <c r="RLE131" s="6"/>
      <c r="RLF131" s="6"/>
      <c r="RLG131" s="6"/>
      <c r="RLH131" s="6"/>
      <c r="RLI131" s="6"/>
      <c r="RLJ131" s="6"/>
      <c r="RLK131" s="6"/>
      <c r="RLL131" s="6"/>
      <c r="RLM131" s="6"/>
      <c r="RLN131" s="6"/>
      <c r="RLO131" s="6"/>
      <c r="RLP131" s="6"/>
      <c r="RLQ131" s="6"/>
      <c r="RLR131" s="6"/>
      <c r="RLS131" s="6"/>
      <c r="RLT131" s="6"/>
      <c r="RLU131" s="6"/>
      <c r="RLV131" s="6"/>
      <c r="RLW131" s="6"/>
      <c r="RLX131" s="6"/>
      <c r="RLY131" s="6"/>
      <c r="RLZ131" s="6"/>
      <c r="RMA131" s="6"/>
      <c r="RMB131" s="6"/>
      <c r="RMC131" s="6"/>
      <c r="RMD131" s="6"/>
      <c r="RME131" s="6"/>
      <c r="RMF131" s="6"/>
      <c r="RMG131" s="6"/>
      <c r="RMH131" s="6"/>
      <c r="RMI131" s="6"/>
      <c r="RMJ131" s="6"/>
      <c r="RMK131" s="6"/>
      <c r="RML131" s="6"/>
      <c r="RMM131" s="6"/>
      <c r="RMN131" s="6"/>
      <c r="RMO131" s="6"/>
      <c r="RMP131" s="6"/>
      <c r="RMQ131" s="6"/>
      <c r="RMR131" s="6"/>
      <c r="RMS131" s="6"/>
      <c r="RMT131" s="6"/>
      <c r="RMU131" s="6"/>
      <c r="RMV131" s="6"/>
      <c r="RMW131" s="6"/>
      <c r="RMX131" s="6"/>
      <c r="RMY131" s="6"/>
      <c r="RMZ131" s="6"/>
      <c r="RNA131" s="6"/>
      <c r="RNB131" s="6"/>
      <c r="RNC131" s="6"/>
      <c r="RND131" s="6"/>
      <c r="RNE131" s="6"/>
      <c r="RNF131" s="6"/>
      <c r="RNG131" s="6"/>
      <c r="RNH131" s="6"/>
      <c r="RNI131" s="6"/>
      <c r="RNJ131" s="6"/>
      <c r="RNK131" s="6"/>
      <c r="RNL131" s="6"/>
      <c r="RNM131" s="6"/>
      <c r="RNN131" s="6"/>
      <c r="RNO131" s="6"/>
      <c r="RNP131" s="6"/>
      <c r="RNQ131" s="6"/>
      <c r="RNR131" s="6"/>
      <c r="RNS131" s="6"/>
      <c r="RNT131" s="6"/>
      <c r="RNU131" s="6"/>
      <c r="RNV131" s="6"/>
      <c r="RNW131" s="6"/>
      <c r="RNX131" s="6"/>
      <c r="RNY131" s="6"/>
      <c r="RNZ131" s="6"/>
      <c r="ROA131" s="6"/>
      <c r="ROB131" s="6"/>
      <c r="ROC131" s="6"/>
      <c r="ROD131" s="6"/>
      <c r="ROE131" s="6"/>
      <c r="ROF131" s="6"/>
      <c r="ROG131" s="6"/>
      <c r="ROH131" s="6"/>
      <c r="ROI131" s="6"/>
      <c r="ROJ131" s="6"/>
      <c r="ROK131" s="6"/>
      <c r="ROL131" s="6"/>
      <c r="ROM131" s="6"/>
      <c r="RON131" s="6"/>
      <c r="ROO131" s="6"/>
      <c r="ROP131" s="6"/>
      <c r="ROQ131" s="6"/>
      <c r="ROR131" s="6"/>
      <c r="ROS131" s="6"/>
      <c r="ROT131" s="6"/>
      <c r="ROU131" s="6"/>
      <c r="ROV131" s="6"/>
      <c r="ROW131" s="6"/>
      <c r="ROX131" s="6"/>
      <c r="ROY131" s="6"/>
      <c r="ROZ131" s="6"/>
      <c r="RPA131" s="6"/>
      <c r="RPB131" s="6"/>
      <c r="RPC131" s="6"/>
      <c r="RPD131" s="6"/>
      <c r="RPE131" s="6"/>
      <c r="RPF131" s="6"/>
      <c r="RPG131" s="6"/>
      <c r="RPH131" s="6"/>
      <c r="RPI131" s="6"/>
      <c r="RPJ131" s="6"/>
      <c r="RPK131" s="6"/>
      <c r="RPL131" s="6"/>
      <c r="RPM131" s="6"/>
      <c r="RPN131" s="6"/>
      <c r="RPO131" s="6"/>
      <c r="RPP131" s="6"/>
      <c r="RPQ131" s="6"/>
      <c r="RPR131" s="6"/>
      <c r="RPS131" s="6"/>
      <c r="RPT131" s="6"/>
      <c r="RPU131" s="6"/>
      <c r="RPV131" s="6"/>
      <c r="RPW131" s="6"/>
      <c r="RPX131" s="6"/>
      <c r="RPY131" s="6"/>
      <c r="RPZ131" s="6"/>
      <c r="RQA131" s="6"/>
      <c r="RQB131" s="6"/>
      <c r="RQC131" s="6"/>
      <c r="RQD131" s="6"/>
      <c r="RQE131" s="6"/>
      <c r="RQF131" s="6"/>
      <c r="RQG131" s="6"/>
      <c r="RQH131" s="6"/>
      <c r="RQI131" s="6"/>
      <c r="RQJ131" s="6"/>
      <c r="RQK131" s="6"/>
      <c r="RQL131" s="6"/>
      <c r="RQM131" s="6"/>
      <c r="RQN131" s="6"/>
      <c r="RQO131" s="6"/>
      <c r="RQP131" s="6"/>
      <c r="RQQ131" s="6"/>
      <c r="RQR131" s="6"/>
      <c r="RQS131" s="6"/>
      <c r="RQT131" s="6"/>
      <c r="RQU131" s="6"/>
      <c r="RQV131" s="6"/>
      <c r="RQW131" s="6"/>
      <c r="RQX131" s="6"/>
      <c r="RQY131" s="6"/>
      <c r="RQZ131" s="6"/>
      <c r="RRA131" s="6"/>
      <c r="RRB131" s="6"/>
      <c r="RRC131" s="6"/>
      <c r="RRD131" s="6"/>
      <c r="RRE131" s="6"/>
      <c r="RRF131" s="6"/>
      <c r="RRG131" s="6"/>
      <c r="RRH131" s="6"/>
      <c r="RRI131" s="6"/>
      <c r="RRJ131" s="6"/>
      <c r="RRK131" s="6"/>
      <c r="RRL131" s="6"/>
      <c r="RRM131" s="6"/>
      <c r="RRN131" s="6"/>
      <c r="RRO131" s="6"/>
      <c r="RRP131" s="6"/>
      <c r="RRQ131" s="6"/>
      <c r="RRR131" s="6"/>
      <c r="RRS131" s="6"/>
      <c r="RRT131" s="6"/>
      <c r="RRU131" s="6"/>
      <c r="RRV131" s="6"/>
      <c r="RRW131" s="6"/>
      <c r="RRX131" s="6"/>
      <c r="RRY131" s="6"/>
      <c r="RRZ131" s="6"/>
      <c r="RSA131" s="6"/>
      <c r="RSB131" s="6"/>
      <c r="RSC131" s="6"/>
      <c r="RSD131" s="6"/>
      <c r="RSE131" s="6"/>
      <c r="RSF131" s="6"/>
      <c r="RSG131" s="6"/>
      <c r="RSH131" s="6"/>
      <c r="RSI131" s="6"/>
      <c r="RSJ131" s="6"/>
      <c r="RSK131" s="6"/>
      <c r="RSL131" s="6"/>
      <c r="RSM131" s="6"/>
      <c r="RSN131" s="6"/>
      <c r="RSO131" s="6"/>
      <c r="RSP131" s="6"/>
      <c r="RSQ131" s="6"/>
      <c r="RSR131" s="6"/>
      <c r="RSS131" s="6"/>
      <c r="RST131" s="6"/>
      <c r="RSU131" s="6"/>
      <c r="RSV131" s="6"/>
      <c r="RSW131" s="6"/>
      <c r="RSX131" s="6"/>
      <c r="RSY131" s="6"/>
      <c r="RSZ131" s="6"/>
      <c r="RTA131" s="6"/>
      <c r="RTB131" s="6"/>
      <c r="RTC131" s="6"/>
      <c r="RTD131" s="6"/>
      <c r="RTE131" s="6"/>
      <c r="RTF131" s="6"/>
      <c r="RTG131" s="6"/>
      <c r="RTH131" s="6"/>
      <c r="RTI131" s="6"/>
      <c r="RTJ131" s="6"/>
      <c r="RTK131" s="6"/>
      <c r="RTL131" s="6"/>
      <c r="RTM131" s="6"/>
      <c r="RTN131" s="6"/>
      <c r="RTO131" s="6"/>
      <c r="RTP131" s="6"/>
      <c r="RTQ131" s="6"/>
      <c r="RTR131" s="6"/>
      <c r="RTS131" s="6"/>
      <c r="RTT131" s="6"/>
      <c r="RTU131" s="6"/>
      <c r="RTV131" s="6"/>
      <c r="RTW131" s="6"/>
      <c r="RTX131" s="6"/>
      <c r="RTY131" s="6"/>
      <c r="RTZ131" s="6"/>
      <c r="RUA131" s="6"/>
      <c r="RUB131" s="6"/>
      <c r="RUC131" s="6"/>
      <c r="RUD131" s="6"/>
      <c r="RUE131" s="6"/>
      <c r="RUF131" s="6"/>
      <c r="RUG131" s="6"/>
      <c r="RUH131" s="6"/>
      <c r="RUI131" s="6"/>
      <c r="RUJ131" s="6"/>
      <c r="RUK131" s="6"/>
      <c r="RUL131" s="6"/>
      <c r="RUM131" s="6"/>
      <c r="RUN131" s="6"/>
      <c r="RUO131" s="6"/>
      <c r="RUP131" s="6"/>
      <c r="RUQ131" s="6"/>
      <c r="RUR131" s="6"/>
      <c r="RUS131" s="6"/>
      <c r="RUT131" s="6"/>
      <c r="RUU131" s="6"/>
      <c r="RUV131" s="6"/>
      <c r="RUW131" s="6"/>
      <c r="RUX131" s="6"/>
      <c r="RUY131" s="6"/>
      <c r="RUZ131" s="6"/>
      <c r="RVA131" s="6"/>
      <c r="RVB131" s="6"/>
      <c r="RVC131" s="6"/>
      <c r="RVD131" s="6"/>
      <c r="RVE131" s="6"/>
      <c r="RVF131" s="6"/>
      <c r="RVG131" s="6"/>
      <c r="RVH131" s="6"/>
      <c r="RVI131" s="6"/>
      <c r="RVJ131" s="6"/>
      <c r="RVK131" s="6"/>
      <c r="RVL131" s="6"/>
      <c r="RVM131" s="6"/>
      <c r="RVN131" s="6"/>
      <c r="RVO131" s="6"/>
      <c r="RVP131" s="6"/>
      <c r="RVQ131" s="6"/>
      <c r="RVR131" s="6"/>
      <c r="RVS131" s="6"/>
      <c r="RVT131" s="6"/>
      <c r="RVU131" s="6"/>
      <c r="RVV131" s="6"/>
      <c r="RVW131" s="6"/>
      <c r="RVX131" s="6"/>
      <c r="RVY131" s="6"/>
      <c r="RVZ131" s="6"/>
      <c r="RWA131" s="6"/>
      <c r="RWB131" s="6"/>
      <c r="RWC131" s="6"/>
      <c r="RWD131" s="6"/>
      <c r="RWE131" s="6"/>
      <c r="RWF131" s="6"/>
      <c r="RWG131" s="6"/>
      <c r="RWH131" s="6"/>
      <c r="RWI131" s="6"/>
      <c r="RWJ131" s="6"/>
      <c r="RWK131" s="6"/>
      <c r="RWL131" s="6"/>
      <c r="RWM131" s="6"/>
      <c r="RWN131" s="6"/>
      <c r="RWO131" s="6"/>
      <c r="RWP131" s="6"/>
      <c r="RWQ131" s="6"/>
      <c r="RWR131" s="6"/>
      <c r="RWS131" s="6"/>
      <c r="RWT131" s="6"/>
      <c r="RWU131" s="6"/>
      <c r="RWV131" s="6"/>
      <c r="RWW131" s="6"/>
      <c r="RWX131" s="6"/>
      <c r="RWY131" s="6"/>
      <c r="RWZ131" s="6"/>
      <c r="RXA131" s="6"/>
      <c r="RXB131" s="6"/>
      <c r="RXC131" s="6"/>
      <c r="RXD131" s="6"/>
      <c r="RXE131" s="6"/>
      <c r="RXF131" s="6"/>
      <c r="RXG131" s="6"/>
      <c r="RXH131" s="6"/>
      <c r="RXI131" s="6"/>
      <c r="RXJ131" s="6"/>
      <c r="RXK131" s="6"/>
      <c r="RXL131" s="6"/>
      <c r="RXM131" s="6"/>
      <c r="RXN131" s="6"/>
      <c r="RXO131" s="6"/>
      <c r="RXP131" s="6"/>
      <c r="RXQ131" s="6"/>
      <c r="RXR131" s="6"/>
      <c r="RXS131" s="6"/>
      <c r="RXT131" s="6"/>
      <c r="RXU131" s="6"/>
      <c r="RXV131" s="6"/>
      <c r="RXW131" s="6"/>
      <c r="RXX131" s="6"/>
      <c r="RXY131" s="6"/>
      <c r="RXZ131" s="6"/>
      <c r="RYA131" s="6"/>
      <c r="RYB131" s="6"/>
      <c r="RYC131" s="6"/>
      <c r="RYD131" s="6"/>
      <c r="RYE131" s="6"/>
      <c r="RYF131" s="6"/>
      <c r="RYG131" s="6"/>
      <c r="RYH131" s="6"/>
      <c r="RYI131" s="6"/>
      <c r="RYJ131" s="6"/>
      <c r="RYK131" s="6"/>
      <c r="RYL131" s="6"/>
      <c r="RYM131" s="6"/>
      <c r="RYN131" s="6"/>
      <c r="RYO131" s="6"/>
      <c r="RYP131" s="6"/>
      <c r="RYQ131" s="6"/>
      <c r="RYR131" s="6"/>
      <c r="RYS131" s="6"/>
      <c r="RYT131" s="6"/>
      <c r="RYU131" s="6"/>
      <c r="RYV131" s="6"/>
      <c r="RYW131" s="6"/>
      <c r="RYX131" s="6"/>
      <c r="RYY131" s="6"/>
      <c r="RYZ131" s="6"/>
      <c r="RZA131" s="6"/>
      <c r="RZB131" s="6"/>
      <c r="RZC131" s="6"/>
      <c r="RZD131" s="6"/>
      <c r="RZE131" s="6"/>
      <c r="RZF131" s="6"/>
      <c r="RZG131" s="6"/>
      <c r="RZH131" s="6"/>
      <c r="RZI131" s="6"/>
      <c r="RZJ131" s="6"/>
      <c r="RZK131" s="6"/>
      <c r="RZL131" s="6"/>
      <c r="RZM131" s="6"/>
      <c r="RZN131" s="6"/>
      <c r="RZO131" s="6"/>
      <c r="RZP131" s="6"/>
      <c r="RZQ131" s="6"/>
      <c r="RZR131" s="6"/>
      <c r="RZS131" s="6"/>
      <c r="RZT131" s="6"/>
      <c r="RZU131" s="6"/>
      <c r="RZV131" s="6"/>
      <c r="RZW131" s="6"/>
      <c r="RZX131" s="6"/>
      <c r="RZY131" s="6"/>
      <c r="RZZ131" s="6"/>
      <c r="SAA131" s="6"/>
      <c r="SAB131" s="6"/>
      <c r="SAC131" s="6"/>
      <c r="SAD131" s="6"/>
      <c r="SAE131" s="6"/>
      <c r="SAF131" s="6"/>
      <c r="SAG131" s="6"/>
      <c r="SAH131" s="6"/>
      <c r="SAI131" s="6"/>
      <c r="SAJ131" s="6"/>
      <c r="SAK131" s="6"/>
      <c r="SAL131" s="6"/>
      <c r="SAM131" s="6"/>
      <c r="SAN131" s="6"/>
      <c r="SAO131" s="6"/>
      <c r="SAP131" s="6"/>
      <c r="SAQ131" s="6"/>
      <c r="SAR131" s="6"/>
      <c r="SAS131" s="6"/>
      <c r="SAT131" s="6"/>
      <c r="SAU131" s="6"/>
      <c r="SAV131" s="6"/>
      <c r="SAW131" s="6"/>
      <c r="SAX131" s="6"/>
      <c r="SAY131" s="6"/>
      <c r="SAZ131" s="6"/>
      <c r="SBA131" s="6"/>
      <c r="SBB131" s="6"/>
      <c r="SBC131" s="6"/>
      <c r="SBD131" s="6"/>
      <c r="SBE131" s="6"/>
      <c r="SBF131" s="6"/>
      <c r="SBG131" s="6"/>
      <c r="SBH131" s="6"/>
      <c r="SBI131" s="6"/>
      <c r="SBJ131" s="6"/>
      <c r="SBK131" s="6"/>
      <c r="SBL131" s="6"/>
      <c r="SBM131" s="6"/>
      <c r="SBN131" s="6"/>
      <c r="SBO131" s="6"/>
      <c r="SBP131" s="6"/>
      <c r="SBQ131" s="6"/>
      <c r="SBR131" s="6"/>
      <c r="SBS131" s="6"/>
      <c r="SBT131" s="6"/>
      <c r="SBU131" s="6"/>
      <c r="SBV131" s="6"/>
      <c r="SBW131" s="6"/>
      <c r="SBX131" s="6"/>
      <c r="SBY131" s="6"/>
      <c r="SBZ131" s="6"/>
      <c r="SCA131" s="6"/>
      <c r="SCB131" s="6"/>
      <c r="SCC131" s="6"/>
      <c r="SCD131" s="6"/>
      <c r="SCE131" s="6"/>
      <c r="SCF131" s="6"/>
      <c r="SCG131" s="6"/>
      <c r="SCH131" s="6"/>
      <c r="SCI131" s="6"/>
      <c r="SCJ131" s="6"/>
      <c r="SCK131" s="6"/>
      <c r="SCL131" s="6"/>
      <c r="SCM131" s="6"/>
      <c r="SCN131" s="6"/>
      <c r="SCO131" s="6"/>
      <c r="SCP131" s="6"/>
      <c r="SCQ131" s="6"/>
      <c r="SCR131" s="6"/>
      <c r="SCS131" s="6"/>
      <c r="SCT131" s="6"/>
      <c r="SCU131" s="6"/>
      <c r="SCV131" s="6"/>
      <c r="SCW131" s="6"/>
      <c r="SCX131" s="6"/>
      <c r="SCY131" s="6"/>
      <c r="SCZ131" s="6"/>
      <c r="SDA131" s="6"/>
      <c r="SDB131" s="6"/>
      <c r="SDC131" s="6"/>
      <c r="SDD131" s="6"/>
      <c r="SDE131" s="6"/>
      <c r="SDF131" s="6"/>
      <c r="SDG131" s="6"/>
      <c r="SDH131" s="6"/>
      <c r="SDI131" s="6"/>
      <c r="SDJ131" s="6"/>
      <c r="SDK131" s="6"/>
      <c r="SDL131" s="6"/>
      <c r="SDM131" s="6"/>
      <c r="SDN131" s="6"/>
      <c r="SDO131" s="6"/>
      <c r="SDP131" s="6"/>
      <c r="SDQ131" s="6"/>
      <c r="SDR131" s="6"/>
      <c r="SDS131" s="6"/>
      <c r="SDT131" s="6"/>
      <c r="SDU131" s="6"/>
      <c r="SDV131" s="6"/>
      <c r="SDW131" s="6"/>
      <c r="SDX131" s="6"/>
      <c r="SDY131" s="6"/>
      <c r="SDZ131" s="6"/>
      <c r="SEA131" s="6"/>
      <c r="SEB131" s="6"/>
      <c r="SEC131" s="6"/>
      <c r="SED131" s="6"/>
      <c r="SEE131" s="6"/>
      <c r="SEF131" s="6"/>
      <c r="SEG131" s="6"/>
      <c r="SEH131" s="6"/>
      <c r="SEI131" s="6"/>
      <c r="SEJ131" s="6"/>
      <c r="SEK131" s="6"/>
      <c r="SEL131" s="6"/>
      <c r="SEM131" s="6"/>
      <c r="SEN131" s="6"/>
      <c r="SEO131" s="6"/>
      <c r="SEP131" s="6"/>
      <c r="SEQ131" s="6"/>
      <c r="SER131" s="6"/>
      <c r="SES131" s="6"/>
      <c r="SET131" s="6"/>
      <c r="SEU131" s="6"/>
      <c r="SEV131" s="6"/>
      <c r="SEW131" s="6"/>
      <c r="SEX131" s="6"/>
      <c r="SEY131" s="6"/>
      <c r="SEZ131" s="6"/>
      <c r="SFA131" s="6"/>
      <c r="SFB131" s="6"/>
      <c r="SFC131" s="6"/>
      <c r="SFD131" s="6"/>
      <c r="SFE131" s="6"/>
      <c r="SFF131" s="6"/>
      <c r="SFG131" s="6"/>
      <c r="SFH131" s="6"/>
      <c r="SFI131" s="6"/>
      <c r="SFJ131" s="6"/>
      <c r="SFK131" s="6"/>
      <c r="SFL131" s="6"/>
      <c r="SFM131" s="6"/>
      <c r="SFN131" s="6"/>
      <c r="SFO131" s="6"/>
      <c r="SFP131" s="6"/>
      <c r="SFQ131" s="6"/>
      <c r="SFR131" s="6"/>
      <c r="SFS131" s="6"/>
      <c r="SFT131" s="6"/>
      <c r="SFU131" s="6"/>
      <c r="SFV131" s="6"/>
      <c r="SFW131" s="6"/>
      <c r="SFX131" s="6"/>
      <c r="SFY131" s="6"/>
      <c r="SFZ131" s="6"/>
      <c r="SGA131" s="6"/>
      <c r="SGB131" s="6"/>
      <c r="SGC131" s="6"/>
      <c r="SGD131" s="6"/>
      <c r="SGE131" s="6"/>
      <c r="SGF131" s="6"/>
      <c r="SGG131" s="6"/>
      <c r="SGH131" s="6"/>
      <c r="SGI131" s="6"/>
      <c r="SGJ131" s="6"/>
      <c r="SGK131" s="6"/>
      <c r="SGL131" s="6"/>
      <c r="SGM131" s="6"/>
      <c r="SGN131" s="6"/>
      <c r="SGO131" s="6"/>
      <c r="SGP131" s="6"/>
      <c r="SGQ131" s="6"/>
      <c r="SGR131" s="6"/>
      <c r="SGS131" s="6"/>
      <c r="SGT131" s="6"/>
      <c r="SGU131" s="6"/>
      <c r="SGV131" s="6"/>
      <c r="SGW131" s="6"/>
      <c r="SGX131" s="6"/>
      <c r="SGY131" s="6"/>
      <c r="SGZ131" s="6"/>
      <c r="SHA131" s="6"/>
      <c r="SHB131" s="6"/>
      <c r="SHC131" s="6"/>
      <c r="SHD131" s="6"/>
      <c r="SHE131" s="6"/>
      <c r="SHF131" s="6"/>
      <c r="SHG131" s="6"/>
      <c r="SHH131" s="6"/>
      <c r="SHI131" s="6"/>
      <c r="SHJ131" s="6"/>
      <c r="SHK131" s="6"/>
      <c r="SHL131" s="6"/>
      <c r="SHM131" s="6"/>
      <c r="SHN131" s="6"/>
      <c r="SHO131" s="6"/>
      <c r="SHP131" s="6"/>
      <c r="SHQ131" s="6"/>
      <c r="SHR131" s="6"/>
      <c r="SHS131" s="6"/>
      <c r="SHT131" s="6"/>
      <c r="SHU131" s="6"/>
      <c r="SHV131" s="6"/>
      <c r="SHW131" s="6"/>
      <c r="SHX131" s="6"/>
      <c r="SHY131" s="6"/>
      <c r="SHZ131" s="6"/>
      <c r="SIA131" s="6"/>
      <c r="SIB131" s="6"/>
      <c r="SIC131" s="6"/>
      <c r="SID131" s="6"/>
      <c r="SIE131" s="6"/>
      <c r="SIF131" s="6"/>
      <c r="SIG131" s="6"/>
      <c r="SIH131" s="6"/>
      <c r="SII131" s="6"/>
      <c r="SIJ131" s="6"/>
      <c r="SIK131" s="6"/>
      <c r="SIL131" s="6"/>
      <c r="SIM131" s="6"/>
      <c r="SIN131" s="6"/>
      <c r="SIO131" s="6"/>
      <c r="SIP131" s="6"/>
      <c r="SIQ131" s="6"/>
      <c r="SIR131" s="6"/>
      <c r="SIS131" s="6"/>
      <c r="SIT131" s="6"/>
      <c r="SIU131" s="6"/>
      <c r="SIV131" s="6"/>
      <c r="SIW131" s="6"/>
      <c r="SIX131" s="6"/>
      <c r="SIY131" s="6"/>
      <c r="SIZ131" s="6"/>
      <c r="SJA131" s="6"/>
      <c r="SJB131" s="6"/>
      <c r="SJC131" s="6"/>
      <c r="SJD131" s="6"/>
      <c r="SJE131" s="6"/>
      <c r="SJF131" s="6"/>
      <c r="SJG131" s="6"/>
      <c r="SJH131" s="6"/>
      <c r="SJI131" s="6"/>
      <c r="SJJ131" s="6"/>
      <c r="SJK131" s="6"/>
      <c r="SJL131" s="6"/>
      <c r="SJM131" s="6"/>
      <c r="SJN131" s="6"/>
      <c r="SJO131" s="6"/>
      <c r="SJP131" s="6"/>
      <c r="SJQ131" s="6"/>
      <c r="SJR131" s="6"/>
      <c r="SJS131" s="6"/>
      <c r="SJT131" s="6"/>
      <c r="SJU131" s="6"/>
      <c r="SJV131" s="6"/>
      <c r="SJW131" s="6"/>
      <c r="SJX131" s="6"/>
      <c r="SJY131" s="6"/>
      <c r="SJZ131" s="6"/>
      <c r="SKA131" s="6"/>
      <c r="SKB131" s="6"/>
      <c r="SKC131" s="6"/>
      <c r="SKD131" s="6"/>
      <c r="SKE131" s="6"/>
      <c r="SKF131" s="6"/>
      <c r="SKG131" s="6"/>
      <c r="SKH131" s="6"/>
      <c r="SKI131" s="6"/>
      <c r="SKJ131" s="6"/>
      <c r="SKK131" s="6"/>
      <c r="SKL131" s="6"/>
      <c r="SKM131" s="6"/>
      <c r="SKN131" s="6"/>
      <c r="SKO131" s="6"/>
      <c r="SKP131" s="6"/>
      <c r="SKQ131" s="6"/>
      <c r="SKR131" s="6"/>
      <c r="SKS131" s="6"/>
      <c r="SKT131" s="6"/>
      <c r="SKU131" s="6"/>
      <c r="SKV131" s="6"/>
      <c r="SKW131" s="6"/>
      <c r="SKX131" s="6"/>
      <c r="SKY131" s="6"/>
      <c r="SKZ131" s="6"/>
      <c r="SLA131" s="6"/>
      <c r="SLB131" s="6"/>
      <c r="SLC131" s="6"/>
      <c r="SLD131" s="6"/>
      <c r="SLE131" s="6"/>
      <c r="SLF131" s="6"/>
      <c r="SLG131" s="6"/>
      <c r="SLH131" s="6"/>
      <c r="SLI131" s="6"/>
      <c r="SLJ131" s="6"/>
      <c r="SLK131" s="6"/>
      <c r="SLL131" s="6"/>
      <c r="SLM131" s="6"/>
      <c r="SLN131" s="6"/>
      <c r="SLO131" s="6"/>
      <c r="SLP131" s="6"/>
      <c r="SLQ131" s="6"/>
      <c r="SLR131" s="6"/>
      <c r="SLS131" s="6"/>
      <c r="SLT131" s="6"/>
      <c r="SLU131" s="6"/>
      <c r="SLV131" s="6"/>
      <c r="SLW131" s="6"/>
      <c r="SLX131" s="6"/>
      <c r="SLY131" s="6"/>
      <c r="SLZ131" s="6"/>
      <c r="SMA131" s="6"/>
      <c r="SMB131" s="6"/>
      <c r="SMC131" s="6"/>
      <c r="SMD131" s="6"/>
      <c r="SME131" s="6"/>
      <c r="SMF131" s="6"/>
      <c r="SMG131" s="6"/>
      <c r="SMH131" s="6"/>
      <c r="SMI131" s="6"/>
      <c r="SMJ131" s="6"/>
      <c r="SMK131" s="6"/>
      <c r="SML131" s="6"/>
      <c r="SMM131" s="6"/>
      <c r="SMN131" s="6"/>
      <c r="SMO131" s="6"/>
      <c r="SMP131" s="6"/>
      <c r="SMQ131" s="6"/>
      <c r="SMR131" s="6"/>
      <c r="SMS131" s="6"/>
      <c r="SMT131" s="6"/>
      <c r="SMU131" s="6"/>
      <c r="SMV131" s="6"/>
      <c r="SMW131" s="6"/>
      <c r="SMX131" s="6"/>
      <c r="SMY131" s="6"/>
      <c r="SMZ131" s="6"/>
      <c r="SNA131" s="6"/>
      <c r="SNB131" s="6"/>
      <c r="SNC131" s="6"/>
      <c r="SND131" s="6"/>
      <c r="SNE131" s="6"/>
      <c r="SNF131" s="6"/>
      <c r="SNG131" s="6"/>
      <c r="SNH131" s="6"/>
      <c r="SNI131" s="6"/>
      <c r="SNJ131" s="6"/>
      <c r="SNK131" s="6"/>
      <c r="SNL131" s="6"/>
      <c r="SNM131" s="6"/>
      <c r="SNN131" s="6"/>
      <c r="SNO131" s="6"/>
      <c r="SNP131" s="6"/>
      <c r="SNQ131" s="6"/>
      <c r="SNR131" s="6"/>
      <c r="SNS131" s="6"/>
      <c r="SNT131" s="6"/>
      <c r="SNU131" s="6"/>
      <c r="SNV131" s="6"/>
      <c r="SNW131" s="6"/>
      <c r="SNX131" s="6"/>
      <c r="SNY131" s="6"/>
      <c r="SNZ131" s="6"/>
      <c r="SOA131" s="6"/>
      <c r="SOB131" s="6"/>
      <c r="SOC131" s="6"/>
      <c r="SOD131" s="6"/>
      <c r="SOE131" s="6"/>
      <c r="SOF131" s="6"/>
      <c r="SOG131" s="6"/>
      <c r="SOH131" s="6"/>
      <c r="SOI131" s="6"/>
      <c r="SOJ131" s="6"/>
      <c r="SOK131" s="6"/>
      <c r="SOL131" s="6"/>
      <c r="SOM131" s="6"/>
      <c r="SON131" s="6"/>
      <c r="SOO131" s="6"/>
      <c r="SOP131" s="6"/>
      <c r="SOQ131" s="6"/>
      <c r="SOR131" s="6"/>
      <c r="SOS131" s="6"/>
      <c r="SOT131" s="6"/>
      <c r="SOU131" s="6"/>
      <c r="SOV131" s="6"/>
      <c r="SOW131" s="6"/>
      <c r="SOX131" s="6"/>
      <c r="SOY131" s="6"/>
      <c r="SOZ131" s="6"/>
      <c r="SPA131" s="6"/>
      <c r="SPB131" s="6"/>
      <c r="SPC131" s="6"/>
      <c r="SPD131" s="6"/>
      <c r="SPE131" s="6"/>
      <c r="SPF131" s="6"/>
      <c r="SPG131" s="6"/>
      <c r="SPH131" s="6"/>
      <c r="SPI131" s="6"/>
      <c r="SPJ131" s="6"/>
      <c r="SPK131" s="6"/>
      <c r="SPL131" s="6"/>
      <c r="SPM131" s="6"/>
      <c r="SPN131" s="6"/>
      <c r="SPO131" s="6"/>
      <c r="SPP131" s="6"/>
      <c r="SPQ131" s="6"/>
      <c r="SPR131" s="6"/>
      <c r="SPS131" s="6"/>
      <c r="SPT131" s="6"/>
      <c r="SPU131" s="6"/>
      <c r="SPV131" s="6"/>
      <c r="SPW131" s="6"/>
      <c r="SPX131" s="6"/>
      <c r="SPY131" s="6"/>
      <c r="SPZ131" s="6"/>
      <c r="SQA131" s="6"/>
      <c r="SQB131" s="6"/>
      <c r="SQC131" s="6"/>
      <c r="SQD131" s="6"/>
      <c r="SQE131" s="6"/>
      <c r="SQF131" s="6"/>
      <c r="SQG131" s="6"/>
      <c r="SQH131" s="6"/>
      <c r="SQI131" s="6"/>
      <c r="SQJ131" s="6"/>
      <c r="SQK131" s="6"/>
      <c r="SQL131" s="6"/>
      <c r="SQM131" s="6"/>
      <c r="SQN131" s="6"/>
      <c r="SQO131" s="6"/>
      <c r="SQP131" s="6"/>
      <c r="SQQ131" s="6"/>
      <c r="SQR131" s="6"/>
      <c r="SQS131" s="6"/>
      <c r="SQT131" s="6"/>
      <c r="SQU131" s="6"/>
      <c r="SQV131" s="6"/>
      <c r="SQW131" s="6"/>
      <c r="SQX131" s="6"/>
      <c r="SQY131" s="6"/>
      <c r="SQZ131" s="6"/>
      <c r="SRA131" s="6"/>
      <c r="SRB131" s="6"/>
      <c r="SRC131" s="6"/>
      <c r="SRD131" s="6"/>
      <c r="SRE131" s="6"/>
      <c r="SRF131" s="6"/>
      <c r="SRG131" s="6"/>
      <c r="SRH131" s="6"/>
      <c r="SRI131" s="6"/>
      <c r="SRJ131" s="6"/>
      <c r="SRK131" s="6"/>
      <c r="SRL131" s="6"/>
      <c r="SRM131" s="6"/>
      <c r="SRN131" s="6"/>
      <c r="SRO131" s="6"/>
      <c r="SRP131" s="6"/>
      <c r="SRQ131" s="6"/>
      <c r="SRR131" s="6"/>
      <c r="SRS131" s="6"/>
      <c r="SRT131" s="6"/>
      <c r="SRU131" s="6"/>
      <c r="SRV131" s="6"/>
      <c r="SRW131" s="6"/>
      <c r="SRX131" s="6"/>
      <c r="SRY131" s="6"/>
      <c r="SRZ131" s="6"/>
      <c r="SSA131" s="6"/>
      <c r="SSB131" s="6"/>
      <c r="SSC131" s="6"/>
      <c r="SSD131" s="6"/>
      <c r="SSE131" s="6"/>
      <c r="SSF131" s="6"/>
      <c r="SSG131" s="6"/>
      <c r="SSH131" s="6"/>
      <c r="SSI131" s="6"/>
      <c r="SSJ131" s="6"/>
      <c r="SSK131" s="6"/>
      <c r="SSL131" s="6"/>
      <c r="SSM131" s="6"/>
      <c r="SSN131" s="6"/>
      <c r="SSO131" s="6"/>
      <c r="SSP131" s="6"/>
      <c r="SSQ131" s="6"/>
      <c r="SSR131" s="6"/>
      <c r="SSS131" s="6"/>
      <c r="SST131" s="6"/>
      <c r="SSU131" s="6"/>
      <c r="SSV131" s="6"/>
      <c r="SSW131" s="6"/>
      <c r="SSX131" s="6"/>
      <c r="SSY131" s="6"/>
      <c r="SSZ131" s="6"/>
      <c r="STA131" s="6"/>
      <c r="STB131" s="6"/>
      <c r="STC131" s="6"/>
      <c r="STD131" s="6"/>
      <c r="STE131" s="6"/>
      <c r="STF131" s="6"/>
      <c r="STG131" s="6"/>
      <c r="STH131" s="6"/>
      <c r="STI131" s="6"/>
      <c r="STJ131" s="6"/>
      <c r="STK131" s="6"/>
      <c r="STL131" s="6"/>
      <c r="STM131" s="6"/>
      <c r="STN131" s="6"/>
      <c r="STO131" s="6"/>
      <c r="STP131" s="6"/>
      <c r="STQ131" s="6"/>
      <c r="STR131" s="6"/>
      <c r="STS131" s="6"/>
      <c r="STT131" s="6"/>
      <c r="STU131" s="6"/>
      <c r="STV131" s="6"/>
      <c r="STW131" s="6"/>
      <c r="STX131" s="6"/>
      <c r="STY131" s="6"/>
      <c r="STZ131" s="6"/>
      <c r="SUA131" s="6"/>
      <c r="SUB131" s="6"/>
      <c r="SUC131" s="6"/>
      <c r="SUD131" s="6"/>
      <c r="SUE131" s="6"/>
      <c r="SUF131" s="6"/>
      <c r="SUG131" s="6"/>
      <c r="SUH131" s="6"/>
      <c r="SUI131" s="6"/>
      <c r="SUJ131" s="6"/>
      <c r="SUK131" s="6"/>
      <c r="SUL131" s="6"/>
      <c r="SUM131" s="6"/>
      <c r="SUN131" s="6"/>
      <c r="SUO131" s="6"/>
      <c r="SUP131" s="6"/>
      <c r="SUQ131" s="6"/>
      <c r="SUR131" s="6"/>
      <c r="SUS131" s="6"/>
      <c r="SUT131" s="6"/>
      <c r="SUU131" s="6"/>
      <c r="SUV131" s="6"/>
      <c r="SUW131" s="6"/>
      <c r="SUX131" s="6"/>
      <c r="SUY131" s="6"/>
      <c r="SUZ131" s="6"/>
      <c r="SVA131" s="6"/>
      <c r="SVB131" s="6"/>
      <c r="SVC131" s="6"/>
      <c r="SVD131" s="6"/>
      <c r="SVE131" s="6"/>
      <c r="SVF131" s="6"/>
      <c r="SVG131" s="6"/>
      <c r="SVH131" s="6"/>
      <c r="SVI131" s="6"/>
      <c r="SVJ131" s="6"/>
      <c r="SVK131" s="6"/>
      <c r="SVL131" s="6"/>
      <c r="SVM131" s="6"/>
      <c r="SVN131" s="6"/>
      <c r="SVO131" s="6"/>
      <c r="SVP131" s="6"/>
      <c r="SVQ131" s="6"/>
      <c r="SVR131" s="6"/>
      <c r="SVS131" s="6"/>
      <c r="SVT131" s="6"/>
      <c r="SVU131" s="6"/>
      <c r="SVV131" s="6"/>
      <c r="SVW131" s="6"/>
      <c r="SVX131" s="6"/>
      <c r="SVY131" s="6"/>
      <c r="SVZ131" s="6"/>
      <c r="SWA131" s="6"/>
      <c r="SWB131" s="6"/>
      <c r="SWC131" s="6"/>
      <c r="SWD131" s="6"/>
      <c r="SWE131" s="6"/>
      <c r="SWF131" s="6"/>
      <c r="SWG131" s="6"/>
      <c r="SWH131" s="6"/>
      <c r="SWI131" s="6"/>
      <c r="SWJ131" s="6"/>
      <c r="SWK131" s="6"/>
      <c r="SWL131" s="6"/>
      <c r="SWM131" s="6"/>
      <c r="SWN131" s="6"/>
      <c r="SWO131" s="6"/>
      <c r="SWP131" s="6"/>
      <c r="SWQ131" s="6"/>
      <c r="SWR131" s="6"/>
      <c r="SWS131" s="6"/>
      <c r="SWT131" s="6"/>
      <c r="SWU131" s="6"/>
      <c r="SWV131" s="6"/>
      <c r="SWW131" s="6"/>
      <c r="SWX131" s="6"/>
      <c r="SWY131" s="6"/>
      <c r="SWZ131" s="6"/>
      <c r="SXA131" s="6"/>
      <c r="SXB131" s="6"/>
      <c r="SXC131" s="6"/>
      <c r="SXD131" s="6"/>
      <c r="SXE131" s="6"/>
      <c r="SXF131" s="6"/>
      <c r="SXG131" s="6"/>
      <c r="SXH131" s="6"/>
      <c r="SXI131" s="6"/>
      <c r="SXJ131" s="6"/>
      <c r="SXK131" s="6"/>
      <c r="SXL131" s="6"/>
      <c r="SXM131" s="6"/>
      <c r="SXN131" s="6"/>
      <c r="SXO131" s="6"/>
      <c r="SXP131" s="6"/>
      <c r="SXQ131" s="6"/>
      <c r="SXR131" s="6"/>
      <c r="SXS131" s="6"/>
      <c r="SXT131" s="6"/>
      <c r="SXU131" s="6"/>
      <c r="SXV131" s="6"/>
      <c r="SXW131" s="6"/>
      <c r="SXX131" s="6"/>
      <c r="SXY131" s="6"/>
      <c r="SXZ131" s="6"/>
      <c r="SYA131" s="6"/>
      <c r="SYB131" s="6"/>
      <c r="SYC131" s="6"/>
      <c r="SYD131" s="6"/>
      <c r="SYE131" s="6"/>
      <c r="SYF131" s="6"/>
      <c r="SYG131" s="6"/>
      <c r="SYH131" s="6"/>
      <c r="SYI131" s="6"/>
      <c r="SYJ131" s="6"/>
      <c r="SYK131" s="6"/>
      <c r="SYL131" s="6"/>
      <c r="SYM131" s="6"/>
      <c r="SYN131" s="6"/>
      <c r="SYO131" s="6"/>
      <c r="SYP131" s="6"/>
      <c r="SYQ131" s="6"/>
      <c r="SYR131" s="6"/>
      <c r="SYS131" s="6"/>
      <c r="SYT131" s="6"/>
      <c r="SYU131" s="6"/>
      <c r="SYV131" s="6"/>
      <c r="SYW131" s="6"/>
      <c r="SYX131" s="6"/>
      <c r="SYY131" s="6"/>
      <c r="SYZ131" s="6"/>
      <c r="SZA131" s="6"/>
      <c r="SZB131" s="6"/>
      <c r="SZC131" s="6"/>
      <c r="SZD131" s="6"/>
      <c r="SZE131" s="6"/>
      <c r="SZF131" s="6"/>
      <c r="SZG131" s="6"/>
      <c r="SZH131" s="6"/>
      <c r="SZI131" s="6"/>
      <c r="SZJ131" s="6"/>
      <c r="SZK131" s="6"/>
      <c r="SZL131" s="6"/>
      <c r="SZM131" s="6"/>
      <c r="SZN131" s="6"/>
      <c r="SZO131" s="6"/>
      <c r="SZP131" s="6"/>
      <c r="SZQ131" s="6"/>
      <c r="SZR131" s="6"/>
      <c r="SZS131" s="6"/>
      <c r="SZT131" s="6"/>
      <c r="SZU131" s="6"/>
      <c r="SZV131" s="6"/>
      <c r="SZW131" s="6"/>
      <c r="SZX131" s="6"/>
      <c r="SZY131" s="6"/>
      <c r="SZZ131" s="6"/>
      <c r="TAA131" s="6"/>
      <c r="TAB131" s="6"/>
      <c r="TAC131" s="6"/>
      <c r="TAD131" s="6"/>
      <c r="TAE131" s="6"/>
      <c r="TAF131" s="6"/>
      <c r="TAG131" s="6"/>
      <c r="TAH131" s="6"/>
      <c r="TAI131" s="6"/>
      <c r="TAJ131" s="6"/>
      <c r="TAK131" s="6"/>
      <c r="TAL131" s="6"/>
      <c r="TAM131" s="6"/>
      <c r="TAN131" s="6"/>
      <c r="TAO131" s="6"/>
      <c r="TAP131" s="6"/>
      <c r="TAQ131" s="6"/>
      <c r="TAR131" s="6"/>
      <c r="TAS131" s="6"/>
      <c r="TAT131" s="6"/>
      <c r="TAU131" s="6"/>
      <c r="TAV131" s="6"/>
      <c r="TAW131" s="6"/>
      <c r="TAX131" s="6"/>
      <c r="TAY131" s="6"/>
      <c r="TAZ131" s="6"/>
      <c r="TBA131" s="6"/>
      <c r="TBB131" s="6"/>
      <c r="TBC131" s="6"/>
      <c r="TBD131" s="6"/>
      <c r="TBE131" s="6"/>
      <c r="TBF131" s="6"/>
      <c r="TBG131" s="6"/>
      <c r="TBH131" s="6"/>
      <c r="TBI131" s="6"/>
      <c r="TBJ131" s="6"/>
      <c r="TBK131" s="6"/>
      <c r="TBL131" s="6"/>
      <c r="TBM131" s="6"/>
      <c r="TBN131" s="6"/>
      <c r="TBO131" s="6"/>
      <c r="TBP131" s="6"/>
      <c r="TBQ131" s="6"/>
      <c r="TBR131" s="6"/>
      <c r="TBS131" s="6"/>
      <c r="TBT131" s="6"/>
      <c r="TBU131" s="6"/>
      <c r="TBV131" s="6"/>
      <c r="TBW131" s="6"/>
      <c r="TBX131" s="6"/>
      <c r="TBY131" s="6"/>
      <c r="TBZ131" s="6"/>
      <c r="TCA131" s="6"/>
      <c r="TCB131" s="6"/>
      <c r="TCC131" s="6"/>
      <c r="TCD131" s="6"/>
      <c r="TCE131" s="6"/>
      <c r="TCF131" s="6"/>
      <c r="TCG131" s="6"/>
      <c r="TCH131" s="6"/>
      <c r="TCI131" s="6"/>
      <c r="TCJ131" s="6"/>
      <c r="TCK131" s="6"/>
      <c r="TCL131" s="6"/>
      <c r="TCM131" s="6"/>
      <c r="TCN131" s="6"/>
      <c r="TCO131" s="6"/>
      <c r="TCP131" s="6"/>
      <c r="TCQ131" s="6"/>
      <c r="TCR131" s="6"/>
      <c r="TCS131" s="6"/>
      <c r="TCT131" s="6"/>
      <c r="TCU131" s="6"/>
      <c r="TCV131" s="6"/>
      <c r="TCW131" s="6"/>
      <c r="TCX131" s="6"/>
      <c r="TCY131" s="6"/>
      <c r="TCZ131" s="6"/>
      <c r="TDA131" s="6"/>
      <c r="TDB131" s="6"/>
      <c r="TDC131" s="6"/>
      <c r="TDD131" s="6"/>
      <c r="TDE131" s="6"/>
      <c r="TDF131" s="6"/>
      <c r="TDG131" s="6"/>
      <c r="TDH131" s="6"/>
      <c r="TDI131" s="6"/>
      <c r="TDJ131" s="6"/>
      <c r="TDK131" s="6"/>
      <c r="TDL131" s="6"/>
      <c r="TDM131" s="6"/>
      <c r="TDN131" s="6"/>
      <c r="TDO131" s="6"/>
      <c r="TDP131" s="6"/>
      <c r="TDQ131" s="6"/>
      <c r="TDR131" s="6"/>
      <c r="TDS131" s="6"/>
      <c r="TDT131" s="6"/>
      <c r="TDU131" s="6"/>
      <c r="TDV131" s="6"/>
      <c r="TDW131" s="6"/>
      <c r="TDX131" s="6"/>
      <c r="TDY131" s="6"/>
      <c r="TDZ131" s="6"/>
      <c r="TEA131" s="6"/>
      <c r="TEB131" s="6"/>
      <c r="TEC131" s="6"/>
      <c r="TED131" s="6"/>
      <c r="TEE131" s="6"/>
      <c r="TEF131" s="6"/>
      <c r="TEG131" s="6"/>
      <c r="TEH131" s="6"/>
      <c r="TEI131" s="6"/>
      <c r="TEJ131" s="6"/>
      <c r="TEK131" s="6"/>
      <c r="TEL131" s="6"/>
      <c r="TEM131" s="6"/>
      <c r="TEN131" s="6"/>
      <c r="TEO131" s="6"/>
      <c r="TEP131" s="6"/>
      <c r="TEQ131" s="6"/>
      <c r="TER131" s="6"/>
      <c r="TES131" s="6"/>
      <c r="TET131" s="6"/>
      <c r="TEU131" s="6"/>
      <c r="TEV131" s="6"/>
      <c r="TEW131" s="6"/>
      <c r="TEX131" s="6"/>
      <c r="TEY131" s="6"/>
      <c r="TEZ131" s="6"/>
      <c r="TFA131" s="6"/>
      <c r="TFB131" s="6"/>
      <c r="TFC131" s="6"/>
      <c r="TFD131" s="6"/>
      <c r="TFE131" s="6"/>
      <c r="TFF131" s="6"/>
      <c r="TFG131" s="6"/>
      <c r="TFH131" s="6"/>
      <c r="TFI131" s="6"/>
      <c r="TFJ131" s="6"/>
      <c r="TFK131" s="6"/>
      <c r="TFL131" s="6"/>
      <c r="TFM131" s="6"/>
      <c r="TFN131" s="6"/>
      <c r="TFO131" s="6"/>
      <c r="TFP131" s="6"/>
      <c r="TFQ131" s="6"/>
      <c r="TFR131" s="6"/>
      <c r="TFS131" s="6"/>
      <c r="TFT131" s="6"/>
      <c r="TFU131" s="6"/>
      <c r="TFV131" s="6"/>
      <c r="TFW131" s="6"/>
      <c r="TFX131" s="6"/>
      <c r="TFY131" s="6"/>
      <c r="TFZ131" s="6"/>
      <c r="TGA131" s="6"/>
      <c r="TGB131" s="6"/>
      <c r="TGC131" s="6"/>
      <c r="TGD131" s="6"/>
      <c r="TGE131" s="6"/>
      <c r="TGF131" s="6"/>
      <c r="TGG131" s="6"/>
      <c r="TGH131" s="6"/>
      <c r="TGI131" s="6"/>
      <c r="TGJ131" s="6"/>
      <c r="TGK131" s="6"/>
      <c r="TGL131" s="6"/>
      <c r="TGM131" s="6"/>
      <c r="TGN131" s="6"/>
      <c r="TGO131" s="6"/>
      <c r="TGP131" s="6"/>
      <c r="TGQ131" s="6"/>
      <c r="TGR131" s="6"/>
      <c r="TGS131" s="6"/>
      <c r="TGT131" s="6"/>
      <c r="TGU131" s="6"/>
      <c r="TGV131" s="6"/>
      <c r="TGW131" s="6"/>
      <c r="TGX131" s="6"/>
      <c r="TGY131" s="6"/>
      <c r="TGZ131" s="6"/>
      <c r="THA131" s="6"/>
      <c r="THB131" s="6"/>
      <c r="THC131" s="6"/>
      <c r="THD131" s="6"/>
      <c r="THE131" s="6"/>
      <c r="THF131" s="6"/>
      <c r="THG131" s="6"/>
      <c r="THH131" s="6"/>
      <c r="THI131" s="6"/>
      <c r="THJ131" s="6"/>
      <c r="THK131" s="6"/>
      <c r="THL131" s="6"/>
      <c r="THM131" s="6"/>
      <c r="THN131" s="6"/>
      <c r="THO131" s="6"/>
      <c r="THP131" s="6"/>
      <c r="THQ131" s="6"/>
      <c r="THR131" s="6"/>
      <c r="THS131" s="6"/>
      <c r="THT131" s="6"/>
      <c r="THU131" s="6"/>
      <c r="THV131" s="6"/>
      <c r="THW131" s="6"/>
      <c r="THX131" s="6"/>
      <c r="THY131" s="6"/>
      <c r="THZ131" s="6"/>
      <c r="TIA131" s="6"/>
      <c r="TIB131" s="6"/>
      <c r="TIC131" s="6"/>
      <c r="TID131" s="6"/>
      <c r="TIE131" s="6"/>
      <c r="TIF131" s="6"/>
      <c r="TIG131" s="6"/>
      <c r="TIH131" s="6"/>
      <c r="TII131" s="6"/>
      <c r="TIJ131" s="6"/>
      <c r="TIK131" s="6"/>
      <c r="TIL131" s="6"/>
      <c r="TIM131" s="6"/>
      <c r="TIN131" s="6"/>
      <c r="TIO131" s="6"/>
      <c r="TIP131" s="6"/>
      <c r="TIQ131" s="6"/>
      <c r="TIR131" s="6"/>
      <c r="TIS131" s="6"/>
      <c r="TIT131" s="6"/>
      <c r="TIU131" s="6"/>
      <c r="TIV131" s="6"/>
      <c r="TIW131" s="6"/>
      <c r="TIX131" s="6"/>
      <c r="TIY131" s="6"/>
      <c r="TIZ131" s="6"/>
      <c r="TJA131" s="6"/>
      <c r="TJB131" s="6"/>
      <c r="TJC131" s="6"/>
      <c r="TJD131" s="6"/>
      <c r="TJE131" s="6"/>
      <c r="TJF131" s="6"/>
      <c r="TJG131" s="6"/>
      <c r="TJH131" s="6"/>
      <c r="TJI131" s="6"/>
      <c r="TJJ131" s="6"/>
      <c r="TJK131" s="6"/>
      <c r="TJL131" s="6"/>
      <c r="TJM131" s="6"/>
      <c r="TJN131" s="6"/>
      <c r="TJO131" s="6"/>
      <c r="TJP131" s="6"/>
      <c r="TJQ131" s="6"/>
      <c r="TJR131" s="6"/>
      <c r="TJS131" s="6"/>
      <c r="TJT131" s="6"/>
      <c r="TJU131" s="6"/>
      <c r="TJV131" s="6"/>
      <c r="TJW131" s="6"/>
      <c r="TJX131" s="6"/>
      <c r="TJY131" s="6"/>
      <c r="TJZ131" s="6"/>
      <c r="TKA131" s="6"/>
      <c r="TKB131" s="6"/>
      <c r="TKC131" s="6"/>
      <c r="TKD131" s="6"/>
      <c r="TKE131" s="6"/>
      <c r="TKF131" s="6"/>
      <c r="TKG131" s="6"/>
      <c r="TKH131" s="6"/>
      <c r="TKI131" s="6"/>
      <c r="TKJ131" s="6"/>
      <c r="TKK131" s="6"/>
      <c r="TKL131" s="6"/>
      <c r="TKM131" s="6"/>
      <c r="TKN131" s="6"/>
      <c r="TKO131" s="6"/>
      <c r="TKP131" s="6"/>
      <c r="TKQ131" s="6"/>
      <c r="TKR131" s="6"/>
      <c r="TKS131" s="6"/>
      <c r="TKT131" s="6"/>
      <c r="TKU131" s="6"/>
      <c r="TKV131" s="6"/>
      <c r="TKW131" s="6"/>
      <c r="TKX131" s="6"/>
      <c r="TKY131" s="6"/>
      <c r="TKZ131" s="6"/>
      <c r="TLA131" s="6"/>
      <c r="TLB131" s="6"/>
      <c r="TLC131" s="6"/>
      <c r="TLD131" s="6"/>
      <c r="TLE131" s="6"/>
      <c r="TLF131" s="6"/>
      <c r="TLG131" s="6"/>
      <c r="TLH131" s="6"/>
      <c r="TLI131" s="6"/>
      <c r="TLJ131" s="6"/>
      <c r="TLK131" s="6"/>
      <c r="TLL131" s="6"/>
      <c r="TLM131" s="6"/>
      <c r="TLN131" s="6"/>
      <c r="TLO131" s="6"/>
      <c r="TLP131" s="6"/>
      <c r="TLQ131" s="6"/>
      <c r="TLR131" s="6"/>
      <c r="TLS131" s="6"/>
      <c r="TLT131" s="6"/>
      <c r="TLU131" s="6"/>
      <c r="TLV131" s="6"/>
      <c r="TLW131" s="6"/>
      <c r="TLX131" s="6"/>
      <c r="TLY131" s="6"/>
      <c r="TLZ131" s="6"/>
      <c r="TMA131" s="6"/>
      <c r="TMB131" s="6"/>
      <c r="TMC131" s="6"/>
      <c r="TMD131" s="6"/>
      <c r="TME131" s="6"/>
      <c r="TMF131" s="6"/>
      <c r="TMG131" s="6"/>
      <c r="TMH131" s="6"/>
      <c r="TMI131" s="6"/>
      <c r="TMJ131" s="6"/>
      <c r="TMK131" s="6"/>
      <c r="TML131" s="6"/>
      <c r="TMM131" s="6"/>
      <c r="TMN131" s="6"/>
      <c r="TMO131" s="6"/>
      <c r="TMP131" s="6"/>
      <c r="TMQ131" s="6"/>
      <c r="TMR131" s="6"/>
      <c r="TMS131" s="6"/>
      <c r="TMT131" s="6"/>
      <c r="TMU131" s="6"/>
      <c r="TMV131" s="6"/>
      <c r="TMW131" s="6"/>
      <c r="TMX131" s="6"/>
      <c r="TMY131" s="6"/>
      <c r="TMZ131" s="6"/>
      <c r="TNA131" s="6"/>
      <c r="TNB131" s="6"/>
      <c r="TNC131" s="6"/>
      <c r="TND131" s="6"/>
      <c r="TNE131" s="6"/>
      <c r="TNF131" s="6"/>
      <c r="TNG131" s="6"/>
      <c r="TNH131" s="6"/>
      <c r="TNI131" s="6"/>
      <c r="TNJ131" s="6"/>
      <c r="TNK131" s="6"/>
      <c r="TNL131" s="6"/>
      <c r="TNM131" s="6"/>
      <c r="TNN131" s="6"/>
      <c r="TNO131" s="6"/>
      <c r="TNP131" s="6"/>
      <c r="TNQ131" s="6"/>
      <c r="TNR131" s="6"/>
      <c r="TNS131" s="6"/>
      <c r="TNT131" s="6"/>
      <c r="TNU131" s="6"/>
      <c r="TNV131" s="6"/>
      <c r="TNW131" s="6"/>
      <c r="TNX131" s="6"/>
      <c r="TNY131" s="6"/>
      <c r="TNZ131" s="6"/>
      <c r="TOA131" s="6"/>
      <c r="TOB131" s="6"/>
      <c r="TOC131" s="6"/>
      <c r="TOD131" s="6"/>
      <c r="TOE131" s="6"/>
      <c r="TOF131" s="6"/>
      <c r="TOG131" s="6"/>
      <c r="TOH131" s="6"/>
      <c r="TOI131" s="6"/>
      <c r="TOJ131" s="6"/>
      <c r="TOK131" s="6"/>
      <c r="TOL131" s="6"/>
      <c r="TOM131" s="6"/>
      <c r="TON131" s="6"/>
      <c r="TOO131" s="6"/>
      <c r="TOP131" s="6"/>
      <c r="TOQ131" s="6"/>
      <c r="TOR131" s="6"/>
      <c r="TOS131" s="6"/>
      <c r="TOT131" s="6"/>
      <c r="TOU131" s="6"/>
      <c r="TOV131" s="6"/>
      <c r="TOW131" s="6"/>
      <c r="TOX131" s="6"/>
      <c r="TOY131" s="6"/>
      <c r="TOZ131" s="6"/>
      <c r="TPA131" s="6"/>
      <c r="TPB131" s="6"/>
      <c r="TPC131" s="6"/>
      <c r="TPD131" s="6"/>
      <c r="TPE131" s="6"/>
      <c r="TPF131" s="6"/>
      <c r="TPG131" s="6"/>
      <c r="TPH131" s="6"/>
      <c r="TPI131" s="6"/>
      <c r="TPJ131" s="6"/>
      <c r="TPK131" s="6"/>
      <c r="TPL131" s="6"/>
      <c r="TPM131" s="6"/>
      <c r="TPN131" s="6"/>
      <c r="TPO131" s="6"/>
      <c r="TPP131" s="6"/>
      <c r="TPQ131" s="6"/>
      <c r="TPR131" s="6"/>
      <c r="TPS131" s="6"/>
      <c r="TPT131" s="6"/>
      <c r="TPU131" s="6"/>
      <c r="TPV131" s="6"/>
      <c r="TPW131" s="6"/>
      <c r="TPX131" s="6"/>
      <c r="TPY131" s="6"/>
      <c r="TPZ131" s="6"/>
      <c r="TQA131" s="6"/>
      <c r="TQB131" s="6"/>
      <c r="TQC131" s="6"/>
      <c r="TQD131" s="6"/>
      <c r="TQE131" s="6"/>
      <c r="TQF131" s="6"/>
      <c r="TQG131" s="6"/>
      <c r="TQH131" s="6"/>
      <c r="TQI131" s="6"/>
      <c r="TQJ131" s="6"/>
      <c r="TQK131" s="6"/>
      <c r="TQL131" s="6"/>
      <c r="TQM131" s="6"/>
      <c r="TQN131" s="6"/>
      <c r="TQO131" s="6"/>
      <c r="TQP131" s="6"/>
      <c r="TQQ131" s="6"/>
      <c r="TQR131" s="6"/>
      <c r="TQS131" s="6"/>
      <c r="TQT131" s="6"/>
      <c r="TQU131" s="6"/>
      <c r="TQV131" s="6"/>
      <c r="TQW131" s="6"/>
      <c r="TQX131" s="6"/>
      <c r="TQY131" s="6"/>
      <c r="TQZ131" s="6"/>
      <c r="TRA131" s="6"/>
      <c r="TRB131" s="6"/>
      <c r="TRC131" s="6"/>
      <c r="TRD131" s="6"/>
      <c r="TRE131" s="6"/>
      <c r="TRF131" s="6"/>
      <c r="TRG131" s="6"/>
      <c r="TRH131" s="6"/>
      <c r="TRI131" s="6"/>
      <c r="TRJ131" s="6"/>
      <c r="TRK131" s="6"/>
      <c r="TRL131" s="6"/>
      <c r="TRM131" s="6"/>
      <c r="TRN131" s="6"/>
      <c r="TRO131" s="6"/>
      <c r="TRP131" s="6"/>
      <c r="TRQ131" s="6"/>
      <c r="TRR131" s="6"/>
      <c r="TRS131" s="6"/>
      <c r="TRT131" s="6"/>
      <c r="TRU131" s="6"/>
      <c r="TRV131" s="6"/>
      <c r="TRW131" s="6"/>
      <c r="TRX131" s="6"/>
      <c r="TRY131" s="6"/>
      <c r="TRZ131" s="6"/>
      <c r="TSA131" s="6"/>
      <c r="TSB131" s="6"/>
      <c r="TSC131" s="6"/>
      <c r="TSD131" s="6"/>
      <c r="TSE131" s="6"/>
      <c r="TSF131" s="6"/>
      <c r="TSG131" s="6"/>
      <c r="TSH131" s="6"/>
      <c r="TSI131" s="6"/>
      <c r="TSJ131" s="6"/>
      <c r="TSK131" s="6"/>
      <c r="TSL131" s="6"/>
      <c r="TSM131" s="6"/>
      <c r="TSN131" s="6"/>
      <c r="TSO131" s="6"/>
      <c r="TSP131" s="6"/>
      <c r="TSQ131" s="6"/>
      <c r="TSR131" s="6"/>
      <c r="TSS131" s="6"/>
      <c r="TST131" s="6"/>
      <c r="TSU131" s="6"/>
      <c r="TSV131" s="6"/>
      <c r="TSW131" s="6"/>
      <c r="TSX131" s="6"/>
      <c r="TSY131" s="6"/>
      <c r="TSZ131" s="6"/>
      <c r="TTA131" s="6"/>
      <c r="TTB131" s="6"/>
      <c r="TTC131" s="6"/>
      <c r="TTD131" s="6"/>
      <c r="TTE131" s="6"/>
      <c r="TTF131" s="6"/>
      <c r="TTG131" s="6"/>
      <c r="TTH131" s="6"/>
      <c r="TTI131" s="6"/>
      <c r="TTJ131" s="6"/>
      <c r="TTK131" s="6"/>
      <c r="TTL131" s="6"/>
      <c r="TTM131" s="6"/>
      <c r="TTN131" s="6"/>
      <c r="TTO131" s="6"/>
      <c r="TTP131" s="6"/>
      <c r="TTQ131" s="6"/>
      <c r="TTR131" s="6"/>
      <c r="TTS131" s="6"/>
      <c r="TTT131" s="6"/>
      <c r="TTU131" s="6"/>
      <c r="TTV131" s="6"/>
      <c r="TTW131" s="6"/>
      <c r="TTX131" s="6"/>
      <c r="TTY131" s="6"/>
      <c r="TTZ131" s="6"/>
      <c r="TUA131" s="6"/>
      <c r="TUB131" s="6"/>
      <c r="TUC131" s="6"/>
      <c r="TUD131" s="6"/>
      <c r="TUE131" s="6"/>
      <c r="TUF131" s="6"/>
      <c r="TUG131" s="6"/>
      <c r="TUH131" s="6"/>
      <c r="TUI131" s="6"/>
      <c r="TUJ131" s="6"/>
      <c r="TUK131" s="6"/>
      <c r="TUL131" s="6"/>
      <c r="TUM131" s="6"/>
      <c r="TUN131" s="6"/>
      <c r="TUO131" s="6"/>
      <c r="TUP131" s="6"/>
      <c r="TUQ131" s="6"/>
      <c r="TUR131" s="6"/>
      <c r="TUS131" s="6"/>
      <c r="TUT131" s="6"/>
      <c r="TUU131" s="6"/>
      <c r="TUV131" s="6"/>
      <c r="TUW131" s="6"/>
      <c r="TUX131" s="6"/>
      <c r="TUY131" s="6"/>
      <c r="TUZ131" s="6"/>
      <c r="TVA131" s="6"/>
      <c r="TVB131" s="6"/>
      <c r="TVC131" s="6"/>
      <c r="TVD131" s="6"/>
      <c r="TVE131" s="6"/>
      <c r="TVF131" s="6"/>
      <c r="TVG131" s="6"/>
      <c r="TVH131" s="6"/>
      <c r="TVI131" s="6"/>
      <c r="TVJ131" s="6"/>
      <c r="TVK131" s="6"/>
      <c r="TVL131" s="6"/>
      <c r="TVM131" s="6"/>
      <c r="TVN131" s="6"/>
      <c r="TVO131" s="6"/>
      <c r="TVP131" s="6"/>
      <c r="TVQ131" s="6"/>
      <c r="TVR131" s="6"/>
      <c r="TVS131" s="6"/>
      <c r="TVT131" s="6"/>
      <c r="TVU131" s="6"/>
      <c r="TVV131" s="6"/>
      <c r="TVW131" s="6"/>
      <c r="TVX131" s="6"/>
      <c r="TVY131" s="6"/>
      <c r="TVZ131" s="6"/>
      <c r="TWA131" s="6"/>
      <c r="TWB131" s="6"/>
      <c r="TWC131" s="6"/>
      <c r="TWD131" s="6"/>
      <c r="TWE131" s="6"/>
      <c r="TWF131" s="6"/>
      <c r="TWG131" s="6"/>
      <c r="TWH131" s="6"/>
      <c r="TWI131" s="6"/>
      <c r="TWJ131" s="6"/>
      <c r="TWK131" s="6"/>
      <c r="TWL131" s="6"/>
      <c r="TWM131" s="6"/>
      <c r="TWN131" s="6"/>
      <c r="TWO131" s="6"/>
      <c r="TWP131" s="6"/>
      <c r="TWQ131" s="6"/>
      <c r="TWR131" s="6"/>
      <c r="TWS131" s="6"/>
      <c r="TWT131" s="6"/>
      <c r="TWU131" s="6"/>
      <c r="TWV131" s="6"/>
      <c r="TWW131" s="6"/>
      <c r="TWX131" s="6"/>
      <c r="TWY131" s="6"/>
      <c r="TWZ131" s="6"/>
      <c r="TXA131" s="6"/>
      <c r="TXB131" s="6"/>
      <c r="TXC131" s="6"/>
      <c r="TXD131" s="6"/>
      <c r="TXE131" s="6"/>
      <c r="TXF131" s="6"/>
      <c r="TXG131" s="6"/>
      <c r="TXH131" s="6"/>
      <c r="TXI131" s="6"/>
      <c r="TXJ131" s="6"/>
      <c r="TXK131" s="6"/>
      <c r="TXL131" s="6"/>
      <c r="TXM131" s="6"/>
      <c r="TXN131" s="6"/>
      <c r="TXO131" s="6"/>
      <c r="TXP131" s="6"/>
      <c r="TXQ131" s="6"/>
      <c r="TXR131" s="6"/>
      <c r="TXS131" s="6"/>
      <c r="TXT131" s="6"/>
      <c r="TXU131" s="6"/>
      <c r="TXV131" s="6"/>
      <c r="TXW131" s="6"/>
      <c r="TXX131" s="6"/>
      <c r="TXY131" s="6"/>
      <c r="TXZ131" s="6"/>
      <c r="TYA131" s="6"/>
      <c r="TYB131" s="6"/>
      <c r="TYC131" s="6"/>
      <c r="TYD131" s="6"/>
      <c r="TYE131" s="6"/>
      <c r="TYF131" s="6"/>
      <c r="TYG131" s="6"/>
      <c r="TYH131" s="6"/>
      <c r="TYI131" s="6"/>
      <c r="TYJ131" s="6"/>
      <c r="TYK131" s="6"/>
      <c r="TYL131" s="6"/>
      <c r="TYM131" s="6"/>
      <c r="TYN131" s="6"/>
      <c r="TYO131" s="6"/>
      <c r="TYP131" s="6"/>
      <c r="TYQ131" s="6"/>
      <c r="TYR131" s="6"/>
      <c r="TYS131" s="6"/>
      <c r="TYT131" s="6"/>
      <c r="TYU131" s="6"/>
      <c r="TYV131" s="6"/>
      <c r="TYW131" s="6"/>
      <c r="TYX131" s="6"/>
      <c r="TYY131" s="6"/>
      <c r="TYZ131" s="6"/>
      <c r="TZA131" s="6"/>
      <c r="TZB131" s="6"/>
      <c r="TZC131" s="6"/>
      <c r="TZD131" s="6"/>
      <c r="TZE131" s="6"/>
      <c r="TZF131" s="6"/>
      <c r="TZG131" s="6"/>
      <c r="TZH131" s="6"/>
      <c r="TZI131" s="6"/>
      <c r="TZJ131" s="6"/>
      <c r="TZK131" s="6"/>
      <c r="TZL131" s="6"/>
      <c r="TZM131" s="6"/>
      <c r="TZN131" s="6"/>
      <c r="TZO131" s="6"/>
      <c r="TZP131" s="6"/>
      <c r="TZQ131" s="6"/>
      <c r="TZR131" s="6"/>
      <c r="TZS131" s="6"/>
      <c r="TZT131" s="6"/>
      <c r="TZU131" s="6"/>
      <c r="TZV131" s="6"/>
      <c r="TZW131" s="6"/>
      <c r="TZX131" s="6"/>
      <c r="TZY131" s="6"/>
      <c r="TZZ131" s="6"/>
      <c r="UAA131" s="6"/>
      <c r="UAB131" s="6"/>
      <c r="UAC131" s="6"/>
      <c r="UAD131" s="6"/>
      <c r="UAE131" s="6"/>
      <c r="UAF131" s="6"/>
      <c r="UAG131" s="6"/>
      <c r="UAH131" s="6"/>
      <c r="UAI131" s="6"/>
      <c r="UAJ131" s="6"/>
      <c r="UAK131" s="6"/>
      <c r="UAL131" s="6"/>
      <c r="UAM131" s="6"/>
      <c r="UAN131" s="6"/>
      <c r="UAO131" s="6"/>
      <c r="UAP131" s="6"/>
      <c r="UAQ131" s="6"/>
      <c r="UAR131" s="6"/>
      <c r="UAS131" s="6"/>
      <c r="UAT131" s="6"/>
      <c r="UAU131" s="6"/>
      <c r="UAV131" s="6"/>
      <c r="UAW131" s="6"/>
      <c r="UAX131" s="6"/>
      <c r="UAY131" s="6"/>
      <c r="UAZ131" s="6"/>
      <c r="UBA131" s="6"/>
      <c r="UBB131" s="6"/>
      <c r="UBC131" s="6"/>
      <c r="UBD131" s="6"/>
      <c r="UBE131" s="6"/>
      <c r="UBF131" s="6"/>
      <c r="UBG131" s="6"/>
      <c r="UBH131" s="6"/>
      <c r="UBI131" s="6"/>
      <c r="UBJ131" s="6"/>
      <c r="UBK131" s="6"/>
      <c r="UBL131" s="6"/>
      <c r="UBM131" s="6"/>
      <c r="UBN131" s="6"/>
      <c r="UBO131" s="6"/>
      <c r="UBP131" s="6"/>
      <c r="UBQ131" s="6"/>
      <c r="UBR131" s="6"/>
      <c r="UBS131" s="6"/>
      <c r="UBT131" s="6"/>
      <c r="UBU131" s="6"/>
      <c r="UBV131" s="6"/>
      <c r="UBW131" s="6"/>
      <c r="UBX131" s="6"/>
      <c r="UBY131" s="6"/>
      <c r="UBZ131" s="6"/>
      <c r="UCA131" s="6"/>
      <c r="UCB131" s="6"/>
      <c r="UCC131" s="6"/>
      <c r="UCD131" s="6"/>
      <c r="UCE131" s="6"/>
      <c r="UCF131" s="6"/>
      <c r="UCG131" s="6"/>
      <c r="UCH131" s="6"/>
      <c r="UCI131" s="6"/>
      <c r="UCJ131" s="6"/>
      <c r="UCK131" s="6"/>
      <c r="UCL131" s="6"/>
      <c r="UCM131" s="6"/>
      <c r="UCN131" s="6"/>
      <c r="UCO131" s="6"/>
      <c r="UCP131" s="6"/>
      <c r="UCQ131" s="6"/>
      <c r="UCR131" s="6"/>
      <c r="UCS131" s="6"/>
      <c r="UCT131" s="6"/>
      <c r="UCU131" s="6"/>
      <c r="UCV131" s="6"/>
      <c r="UCW131" s="6"/>
      <c r="UCX131" s="6"/>
      <c r="UCY131" s="6"/>
      <c r="UCZ131" s="6"/>
      <c r="UDA131" s="6"/>
      <c r="UDB131" s="6"/>
      <c r="UDC131" s="6"/>
      <c r="UDD131" s="6"/>
      <c r="UDE131" s="6"/>
      <c r="UDF131" s="6"/>
      <c r="UDG131" s="6"/>
      <c r="UDH131" s="6"/>
      <c r="UDI131" s="6"/>
      <c r="UDJ131" s="6"/>
      <c r="UDK131" s="6"/>
      <c r="UDL131" s="6"/>
      <c r="UDM131" s="6"/>
      <c r="UDN131" s="6"/>
      <c r="UDO131" s="6"/>
      <c r="UDP131" s="6"/>
      <c r="UDQ131" s="6"/>
      <c r="UDR131" s="6"/>
      <c r="UDS131" s="6"/>
      <c r="UDT131" s="6"/>
      <c r="UDU131" s="6"/>
      <c r="UDV131" s="6"/>
      <c r="UDW131" s="6"/>
      <c r="UDX131" s="6"/>
      <c r="UDY131" s="6"/>
      <c r="UDZ131" s="6"/>
      <c r="UEA131" s="6"/>
      <c r="UEB131" s="6"/>
      <c r="UEC131" s="6"/>
      <c r="UED131" s="6"/>
      <c r="UEE131" s="6"/>
      <c r="UEF131" s="6"/>
      <c r="UEG131" s="6"/>
      <c r="UEH131" s="6"/>
      <c r="UEI131" s="6"/>
      <c r="UEJ131" s="6"/>
      <c r="UEK131" s="6"/>
      <c r="UEL131" s="6"/>
      <c r="UEM131" s="6"/>
      <c r="UEN131" s="6"/>
      <c r="UEO131" s="6"/>
      <c r="UEP131" s="6"/>
      <c r="UEQ131" s="6"/>
      <c r="UER131" s="6"/>
      <c r="UES131" s="6"/>
      <c r="UET131" s="6"/>
      <c r="UEU131" s="6"/>
      <c r="UEV131" s="6"/>
      <c r="UEW131" s="6"/>
      <c r="UEX131" s="6"/>
      <c r="UEY131" s="6"/>
      <c r="UEZ131" s="6"/>
      <c r="UFA131" s="6"/>
      <c r="UFB131" s="6"/>
      <c r="UFC131" s="6"/>
      <c r="UFD131" s="6"/>
      <c r="UFE131" s="6"/>
      <c r="UFF131" s="6"/>
      <c r="UFG131" s="6"/>
      <c r="UFH131" s="6"/>
      <c r="UFI131" s="6"/>
      <c r="UFJ131" s="6"/>
      <c r="UFK131" s="6"/>
      <c r="UFL131" s="6"/>
      <c r="UFM131" s="6"/>
      <c r="UFN131" s="6"/>
      <c r="UFO131" s="6"/>
      <c r="UFP131" s="6"/>
      <c r="UFQ131" s="6"/>
      <c r="UFR131" s="6"/>
      <c r="UFS131" s="6"/>
      <c r="UFT131" s="6"/>
      <c r="UFU131" s="6"/>
      <c r="UFV131" s="6"/>
      <c r="UFW131" s="6"/>
      <c r="UFX131" s="6"/>
      <c r="UFY131" s="6"/>
      <c r="UFZ131" s="6"/>
      <c r="UGA131" s="6"/>
      <c r="UGB131" s="6"/>
      <c r="UGC131" s="6"/>
      <c r="UGD131" s="6"/>
      <c r="UGE131" s="6"/>
      <c r="UGF131" s="6"/>
      <c r="UGG131" s="6"/>
      <c r="UGH131" s="6"/>
      <c r="UGI131" s="6"/>
      <c r="UGJ131" s="6"/>
      <c r="UGK131" s="6"/>
      <c r="UGL131" s="6"/>
      <c r="UGM131" s="6"/>
      <c r="UGN131" s="6"/>
      <c r="UGO131" s="6"/>
      <c r="UGP131" s="6"/>
      <c r="UGQ131" s="6"/>
      <c r="UGR131" s="6"/>
      <c r="UGS131" s="6"/>
      <c r="UGT131" s="6"/>
      <c r="UGU131" s="6"/>
      <c r="UGV131" s="6"/>
      <c r="UGW131" s="6"/>
      <c r="UGX131" s="6"/>
      <c r="UGY131" s="6"/>
      <c r="UGZ131" s="6"/>
      <c r="UHA131" s="6"/>
      <c r="UHB131" s="6"/>
      <c r="UHC131" s="6"/>
      <c r="UHD131" s="6"/>
      <c r="UHE131" s="6"/>
      <c r="UHF131" s="6"/>
      <c r="UHG131" s="6"/>
      <c r="UHH131" s="6"/>
      <c r="UHI131" s="6"/>
      <c r="UHJ131" s="6"/>
      <c r="UHK131" s="6"/>
      <c r="UHL131" s="6"/>
      <c r="UHM131" s="6"/>
      <c r="UHN131" s="6"/>
      <c r="UHO131" s="6"/>
      <c r="UHP131" s="6"/>
      <c r="UHQ131" s="6"/>
      <c r="UHR131" s="6"/>
      <c r="UHS131" s="6"/>
      <c r="UHT131" s="6"/>
      <c r="UHU131" s="6"/>
      <c r="UHV131" s="6"/>
      <c r="UHW131" s="6"/>
      <c r="UHX131" s="6"/>
      <c r="UHY131" s="6"/>
      <c r="UHZ131" s="6"/>
      <c r="UIA131" s="6"/>
      <c r="UIB131" s="6"/>
      <c r="UIC131" s="6"/>
      <c r="UID131" s="6"/>
      <c r="UIE131" s="6"/>
      <c r="UIF131" s="6"/>
      <c r="UIG131" s="6"/>
      <c r="UIH131" s="6"/>
      <c r="UII131" s="6"/>
      <c r="UIJ131" s="6"/>
      <c r="UIK131" s="6"/>
      <c r="UIL131" s="6"/>
      <c r="UIM131" s="6"/>
      <c r="UIN131" s="6"/>
      <c r="UIO131" s="6"/>
      <c r="UIP131" s="6"/>
      <c r="UIQ131" s="6"/>
      <c r="UIR131" s="6"/>
      <c r="UIS131" s="6"/>
      <c r="UIT131" s="6"/>
      <c r="UIU131" s="6"/>
      <c r="UIV131" s="6"/>
      <c r="UIW131" s="6"/>
      <c r="UIX131" s="6"/>
      <c r="UIY131" s="6"/>
      <c r="UIZ131" s="6"/>
      <c r="UJA131" s="6"/>
      <c r="UJB131" s="6"/>
      <c r="UJC131" s="6"/>
      <c r="UJD131" s="6"/>
      <c r="UJE131" s="6"/>
      <c r="UJF131" s="6"/>
      <c r="UJG131" s="6"/>
      <c r="UJH131" s="6"/>
      <c r="UJI131" s="6"/>
      <c r="UJJ131" s="6"/>
      <c r="UJK131" s="6"/>
      <c r="UJL131" s="6"/>
      <c r="UJM131" s="6"/>
      <c r="UJN131" s="6"/>
      <c r="UJO131" s="6"/>
      <c r="UJP131" s="6"/>
      <c r="UJQ131" s="6"/>
      <c r="UJR131" s="6"/>
      <c r="UJS131" s="6"/>
      <c r="UJT131" s="6"/>
      <c r="UJU131" s="6"/>
      <c r="UJV131" s="6"/>
      <c r="UJW131" s="6"/>
      <c r="UJX131" s="6"/>
      <c r="UJY131" s="6"/>
      <c r="UJZ131" s="6"/>
      <c r="UKA131" s="6"/>
      <c r="UKB131" s="6"/>
      <c r="UKC131" s="6"/>
      <c r="UKD131" s="6"/>
      <c r="UKE131" s="6"/>
      <c r="UKF131" s="6"/>
      <c r="UKG131" s="6"/>
      <c r="UKH131" s="6"/>
      <c r="UKI131" s="6"/>
      <c r="UKJ131" s="6"/>
      <c r="UKK131" s="6"/>
      <c r="UKL131" s="6"/>
      <c r="UKM131" s="6"/>
      <c r="UKN131" s="6"/>
      <c r="UKO131" s="6"/>
      <c r="UKP131" s="6"/>
      <c r="UKQ131" s="6"/>
      <c r="UKR131" s="6"/>
      <c r="UKS131" s="6"/>
      <c r="UKT131" s="6"/>
      <c r="UKU131" s="6"/>
      <c r="UKV131" s="6"/>
      <c r="UKW131" s="6"/>
      <c r="UKX131" s="6"/>
      <c r="UKY131" s="6"/>
      <c r="UKZ131" s="6"/>
      <c r="ULA131" s="6"/>
      <c r="ULB131" s="6"/>
      <c r="ULC131" s="6"/>
      <c r="ULD131" s="6"/>
      <c r="ULE131" s="6"/>
      <c r="ULF131" s="6"/>
      <c r="ULG131" s="6"/>
      <c r="ULH131" s="6"/>
      <c r="ULI131" s="6"/>
      <c r="ULJ131" s="6"/>
      <c r="ULK131" s="6"/>
      <c r="ULL131" s="6"/>
      <c r="ULM131" s="6"/>
      <c r="ULN131" s="6"/>
      <c r="ULO131" s="6"/>
      <c r="ULP131" s="6"/>
      <c r="ULQ131" s="6"/>
      <c r="ULR131" s="6"/>
      <c r="ULS131" s="6"/>
      <c r="ULT131" s="6"/>
      <c r="ULU131" s="6"/>
      <c r="ULV131" s="6"/>
      <c r="ULW131" s="6"/>
      <c r="ULX131" s="6"/>
      <c r="ULY131" s="6"/>
      <c r="ULZ131" s="6"/>
      <c r="UMA131" s="6"/>
      <c r="UMB131" s="6"/>
      <c r="UMC131" s="6"/>
      <c r="UMD131" s="6"/>
      <c r="UME131" s="6"/>
      <c r="UMF131" s="6"/>
      <c r="UMG131" s="6"/>
      <c r="UMH131" s="6"/>
      <c r="UMI131" s="6"/>
      <c r="UMJ131" s="6"/>
      <c r="UMK131" s="6"/>
      <c r="UML131" s="6"/>
      <c r="UMM131" s="6"/>
      <c r="UMN131" s="6"/>
      <c r="UMO131" s="6"/>
      <c r="UMP131" s="6"/>
      <c r="UMQ131" s="6"/>
      <c r="UMR131" s="6"/>
      <c r="UMS131" s="6"/>
      <c r="UMT131" s="6"/>
      <c r="UMU131" s="6"/>
      <c r="UMV131" s="6"/>
      <c r="UMW131" s="6"/>
      <c r="UMX131" s="6"/>
      <c r="UMY131" s="6"/>
      <c r="UMZ131" s="6"/>
      <c r="UNA131" s="6"/>
      <c r="UNB131" s="6"/>
      <c r="UNC131" s="6"/>
      <c r="UND131" s="6"/>
      <c r="UNE131" s="6"/>
      <c r="UNF131" s="6"/>
      <c r="UNG131" s="6"/>
      <c r="UNH131" s="6"/>
      <c r="UNI131" s="6"/>
      <c r="UNJ131" s="6"/>
      <c r="UNK131" s="6"/>
      <c r="UNL131" s="6"/>
      <c r="UNM131" s="6"/>
      <c r="UNN131" s="6"/>
      <c r="UNO131" s="6"/>
      <c r="UNP131" s="6"/>
      <c r="UNQ131" s="6"/>
      <c r="UNR131" s="6"/>
      <c r="UNS131" s="6"/>
      <c r="UNT131" s="6"/>
      <c r="UNU131" s="6"/>
      <c r="UNV131" s="6"/>
      <c r="UNW131" s="6"/>
      <c r="UNX131" s="6"/>
      <c r="UNY131" s="6"/>
      <c r="UNZ131" s="6"/>
      <c r="UOA131" s="6"/>
      <c r="UOB131" s="6"/>
      <c r="UOC131" s="6"/>
      <c r="UOD131" s="6"/>
      <c r="UOE131" s="6"/>
      <c r="UOF131" s="6"/>
      <c r="UOG131" s="6"/>
      <c r="UOH131" s="6"/>
      <c r="UOI131" s="6"/>
      <c r="UOJ131" s="6"/>
      <c r="UOK131" s="6"/>
      <c r="UOL131" s="6"/>
      <c r="UOM131" s="6"/>
      <c r="UON131" s="6"/>
      <c r="UOO131" s="6"/>
      <c r="UOP131" s="6"/>
      <c r="UOQ131" s="6"/>
      <c r="UOR131" s="6"/>
      <c r="UOS131" s="6"/>
      <c r="UOT131" s="6"/>
      <c r="UOU131" s="6"/>
      <c r="UOV131" s="6"/>
      <c r="UOW131" s="6"/>
      <c r="UOX131" s="6"/>
      <c r="UOY131" s="6"/>
      <c r="UOZ131" s="6"/>
      <c r="UPA131" s="6"/>
      <c r="UPB131" s="6"/>
      <c r="UPC131" s="6"/>
      <c r="UPD131" s="6"/>
      <c r="UPE131" s="6"/>
      <c r="UPF131" s="6"/>
      <c r="UPG131" s="6"/>
      <c r="UPH131" s="6"/>
      <c r="UPI131" s="6"/>
      <c r="UPJ131" s="6"/>
      <c r="UPK131" s="6"/>
      <c r="UPL131" s="6"/>
      <c r="UPM131" s="6"/>
      <c r="UPN131" s="6"/>
      <c r="UPO131" s="6"/>
      <c r="UPP131" s="6"/>
      <c r="UPQ131" s="6"/>
      <c r="UPR131" s="6"/>
      <c r="UPS131" s="6"/>
      <c r="UPT131" s="6"/>
      <c r="UPU131" s="6"/>
      <c r="UPV131" s="6"/>
      <c r="UPW131" s="6"/>
      <c r="UPX131" s="6"/>
      <c r="UPY131" s="6"/>
      <c r="UPZ131" s="6"/>
      <c r="UQA131" s="6"/>
      <c r="UQB131" s="6"/>
      <c r="UQC131" s="6"/>
      <c r="UQD131" s="6"/>
      <c r="UQE131" s="6"/>
      <c r="UQF131" s="6"/>
      <c r="UQG131" s="6"/>
      <c r="UQH131" s="6"/>
      <c r="UQI131" s="6"/>
      <c r="UQJ131" s="6"/>
      <c r="UQK131" s="6"/>
      <c r="UQL131" s="6"/>
      <c r="UQM131" s="6"/>
      <c r="UQN131" s="6"/>
      <c r="UQO131" s="6"/>
      <c r="UQP131" s="6"/>
      <c r="UQQ131" s="6"/>
      <c r="UQR131" s="6"/>
      <c r="UQS131" s="6"/>
      <c r="UQT131" s="6"/>
      <c r="UQU131" s="6"/>
      <c r="UQV131" s="6"/>
      <c r="UQW131" s="6"/>
      <c r="UQX131" s="6"/>
      <c r="UQY131" s="6"/>
      <c r="UQZ131" s="6"/>
      <c r="URA131" s="6"/>
      <c r="URB131" s="6"/>
      <c r="URC131" s="6"/>
      <c r="URD131" s="6"/>
      <c r="URE131" s="6"/>
      <c r="URF131" s="6"/>
      <c r="URG131" s="6"/>
      <c r="URH131" s="6"/>
      <c r="URI131" s="6"/>
      <c r="URJ131" s="6"/>
      <c r="URK131" s="6"/>
      <c r="URL131" s="6"/>
      <c r="URM131" s="6"/>
      <c r="URN131" s="6"/>
      <c r="URO131" s="6"/>
      <c r="URP131" s="6"/>
      <c r="URQ131" s="6"/>
      <c r="URR131" s="6"/>
      <c r="URS131" s="6"/>
      <c r="URT131" s="6"/>
      <c r="URU131" s="6"/>
      <c r="URV131" s="6"/>
      <c r="URW131" s="6"/>
      <c r="URX131" s="6"/>
      <c r="URY131" s="6"/>
      <c r="URZ131" s="6"/>
      <c r="USA131" s="6"/>
      <c r="USB131" s="6"/>
      <c r="USC131" s="6"/>
      <c r="USD131" s="6"/>
      <c r="USE131" s="6"/>
      <c r="USF131" s="6"/>
      <c r="USG131" s="6"/>
      <c r="USH131" s="6"/>
      <c r="USI131" s="6"/>
      <c r="USJ131" s="6"/>
      <c r="USK131" s="6"/>
      <c r="USL131" s="6"/>
      <c r="USM131" s="6"/>
      <c r="USN131" s="6"/>
      <c r="USO131" s="6"/>
      <c r="USP131" s="6"/>
      <c r="USQ131" s="6"/>
      <c r="USR131" s="6"/>
      <c r="USS131" s="6"/>
      <c r="UST131" s="6"/>
      <c r="USU131" s="6"/>
      <c r="USV131" s="6"/>
      <c r="USW131" s="6"/>
      <c r="USX131" s="6"/>
      <c r="USY131" s="6"/>
      <c r="USZ131" s="6"/>
      <c r="UTA131" s="6"/>
      <c r="UTB131" s="6"/>
      <c r="UTC131" s="6"/>
      <c r="UTD131" s="6"/>
      <c r="UTE131" s="6"/>
      <c r="UTF131" s="6"/>
      <c r="UTG131" s="6"/>
      <c r="UTH131" s="6"/>
      <c r="UTI131" s="6"/>
      <c r="UTJ131" s="6"/>
      <c r="UTK131" s="6"/>
      <c r="UTL131" s="6"/>
      <c r="UTM131" s="6"/>
      <c r="UTN131" s="6"/>
      <c r="UTO131" s="6"/>
      <c r="UTP131" s="6"/>
      <c r="UTQ131" s="6"/>
      <c r="UTR131" s="6"/>
      <c r="UTS131" s="6"/>
      <c r="UTT131" s="6"/>
      <c r="UTU131" s="6"/>
      <c r="UTV131" s="6"/>
      <c r="UTW131" s="6"/>
      <c r="UTX131" s="6"/>
      <c r="UTY131" s="6"/>
      <c r="UTZ131" s="6"/>
      <c r="UUA131" s="6"/>
      <c r="UUB131" s="6"/>
      <c r="UUC131" s="6"/>
      <c r="UUD131" s="6"/>
      <c r="UUE131" s="6"/>
      <c r="UUF131" s="6"/>
      <c r="UUG131" s="6"/>
      <c r="UUH131" s="6"/>
      <c r="UUI131" s="6"/>
      <c r="UUJ131" s="6"/>
      <c r="UUK131" s="6"/>
      <c r="UUL131" s="6"/>
      <c r="UUM131" s="6"/>
      <c r="UUN131" s="6"/>
      <c r="UUO131" s="6"/>
      <c r="UUP131" s="6"/>
      <c r="UUQ131" s="6"/>
      <c r="UUR131" s="6"/>
      <c r="UUS131" s="6"/>
      <c r="UUT131" s="6"/>
      <c r="UUU131" s="6"/>
      <c r="UUV131" s="6"/>
      <c r="UUW131" s="6"/>
      <c r="UUX131" s="6"/>
      <c r="UUY131" s="6"/>
      <c r="UUZ131" s="6"/>
      <c r="UVA131" s="6"/>
      <c r="UVB131" s="6"/>
      <c r="UVC131" s="6"/>
      <c r="UVD131" s="6"/>
      <c r="UVE131" s="6"/>
      <c r="UVF131" s="6"/>
      <c r="UVG131" s="6"/>
      <c r="UVH131" s="6"/>
      <c r="UVI131" s="6"/>
      <c r="UVJ131" s="6"/>
      <c r="UVK131" s="6"/>
      <c r="UVL131" s="6"/>
      <c r="UVM131" s="6"/>
      <c r="UVN131" s="6"/>
      <c r="UVO131" s="6"/>
      <c r="UVP131" s="6"/>
      <c r="UVQ131" s="6"/>
      <c r="UVR131" s="6"/>
      <c r="UVS131" s="6"/>
      <c r="UVT131" s="6"/>
      <c r="UVU131" s="6"/>
      <c r="UVV131" s="6"/>
      <c r="UVW131" s="6"/>
      <c r="UVX131" s="6"/>
      <c r="UVY131" s="6"/>
      <c r="UVZ131" s="6"/>
      <c r="UWA131" s="6"/>
      <c r="UWB131" s="6"/>
      <c r="UWC131" s="6"/>
      <c r="UWD131" s="6"/>
      <c r="UWE131" s="6"/>
      <c r="UWF131" s="6"/>
      <c r="UWG131" s="6"/>
      <c r="UWH131" s="6"/>
      <c r="UWI131" s="6"/>
      <c r="UWJ131" s="6"/>
      <c r="UWK131" s="6"/>
      <c r="UWL131" s="6"/>
      <c r="UWM131" s="6"/>
      <c r="UWN131" s="6"/>
      <c r="UWO131" s="6"/>
      <c r="UWP131" s="6"/>
      <c r="UWQ131" s="6"/>
      <c r="UWR131" s="6"/>
      <c r="UWS131" s="6"/>
      <c r="UWT131" s="6"/>
      <c r="UWU131" s="6"/>
      <c r="UWV131" s="6"/>
      <c r="UWW131" s="6"/>
      <c r="UWX131" s="6"/>
      <c r="UWY131" s="6"/>
      <c r="UWZ131" s="6"/>
      <c r="UXA131" s="6"/>
      <c r="UXB131" s="6"/>
      <c r="UXC131" s="6"/>
      <c r="UXD131" s="6"/>
      <c r="UXE131" s="6"/>
      <c r="UXF131" s="6"/>
      <c r="UXG131" s="6"/>
      <c r="UXH131" s="6"/>
      <c r="UXI131" s="6"/>
      <c r="UXJ131" s="6"/>
      <c r="UXK131" s="6"/>
      <c r="UXL131" s="6"/>
      <c r="UXM131" s="6"/>
      <c r="UXN131" s="6"/>
      <c r="UXO131" s="6"/>
      <c r="UXP131" s="6"/>
      <c r="UXQ131" s="6"/>
      <c r="UXR131" s="6"/>
      <c r="UXS131" s="6"/>
      <c r="UXT131" s="6"/>
      <c r="UXU131" s="6"/>
      <c r="UXV131" s="6"/>
      <c r="UXW131" s="6"/>
      <c r="UXX131" s="6"/>
      <c r="UXY131" s="6"/>
      <c r="UXZ131" s="6"/>
      <c r="UYA131" s="6"/>
      <c r="UYB131" s="6"/>
      <c r="UYC131" s="6"/>
      <c r="UYD131" s="6"/>
      <c r="UYE131" s="6"/>
      <c r="UYF131" s="6"/>
      <c r="UYG131" s="6"/>
      <c r="UYH131" s="6"/>
      <c r="UYI131" s="6"/>
      <c r="UYJ131" s="6"/>
      <c r="UYK131" s="6"/>
      <c r="UYL131" s="6"/>
      <c r="UYM131" s="6"/>
      <c r="UYN131" s="6"/>
      <c r="UYO131" s="6"/>
      <c r="UYP131" s="6"/>
      <c r="UYQ131" s="6"/>
      <c r="UYR131" s="6"/>
      <c r="UYS131" s="6"/>
      <c r="UYT131" s="6"/>
      <c r="UYU131" s="6"/>
      <c r="UYV131" s="6"/>
      <c r="UYW131" s="6"/>
      <c r="UYX131" s="6"/>
      <c r="UYY131" s="6"/>
      <c r="UYZ131" s="6"/>
      <c r="UZA131" s="6"/>
      <c r="UZB131" s="6"/>
      <c r="UZC131" s="6"/>
      <c r="UZD131" s="6"/>
      <c r="UZE131" s="6"/>
      <c r="UZF131" s="6"/>
      <c r="UZG131" s="6"/>
      <c r="UZH131" s="6"/>
      <c r="UZI131" s="6"/>
      <c r="UZJ131" s="6"/>
      <c r="UZK131" s="6"/>
      <c r="UZL131" s="6"/>
      <c r="UZM131" s="6"/>
      <c r="UZN131" s="6"/>
      <c r="UZO131" s="6"/>
      <c r="UZP131" s="6"/>
      <c r="UZQ131" s="6"/>
      <c r="UZR131" s="6"/>
      <c r="UZS131" s="6"/>
      <c r="UZT131" s="6"/>
      <c r="UZU131" s="6"/>
      <c r="UZV131" s="6"/>
      <c r="UZW131" s="6"/>
      <c r="UZX131" s="6"/>
      <c r="UZY131" s="6"/>
      <c r="UZZ131" s="6"/>
      <c r="VAA131" s="6"/>
      <c r="VAB131" s="6"/>
      <c r="VAC131" s="6"/>
      <c r="VAD131" s="6"/>
      <c r="VAE131" s="6"/>
      <c r="VAF131" s="6"/>
      <c r="VAG131" s="6"/>
      <c r="VAH131" s="6"/>
      <c r="VAI131" s="6"/>
      <c r="VAJ131" s="6"/>
      <c r="VAK131" s="6"/>
      <c r="VAL131" s="6"/>
      <c r="VAM131" s="6"/>
      <c r="VAN131" s="6"/>
      <c r="VAO131" s="6"/>
      <c r="VAP131" s="6"/>
      <c r="VAQ131" s="6"/>
      <c r="VAR131" s="6"/>
      <c r="VAS131" s="6"/>
      <c r="VAT131" s="6"/>
      <c r="VAU131" s="6"/>
      <c r="VAV131" s="6"/>
      <c r="VAW131" s="6"/>
      <c r="VAX131" s="6"/>
      <c r="VAY131" s="6"/>
      <c r="VAZ131" s="6"/>
      <c r="VBA131" s="6"/>
      <c r="VBB131" s="6"/>
      <c r="VBC131" s="6"/>
      <c r="VBD131" s="6"/>
      <c r="VBE131" s="6"/>
      <c r="VBF131" s="6"/>
      <c r="VBG131" s="6"/>
      <c r="VBH131" s="6"/>
      <c r="VBI131" s="6"/>
      <c r="VBJ131" s="6"/>
      <c r="VBK131" s="6"/>
      <c r="VBL131" s="6"/>
      <c r="VBM131" s="6"/>
      <c r="VBN131" s="6"/>
      <c r="VBO131" s="6"/>
      <c r="VBP131" s="6"/>
      <c r="VBQ131" s="6"/>
      <c r="VBR131" s="6"/>
      <c r="VBS131" s="6"/>
      <c r="VBT131" s="6"/>
      <c r="VBU131" s="6"/>
      <c r="VBV131" s="6"/>
      <c r="VBW131" s="6"/>
      <c r="VBX131" s="6"/>
      <c r="VBY131" s="6"/>
      <c r="VBZ131" s="6"/>
      <c r="VCA131" s="6"/>
      <c r="VCB131" s="6"/>
      <c r="VCC131" s="6"/>
      <c r="VCD131" s="6"/>
      <c r="VCE131" s="6"/>
      <c r="VCF131" s="6"/>
      <c r="VCG131" s="6"/>
      <c r="VCH131" s="6"/>
      <c r="VCI131" s="6"/>
      <c r="VCJ131" s="6"/>
      <c r="VCK131" s="6"/>
      <c r="VCL131" s="6"/>
      <c r="VCM131" s="6"/>
      <c r="VCN131" s="6"/>
      <c r="VCO131" s="6"/>
      <c r="VCP131" s="6"/>
      <c r="VCQ131" s="6"/>
      <c r="VCR131" s="6"/>
      <c r="VCS131" s="6"/>
      <c r="VCT131" s="6"/>
      <c r="VCU131" s="6"/>
      <c r="VCV131" s="6"/>
      <c r="VCW131" s="6"/>
      <c r="VCX131" s="6"/>
      <c r="VCY131" s="6"/>
      <c r="VCZ131" s="6"/>
      <c r="VDA131" s="6"/>
      <c r="VDB131" s="6"/>
      <c r="VDC131" s="6"/>
      <c r="VDD131" s="6"/>
      <c r="VDE131" s="6"/>
      <c r="VDF131" s="6"/>
      <c r="VDG131" s="6"/>
      <c r="VDH131" s="6"/>
      <c r="VDI131" s="6"/>
      <c r="VDJ131" s="6"/>
      <c r="VDK131" s="6"/>
      <c r="VDL131" s="6"/>
      <c r="VDM131" s="6"/>
      <c r="VDN131" s="6"/>
      <c r="VDO131" s="6"/>
      <c r="VDP131" s="6"/>
      <c r="VDQ131" s="6"/>
      <c r="VDR131" s="6"/>
      <c r="VDS131" s="6"/>
      <c r="VDT131" s="6"/>
      <c r="VDU131" s="6"/>
      <c r="VDV131" s="6"/>
      <c r="VDW131" s="6"/>
      <c r="VDX131" s="6"/>
      <c r="VDY131" s="6"/>
      <c r="VDZ131" s="6"/>
      <c r="VEA131" s="6"/>
      <c r="VEB131" s="6"/>
      <c r="VEC131" s="6"/>
      <c r="VED131" s="6"/>
      <c r="VEE131" s="6"/>
      <c r="VEF131" s="6"/>
      <c r="VEG131" s="6"/>
      <c r="VEH131" s="6"/>
      <c r="VEI131" s="6"/>
      <c r="VEJ131" s="6"/>
      <c r="VEK131" s="6"/>
      <c r="VEL131" s="6"/>
      <c r="VEM131" s="6"/>
      <c r="VEN131" s="6"/>
      <c r="VEO131" s="6"/>
      <c r="VEP131" s="6"/>
      <c r="VEQ131" s="6"/>
      <c r="VER131" s="6"/>
      <c r="VES131" s="6"/>
      <c r="VET131" s="6"/>
      <c r="VEU131" s="6"/>
      <c r="VEV131" s="6"/>
      <c r="VEW131" s="6"/>
      <c r="VEX131" s="6"/>
      <c r="VEY131" s="6"/>
      <c r="VEZ131" s="6"/>
      <c r="VFA131" s="6"/>
      <c r="VFB131" s="6"/>
      <c r="VFC131" s="6"/>
      <c r="VFD131" s="6"/>
      <c r="VFE131" s="6"/>
      <c r="VFF131" s="6"/>
      <c r="VFG131" s="6"/>
      <c r="VFH131" s="6"/>
      <c r="VFI131" s="6"/>
      <c r="VFJ131" s="6"/>
      <c r="VFK131" s="6"/>
      <c r="VFL131" s="6"/>
      <c r="VFM131" s="6"/>
      <c r="VFN131" s="6"/>
      <c r="VFO131" s="6"/>
      <c r="VFP131" s="6"/>
      <c r="VFQ131" s="6"/>
      <c r="VFR131" s="6"/>
      <c r="VFS131" s="6"/>
      <c r="VFT131" s="6"/>
      <c r="VFU131" s="6"/>
      <c r="VFV131" s="6"/>
      <c r="VFW131" s="6"/>
      <c r="VFX131" s="6"/>
      <c r="VFY131" s="6"/>
      <c r="VFZ131" s="6"/>
      <c r="VGA131" s="6"/>
      <c r="VGB131" s="6"/>
      <c r="VGC131" s="6"/>
      <c r="VGD131" s="6"/>
      <c r="VGE131" s="6"/>
      <c r="VGF131" s="6"/>
      <c r="VGG131" s="6"/>
      <c r="VGH131" s="6"/>
      <c r="VGI131" s="6"/>
      <c r="VGJ131" s="6"/>
      <c r="VGK131" s="6"/>
      <c r="VGL131" s="6"/>
      <c r="VGM131" s="6"/>
      <c r="VGN131" s="6"/>
      <c r="VGO131" s="6"/>
      <c r="VGP131" s="6"/>
      <c r="VGQ131" s="6"/>
      <c r="VGR131" s="6"/>
      <c r="VGS131" s="6"/>
      <c r="VGT131" s="6"/>
      <c r="VGU131" s="6"/>
      <c r="VGV131" s="6"/>
      <c r="VGW131" s="6"/>
      <c r="VGX131" s="6"/>
      <c r="VGY131" s="6"/>
      <c r="VGZ131" s="6"/>
      <c r="VHA131" s="6"/>
      <c r="VHB131" s="6"/>
      <c r="VHC131" s="6"/>
      <c r="VHD131" s="6"/>
      <c r="VHE131" s="6"/>
      <c r="VHF131" s="6"/>
      <c r="VHG131" s="6"/>
      <c r="VHH131" s="6"/>
      <c r="VHI131" s="6"/>
      <c r="VHJ131" s="6"/>
      <c r="VHK131" s="6"/>
      <c r="VHL131" s="6"/>
      <c r="VHM131" s="6"/>
      <c r="VHN131" s="6"/>
      <c r="VHO131" s="6"/>
      <c r="VHP131" s="6"/>
      <c r="VHQ131" s="6"/>
      <c r="VHR131" s="6"/>
      <c r="VHS131" s="6"/>
      <c r="VHT131" s="6"/>
      <c r="VHU131" s="6"/>
      <c r="VHV131" s="6"/>
      <c r="VHW131" s="6"/>
      <c r="VHX131" s="6"/>
      <c r="VHY131" s="6"/>
      <c r="VHZ131" s="6"/>
      <c r="VIA131" s="6"/>
      <c r="VIB131" s="6"/>
      <c r="VIC131" s="6"/>
      <c r="VID131" s="6"/>
      <c r="VIE131" s="6"/>
      <c r="VIF131" s="6"/>
      <c r="VIG131" s="6"/>
      <c r="VIH131" s="6"/>
      <c r="VII131" s="6"/>
      <c r="VIJ131" s="6"/>
      <c r="VIK131" s="6"/>
      <c r="VIL131" s="6"/>
      <c r="VIM131" s="6"/>
      <c r="VIN131" s="6"/>
      <c r="VIO131" s="6"/>
      <c r="VIP131" s="6"/>
      <c r="VIQ131" s="6"/>
      <c r="VIR131" s="6"/>
      <c r="VIS131" s="6"/>
      <c r="VIT131" s="6"/>
      <c r="VIU131" s="6"/>
      <c r="VIV131" s="6"/>
      <c r="VIW131" s="6"/>
      <c r="VIX131" s="6"/>
      <c r="VIY131" s="6"/>
      <c r="VIZ131" s="6"/>
      <c r="VJA131" s="6"/>
      <c r="VJB131" s="6"/>
      <c r="VJC131" s="6"/>
      <c r="VJD131" s="6"/>
      <c r="VJE131" s="6"/>
      <c r="VJF131" s="6"/>
      <c r="VJG131" s="6"/>
      <c r="VJH131" s="6"/>
      <c r="VJI131" s="6"/>
      <c r="VJJ131" s="6"/>
      <c r="VJK131" s="6"/>
      <c r="VJL131" s="6"/>
      <c r="VJM131" s="6"/>
      <c r="VJN131" s="6"/>
      <c r="VJO131" s="6"/>
      <c r="VJP131" s="6"/>
      <c r="VJQ131" s="6"/>
      <c r="VJR131" s="6"/>
      <c r="VJS131" s="6"/>
      <c r="VJT131" s="6"/>
      <c r="VJU131" s="6"/>
      <c r="VJV131" s="6"/>
      <c r="VJW131" s="6"/>
      <c r="VJX131" s="6"/>
      <c r="VJY131" s="6"/>
      <c r="VJZ131" s="6"/>
      <c r="VKA131" s="6"/>
      <c r="VKB131" s="6"/>
      <c r="VKC131" s="6"/>
      <c r="VKD131" s="6"/>
      <c r="VKE131" s="6"/>
      <c r="VKF131" s="6"/>
      <c r="VKG131" s="6"/>
      <c r="VKH131" s="6"/>
      <c r="VKI131" s="6"/>
      <c r="VKJ131" s="6"/>
      <c r="VKK131" s="6"/>
      <c r="VKL131" s="6"/>
      <c r="VKM131" s="6"/>
      <c r="VKN131" s="6"/>
      <c r="VKO131" s="6"/>
      <c r="VKP131" s="6"/>
      <c r="VKQ131" s="6"/>
      <c r="VKR131" s="6"/>
      <c r="VKS131" s="6"/>
      <c r="VKT131" s="6"/>
      <c r="VKU131" s="6"/>
      <c r="VKV131" s="6"/>
      <c r="VKW131" s="6"/>
      <c r="VKX131" s="6"/>
      <c r="VKY131" s="6"/>
      <c r="VKZ131" s="6"/>
      <c r="VLA131" s="6"/>
      <c r="VLB131" s="6"/>
      <c r="VLC131" s="6"/>
      <c r="VLD131" s="6"/>
      <c r="VLE131" s="6"/>
      <c r="VLF131" s="6"/>
      <c r="VLG131" s="6"/>
      <c r="VLH131" s="6"/>
      <c r="VLI131" s="6"/>
      <c r="VLJ131" s="6"/>
      <c r="VLK131" s="6"/>
      <c r="VLL131" s="6"/>
      <c r="VLM131" s="6"/>
      <c r="VLN131" s="6"/>
      <c r="VLO131" s="6"/>
      <c r="VLP131" s="6"/>
      <c r="VLQ131" s="6"/>
      <c r="VLR131" s="6"/>
      <c r="VLS131" s="6"/>
      <c r="VLT131" s="6"/>
      <c r="VLU131" s="6"/>
      <c r="VLV131" s="6"/>
      <c r="VLW131" s="6"/>
      <c r="VLX131" s="6"/>
      <c r="VLY131" s="6"/>
      <c r="VLZ131" s="6"/>
      <c r="VMA131" s="6"/>
      <c r="VMB131" s="6"/>
      <c r="VMC131" s="6"/>
      <c r="VMD131" s="6"/>
      <c r="VME131" s="6"/>
      <c r="VMF131" s="6"/>
      <c r="VMG131" s="6"/>
      <c r="VMH131" s="6"/>
      <c r="VMI131" s="6"/>
      <c r="VMJ131" s="6"/>
      <c r="VMK131" s="6"/>
      <c r="VML131" s="6"/>
      <c r="VMM131" s="6"/>
      <c r="VMN131" s="6"/>
      <c r="VMO131" s="6"/>
      <c r="VMP131" s="6"/>
      <c r="VMQ131" s="6"/>
      <c r="VMR131" s="6"/>
      <c r="VMS131" s="6"/>
      <c r="VMT131" s="6"/>
      <c r="VMU131" s="6"/>
      <c r="VMV131" s="6"/>
      <c r="VMW131" s="6"/>
      <c r="VMX131" s="6"/>
      <c r="VMY131" s="6"/>
      <c r="VMZ131" s="6"/>
      <c r="VNA131" s="6"/>
      <c r="VNB131" s="6"/>
      <c r="VNC131" s="6"/>
      <c r="VND131" s="6"/>
      <c r="VNE131" s="6"/>
      <c r="VNF131" s="6"/>
      <c r="VNG131" s="6"/>
      <c r="VNH131" s="6"/>
      <c r="VNI131" s="6"/>
      <c r="VNJ131" s="6"/>
      <c r="VNK131" s="6"/>
      <c r="VNL131" s="6"/>
      <c r="VNM131" s="6"/>
      <c r="VNN131" s="6"/>
      <c r="VNO131" s="6"/>
      <c r="VNP131" s="6"/>
      <c r="VNQ131" s="6"/>
      <c r="VNR131" s="6"/>
      <c r="VNS131" s="6"/>
      <c r="VNT131" s="6"/>
      <c r="VNU131" s="6"/>
      <c r="VNV131" s="6"/>
      <c r="VNW131" s="6"/>
      <c r="VNX131" s="6"/>
      <c r="VNY131" s="6"/>
      <c r="VNZ131" s="6"/>
      <c r="VOA131" s="6"/>
      <c r="VOB131" s="6"/>
      <c r="VOC131" s="6"/>
      <c r="VOD131" s="6"/>
      <c r="VOE131" s="6"/>
      <c r="VOF131" s="6"/>
      <c r="VOG131" s="6"/>
      <c r="VOH131" s="6"/>
      <c r="VOI131" s="6"/>
      <c r="VOJ131" s="6"/>
      <c r="VOK131" s="6"/>
      <c r="VOL131" s="6"/>
      <c r="VOM131" s="6"/>
      <c r="VON131" s="6"/>
      <c r="VOO131" s="6"/>
      <c r="VOP131" s="6"/>
      <c r="VOQ131" s="6"/>
      <c r="VOR131" s="6"/>
      <c r="VOS131" s="6"/>
      <c r="VOT131" s="6"/>
      <c r="VOU131" s="6"/>
      <c r="VOV131" s="6"/>
      <c r="VOW131" s="6"/>
      <c r="VOX131" s="6"/>
      <c r="VOY131" s="6"/>
      <c r="VOZ131" s="6"/>
      <c r="VPA131" s="6"/>
      <c r="VPB131" s="6"/>
      <c r="VPC131" s="6"/>
      <c r="VPD131" s="6"/>
      <c r="VPE131" s="6"/>
      <c r="VPF131" s="6"/>
      <c r="VPG131" s="6"/>
      <c r="VPH131" s="6"/>
      <c r="VPI131" s="6"/>
      <c r="VPJ131" s="6"/>
      <c r="VPK131" s="6"/>
      <c r="VPL131" s="6"/>
      <c r="VPM131" s="6"/>
      <c r="VPN131" s="6"/>
      <c r="VPO131" s="6"/>
      <c r="VPP131" s="6"/>
      <c r="VPQ131" s="6"/>
      <c r="VPR131" s="6"/>
      <c r="VPS131" s="6"/>
      <c r="VPT131" s="6"/>
      <c r="VPU131" s="6"/>
      <c r="VPV131" s="6"/>
      <c r="VPW131" s="6"/>
      <c r="VPX131" s="6"/>
      <c r="VPY131" s="6"/>
      <c r="VPZ131" s="6"/>
      <c r="VQA131" s="6"/>
      <c r="VQB131" s="6"/>
      <c r="VQC131" s="6"/>
      <c r="VQD131" s="6"/>
      <c r="VQE131" s="6"/>
      <c r="VQF131" s="6"/>
      <c r="VQG131" s="6"/>
      <c r="VQH131" s="6"/>
      <c r="VQI131" s="6"/>
      <c r="VQJ131" s="6"/>
      <c r="VQK131" s="6"/>
      <c r="VQL131" s="6"/>
      <c r="VQM131" s="6"/>
      <c r="VQN131" s="6"/>
      <c r="VQO131" s="6"/>
      <c r="VQP131" s="6"/>
      <c r="VQQ131" s="6"/>
      <c r="VQR131" s="6"/>
      <c r="VQS131" s="6"/>
      <c r="VQT131" s="6"/>
      <c r="VQU131" s="6"/>
      <c r="VQV131" s="6"/>
      <c r="VQW131" s="6"/>
      <c r="VQX131" s="6"/>
      <c r="VQY131" s="6"/>
      <c r="VQZ131" s="6"/>
      <c r="VRA131" s="6"/>
      <c r="VRB131" s="6"/>
      <c r="VRC131" s="6"/>
      <c r="VRD131" s="6"/>
      <c r="VRE131" s="6"/>
      <c r="VRF131" s="6"/>
      <c r="VRG131" s="6"/>
      <c r="VRH131" s="6"/>
      <c r="VRI131" s="6"/>
      <c r="VRJ131" s="6"/>
      <c r="VRK131" s="6"/>
      <c r="VRL131" s="6"/>
      <c r="VRM131" s="6"/>
      <c r="VRN131" s="6"/>
      <c r="VRO131" s="6"/>
      <c r="VRP131" s="6"/>
      <c r="VRQ131" s="6"/>
      <c r="VRR131" s="6"/>
      <c r="VRS131" s="6"/>
      <c r="VRT131" s="6"/>
      <c r="VRU131" s="6"/>
      <c r="VRV131" s="6"/>
      <c r="VRW131" s="6"/>
      <c r="VRX131" s="6"/>
      <c r="VRY131" s="6"/>
      <c r="VRZ131" s="6"/>
      <c r="VSA131" s="6"/>
      <c r="VSB131" s="6"/>
      <c r="VSC131" s="6"/>
      <c r="VSD131" s="6"/>
      <c r="VSE131" s="6"/>
      <c r="VSF131" s="6"/>
      <c r="VSG131" s="6"/>
      <c r="VSH131" s="6"/>
      <c r="VSI131" s="6"/>
      <c r="VSJ131" s="6"/>
      <c r="VSK131" s="6"/>
      <c r="VSL131" s="6"/>
      <c r="VSM131" s="6"/>
      <c r="VSN131" s="6"/>
      <c r="VSO131" s="6"/>
      <c r="VSP131" s="6"/>
      <c r="VSQ131" s="6"/>
      <c r="VSR131" s="6"/>
      <c r="VSS131" s="6"/>
      <c r="VST131" s="6"/>
      <c r="VSU131" s="6"/>
      <c r="VSV131" s="6"/>
      <c r="VSW131" s="6"/>
      <c r="VSX131" s="6"/>
      <c r="VSY131" s="6"/>
      <c r="VSZ131" s="6"/>
      <c r="VTA131" s="6"/>
      <c r="VTB131" s="6"/>
      <c r="VTC131" s="6"/>
      <c r="VTD131" s="6"/>
      <c r="VTE131" s="6"/>
      <c r="VTF131" s="6"/>
      <c r="VTG131" s="6"/>
      <c r="VTH131" s="6"/>
      <c r="VTI131" s="6"/>
      <c r="VTJ131" s="6"/>
      <c r="VTK131" s="6"/>
      <c r="VTL131" s="6"/>
      <c r="VTM131" s="6"/>
      <c r="VTN131" s="6"/>
      <c r="VTO131" s="6"/>
      <c r="VTP131" s="6"/>
      <c r="VTQ131" s="6"/>
      <c r="VTR131" s="6"/>
      <c r="VTS131" s="6"/>
      <c r="VTT131" s="6"/>
      <c r="VTU131" s="6"/>
      <c r="VTV131" s="6"/>
      <c r="VTW131" s="6"/>
      <c r="VTX131" s="6"/>
      <c r="VTY131" s="6"/>
      <c r="VTZ131" s="6"/>
      <c r="VUA131" s="6"/>
      <c r="VUB131" s="6"/>
      <c r="VUC131" s="6"/>
      <c r="VUD131" s="6"/>
      <c r="VUE131" s="6"/>
      <c r="VUF131" s="6"/>
      <c r="VUG131" s="6"/>
      <c r="VUH131" s="6"/>
      <c r="VUI131" s="6"/>
      <c r="VUJ131" s="6"/>
      <c r="VUK131" s="6"/>
      <c r="VUL131" s="6"/>
      <c r="VUM131" s="6"/>
      <c r="VUN131" s="6"/>
      <c r="VUO131" s="6"/>
      <c r="VUP131" s="6"/>
      <c r="VUQ131" s="6"/>
      <c r="VUR131" s="6"/>
      <c r="VUS131" s="6"/>
      <c r="VUT131" s="6"/>
      <c r="VUU131" s="6"/>
      <c r="VUV131" s="6"/>
      <c r="VUW131" s="6"/>
      <c r="VUX131" s="6"/>
      <c r="VUY131" s="6"/>
      <c r="VUZ131" s="6"/>
      <c r="VVA131" s="6"/>
      <c r="VVB131" s="6"/>
      <c r="VVC131" s="6"/>
      <c r="VVD131" s="6"/>
      <c r="VVE131" s="6"/>
      <c r="VVF131" s="6"/>
      <c r="VVG131" s="6"/>
      <c r="VVH131" s="6"/>
      <c r="VVI131" s="6"/>
      <c r="VVJ131" s="6"/>
      <c r="VVK131" s="6"/>
      <c r="VVL131" s="6"/>
      <c r="VVM131" s="6"/>
      <c r="VVN131" s="6"/>
      <c r="VVO131" s="6"/>
      <c r="VVP131" s="6"/>
      <c r="VVQ131" s="6"/>
      <c r="VVR131" s="6"/>
      <c r="VVS131" s="6"/>
      <c r="VVT131" s="6"/>
      <c r="VVU131" s="6"/>
      <c r="VVV131" s="6"/>
      <c r="VVW131" s="6"/>
      <c r="VVX131" s="6"/>
      <c r="VVY131" s="6"/>
      <c r="VVZ131" s="6"/>
      <c r="VWA131" s="6"/>
      <c r="VWB131" s="6"/>
      <c r="VWC131" s="6"/>
      <c r="VWD131" s="6"/>
      <c r="VWE131" s="6"/>
      <c r="VWF131" s="6"/>
      <c r="VWG131" s="6"/>
      <c r="VWH131" s="6"/>
      <c r="VWI131" s="6"/>
      <c r="VWJ131" s="6"/>
      <c r="VWK131" s="6"/>
      <c r="VWL131" s="6"/>
      <c r="VWM131" s="6"/>
      <c r="VWN131" s="6"/>
      <c r="VWO131" s="6"/>
      <c r="VWP131" s="6"/>
      <c r="VWQ131" s="6"/>
      <c r="VWR131" s="6"/>
      <c r="VWS131" s="6"/>
      <c r="VWT131" s="6"/>
      <c r="VWU131" s="6"/>
      <c r="VWV131" s="6"/>
      <c r="VWW131" s="6"/>
      <c r="VWX131" s="6"/>
      <c r="VWY131" s="6"/>
      <c r="VWZ131" s="6"/>
      <c r="VXA131" s="6"/>
      <c r="VXB131" s="6"/>
      <c r="VXC131" s="6"/>
      <c r="VXD131" s="6"/>
      <c r="VXE131" s="6"/>
      <c r="VXF131" s="6"/>
      <c r="VXG131" s="6"/>
      <c r="VXH131" s="6"/>
      <c r="VXI131" s="6"/>
      <c r="VXJ131" s="6"/>
      <c r="VXK131" s="6"/>
      <c r="VXL131" s="6"/>
      <c r="VXM131" s="6"/>
      <c r="VXN131" s="6"/>
      <c r="VXO131" s="6"/>
      <c r="VXP131" s="6"/>
      <c r="VXQ131" s="6"/>
      <c r="VXR131" s="6"/>
      <c r="VXS131" s="6"/>
      <c r="VXT131" s="6"/>
      <c r="VXU131" s="6"/>
      <c r="VXV131" s="6"/>
      <c r="VXW131" s="6"/>
      <c r="VXX131" s="6"/>
      <c r="VXY131" s="6"/>
      <c r="VXZ131" s="6"/>
      <c r="VYA131" s="6"/>
      <c r="VYB131" s="6"/>
      <c r="VYC131" s="6"/>
      <c r="VYD131" s="6"/>
      <c r="VYE131" s="6"/>
      <c r="VYF131" s="6"/>
      <c r="VYG131" s="6"/>
      <c r="VYH131" s="6"/>
      <c r="VYI131" s="6"/>
      <c r="VYJ131" s="6"/>
      <c r="VYK131" s="6"/>
      <c r="VYL131" s="6"/>
      <c r="VYM131" s="6"/>
      <c r="VYN131" s="6"/>
      <c r="VYO131" s="6"/>
      <c r="VYP131" s="6"/>
      <c r="VYQ131" s="6"/>
      <c r="VYR131" s="6"/>
      <c r="VYS131" s="6"/>
      <c r="VYT131" s="6"/>
      <c r="VYU131" s="6"/>
      <c r="VYV131" s="6"/>
      <c r="VYW131" s="6"/>
      <c r="VYX131" s="6"/>
      <c r="VYY131" s="6"/>
      <c r="VYZ131" s="6"/>
      <c r="VZA131" s="6"/>
      <c r="VZB131" s="6"/>
      <c r="VZC131" s="6"/>
      <c r="VZD131" s="6"/>
      <c r="VZE131" s="6"/>
      <c r="VZF131" s="6"/>
      <c r="VZG131" s="6"/>
      <c r="VZH131" s="6"/>
      <c r="VZI131" s="6"/>
      <c r="VZJ131" s="6"/>
      <c r="VZK131" s="6"/>
      <c r="VZL131" s="6"/>
      <c r="VZM131" s="6"/>
      <c r="VZN131" s="6"/>
      <c r="VZO131" s="6"/>
      <c r="VZP131" s="6"/>
      <c r="VZQ131" s="6"/>
      <c r="VZR131" s="6"/>
      <c r="VZS131" s="6"/>
      <c r="VZT131" s="6"/>
      <c r="VZU131" s="6"/>
      <c r="VZV131" s="6"/>
      <c r="VZW131" s="6"/>
      <c r="VZX131" s="6"/>
      <c r="VZY131" s="6"/>
      <c r="VZZ131" s="6"/>
      <c r="WAA131" s="6"/>
      <c r="WAB131" s="6"/>
      <c r="WAC131" s="6"/>
      <c r="WAD131" s="6"/>
      <c r="WAE131" s="6"/>
      <c r="WAF131" s="6"/>
      <c r="WAG131" s="6"/>
      <c r="WAH131" s="6"/>
      <c r="WAI131" s="6"/>
      <c r="WAJ131" s="6"/>
      <c r="WAK131" s="6"/>
      <c r="WAL131" s="6"/>
      <c r="WAM131" s="6"/>
      <c r="WAN131" s="6"/>
      <c r="WAO131" s="6"/>
      <c r="WAP131" s="6"/>
      <c r="WAQ131" s="6"/>
      <c r="WAR131" s="6"/>
      <c r="WAS131" s="6"/>
      <c r="WAT131" s="6"/>
      <c r="WAU131" s="6"/>
      <c r="WAV131" s="6"/>
      <c r="WAW131" s="6"/>
      <c r="WAX131" s="6"/>
      <c r="WAY131" s="6"/>
      <c r="WAZ131" s="6"/>
      <c r="WBA131" s="6"/>
      <c r="WBB131" s="6"/>
      <c r="WBC131" s="6"/>
      <c r="WBD131" s="6"/>
      <c r="WBE131" s="6"/>
      <c r="WBF131" s="6"/>
      <c r="WBG131" s="6"/>
      <c r="WBH131" s="6"/>
      <c r="WBI131" s="6"/>
      <c r="WBJ131" s="6"/>
      <c r="WBK131" s="6"/>
      <c r="WBL131" s="6"/>
      <c r="WBM131" s="6"/>
      <c r="WBN131" s="6"/>
      <c r="WBO131" s="6"/>
      <c r="WBP131" s="6"/>
      <c r="WBQ131" s="6"/>
      <c r="WBR131" s="6"/>
      <c r="WBS131" s="6"/>
      <c r="WBT131" s="6"/>
      <c r="WBU131" s="6"/>
      <c r="WBV131" s="6"/>
      <c r="WBW131" s="6"/>
      <c r="WBX131" s="6"/>
      <c r="WBY131" s="6"/>
      <c r="WBZ131" s="6"/>
      <c r="WCA131" s="6"/>
      <c r="WCB131" s="6"/>
      <c r="WCC131" s="6"/>
      <c r="WCD131" s="6"/>
      <c r="WCE131" s="6"/>
      <c r="WCF131" s="6"/>
      <c r="WCG131" s="6"/>
      <c r="WCH131" s="6"/>
      <c r="WCI131" s="6"/>
      <c r="WCJ131" s="6"/>
      <c r="WCK131" s="6"/>
      <c r="WCL131" s="6"/>
      <c r="WCM131" s="6"/>
      <c r="WCN131" s="6"/>
      <c r="WCO131" s="6"/>
      <c r="WCP131" s="6"/>
      <c r="WCQ131" s="6"/>
      <c r="WCR131" s="6"/>
      <c r="WCS131" s="6"/>
      <c r="WCT131" s="6"/>
      <c r="WCU131" s="6"/>
      <c r="WCV131" s="6"/>
      <c r="WCW131" s="6"/>
      <c r="WCX131" s="6"/>
      <c r="WCY131" s="6"/>
      <c r="WCZ131" s="6"/>
      <c r="WDA131" s="6"/>
      <c r="WDB131" s="6"/>
      <c r="WDC131" s="6"/>
      <c r="WDD131" s="6"/>
      <c r="WDE131" s="6"/>
      <c r="WDF131" s="6"/>
      <c r="WDG131" s="6"/>
      <c r="WDH131" s="6"/>
      <c r="WDI131" s="6"/>
      <c r="WDJ131" s="6"/>
      <c r="WDK131" s="6"/>
      <c r="WDL131" s="6"/>
      <c r="WDM131" s="6"/>
      <c r="WDN131" s="6"/>
      <c r="WDO131" s="6"/>
      <c r="WDP131" s="6"/>
      <c r="WDQ131" s="6"/>
      <c r="WDR131" s="6"/>
      <c r="WDS131" s="6"/>
      <c r="WDT131" s="6"/>
      <c r="WDU131" s="6"/>
      <c r="WDV131" s="6"/>
      <c r="WDW131" s="6"/>
      <c r="WDX131" s="6"/>
      <c r="WDY131" s="6"/>
      <c r="WDZ131" s="6"/>
      <c r="WEA131" s="6"/>
      <c r="WEB131" s="6"/>
      <c r="WEC131" s="6"/>
      <c r="WED131" s="6"/>
      <c r="WEE131" s="6"/>
      <c r="WEF131" s="6"/>
      <c r="WEG131" s="6"/>
      <c r="WEH131" s="6"/>
      <c r="WEI131" s="6"/>
      <c r="WEJ131" s="6"/>
      <c r="WEK131" s="6"/>
      <c r="WEL131" s="6"/>
      <c r="WEM131" s="6"/>
      <c r="WEN131" s="6"/>
      <c r="WEO131" s="6"/>
      <c r="WEP131" s="6"/>
      <c r="WEQ131" s="6"/>
      <c r="WER131" s="6"/>
      <c r="WES131" s="6"/>
      <c r="WET131" s="6"/>
      <c r="WEU131" s="6"/>
      <c r="WEV131" s="6"/>
      <c r="WEW131" s="6"/>
      <c r="WEX131" s="6"/>
      <c r="WEY131" s="6"/>
      <c r="WEZ131" s="6"/>
      <c r="WFA131" s="6"/>
      <c r="WFB131" s="6"/>
      <c r="WFC131" s="6"/>
      <c r="WFD131" s="6"/>
      <c r="WFE131" s="6"/>
      <c r="WFF131" s="6"/>
      <c r="WFG131" s="6"/>
      <c r="WFH131" s="6"/>
      <c r="WFI131" s="6"/>
      <c r="WFJ131" s="6"/>
      <c r="WFK131" s="6"/>
      <c r="WFL131" s="6"/>
      <c r="WFM131" s="6"/>
      <c r="WFN131" s="6"/>
      <c r="WFO131" s="6"/>
      <c r="WFP131" s="6"/>
      <c r="WFQ131" s="6"/>
      <c r="WFR131" s="6"/>
      <c r="WFS131" s="6"/>
      <c r="WFT131" s="6"/>
      <c r="WFU131" s="6"/>
      <c r="WFV131" s="6"/>
      <c r="WFW131" s="6"/>
      <c r="WFX131" s="6"/>
      <c r="WFY131" s="6"/>
      <c r="WFZ131" s="6"/>
      <c r="WGA131" s="6"/>
      <c r="WGB131" s="6"/>
      <c r="WGC131" s="6"/>
      <c r="WGD131" s="6"/>
      <c r="WGE131" s="6"/>
      <c r="WGF131" s="6"/>
      <c r="WGG131" s="6"/>
      <c r="WGH131" s="6"/>
      <c r="WGI131" s="6"/>
      <c r="WGJ131" s="6"/>
      <c r="WGK131" s="6"/>
      <c r="WGL131" s="6"/>
      <c r="WGM131" s="6"/>
      <c r="WGN131" s="6"/>
      <c r="WGO131" s="6"/>
      <c r="WGP131" s="6"/>
      <c r="WGQ131" s="6"/>
      <c r="WGR131" s="6"/>
      <c r="WGS131" s="6"/>
      <c r="WGT131" s="6"/>
      <c r="WGU131" s="6"/>
      <c r="WGV131" s="6"/>
      <c r="WGW131" s="6"/>
      <c r="WGX131" s="6"/>
      <c r="WGY131" s="6"/>
      <c r="WGZ131" s="6"/>
      <c r="WHA131" s="6"/>
      <c r="WHB131" s="6"/>
      <c r="WHC131" s="6"/>
      <c r="WHD131" s="6"/>
      <c r="WHE131" s="6"/>
      <c r="WHF131" s="6"/>
      <c r="WHG131" s="6"/>
      <c r="WHH131" s="6"/>
      <c r="WHI131" s="6"/>
      <c r="WHJ131" s="6"/>
      <c r="WHK131" s="6"/>
      <c r="WHL131" s="6"/>
      <c r="WHM131" s="6"/>
      <c r="WHN131" s="6"/>
      <c r="WHO131" s="6"/>
      <c r="WHP131" s="6"/>
      <c r="WHQ131" s="6"/>
      <c r="WHR131" s="6"/>
      <c r="WHS131" s="6"/>
      <c r="WHT131" s="6"/>
      <c r="WHU131" s="6"/>
      <c r="WHV131" s="6"/>
      <c r="WHW131" s="6"/>
      <c r="WHX131" s="6"/>
      <c r="WHY131" s="6"/>
      <c r="WHZ131" s="6"/>
      <c r="WIA131" s="6"/>
      <c r="WIB131" s="6"/>
      <c r="WIC131" s="6"/>
      <c r="WID131" s="6"/>
      <c r="WIE131" s="6"/>
      <c r="WIF131" s="6"/>
      <c r="WIG131" s="6"/>
      <c r="WIH131" s="6"/>
      <c r="WII131" s="6"/>
      <c r="WIJ131" s="6"/>
      <c r="WIK131" s="6"/>
      <c r="WIL131" s="6"/>
      <c r="WIM131" s="6"/>
      <c r="WIN131" s="6"/>
      <c r="WIO131" s="6"/>
      <c r="WIP131" s="6"/>
      <c r="WIQ131" s="6"/>
      <c r="WIR131" s="6"/>
      <c r="WIS131" s="6"/>
      <c r="WIT131" s="6"/>
      <c r="WIU131" s="6"/>
      <c r="WIV131" s="6"/>
      <c r="WIW131" s="6"/>
      <c r="WIX131" s="6"/>
      <c r="WIY131" s="6"/>
      <c r="WIZ131" s="6"/>
      <c r="WJA131" s="6"/>
      <c r="WJB131" s="6"/>
      <c r="WJC131" s="6"/>
      <c r="WJD131" s="6"/>
      <c r="WJE131" s="6"/>
      <c r="WJF131" s="6"/>
      <c r="WJG131" s="6"/>
      <c r="WJH131" s="6"/>
      <c r="WJI131" s="6"/>
      <c r="WJJ131" s="6"/>
      <c r="WJK131" s="6"/>
      <c r="WJL131" s="6"/>
      <c r="WJM131" s="6"/>
      <c r="WJN131" s="6"/>
      <c r="WJO131" s="6"/>
      <c r="WJP131" s="6"/>
      <c r="WJQ131" s="6"/>
      <c r="WJR131" s="6"/>
      <c r="WJS131" s="6"/>
      <c r="WJT131" s="6"/>
      <c r="WJU131" s="6"/>
      <c r="WJV131" s="6"/>
      <c r="WJW131" s="6"/>
      <c r="WJX131" s="6"/>
      <c r="WJY131" s="6"/>
      <c r="WJZ131" s="6"/>
      <c r="WKA131" s="6"/>
      <c r="WKB131" s="6"/>
      <c r="WKC131" s="6"/>
      <c r="WKD131" s="6"/>
      <c r="WKE131" s="6"/>
      <c r="WKF131" s="6"/>
      <c r="WKG131" s="6"/>
      <c r="WKH131" s="6"/>
      <c r="WKI131" s="6"/>
      <c r="WKJ131" s="6"/>
      <c r="WKK131" s="6"/>
      <c r="WKL131" s="6"/>
      <c r="WKM131" s="6"/>
      <c r="WKN131" s="6"/>
      <c r="WKO131" s="6"/>
      <c r="WKP131" s="6"/>
      <c r="WKQ131" s="6"/>
      <c r="WKR131" s="6"/>
      <c r="WKS131" s="6"/>
      <c r="WKT131" s="6"/>
      <c r="WKU131" s="6"/>
      <c r="WKV131" s="6"/>
      <c r="WKW131" s="6"/>
      <c r="WKX131" s="6"/>
      <c r="WKY131" s="6"/>
      <c r="WKZ131" s="6"/>
      <c r="WLA131" s="6"/>
      <c r="WLB131" s="6"/>
      <c r="WLC131" s="6"/>
      <c r="WLD131" s="6"/>
      <c r="WLE131" s="6"/>
      <c r="WLF131" s="6"/>
      <c r="WLG131" s="6"/>
      <c r="WLH131" s="6"/>
      <c r="WLI131" s="6"/>
      <c r="WLJ131" s="6"/>
      <c r="WLK131" s="6"/>
      <c r="WLL131" s="6"/>
      <c r="WLM131" s="6"/>
      <c r="WLN131" s="6"/>
      <c r="WLO131" s="6"/>
      <c r="WLP131" s="6"/>
      <c r="WLQ131" s="6"/>
      <c r="WLR131" s="6"/>
      <c r="WLS131" s="6"/>
      <c r="WLT131" s="6"/>
      <c r="WLU131" s="6"/>
      <c r="WLV131" s="6"/>
      <c r="WLW131" s="6"/>
      <c r="WLX131" s="6"/>
      <c r="WLY131" s="6"/>
      <c r="WLZ131" s="6"/>
      <c r="WMA131" s="6"/>
      <c r="WMB131" s="6"/>
      <c r="WMC131" s="6"/>
      <c r="WMD131" s="6"/>
      <c r="WME131" s="6"/>
      <c r="WMF131" s="6"/>
      <c r="WMG131" s="6"/>
      <c r="WMH131" s="6"/>
      <c r="WMI131" s="6"/>
      <c r="WMJ131" s="6"/>
      <c r="WMK131" s="6"/>
      <c r="WML131" s="6"/>
      <c r="WMM131" s="6"/>
      <c r="WMN131" s="6"/>
      <c r="WMO131" s="6"/>
      <c r="WMP131" s="6"/>
      <c r="WMQ131" s="6"/>
      <c r="WMR131" s="6"/>
      <c r="WMS131" s="6"/>
      <c r="WMT131" s="6"/>
      <c r="WMU131" s="6"/>
      <c r="WMV131" s="6"/>
      <c r="WMW131" s="6"/>
      <c r="WMX131" s="6"/>
      <c r="WMY131" s="6"/>
      <c r="WMZ131" s="6"/>
      <c r="WNA131" s="6"/>
      <c r="WNB131" s="6"/>
      <c r="WNC131" s="6"/>
      <c r="WND131" s="6"/>
      <c r="WNE131" s="6"/>
      <c r="WNF131" s="6"/>
      <c r="WNG131" s="6"/>
      <c r="WNH131" s="6"/>
      <c r="WNI131" s="6"/>
      <c r="WNJ131" s="6"/>
      <c r="WNK131" s="6"/>
      <c r="WNL131" s="6"/>
      <c r="WNM131" s="6"/>
      <c r="WNN131" s="6"/>
      <c r="WNO131" s="6"/>
      <c r="WNP131" s="6"/>
      <c r="WNQ131" s="6"/>
      <c r="WNR131" s="6"/>
      <c r="WNS131" s="6"/>
      <c r="WNT131" s="6"/>
      <c r="WNU131" s="6"/>
      <c r="WNV131" s="6"/>
      <c r="WNW131" s="6"/>
      <c r="WNX131" s="6"/>
      <c r="WNY131" s="6"/>
      <c r="WNZ131" s="6"/>
      <c r="WOA131" s="6"/>
      <c r="WOB131" s="6"/>
      <c r="WOC131" s="6"/>
      <c r="WOD131" s="6"/>
      <c r="WOE131" s="6"/>
      <c r="WOF131" s="6"/>
      <c r="WOG131" s="6"/>
      <c r="WOH131" s="6"/>
      <c r="WOI131" s="6"/>
      <c r="WOJ131" s="6"/>
      <c r="WOK131" s="6"/>
      <c r="WOL131" s="6"/>
      <c r="WOM131" s="6"/>
      <c r="WON131" s="6"/>
      <c r="WOO131" s="6"/>
      <c r="WOP131" s="6"/>
      <c r="WOQ131" s="6"/>
      <c r="WOR131" s="6"/>
      <c r="WOS131" s="6"/>
      <c r="WOT131" s="6"/>
      <c r="WOU131" s="6"/>
      <c r="WOV131" s="6"/>
      <c r="WOW131" s="6"/>
      <c r="WOX131" s="6"/>
      <c r="WOY131" s="6"/>
      <c r="WOZ131" s="6"/>
      <c r="WPA131" s="6"/>
      <c r="WPB131" s="6"/>
      <c r="WPC131" s="6"/>
      <c r="WPD131" s="6"/>
      <c r="WPE131" s="6"/>
      <c r="WPF131" s="6"/>
      <c r="WPG131" s="6"/>
      <c r="WPH131" s="6"/>
      <c r="WPI131" s="6"/>
      <c r="WPJ131" s="6"/>
      <c r="WPK131" s="6"/>
      <c r="WPL131" s="6"/>
      <c r="WPM131" s="6"/>
      <c r="WPN131" s="6"/>
      <c r="WPO131" s="6"/>
      <c r="WPP131" s="6"/>
      <c r="WPQ131" s="6"/>
      <c r="WPR131" s="6"/>
      <c r="WPS131" s="6"/>
      <c r="WPT131" s="6"/>
      <c r="WPU131" s="6"/>
      <c r="WPV131" s="6"/>
      <c r="WPW131" s="6"/>
      <c r="WPX131" s="6"/>
      <c r="WPY131" s="6"/>
      <c r="WPZ131" s="6"/>
      <c r="WQA131" s="6"/>
      <c r="WQB131" s="6"/>
      <c r="WQC131" s="6"/>
      <c r="WQD131" s="6"/>
      <c r="WQE131" s="6"/>
      <c r="WQF131" s="6"/>
      <c r="WQG131" s="6"/>
      <c r="WQH131" s="6"/>
      <c r="WQI131" s="6"/>
      <c r="WQJ131" s="6"/>
      <c r="WQK131" s="6"/>
      <c r="WQL131" s="6"/>
      <c r="WQM131" s="6"/>
      <c r="WQN131" s="6"/>
      <c r="WQO131" s="6"/>
      <c r="WQP131" s="6"/>
      <c r="WQQ131" s="6"/>
      <c r="WQR131" s="6"/>
      <c r="WQS131" s="6"/>
      <c r="WQT131" s="6"/>
      <c r="WQU131" s="6"/>
      <c r="WQV131" s="6"/>
      <c r="WQW131" s="6"/>
      <c r="WQX131" s="6"/>
      <c r="WQY131" s="6"/>
      <c r="WQZ131" s="6"/>
      <c r="WRA131" s="6"/>
      <c r="WRB131" s="6"/>
      <c r="WRC131" s="6"/>
      <c r="WRD131" s="6"/>
      <c r="WRE131" s="6"/>
      <c r="WRF131" s="6"/>
      <c r="WRG131" s="6"/>
      <c r="WRH131" s="6"/>
      <c r="WRI131" s="6"/>
      <c r="WRJ131" s="6"/>
      <c r="WRK131" s="6"/>
      <c r="WRL131" s="6"/>
      <c r="WRM131" s="6"/>
      <c r="WRN131" s="6"/>
      <c r="WRO131" s="6"/>
      <c r="WRP131" s="6"/>
      <c r="WRQ131" s="6"/>
      <c r="WRR131" s="6"/>
      <c r="WRS131" s="6"/>
      <c r="WRT131" s="6"/>
      <c r="WRU131" s="6"/>
      <c r="WRV131" s="6"/>
      <c r="WRW131" s="6"/>
      <c r="WRX131" s="6"/>
      <c r="WRY131" s="6"/>
      <c r="WRZ131" s="6"/>
      <c r="WSA131" s="6"/>
      <c r="WSB131" s="6"/>
      <c r="WSC131" s="6"/>
      <c r="WSD131" s="6"/>
      <c r="WSE131" s="6"/>
      <c r="WSF131" s="6"/>
      <c r="WSG131" s="6"/>
      <c r="WSH131" s="6"/>
      <c r="WSI131" s="6"/>
      <c r="WSJ131" s="6"/>
      <c r="WSK131" s="6"/>
      <c r="WSL131" s="6"/>
      <c r="WSM131" s="6"/>
      <c r="WSN131" s="6"/>
      <c r="WSO131" s="6"/>
      <c r="WSP131" s="6"/>
      <c r="WSQ131" s="6"/>
      <c r="WSR131" s="6"/>
      <c r="WSS131" s="6"/>
      <c r="WST131" s="6"/>
      <c r="WSU131" s="6"/>
      <c r="WSV131" s="6"/>
      <c r="WSW131" s="6"/>
      <c r="WSX131" s="6"/>
      <c r="WSY131" s="6"/>
      <c r="WSZ131" s="6"/>
      <c r="WTA131" s="6"/>
      <c r="WTB131" s="6"/>
      <c r="WTC131" s="6"/>
      <c r="WTD131" s="6"/>
      <c r="WTE131" s="6"/>
      <c r="WTF131" s="6"/>
      <c r="WTG131" s="6"/>
      <c r="WTH131" s="6"/>
      <c r="WTI131" s="6"/>
      <c r="WTJ131" s="6"/>
      <c r="WTK131" s="6"/>
      <c r="WTL131" s="6"/>
      <c r="WTM131" s="6"/>
      <c r="WTN131" s="6"/>
      <c r="WTO131" s="6"/>
      <c r="WTP131" s="6"/>
    </row>
    <row r="132" spans="1:16084" hidden="1" x14ac:dyDescent="0.3">
      <c r="A132" s="11" t="s">
        <v>582</v>
      </c>
      <c r="B132" s="3" t="s">
        <v>583</v>
      </c>
      <c r="C132" s="15" t="s">
        <v>584</v>
      </c>
      <c r="D132" s="8" t="s">
        <v>585</v>
      </c>
      <c r="E132" s="12">
        <v>47971</v>
      </c>
      <c r="F132" s="127"/>
    </row>
    <row r="133" spans="1:16084" x14ac:dyDescent="0.3">
      <c r="A133" s="2" t="s">
        <v>586</v>
      </c>
      <c r="B133" s="2" t="s">
        <v>587</v>
      </c>
      <c r="C133" s="15" t="s">
        <v>588</v>
      </c>
      <c r="D133" s="2" t="s">
        <v>589</v>
      </c>
      <c r="E133" s="1">
        <v>56282</v>
      </c>
      <c r="F133" s="122" t="s">
        <v>39</v>
      </c>
      <c r="G133" s="2" t="s">
        <v>590</v>
      </c>
      <c r="H133" s="187" t="s">
        <v>591</v>
      </c>
    </row>
    <row r="134" spans="1:16084" ht="15" x14ac:dyDescent="0.35">
      <c r="A134" s="2" t="s">
        <v>592</v>
      </c>
      <c r="B134" s="3" t="s">
        <v>593</v>
      </c>
      <c r="C134" s="152" t="s">
        <v>594</v>
      </c>
      <c r="D134" s="153" t="s">
        <v>595</v>
      </c>
      <c r="E134" s="1">
        <v>50362</v>
      </c>
      <c r="F134" s="122" t="s">
        <v>53</v>
      </c>
      <c r="G134" s="2" t="s">
        <v>596</v>
      </c>
      <c r="H134" s="187" t="s">
        <v>597</v>
      </c>
      <c r="I134" s="168" t="s">
        <v>598</v>
      </c>
      <c r="J134" s="168" t="s">
        <v>599</v>
      </c>
    </row>
    <row r="137" spans="1:16084" x14ac:dyDescent="0.3">
      <c r="B137" s="2" t="s">
        <v>600</v>
      </c>
    </row>
    <row r="138" spans="1:16084" x14ac:dyDescent="0.3">
      <c r="B138" s="2" t="s">
        <v>601</v>
      </c>
    </row>
    <row r="141" spans="1:16084" s="180" customFormat="1" ht="23.25" customHeight="1" x14ac:dyDescent="0.3">
      <c r="B141" s="180" t="s">
        <v>602</v>
      </c>
      <c r="C141" s="181"/>
      <c r="E141" s="182"/>
      <c r="F141" s="183"/>
      <c r="H141" s="191"/>
    </row>
    <row r="142" spans="1:16084" s="180" customFormat="1" x14ac:dyDescent="0.3">
      <c r="A142" s="180" t="s">
        <v>431</v>
      </c>
      <c r="B142" s="180" t="s">
        <v>432</v>
      </c>
      <c r="C142" s="184" t="s">
        <v>433</v>
      </c>
      <c r="E142" s="180">
        <v>50782</v>
      </c>
      <c r="F142" s="185"/>
      <c r="G142" s="195" t="s">
        <v>435</v>
      </c>
      <c r="H142" s="186" t="s">
        <v>436</v>
      </c>
      <c r="I142" s="186" t="s">
        <v>603</v>
      </c>
    </row>
  </sheetData>
  <sortState xmlns:xlrd2="http://schemas.microsoft.com/office/spreadsheetml/2017/richdata2" ref="A1:E47">
    <sortCondition ref="B1:B47"/>
  </sortState>
  <hyperlinks>
    <hyperlink ref="C63" r:id="rId1" tooltip="Call via Hangouts" display="https://www.google.com/search?ei=sm-yWs-GFIvSjwStz5SoDw&amp;q=landstar+jacksonville+fl+phone+number&amp;oq=landstar+ranger+phone+number&amp;gs_l=psy-ab.1.1.0i71k1l8.0.0.0.9200.0.0.0.0.0.0.0.0..0.0....0...1c..64.psy-ab..0.0.0....0.WA7KG4T2SWc" xr:uid="{00000000-0004-0000-0100-000000000000}"/>
    <hyperlink ref="C33" r:id="rId2" display="tel:1-866-312-1314" xr:uid="{00000000-0004-0000-0100-000001000000}"/>
    <hyperlink ref="C104" r:id="rId3" tooltip="Call via Hangouts" display="https://www.google.com/search?q=TCW+Nashville&amp;stick=H4sIAAAAAAAAAONgecSYyy3w8sc9YamUSWtOXmOM4-IKzsgvd80rySypFArgYoOyVLgEpXj10_UNDZPMCg2zjbMLNBik-LlQhaQUlLh4A_x6RUXlmLzPaAlx_rRfma-cltIhyD_h9oeP3q-VeQC8m_N9cgAAAA&amp;sa=X&amp;ved=2ahUKEwi3k9rQ2o3dAhUKPa0KHTRNDQQQ6RMwC3oECAYQBA&amp;biw=1920&amp;bih=931" xr:uid="{00000000-0004-0000-0100-000002000000}"/>
    <hyperlink ref="C67" r:id="rId4" tooltip="Call via Hangouts" display="https://www.google.com/search?ei=PTyVXMnmDsKusAWt-LjgBA&amp;q=new%20penn%20LTL%20LOCATION&amp;oq=new+penn+LTL+LOCATION&amp;gs_l=psy-ab.3..33i299.5970.9152..9506...0.0..0.111.1315.12j3......0....1..gws-wiz.......0i71j33i160j0j0i22i30.9z0J6fso7UI&amp;npsic=0&amp;rflfq=1&amp;rlha=0&amp;rllag=39851326,-78250946,173919&amp;tbm=lcl&amp;rldimm=2487421160854447867&amp;lqi=ChVuZXcgcGVubiBMVEwgTE9DQVRJT04iA4gBAQ&amp;ved=2ahUKEwj33ZPBwpbhAhVRiqwKHU6FAZsQvS4wBHoECAoQFw&amp;rldoc=1&amp;tbs=lrf:!2m1!1e3!3sIAE,lf:1,lf_ui:4" xr:uid="{00000000-0004-0000-0100-000003000000}"/>
    <hyperlink ref="C53" r:id="rId5" display="tel:+1-866-281-1281" xr:uid="{00000000-0004-0000-0100-000004000000}"/>
    <hyperlink ref="C110" r:id="rId6" tooltip="Call via Hangouts" display="https://www.google.com/search?ei=xSm3XLLmKpGWtQX39oPQAw&amp;q=xpo+logistics++llc+chicago&amp;oq=xpo+logistics++llc+chicago&amp;gs_l=psy-ab.3...1646.2561..3260...0.0..0.100.655.6j1......0....1..gws-wiz.......0i71j0i7i30.JgjAgjMYq5g" xr:uid="{00000000-0004-0000-0100-000005000000}"/>
    <hyperlink ref="H33" r:id="rId7" xr:uid="{DC333B9F-625C-4DD3-84B2-952DA7332738}"/>
    <hyperlink ref="H103" r:id="rId8" xr:uid="{0FE090D0-7A98-4400-8B42-EAABE923E00F}"/>
    <hyperlink ref="I103" r:id="rId9" xr:uid="{E035E05C-B92D-4869-9F25-FA99164DFFB4}"/>
    <hyperlink ref="G114" r:id="rId10" xr:uid="{CDB9EF1F-4A31-49B0-A55B-C873F84F9AAC}"/>
    <hyperlink ref="G100" r:id="rId11" xr:uid="{199D468F-10B5-4FBB-BA6B-1AE75EA0E6BC}"/>
    <hyperlink ref="G71" r:id="rId12" xr:uid="{11CA1FE4-A55E-4CA4-8D64-4CF9BD98EFC3}"/>
    <hyperlink ref="H71" r:id="rId13" xr:uid="{4566E372-3493-417E-9197-12AE9FAD9190}"/>
    <hyperlink ref="H43" r:id="rId14" xr:uid="{81AC4D51-EF96-4D9F-BEA0-14DAF63C8A87}"/>
    <hyperlink ref="G102" r:id="rId15" xr:uid="{6A3068F5-CEB5-4DBA-8828-CF1F52DB7317}"/>
    <hyperlink ref="I52" r:id="rId16" display="mailto:TeamOrange@hubgroup.com" xr:uid="{B5AF06F0-8E6B-450B-8D8F-9828A1F5E076}"/>
    <hyperlink ref="H127" r:id="rId17" xr:uid="{4E77B75D-F2EB-4545-A9F5-670172A2FB7A}"/>
    <hyperlink ref="J102" r:id="rId18" display="mailto:Erin_Pugh@Swifttrans.com" xr:uid="{10462EE5-8068-4E44-8D0D-8172815D5FA3}"/>
    <hyperlink ref="K102" r:id="rId19" xr:uid="{558B4526-C488-4711-92EB-217F098CA3FF}"/>
    <hyperlink ref="I100" r:id="rId20" display="mailto:BostedtJ@schneider.com" xr:uid="{F959CC05-B00B-42F7-A836-191711FE2EFB}"/>
    <hyperlink ref="K52" r:id="rId21" xr:uid="{87F2FAE7-7AB5-4E91-99F0-45D90DD9091D}"/>
    <hyperlink ref="L52" r:id="rId22" display="mailto:EmilyFerrell@HubGroup.com" xr:uid="{310E8662-C2BF-4E2A-A78D-8534C2F1A87F}"/>
    <hyperlink ref="I134" r:id="rId23" xr:uid="{AA1CFA78-66DA-4801-8720-4E0864BC67D2}"/>
    <hyperlink ref="J134" r:id="rId24" xr:uid="{3F8BB620-3713-4F1B-98C8-752F94B8AC22}"/>
    <hyperlink ref="G52" r:id="rId25" xr:uid="{D3CD5A43-DAC4-41C1-9B07-E7142664DFC4}"/>
    <hyperlink ref="C106" r:id="rId26" xr:uid="{B6C6F3BE-8461-4819-BCB0-3FA55DABC136}"/>
    <hyperlink ref="G106" r:id="rId27" xr:uid="{61A0DAD6-7539-44A5-8798-01951550B7F5}"/>
    <hyperlink ref="H106" r:id="rId28" display="mailto:kreader@transportationone.com" xr:uid="{D5F49287-9153-4D95-9760-E4222915F986}"/>
    <hyperlink ref="G142" r:id="rId29" xr:uid="{E6B20A36-811A-43CF-ABF3-D16E71439325}"/>
    <hyperlink ref="H142" r:id="rId30" xr:uid="{70E27353-CB45-49F5-8A13-1B971F88D06C}"/>
    <hyperlink ref="H9" r:id="rId31" xr:uid="{2D12BB4F-926E-45EB-81FD-B067529EBB37}"/>
    <hyperlink ref="I9" r:id="rId32" xr:uid="{3AB28895-9B1D-476C-9850-48FCD70B5642}"/>
    <hyperlink ref="G56" r:id="rId33" display="mailto:grantm@kirschtrans.com" xr:uid="{4DD73C14-DB1B-4AB1-93AA-53014F2484AB}"/>
    <hyperlink ref="H56" r:id="rId34" display="mailto:homedepot@kirschtrans.com" xr:uid="{1784F4E8-5A30-4CA5-8FC2-D5161DECB68D}"/>
    <hyperlink ref="I56" r:id="rId35" display="mailto:donnab@kirschtrans.com" xr:uid="{0EBA6038-1D09-4CD6-90E1-41AB13509DF9}"/>
    <hyperlink ref="J25" r:id="rId36" xr:uid="{A817DCC4-67F3-4C67-BA96-8C9D67CB77F5}"/>
    <hyperlink ref="I142" r:id="rId37" xr:uid="{979E7590-5625-4461-AB05-BA9D1CC6C149}"/>
    <hyperlink ref="I36" r:id="rId38" display="mailto:kayleigh.parks@epeslogistics.com" xr:uid="{1E82963C-F1FB-4975-9C31-49AD239CEE5D}"/>
    <hyperlink ref="H81" r:id="rId39" display="mailto:Danielle.Zabel@roehl.net" xr:uid="{E7661227-9B6D-417D-91B8-DCABB00DB236}"/>
  </hyperlinks>
  <pageMargins left="0.7" right="0.7" top="0.75" bottom="0.75" header="0.3" footer="0.3"/>
  <pageSetup scale="97" orientation="landscape" r:id="rId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"/>
  <sheetViews>
    <sheetView zoomScale="110" zoomScaleNormal="110" workbookViewId="0">
      <selection activeCell="F23" sqref="F23"/>
    </sheetView>
  </sheetViews>
  <sheetFormatPr defaultRowHeight="14.4" x14ac:dyDescent="0.3"/>
  <cols>
    <col min="2" max="2" width="9.5546875" bestFit="1" customWidth="1"/>
    <col min="3" max="3" width="10.33203125" customWidth="1"/>
    <col min="4" max="4" width="10.5546875" customWidth="1"/>
    <col min="5" max="5" width="12.33203125" customWidth="1"/>
    <col min="6" max="6" width="10" bestFit="1" customWidth="1"/>
    <col min="7" max="7" width="4.5546875" customWidth="1"/>
    <col min="8" max="8" width="9.33203125" customWidth="1"/>
    <col min="9" max="9" width="16.5546875" customWidth="1"/>
    <col min="10" max="10" width="9.33203125" style="26" customWidth="1"/>
    <col min="12" max="12" width="9.33203125" customWidth="1"/>
    <col min="13" max="13" width="13.5546875" customWidth="1"/>
    <col min="14" max="16" width="9.33203125" customWidth="1"/>
    <col min="17" max="17" width="11.5546875" customWidth="1"/>
    <col min="18" max="18" width="9.33203125" customWidth="1"/>
  </cols>
  <sheetData>
    <row r="1" spans="1:18" x14ac:dyDescent="0.3">
      <c r="A1" t="s">
        <v>604</v>
      </c>
      <c r="B1" t="s">
        <v>605</v>
      </c>
      <c r="C1" t="s">
        <v>606</v>
      </c>
      <c r="D1" t="s">
        <v>607</v>
      </c>
    </row>
    <row r="2" spans="1:18" x14ac:dyDescent="0.3">
      <c r="B2" s="9">
        <v>32</v>
      </c>
      <c r="C2">
        <f t="shared" ref="C2:C22" si="0">A2/B2</f>
        <v>0</v>
      </c>
      <c r="D2" s="79">
        <f>C2*1824</f>
        <v>0</v>
      </c>
      <c r="E2" s="10">
        <v>1824</v>
      </c>
      <c r="F2">
        <v>32</v>
      </c>
      <c r="H2" s="154" t="s">
        <v>608</v>
      </c>
      <c r="I2" s="119" t="s">
        <v>609</v>
      </c>
      <c r="J2" s="161" t="s">
        <v>610</v>
      </c>
      <c r="L2" s="112" t="s">
        <v>608</v>
      </c>
      <c r="M2" s="23" t="s">
        <v>611</v>
      </c>
      <c r="N2" s="111" t="s">
        <v>610</v>
      </c>
      <c r="P2" s="111" t="s">
        <v>612</v>
      </c>
      <c r="Q2" s="112" t="s">
        <v>613</v>
      </c>
      <c r="R2" s="111" t="s">
        <v>610</v>
      </c>
    </row>
    <row r="3" spans="1:18" x14ac:dyDescent="0.3">
      <c r="B3" s="9">
        <v>32</v>
      </c>
      <c r="C3">
        <f t="shared" si="0"/>
        <v>0</v>
      </c>
      <c r="D3" s="79">
        <f t="shared" ref="D3:D8" si="1">C3*1824</f>
        <v>0</v>
      </c>
      <c r="E3" s="10">
        <v>2084</v>
      </c>
      <c r="F3">
        <v>36</v>
      </c>
      <c r="H3" s="120">
        <v>352</v>
      </c>
      <c r="I3" s="26" t="s">
        <v>614</v>
      </c>
      <c r="J3" s="162">
        <v>1471.14</v>
      </c>
      <c r="L3" s="120">
        <v>704</v>
      </c>
      <c r="M3" s="23" t="s">
        <v>614</v>
      </c>
      <c r="N3" s="121">
        <v>1877.7</v>
      </c>
      <c r="P3">
        <v>792</v>
      </c>
      <c r="Q3" s="112" t="s">
        <v>614</v>
      </c>
      <c r="R3">
        <v>2383.92</v>
      </c>
    </row>
    <row r="4" spans="1:18" x14ac:dyDescent="0.3">
      <c r="B4" s="9">
        <v>32</v>
      </c>
      <c r="C4">
        <f t="shared" si="0"/>
        <v>0</v>
      </c>
      <c r="D4" s="79">
        <f t="shared" si="1"/>
        <v>0</v>
      </c>
      <c r="E4" s="10">
        <v>2160</v>
      </c>
      <c r="F4">
        <v>60</v>
      </c>
      <c r="H4" s="120">
        <v>336</v>
      </c>
      <c r="I4" s="26" t="s">
        <v>615</v>
      </c>
      <c r="J4" s="162">
        <v>1404.27</v>
      </c>
      <c r="L4" s="120">
        <v>672</v>
      </c>
      <c r="M4" s="23" t="s">
        <v>615</v>
      </c>
      <c r="N4" s="118">
        <v>1792.35</v>
      </c>
      <c r="P4" s="79">
        <v>756</v>
      </c>
      <c r="Q4" s="112" t="s">
        <v>615</v>
      </c>
      <c r="R4">
        <v>2275.56</v>
      </c>
    </row>
    <row r="5" spans="1:18" x14ac:dyDescent="0.3">
      <c r="B5" s="9">
        <v>32</v>
      </c>
      <c r="C5">
        <f t="shared" si="0"/>
        <v>0</v>
      </c>
      <c r="D5" s="79">
        <f t="shared" si="1"/>
        <v>0</v>
      </c>
      <c r="E5" s="10">
        <v>2160</v>
      </c>
      <c r="F5">
        <v>30</v>
      </c>
      <c r="H5" s="120">
        <v>320</v>
      </c>
      <c r="I5" s="26" t="s">
        <v>616</v>
      </c>
      <c r="J5" s="162">
        <v>1337.4</v>
      </c>
      <c r="L5" s="120">
        <v>640</v>
      </c>
      <c r="M5" s="23" t="s">
        <v>616</v>
      </c>
      <c r="N5" s="118">
        <v>1707</v>
      </c>
      <c r="P5">
        <v>720</v>
      </c>
      <c r="Q5" s="112" t="s">
        <v>616</v>
      </c>
      <c r="R5">
        <v>2167.1999999999998</v>
      </c>
    </row>
    <row r="6" spans="1:18" ht="14.25" customHeight="1" x14ac:dyDescent="0.3">
      <c r="B6" s="9">
        <v>32</v>
      </c>
      <c r="C6">
        <f t="shared" si="0"/>
        <v>0</v>
      </c>
      <c r="D6" s="79">
        <f t="shared" si="1"/>
        <v>0</v>
      </c>
      <c r="E6" s="118">
        <v>960</v>
      </c>
      <c r="F6">
        <v>16</v>
      </c>
      <c r="H6" s="120">
        <v>304</v>
      </c>
      <c r="I6" s="26" t="s">
        <v>617</v>
      </c>
      <c r="J6" s="162">
        <v>1270.53</v>
      </c>
      <c r="L6" s="120">
        <v>608</v>
      </c>
      <c r="M6" s="23" t="s">
        <v>617</v>
      </c>
      <c r="N6">
        <v>1621.65</v>
      </c>
      <c r="P6">
        <v>684</v>
      </c>
      <c r="Q6" s="112" t="s">
        <v>617</v>
      </c>
      <c r="R6">
        <v>2058.84</v>
      </c>
    </row>
    <row r="7" spans="1:18" x14ac:dyDescent="0.3">
      <c r="B7" s="9">
        <v>32</v>
      </c>
      <c r="C7">
        <f t="shared" si="0"/>
        <v>0</v>
      </c>
      <c r="D7" s="79">
        <f t="shared" si="1"/>
        <v>0</v>
      </c>
      <c r="E7" s="10">
        <v>1994</v>
      </c>
      <c r="F7">
        <v>35</v>
      </c>
      <c r="H7" s="120">
        <v>288</v>
      </c>
      <c r="I7" s="26" t="s">
        <v>618</v>
      </c>
      <c r="J7" s="162">
        <v>1203.6600000000001</v>
      </c>
      <c r="L7" s="120">
        <v>576</v>
      </c>
      <c r="M7" s="23" t="s">
        <v>618</v>
      </c>
      <c r="N7">
        <v>1536.3</v>
      </c>
      <c r="P7">
        <v>648</v>
      </c>
      <c r="Q7" s="112" t="s">
        <v>618</v>
      </c>
      <c r="R7">
        <v>1950.48</v>
      </c>
    </row>
    <row r="8" spans="1:18" x14ac:dyDescent="0.3">
      <c r="B8" s="9">
        <v>32</v>
      </c>
      <c r="C8">
        <f t="shared" si="0"/>
        <v>0</v>
      </c>
      <c r="D8" s="79">
        <f t="shared" si="1"/>
        <v>0</v>
      </c>
      <c r="H8" s="120">
        <v>272</v>
      </c>
      <c r="I8" s="26" t="s">
        <v>619</v>
      </c>
      <c r="J8" s="162">
        <v>1136.79</v>
      </c>
      <c r="L8" s="120">
        <v>544</v>
      </c>
      <c r="M8" s="23" t="s">
        <v>619</v>
      </c>
      <c r="N8" s="118">
        <v>1450.95</v>
      </c>
    </row>
    <row r="9" spans="1:18" x14ac:dyDescent="0.3">
      <c r="A9" s="119"/>
      <c r="B9" s="119">
        <v>16</v>
      </c>
      <c r="C9" s="119">
        <f>A9/B9</f>
        <v>0</v>
      </c>
      <c r="D9" s="165">
        <f>C9*960</f>
        <v>0</v>
      </c>
      <c r="E9" t="s">
        <v>611</v>
      </c>
      <c r="H9" s="120">
        <v>256</v>
      </c>
      <c r="I9" s="26" t="s">
        <v>620</v>
      </c>
      <c r="J9" s="162">
        <v>1069.92</v>
      </c>
      <c r="L9" s="120">
        <v>512</v>
      </c>
      <c r="M9" s="23" t="s">
        <v>620</v>
      </c>
      <c r="N9" s="118">
        <v>1365.6</v>
      </c>
      <c r="Q9">
        <v>108.36</v>
      </c>
    </row>
    <row r="10" spans="1:18" x14ac:dyDescent="0.3">
      <c r="A10" s="119"/>
      <c r="B10" s="119">
        <v>16</v>
      </c>
      <c r="C10" s="119">
        <f t="shared" si="0"/>
        <v>0</v>
      </c>
      <c r="D10" s="165">
        <f>C10*960</f>
        <v>0</v>
      </c>
      <c r="E10" t="s">
        <v>621</v>
      </c>
      <c r="H10" s="120">
        <v>240</v>
      </c>
      <c r="I10" s="26" t="s">
        <v>622</v>
      </c>
      <c r="J10" s="26">
        <v>1003.05</v>
      </c>
      <c r="Q10" s="82"/>
    </row>
    <row r="11" spans="1:18" ht="15.75" customHeight="1" x14ac:dyDescent="0.3">
      <c r="A11" s="151"/>
      <c r="B11" s="151">
        <v>35</v>
      </c>
      <c r="C11" s="151">
        <f t="shared" si="0"/>
        <v>0</v>
      </c>
      <c r="D11" s="166">
        <f>C11*2089</f>
        <v>0</v>
      </c>
      <c r="E11" t="s">
        <v>623</v>
      </c>
      <c r="H11" s="120">
        <v>224</v>
      </c>
      <c r="I11" s="26" t="s">
        <v>624</v>
      </c>
      <c r="J11" s="26">
        <v>936.18</v>
      </c>
      <c r="L11" s="120"/>
      <c r="M11" t="s">
        <v>625</v>
      </c>
      <c r="Q11" s="82"/>
    </row>
    <row r="12" spans="1:18" ht="15" thickBot="1" x14ac:dyDescent="0.35">
      <c r="B12" s="9">
        <v>36</v>
      </c>
      <c r="C12">
        <f>A12/B12</f>
        <v>0</v>
      </c>
      <c r="D12" s="79">
        <f>C12*1942</f>
        <v>0</v>
      </c>
      <c r="E12" t="s">
        <v>613</v>
      </c>
      <c r="F12" t="s">
        <v>626</v>
      </c>
      <c r="H12" s="120">
        <v>208</v>
      </c>
      <c r="I12" s="26" t="s">
        <v>627</v>
      </c>
      <c r="J12" s="26">
        <v>869.31</v>
      </c>
      <c r="L12" s="82"/>
    </row>
    <row r="13" spans="1:18" ht="15" thickBot="1" x14ac:dyDescent="0.35">
      <c r="B13" s="9">
        <v>36</v>
      </c>
      <c r="C13">
        <f t="shared" si="0"/>
        <v>0</v>
      </c>
      <c r="D13" s="79">
        <f>C13*1942</f>
        <v>0</v>
      </c>
      <c r="E13" t="s">
        <v>613</v>
      </c>
      <c r="F13" s="42"/>
      <c r="H13">
        <v>192</v>
      </c>
      <c r="I13" s="26" t="s">
        <v>628</v>
      </c>
      <c r="J13" s="26">
        <v>802.44</v>
      </c>
      <c r="L13" s="151"/>
      <c r="M13" s="151" t="s">
        <v>629</v>
      </c>
      <c r="N13" s="164"/>
    </row>
    <row r="14" spans="1:18" ht="15" thickBot="1" x14ac:dyDescent="0.35">
      <c r="B14" s="9">
        <v>36</v>
      </c>
      <c r="C14">
        <f t="shared" si="0"/>
        <v>0</v>
      </c>
      <c r="D14" s="79">
        <f t="shared" ref="D14" si="2">C14*2084</f>
        <v>0</v>
      </c>
      <c r="F14" s="42"/>
      <c r="H14">
        <v>176</v>
      </c>
      <c r="I14" s="26" t="s">
        <v>630</v>
      </c>
      <c r="J14" s="26">
        <v>735.57</v>
      </c>
      <c r="L14" s="151" t="s">
        <v>631</v>
      </c>
      <c r="M14" s="151" t="s">
        <v>632</v>
      </c>
      <c r="N14" s="164">
        <v>97.75</v>
      </c>
    </row>
    <row r="15" spans="1:18" ht="15" thickBot="1" x14ac:dyDescent="0.35">
      <c r="A15" s="48"/>
      <c r="B15" s="48">
        <v>30</v>
      </c>
      <c r="C15" s="48">
        <f>A15/B15</f>
        <v>0</v>
      </c>
      <c r="D15" s="167">
        <f>C15*2160</f>
        <v>0</v>
      </c>
      <c r="E15" t="s">
        <v>633</v>
      </c>
      <c r="F15" s="42"/>
      <c r="H15">
        <v>160</v>
      </c>
      <c r="I15" s="26" t="s">
        <v>634</v>
      </c>
      <c r="J15" s="26">
        <v>668.7</v>
      </c>
    </row>
    <row r="16" spans="1:18" ht="15" thickBot="1" x14ac:dyDescent="0.35">
      <c r="A16" s="48"/>
      <c r="B16" s="48">
        <v>30</v>
      </c>
      <c r="C16" s="48">
        <f t="shared" si="0"/>
        <v>0</v>
      </c>
      <c r="D16" s="167">
        <f>C16*2160</f>
        <v>0</v>
      </c>
      <c r="E16" t="s">
        <v>633</v>
      </c>
      <c r="F16" s="42"/>
      <c r="H16" s="120">
        <v>144</v>
      </c>
      <c r="I16" s="120" t="s">
        <v>635</v>
      </c>
      <c r="J16" s="163">
        <v>601.83000000000004</v>
      </c>
    </row>
    <row r="17" spans="1:12" ht="15" thickBot="1" x14ac:dyDescent="0.35">
      <c r="B17" s="9">
        <v>60</v>
      </c>
      <c r="C17">
        <f t="shared" si="0"/>
        <v>0</v>
      </c>
      <c r="D17" s="79">
        <f>C17*2160</f>
        <v>0</v>
      </c>
      <c r="F17" s="41"/>
      <c r="H17" s="120">
        <v>128</v>
      </c>
      <c r="I17" s="120" t="s">
        <v>636</v>
      </c>
      <c r="J17" s="162">
        <v>534.96</v>
      </c>
    </row>
    <row r="18" spans="1:12" ht="15" thickBot="1" x14ac:dyDescent="0.35">
      <c r="B18" s="9">
        <v>60</v>
      </c>
      <c r="C18">
        <f t="shared" si="0"/>
        <v>0</v>
      </c>
      <c r="D18" s="79">
        <f>C18*2160</f>
        <v>0</v>
      </c>
      <c r="F18" s="41"/>
      <c r="H18">
        <v>112</v>
      </c>
      <c r="I18" s="120" t="s">
        <v>637</v>
      </c>
      <c r="J18" s="26">
        <v>468.09</v>
      </c>
      <c r="K18">
        <v>1554.08</v>
      </c>
    </row>
    <row r="19" spans="1:12" x14ac:dyDescent="0.3">
      <c r="B19" s="9">
        <v>60</v>
      </c>
      <c r="C19">
        <f t="shared" si="0"/>
        <v>0</v>
      </c>
      <c r="D19" s="79">
        <f t="shared" ref="D19:D22" si="3">C19*2160</f>
        <v>0</v>
      </c>
      <c r="F19" s="10">
        <f>SUM(F13:F18)</f>
        <v>0</v>
      </c>
      <c r="H19">
        <v>96</v>
      </c>
      <c r="I19" s="120" t="s">
        <v>638</v>
      </c>
      <c r="J19" s="26">
        <v>401.22</v>
      </c>
      <c r="K19">
        <v>72.069999999999993</v>
      </c>
    </row>
    <row r="20" spans="1:12" x14ac:dyDescent="0.3">
      <c r="B20" s="9">
        <v>60</v>
      </c>
      <c r="C20">
        <f t="shared" si="0"/>
        <v>0</v>
      </c>
      <c r="D20" s="79">
        <f t="shared" si="3"/>
        <v>0</v>
      </c>
      <c r="H20">
        <v>80</v>
      </c>
      <c r="I20" s="120" t="s">
        <v>639</v>
      </c>
      <c r="J20" s="26">
        <v>334.35</v>
      </c>
      <c r="L20">
        <v>64</v>
      </c>
    </row>
    <row r="21" spans="1:12" x14ac:dyDescent="0.3">
      <c r="B21" s="9">
        <v>60</v>
      </c>
      <c r="C21">
        <f t="shared" si="0"/>
        <v>0</v>
      </c>
      <c r="D21" s="79">
        <f t="shared" si="3"/>
        <v>0</v>
      </c>
      <c r="F21" s="10">
        <f>SUM(C9:C10)</f>
        <v>0</v>
      </c>
      <c r="H21">
        <v>64</v>
      </c>
      <c r="I21" s="120" t="s">
        <v>640</v>
      </c>
      <c r="J21" s="26">
        <v>267.48</v>
      </c>
      <c r="L21">
        <v>32</v>
      </c>
    </row>
    <row r="22" spans="1:12" x14ac:dyDescent="0.3">
      <c r="B22" s="9">
        <v>60</v>
      </c>
      <c r="C22">
        <f t="shared" si="0"/>
        <v>0</v>
      </c>
      <c r="D22" s="79">
        <f t="shared" si="3"/>
        <v>0</v>
      </c>
      <c r="E22" t="s">
        <v>96</v>
      </c>
      <c r="F22" s="10">
        <v>66.87</v>
      </c>
      <c r="H22">
        <v>48</v>
      </c>
      <c r="I22" s="120" t="s">
        <v>641</v>
      </c>
      <c r="J22" s="26">
        <v>200.61</v>
      </c>
    </row>
    <row r="23" spans="1:12" x14ac:dyDescent="0.3">
      <c r="A23" s="79">
        <f>SUM(A2:A22)</f>
        <v>0</v>
      </c>
      <c r="B23" s="79"/>
      <c r="C23" s="79">
        <f>SUM(C2:C22)</f>
        <v>0</v>
      </c>
      <c r="D23" s="79">
        <f>SUM(D2:D22)</f>
        <v>0</v>
      </c>
      <c r="E23" s="79"/>
      <c r="F23" s="10">
        <f>F21*F22</f>
        <v>0</v>
      </c>
      <c r="H23">
        <v>32</v>
      </c>
      <c r="I23" s="120" t="s">
        <v>642</v>
      </c>
      <c r="J23" s="26">
        <v>133.74</v>
      </c>
    </row>
    <row r="24" spans="1:12" x14ac:dyDescent="0.3">
      <c r="D24" s="10"/>
      <c r="I24" t="s">
        <v>643</v>
      </c>
    </row>
    <row r="25" spans="1:12" x14ac:dyDescent="0.3">
      <c r="D25" s="10"/>
    </row>
  </sheetData>
  <phoneticPr fontId="9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38D16-DE46-48A3-A547-5029AD58A654}">
  <dimension ref="A1:K1105"/>
  <sheetViews>
    <sheetView zoomScale="110" zoomScaleNormal="110" workbookViewId="0">
      <pane ySplit="1" topLeftCell="A1050" activePane="bottomLeft" state="frozen"/>
      <selection pane="bottomLeft" activeCell="C1068" sqref="C1068"/>
    </sheetView>
  </sheetViews>
  <sheetFormatPr defaultRowHeight="14.4" x14ac:dyDescent="0.3"/>
  <cols>
    <col min="1" max="1" width="11.44140625" style="26" bestFit="1" customWidth="1"/>
    <col min="2" max="2" width="11.6640625" style="23" bestFit="1" customWidth="1"/>
    <col min="3" max="3" width="10.6640625" style="28" customWidth="1"/>
    <col min="4" max="4" width="9.44140625" style="146" bestFit="1" customWidth="1"/>
    <col min="5" max="5" width="13.5546875" style="23" customWidth="1"/>
    <col min="6" max="6" width="10.6640625" style="23" bestFit="1" customWidth="1"/>
    <col min="7" max="7" width="6.33203125" style="23" bestFit="1" customWidth="1"/>
    <col min="8" max="8" width="9.33203125" style="28" customWidth="1"/>
    <col min="9" max="9" width="18" style="23" customWidth="1"/>
    <col min="10" max="10" width="19.6640625" style="23" customWidth="1"/>
    <col min="11" max="11" width="15.5546875" bestFit="1" customWidth="1"/>
  </cols>
  <sheetData>
    <row r="1" spans="1:10" x14ac:dyDescent="0.3">
      <c r="A1" s="24" t="s">
        <v>644</v>
      </c>
      <c r="B1" s="20" t="s">
        <v>645</v>
      </c>
      <c r="C1" s="21" t="s">
        <v>646</v>
      </c>
      <c r="D1" s="135" t="s">
        <v>647</v>
      </c>
      <c r="E1" s="20" t="s">
        <v>648</v>
      </c>
      <c r="F1" s="20" t="s">
        <v>649</v>
      </c>
      <c r="G1" s="20" t="s">
        <v>650</v>
      </c>
      <c r="H1" s="21" t="s">
        <v>651</v>
      </c>
      <c r="I1" s="61" t="s">
        <v>652</v>
      </c>
      <c r="J1" s="61"/>
    </row>
    <row r="2" spans="1:10" x14ac:dyDescent="0.3">
      <c r="A2" s="29">
        <v>1212065509</v>
      </c>
      <c r="B2" s="30">
        <v>25908175</v>
      </c>
      <c r="C2" s="31">
        <v>44383</v>
      </c>
      <c r="D2" s="136">
        <v>1809.556</v>
      </c>
      <c r="E2" s="32"/>
      <c r="F2" s="30">
        <v>1</v>
      </c>
      <c r="G2" s="30" t="s">
        <v>112</v>
      </c>
      <c r="H2" s="31">
        <v>44378</v>
      </c>
    </row>
    <row r="3" spans="1:10" x14ac:dyDescent="0.3">
      <c r="A3" s="29">
        <v>1212066559</v>
      </c>
      <c r="B3" s="30">
        <v>46972546</v>
      </c>
      <c r="C3" s="31">
        <v>44385</v>
      </c>
      <c r="D3" s="136">
        <v>5428.6670000000004</v>
      </c>
      <c r="E3" s="30" t="s">
        <v>653</v>
      </c>
      <c r="F3" s="30">
        <v>3</v>
      </c>
      <c r="G3" s="30" t="s">
        <v>654</v>
      </c>
      <c r="H3" s="31">
        <v>44383</v>
      </c>
    </row>
    <row r="4" spans="1:10" x14ac:dyDescent="0.3">
      <c r="A4" s="29">
        <v>1212065684</v>
      </c>
      <c r="B4" s="30">
        <v>14934432</v>
      </c>
      <c r="C4" s="31">
        <v>44385</v>
      </c>
      <c r="D4" s="136">
        <v>12320.217000000001</v>
      </c>
      <c r="E4" s="30" t="s">
        <v>655</v>
      </c>
      <c r="F4" s="30">
        <v>7</v>
      </c>
      <c r="G4" s="30" t="s">
        <v>184</v>
      </c>
      <c r="H4" s="31">
        <v>44383</v>
      </c>
    </row>
    <row r="5" spans="1:10" x14ac:dyDescent="0.3">
      <c r="A5" s="29">
        <v>1212066531</v>
      </c>
      <c r="B5" s="30">
        <v>7923050</v>
      </c>
      <c r="C5" s="31">
        <v>44385</v>
      </c>
      <c r="D5" s="136">
        <v>3686.2550000000001</v>
      </c>
      <c r="E5" s="32" t="s">
        <v>653</v>
      </c>
      <c r="F5" s="30">
        <v>2</v>
      </c>
      <c r="G5" s="30" t="s">
        <v>112</v>
      </c>
      <c r="H5" s="31">
        <v>44383</v>
      </c>
    </row>
    <row r="6" spans="1:10" x14ac:dyDescent="0.3">
      <c r="A6" s="29">
        <v>1212066539</v>
      </c>
      <c r="B6" s="30">
        <v>32910333</v>
      </c>
      <c r="C6" s="31">
        <v>44385</v>
      </c>
      <c r="D6" s="136">
        <v>1760.0309999999999</v>
      </c>
      <c r="E6" s="30" t="s">
        <v>655</v>
      </c>
      <c r="F6" s="30">
        <v>1</v>
      </c>
      <c r="G6" s="30" t="s">
        <v>112</v>
      </c>
      <c r="H6" s="31">
        <v>44383</v>
      </c>
    </row>
    <row r="7" spans="1:10" x14ac:dyDescent="0.3">
      <c r="A7" s="29">
        <v>1212066540</v>
      </c>
      <c r="B7" s="30">
        <v>32910339</v>
      </c>
      <c r="C7" s="31">
        <v>44385</v>
      </c>
      <c r="D7" s="136">
        <v>4439.9840000000004</v>
      </c>
      <c r="E7" s="30" t="s">
        <v>655</v>
      </c>
      <c r="F7" s="30">
        <v>2</v>
      </c>
      <c r="G7" s="30" t="s">
        <v>112</v>
      </c>
      <c r="H7" s="31">
        <v>44383</v>
      </c>
    </row>
    <row r="8" spans="1:10" x14ac:dyDescent="0.3">
      <c r="A8" s="29">
        <v>1212065689</v>
      </c>
      <c r="B8" s="30">
        <v>32910017</v>
      </c>
      <c r="C8" s="31">
        <v>44385</v>
      </c>
      <c r="D8" s="136">
        <v>19979.921999999999</v>
      </c>
      <c r="E8" s="32" t="s">
        <v>655</v>
      </c>
      <c r="F8" s="30">
        <v>9</v>
      </c>
      <c r="G8" s="30" t="s">
        <v>656</v>
      </c>
      <c r="H8" s="31">
        <v>44383</v>
      </c>
    </row>
    <row r="9" spans="1:10" x14ac:dyDescent="0.3">
      <c r="A9" s="29">
        <v>1212065688</v>
      </c>
      <c r="B9" s="30">
        <v>31922047</v>
      </c>
      <c r="C9" s="31">
        <v>44385</v>
      </c>
      <c r="D9" s="136">
        <v>12468.790999999999</v>
      </c>
      <c r="E9" s="30" t="s">
        <v>653</v>
      </c>
      <c r="F9" s="30">
        <v>7</v>
      </c>
      <c r="G9" s="30" t="s">
        <v>654</v>
      </c>
      <c r="H9" s="31">
        <v>44383</v>
      </c>
    </row>
    <row r="10" spans="1:10" x14ac:dyDescent="0.3">
      <c r="A10" s="29">
        <v>1212069210</v>
      </c>
      <c r="B10" s="30">
        <v>14920963</v>
      </c>
      <c r="C10" s="31">
        <v>44392</v>
      </c>
      <c r="D10" s="136">
        <v>6659.9740000000002</v>
      </c>
      <c r="E10" s="30" t="s">
        <v>655</v>
      </c>
      <c r="F10" s="30">
        <v>3</v>
      </c>
      <c r="G10" s="30" t="s">
        <v>112</v>
      </c>
      <c r="H10" s="31">
        <v>44391</v>
      </c>
    </row>
    <row r="11" spans="1:10" x14ac:dyDescent="0.3">
      <c r="A11" s="29">
        <v>1212069229</v>
      </c>
      <c r="B11" s="30">
        <v>33901209</v>
      </c>
      <c r="C11" s="31">
        <v>44392</v>
      </c>
      <c r="D11" s="136">
        <v>2219.991</v>
      </c>
      <c r="E11" s="30" t="s">
        <v>655</v>
      </c>
      <c r="F11" s="30">
        <v>1</v>
      </c>
      <c r="G11" s="30" t="s">
        <v>184</v>
      </c>
      <c r="H11" s="31">
        <v>44391</v>
      </c>
    </row>
    <row r="12" spans="1:10" x14ac:dyDescent="0.3">
      <c r="A12" s="29">
        <v>1212069214</v>
      </c>
      <c r="B12" s="30">
        <v>32909659</v>
      </c>
      <c r="C12" s="31">
        <v>44392</v>
      </c>
      <c r="D12" s="136">
        <v>2219.991</v>
      </c>
      <c r="E12" s="30" t="s">
        <v>655</v>
      </c>
      <c r="F12" s="30">
        <v>1</v>
      </c>
      <c r="G12" s="30" t="s">
        <v>184</v>
      </c>
      <c r="H12" s="31">
        <v>44391</v>
      </c>
    </row>
    <row r="13" spans="1:10" x14ac:dyDescent="0.3">
      <c r="A13" s="29">
        <v>1212069216</v>
      </c>
      <c r="B13" s="30">
        <v>46922517</v>
      </c>
      <c r="C13" s="31">
        <v>44392</v>
      </c>
      <c r="D13" s="136">
        <v>13319.948</v>
      </c>
      <c r="E13" s="30" t="s">
        <v>655</v>
      </c>
      <c r="F13" s="30">
        <v>6</v>
      </c>
      <c r="G13" s="30" t="s">
        <v>184</v>
      </c>
      <c r="H13" s="31">
        <v>44391</v>
      </c>
    </row>
    <row r="14" spans="1:10" x14ac:dyDescent="0.3">
      <c r="A14" s="29">
        <v>1212069213</v>
      </c>
      <c r="B14" s="30">
        <v>32910017</v>
      </c>
      <c r="C14" s="31">
        <v>44392</v>
      </c>
      <c r="D14" s="136">
        <v>11099.958000000001</v>
      </c>
      <c r="E14" s="30" t="s">
        <v>655</v>
      </c>
      <c r="F14" s="30">
        <v>5</v>
      </c>
      <c r="G14" s="30" t="s">
        <v>656</v>
      </c>
      <c r="H14" s="31">
        <v>44391</v>
      </c>
    </row>
    <row r="15" spans="1:10" x14ac:dyDescent="0.3">
      <c r="A15" s="33">
        <v>1212070796</v>
      </c>
      <c r="B15" s="30">
        <v>46927084</v>
      </c>
      <c r="C15" s="31">
        <v>44396</v>
      </c>
      <c r="D15" s="136">
        <v>12419.267</v>
      </c>
      <c r="E15" s="30" t="s">
        <v>653</v>
      </c>
      <c r="F15" s="30">
        <v>7</v>
      </c>
      <c r="G15" s="30" t="s">
        <v>112</v>
      </c>
      <c r="H15" s="31">
        <v>44394</v>
      </c>
    </row>
    <row r="16" spans="1:10" x14ac:dyDescent="0.3">
      <c r="A16" s="33">
        <v>1212070799</v>
      </c>
      <c r="B16" s="30">
        <v>47937384</v>
      </c>
      <c r="C16" s="31">
        <v>44396</v>
      </c>
      <c r="D16" s="136">
        <v>3520.0619999999999</v>
      </c>
      <c r="E16" s="30" t="s">
        <v>655</v>
      </c>
      <c r="F16" s="30">
        <v>2</v>
      </c>
      <c r="G16" s="30" t="s">
        <v>654</v>
      </c>
      <c r="H16" s="31">
        <v>44394</v>
      </c>
    </row>
    <row r="17" spans="1:8" x14ac:dyDescent="0.3">
      <c r="A17" s="33">
        <v>1212070777</v>
      </c>
      <c r="B17" s="30">
        <v>32933815</v>
      </c>
      <c r="C17" s="31">
        <v>44396</v>
      </c>
      <c r="D17" s="136">
        <v>2219.991</v>
      </c>
      <c r="E17" s="30" t="s">
        <v>655</v>
      </c>
      <c r="F17" s="30">
        <v>1</v>
      </c>
      <c r="G17" s="30" t="s">
        <v>184</v>
      </c>
      <c r="H17" s="31">
        <v>44394</v>
      </c>
    </row>
    <row r="18" spans="1:8" x14ac:dyDescent="0.3">
      <c r="A18" s="34">
        <v>1212069220</v>
      </c>
      <c r="B18" s="30">
        <v>32935089</v>
      </c>
      <c r="C18" s="31">
        <v>44397</v>
      </c>
      <c r="D18" s="136">
        <v>15539.941000000001</v>
      </c>
      <c r="E18" s="30" t="s">
        <v>655</v>
      </c>
      <c r="F18" s="30">
        <v>7</v>
      </c>
      <c r="G18" s="30" t="s">
        <v>656</v>
      </c>
      <c r="H18" s="31">
        <v>44396</v>
      </c>
    </row>
    <row r="19" spans="1:8" x14ac:dyDescent="0.3">
      <c r="A19" s="33">
        <v>1212070773</v>
      </c>
      <c r="B19" s="30">
        <v>32916006</v>
      </c>
      <c r="C19" s="31">
        <v>44398</v>
      </c>
      <c r="D19" s="136">
        <v>4439.9840000000004</v>
      </c>
      <c r="E19" s="30" t="s">
        <v>655</v>
      </c>
      <c r="F19" s="30">
        <v>2</v>
      </c>
      <c r="G19" s="30" t="s">
        <v>112</v>
      </c>
      <c r="H19" s="31">
        <v>44397</v>
      </c>
    </row>
    <row r="20" spans="1:8" x14ac:dyDescent="0.3">
      <c r="A20" s="33">
        <v>1212070793</v>
      </c>
      <c r="B20" s="30">
        <v>45937929</v>
      </c>
      <c r="C20" s="31">
        <v>44398</v>
      </c>
      <c r="D20" s="136">
        <v>1760.0309999999999</v>
      </c>
      <c r="E20" s="30" t="s">
        <v>655</v>
      </c>
      <c r="F20" s="30">
        <v>1</v>
      </c>
      <c r="G20" s="30" t="s">
        <v>112</v>
      </c>
      <c r="H20" s="31">
        <v>44397</v>
      </c>
    </row>
    <row r="21" spans="1:8" x14ac:dyDescent="0.3">
      <c r="A21" s="33">
        <v>1212072587</v>
      </c>
      <c r="B21" s="30">
        <v>73988243</v>
      </c>
      <c r="C21" s="31">
        <v>44399</v>
      </c>
      <c r="D21" s="136">
        <v>12666.89</v>
      </c>
      <c r="E21" s="30" t="s">
        <v>653</v>
      </c>
      <c r="F21" s="30">
        <v>7</v>
      </c>
      <c r="G21" s="30" t="s">
        <v>184</v>
      </c>
      <c r="H21" s="31">
        <v>44398</v>
      </c>
    </row>
    <row r="22" spans="1:8" x14ac:dyDescent="0.3">
      <c r="A22" s="29">
        <v>1212064922</v>
      </c>
      <c r="B22" s="30">
        <v>18919182</v>
      </c>
      <c r="C22" s="31">
        <v>44399</v>
      </c>
      <c r="D22" s="136">
        <v>1760.0309999999999</v>
      </c>
      <c r="E22" s="30" t="s">
        <v>655</v>
      </c>
      <c r="F22" s="30">
        <v>1</v>
      </c>
      <c r="G22" s="30" t="s">
        <v>184</v>
      </c>
      <c r="H22" s="31">
        <v>44398</v>
      </c>
    </row>
    <row r="23" spans="1:8" x14ac:dyDescent="0.3">
      <c r="A23" s="29">
        <v>1212073511</v>
      </c>
      <c r="B23" s="30">
        <v>47939926</v>
      </c>
      <c r="C23" s="31">
        <v>44404</v>
      </c>
      <c r="D23" s="136">
        <v>6659.9740000000002</v>
      </c>
      <c r="E23" s="30" t="s">
        <v>655</v>
      </c>
      <c r="F23" s="30">
        <v>3</v>
      </c>
      <c r="G23" s="30" t="s">
        <v>112</v>
      </c>
      <c r="H23" s="31">
        <v>44404</v>
      </c>
    </row>
    <row r="24" spans="1:8" ht="15" customHeight="1" x14ac:dyDescent="0.3">
      <c r="A24" s="29">
        <v>1212074045</v>
      </c>
      <c r="B24" s="30">
        <v>45900669</v>
      </c>
      <c r="C24" s="31">
        <v>44404</v>
      </c>
      <c r="D24" s="136">
        <v>8849.68</v>
      </c>
      <c r="E24" s="30" t="s">
        <v>653</v>
      </c>
      <c r="F24" s="30">
        <v>5</v>
      </c>
      <c r="G24" s="30" t="s">
        <v>112</v>
      </c>
      <c r="H24" s="31">
        <v>44404</v>
      </c>
    </row>
    <row r="25" spans="1:8" x14ac:dyDescent="0.3">
      <c r="A25" s="29">
        <v>1212064922</v>
      </c>
      <c r="B25" s="30">
        <v>18919182</v>
      </c>
      <c r="C25" s="31">
        <v>44404</v>
      </c>
      <c r="D25" s="136">
        <v>1760.0309999999999</v>
      </c>
      <c r="E25" s="30" t="s">
        <v>655</v>
      </c>
      <c r="F25" s="30">
        <v>1</v>
      </c>
      <c r="G25" s="30" t="s">
        <v>184</v>
      </c>
      <c r="H25" s="31">
        <v>44404</v>
      </c>
    </row>
    <row r="26" spans="1:8" x14ac:dyDescent="0.3">
      <c r="A26" s="29">
        <v>1212073119</v>
      </c>
      <c r="B26" s="30">
        <v>26911963</v>
      </c>
      <c r="C26" s="31">
        <v>44404</v>
      </c>
      <c r="D26" s="136">
        <v>11099.958000000001</v>
      </c>
      <c r="E26" s="30" t="s">
        <v>655</v>
      </c>
      <c r="F26" s="30">
        <v>5</v>
      </c>
      <c r="G26" s="30" t="s">
        <v>184</v>
      </c>
      <c r="H26" s="31">
        <v>44404</v>
      </c>
    </row>
    <row r="27" spans="1:8" x14ac:dyDescent="0.3">
      <c r="A27" s="29">
        <v>1212073503</v>
      </c>
      <c r="B27" s="30">
        <v>14901818</v>
      </c>
      <c r="C27" s="31">
        <v>44404</v>
      </c>
      <c r="D27" s="136">
        <v>4439.9840000000004</v>
      </c>
      <c r="E27" s="30" t="s">
        <v>655</v>
      </c>
      <c r="F27" s="30">
        <v>2</v>
      </c>
      <c r="G27" s="30" t="s">
        <v>184</v>
      </c>
      <c r="H27" s="31">
        <v>44404</v>
      </c>
    </row>
    <row r="28" spans="1:8" x14ac:dyDescent="0.3">
      <c r="A28" s="29">
        <v>1212074810</v>
      </c>
      <c r="B28" s="30">
        <v>38916798</v>
      </c>
      <c r="C28" s="31">
        <v>44405</v>
      </c>
      <c r="D28" s="136">
        <v>4439.9840000000004</v>
      </c>
      <c r="E28" s="30" t="s">
        <v>655</v>
      </c>
      <c r="F28" s="30">
        <v>2</v>
      </c>
      <c r="G28" s="30" t="s">
        <v>184</v>
      </c>
      <c r="H28" s="31">
        <v>44405</v>
      </c>
    </row>
    <row r="29" spans="1:8" x14ac:dyDescent="0.3">
      <c r="A29" s="29">
        <v>1212074811</v>
      </c>
      <c r="B29" s="30">
        <v>45900945</v>
      </c>
      <c r="C29" s="31">
        <v>44405</v>
      </c>
      <c r="D29" s="136">
        <v>3520.0619999999999</v>
      </c>
      <c r="E29" s="30" t="s">
        <v>655</v>
      </c>
      <c r="F29" s="30">
        <v>2</v>
      </c>
      <c r="G29" s="30" t="s">
        <v>184</v>
      </c>
      <c r="H29" s="31">
        <v>44405</v>
      </c>
    </row>
    <row r="30" spans="1:8" x14ac:dyDescent="0.3">
      <c r="A30" s="29">
        <v>1212070779</v>
      </c>
      <c r="B30" s="30">
        <v>35922090</v>
      </c>
      <c r="C30" s="31">
        <v>44406</v>
      </c>
      <c r="D30" s="136">
        <v>5280.0929999999998</v>
      </c>
      <c r="E30" s="30" t="s">
        <v>655</v>
      </c>
      <c r="F30" s="30">
        <v>3</v>
      </c>
      <c r="G30" s="30" t="s">
        <v>184</v>
      </c>
      <c r="H30" s="31">
        <v>44406</v>
      </c>
    </row>
    <row r="31" spans="1:8" x14ac:dyDescent="0.3">
      <c r="A31" s="35">
        <v>1212078022</v>
      </c>
      <c r="B31" s="36">
        <v>36904715</v>
      </c>
      <c r="C31" s="37">
        <v>44413</v>
      </c>
      <c r="D31" s="137">
        <v>5280.0929999999998</v>
      </c>
      <c r="E31" s="36" t="s">
        <v>655</v>
      </c>
      <c r="F31" s="36">
        <v>3</v>
      </c>
      <c r="G31" s="36" t="s">
        <v>184</v>
      </c>
      <c r="H31" s="37">
        <v>44411</v>
      </c>
    </row>
    <row r="32" spans="1:8" x14ac:dyDescent="0.3">
      <c r="A32" s="35">
        <v>1212076680</v>
      </c>
      <c r="B32" s="36">
        <v>47933899</v>
      </c>
      <c r="C32" s="37">
        <v>44413</v>
      </c>
      <c r="D32" s="137">
        <v>4439.9840000000004</v>
      </c>
      <c r="E32" s="36" t="s">
        <v>655</v>
      </c>
      <c r="F32" s="36">
        <v>2</v>
      </c>
      <c r="G32" s="36" t="s">
        <v>184</v>
      </c>
      <c r="H32" s="37">
        <v>44411</v>
      </c>
    </row>
    <row r="33" spans="1:8" x14ac:dyDescent="0.3">
      <c r="A33" s="35">
        <v>1212076664</v>
      </c>
      <c r="B33" s="36">
        <v>36932227</v>
      </c>
      <c r="C33" s="37">
        <v>44413</v>
      </c>
      <c r="D33" s="137">
        <v>2219.991</v>
      </c>
      <c r="E33" s="36" t="s">
        <v>655</v>
      </c>
      <c r="F33" s="36">
        <v>1</v>
      </c>
      <c r="G33" s="36" t="s">
        <v>112</v>
      </c>
      <c r="H33" s="37">
        <v>44411</v>
      </c>
    </row>
    <row r="34" spans="1:8" x14ac:dyDescent="0.3">
      <c r="A34" s="35">
        <v>1212078491</v>
      </c>
      <c r="B34" s="36">
        <v>20986633</v>
      </c>
      <c r="C34" s="37">
        <v>44414</v>
      </c>
      <c r="D34" s="137">
        <v>3520.0619999999999</v>
      </c>
      <c r="E34" s="36" t="s">
        <v>655</v>
      </c>
      <c r="F34" s="36">
        <v>2</v>
      </c>
      <c r="G34" s="36" t="s">
        <v>112</v>
      </c>
      <c r="H34" s="37">
        <v>44413</v>
      </c>
    </row>
    <row r="35" spans="1:8" x14ac:dyDescent="0.3">
      <c r="A35" s="35">
        <v>1212078018</v>
      </c>
      <c r="B35" s="36">
        <v>33902722</v>
      </c>
      <c r="C35" s="37">
        <v>44414</v>
      </c>
      <c r="D35" s="137">
        <v>4439.9840000000004</v>
      </c>
      <c r="E35" s="36" t="s">
        <v>655</v>
      </c>
      <c r="F35" s="36">
        <v>2</v>
      </c>
      <c r="G35" s="36" t="s">
        <v>112</v>
      </c>
      <c r="H35" s="37">
        <v>44413</v>
      </c>
    </row>
    <row r="36" spans="1:8" x14ac:dyDescent="0.3">
      <c r="A36" s="35">
        <v>1212078067</v>
      </c>
      <c r="B36" s="36">
        <v>46927201</v>
      </c>
      <c r="C36" s="37">
        <v>44414</v>
      </c>
      <c r="D36" s="137">
        <v>15539.941000000001</v>
      </c>
      <c r="E36" s="36" t="s">
        <v>655</v>
      </c>
      <c r="F36" s="36">
        <v>7</v>
      </c>
      <c r="G36" s="36" t="s">
        <v>112</v>
      </c>
      <c r="H36" s="37">
        <v>44413</v>
      </c>
    </row>
    <row r="37" spans="1:8" x14ac:dyDescent="0.3">
      <c r="A37" s="35">
        <v>1212078017</v>
      </c>
      <c r="B37" s="36">
        <v>32916006</v>
      </c>
      <c r="C37" s="37">
        <v>44414</v>
      </c>
      <c r="D37" s="137">
        <v>8879.9670000000006</v>
      </c>
      <c r="E37" s="36" t="s">
        <v>655</v>
      </c>
      <c r="F37" s="36">
        <v>4</v>
      </c>
      <c r="G37" s="36" t="s">
        <v>112</v>
      </c>
      <c r="H37" s="37">
        <v>44413</v>
      </c>
    </row>
    <row r="38" spans="1:8" x14ac:dyDescent="0.3">
      <c r="A38" s="35">
        <v>1212078507</v>
      </c>
      <c r="B38" s="36">
        <v>47939926</v>
      </c>
      <c r="C38" s="37">
        <v>44414</v>
      </c>
      <c r="D38" s="137">
        <v>11099.958000000001</v>
      </c>
      <c r="E38" s="36" t="s">
        <v>655</v>
      </c>
      <c r="F38" s="36">
        <v>5</v>
      </c>
      <c r="G38" s="36" t="s">
        <v>112</v>
      </c>
      <c r="H38" s="37">
        <v>44413</v>
      </c>
    </row>
    <row r="39" spans="1:8" x14ac:dyDescent="0.3">
      <c r="A39" s="35">
        <v>1212078506</v>
      </c>
      <c r="B39" s="36">
        <v>47939653</v>
      </c>
      <c r="C39" s="37">
        <v>44414</v>
      </c>
      <c r="D39" s="137">
        <v>8879.9670000000006</v>
      </c>
      <c r="E39" s="36" t="s">
        <v>655</v>
      </c>
      <c r="F39" s="36">
        <v>4</v>
      </c>
      <c r="G39" s="36" t="s">
        <v>112</v>
      </c>
      <c r="H39" s="37">
        <v>44413</v>
      </c>
    </row>
    <row r="40" spans="1:8" x14ac:dyDescent="0.3">
      <c r="A40" s="35">
        <v>1212077562</v>
      </c>
      <c r="B40" s="36">
        <v>18923608</v>
      </c>
      <c r="C40" s="37">
        <v>44414</v>
      </c>
      <c r="D40" s="137">
        <v>13319.948</v>
      </c>
      <c r="E40" s="36" t="s">
        <v>655</v>
      </c>
      <c r="F40" s="36">
        <v>6</v>
      </c>
      <c r="G40" s="36" t="s">
        <v>184</v>
      </c>
      <c r="H40" s="37">
        <v>44413</v>
      </c>
    </row>
    <row r="41" spans="1:8" x14ac:dyDescent="0.3">
      <c r="A41" s="35">
        <v>1212077565</v>
      </c>
      <c r="B41" s="36">
        <v>31924193</v>
      </c>
      <c r="C41" s="37">
        <v>44414</v>
      </c>
      <c r="D41" s="137">
        <v>2219.991</v>
      </c>
      <c r="E41" s="36" t="s">
        <v>655</v>
      </c>
      <c r="F41" s="36">
        <v>1</v>
      </c>
      <c r="G41" s="36" t="s">
        <v>184</v>
      </c>
      <c r="H41" s="37">
        <v>44413</v>
      </c>
    </row>
    <row r="42" spans="1:8" x14ac:dyDescent="0.3">
      <c r="A42" s="35">
        <v>1212077566</v>
      </c>
      <c r="B42" s="36">
        <v>33901209</v>
      </c>
      <c r="C42" s="37">
        <v>44414</v>
      </c>
      <c r="D42" s="137">
        <v>2219.991</v>
      </c>
      <c r="E42" s="36" t="s">
        <v>655</v>
      </c>
      <c r="F42" s="36">
        <v>1</v>
      </c>
      <c r="G42" s="36" t="s">
        <v>184</v>
      </c>
      <c r="H42" s="37">
        <v>44413</v>
      </c>
    </row>
    <row r="43" spans="1:8" x14ac:dyDescent="0.3">
      <c r="A43" s="35">
        <v>1212077556</v>
      </c>
      <c r="B43" s="36">
        <v>5920037</v>
      </c>
      <c r="C43" s="37">
        <v>44414</v>
      </c>
      <c r="D43" s="137">
        <v>6659.9740000000002</v>
      </c>
      <c r="E43" s="36" t="s">
        <v>655</v>
      </c>
      <c r="F43" s="36">
        <v>3</v>
      </c>
      <c r="G43" s="36" t="s">
        <v>184</v>
      </c>
      <c r="H43" s="37">
        <v>44413</v>
      </c>
    </row>
    <row r="44" spans="1:8" x14ac:dyDescent="0.3">
      <c r="A44" s="35">
        <v>1212077554</v>
      </c>
      <c r="B44" s="36">
        <v>3910726</v>
      </c>
      <c r="C44" s="37">
        <v>44414</v>
      </c>
      <c r="D44" s="137">
        <v>2219.991</v>
      </c>
      <c r="E44" s="36" t="s">
        <v>655</v>
      </c>
      <c r="F44" s="36">
        <v>1</v>
      </c>
      <c r="G44" s="36" t="s">
        <v>184</v>
      </c>
      <c r="H44" s="37">
        <v>44413</v>
      </c>
    </row>
    <row r="45" spans="1:8" x14ac:dyDescent="0.3">
      <c r="A45" s="35">
        <v>1212078884</v>
      </c>
      <c r="B45" s="36">
        <v>32924913</v>
      </c>
      <c r="C45" s="37">
        <v>44417</v>
      </c>
      <c r="D45" s="137">
        <v>7040.1239999999998</v>
      </c>
      <c r="E45" s="36" t="s">
        <v>655</v>
      </c>
      <c r="F45" s="36">
        <v>4</v>
      </c>
      <c r="G45" s="36" t="s">
        <v>112</v>
      </c>
      <c r="H45" s="37">
        <v>44417</v>
      </c>
    </row>
    <row r="46" spans="1:8" x14ac:dyDescent="0.3">
      <c r="A46" s="35">
        <v>1212078875</v>
      </c>
      <c r="B46" s="36">
        <v>5929132</v>
      </c>
      <c r="C46" s="37">
        <v>44417</v>
      </c>
      <c r="D46" s="137">
        <v>7305.3670000000002</v>
      </c>
      <c r="E46" s="36" t="s">
        <v>655</v>
      </c>
      <c r="F46" s="36">
        <v>4</v>
      </c>
      <c r="G46" s="36" t="s">
        <v>184</v>
      </c>
      <c r="H46" s="37">
        <v>44418</v>
      </c>
    </row>
    <row r="47" spans="1:8" x14ac:dyDescent="0.3">
      <c r="A47" s="35">
        <v>1212078874</v>
      </c>
      <c r="B47" s="36">
        <v>3903567</v>
      </c>
      <c r="C47" s="37">
        <v>44417</v>
      </c>
      <c r="D47" s="137">
        <v>2219.991</v>
      </c>
      <c r="E47" s="36" t="s">
        <v>655</v>
      </c>
      <c r="F47" s="36">
        <v>1</v>
      </c>
      <c r="G47" s="36" t="s">
        <v>184</v>
      </c>
      <c r="H47" s="37">
        <v>44419</v>
      </c>
    </row>
    <row r="48" spans="1:8" x14ac:dyDescent="0.3">
      <c r="A48" s="35">
        <v>1212077555</v>
      </c>
      <c r="B48" s="36">
        <v>3948159</v>
      </c>
      <c r="C48" s="37">
        <v>44413</v>
      </c>
      <c r="D48" s="137">
        <v>3520.0619999999999</v>
      </c>
      <c r="E48" s="36" t="s">
        <v>655</v>
      </c>
      <c r="F48" s="36">
        <v>2</v>
      </c>
      <c r="G48" s="36" t="s">
        <v>184</v>
      </c>
      <c r="H48" s="37">
        <v>44411</v>
      </c>
    </row>
    <row r="49" spans="1:8" x14ac:dyDescent="0.3">
      <c r="A49" s="35">
        <v>1212077557</v>
      </c>
      <c r="B49" s="36">
        <v>11922583</v>
      </c>
      <c r="C49" s="37">
        <v>44413</v>
      </c>
      <c r="D49" s="138">
        <v>2219.991</v>
      </c>
      <c r="E49" s="36" t="s">
        <v>655</v>
      </c>
      <c r="F49" s="36">
        <v>1</v>
      </c>
      <c r="G49" s="36" t="s">
        <v>184</v>
      </c>
      <c r="H49" s="37">
        <v>44411</v>
      </c>
    </row>
    <row r="50" spans="1:8" x14ac:dyDescent="0.3">
      <c r="A50" s="35">
        <v>1212077563</v>
      </c>
      <c r="B50" s="36">
        <v>18934538</v>
      </c>
      <c r="C50" s="37">
        <v>44413</v>
      </c>
      <c r="D50" s="137">
        <v>10560.186</v>
      </c>
      <c r="E50" s="36" t="s">
        <v>655</v>
      </c>
      <c r="F50" s="36">
        <v>6</v>
      </c>
      <c r="G50" s="36" t="s">
        <v>184</v>
      </c>
      <c r="H50" s="37">
        <v>44411</v>
      </c>
    </row>
    <row r="51" spans="1:8" x14ac:dyDescent="0.3">
      <c r="A51" s="35">
        <v>1212078032</v>
      </c>
      <c r="B51" s="36">
        <v>47936999</v>
      </c>
      <c r="C51" s="37">
        <v>44414</v>
      </c>
      <c r="D51" s="137">
        <v>799.20500000000004</v>
      </c>
      <c r="E51" s="36" t="s">
        <v>655</v>
      </c>
      <c r="F51" s="36">
        <v>1</v>
      </c>
      <c r="G51" s="36" t="s">
        <v>184</v>
      </c>
      <c r="H51" s="37">
        <v>44413</v>
      </c>
    </row>
    <row r="52" spans="1:8" x14ac:dyDescent="0.3">
      <c r="A52" s="35">
        <v>1212078489</v>
      </c>
      <c r="B52" s="36">
        <v>14901818</v>
      </c>
      <c r="C52" s="37">
        <v>44414</v>
      </c>
      <c r="D52" s="137">
        <v>799.20500000000004</v>
      </c>
      <c r="E52" s="36" t="s">
        <v>655</v>
      </c>
      <c r="F52" s="36">
        <v>1</v>
      </c>
      <c r="G52" s="36" t="s">
        <v>184</v>
      </c>
      <c r="H52" s="37">
        <v>44413</v>
      </c>
    </row>
    <row r="53" spans="1:8" x14ac:dyDescent="0.3">
      <c r="A53" s="35">
        <v>1212077564</v>
      </c>
      <c r="B53" s="36">
        <v>25912083</v>
      </c>
      <c r="C53" s="37">
        <v>44414</v>
      </c>
      <c r="D53" s="137">
        <v>13319.948</v>
      </c>
      <c r="E53" s="36" t="s">
        <v>655</v>
      </c>
      <c r="F53" s="36">
        <v>6</v>
      </c>
      <c r="G53" s="36" t="s">
        <v>184</v>
      </c>
      <c r="H53" s="37">
        <v>44413</v>
      </c>
    </row>
    <row r="54" spans="1:8" x14ac:dyDescent="0.3">
      <c r="A54" s="35">
        <v>1212078030</v>
      </c>
      <c r="B54" s="36">
        <v>47936649</v>
      </c>
      <c r="C54" s="37">
        <v>44414</v>
      </c>
      <c r="D54" s="137">
        <v>6659.9740000000002</v>
      </c>
      <c r="E54" s="36" t="s">
        <v>655</v>
      </c>
      <c r="F54" s="36">
        <v>3</v>
      </c>
      <c r="G54" s="36" t="s">
        <v>184</v>
      </c>
      <c r="H54" s="37">
        <v>44413</v>
      </c>
    </row>
    <row r="55" spans="1:8" x14ac:dyDescent="0.3">
      <c r="A55" s="35">
        <v>1212078034</v>
      </c>
      <c r="B55" s="36">
        <v>47937855</v>
      </c>
      <c r="C55" s="37">
        <v>44414</v>
      </c>
      <c r="D55" s="137">
        <v>2219.991</v>
      </c>
      <c r="E55" s="36" t="s">
        <v>655</v>
      </c>
      <c r="F55" s="36">
        <v>1</v>
      </c>
      <c r="G55" s="36" t="s">
        <v>184</v>
      </c>
      <c r="H55" s="37">
        <v>44413</v>
      </c>
    </row>
    <row r="56" spans="1:8" x14ac:dyDescent="0.3">
      <c r="A56" s="35">
        <v>1212078498</v>
      </c>
      <c r="B56" s="36">
        <v>33904075</v>
      </c>
      <c r="C56" s="37">
        <v>44414</v>
      </c>
      <c r="D56" s="137">
        <v>2219.991</v>
      </c>
      <c r="E56" s="36" t="s">
        <v>655</v>
      </c>
      <c r="F56" s="36">
        <v>1</v>
      </c>
      <c r="G56" s="36" t="s">
        <v>184</v>
      </c>
      <c r="H56" s="37">
        <v>44413</v>
      </c>
    </row>
    <row r="57" spans="1:8" x14ac:dyDescent="0.3">
      <c r="A57" s="35">
        <v>1212078019</v>
      </c>
      <c r="B57" s="36">
        <v>33903338</v>
      </c>
      <c r="C57" s="37">
        <v>44414</v>
      </c>
      <c r="D57" s="137">
        <v>2219.991</v>
      </c>
      <c r="E57" s="36" t="s">
        <v>655</v>
      </c>
      <c r="F57" s="36">
        <v>1</v>
      </c>
      <c r="G57" s="36" t="s">
        <v>184</v>
      </c>
      <c r="H57" s="37">
        <v>44413</v>
      </c>
    </row>
    <row r="58" spans="1:8" x14ac:dyDescent="0.3">
      <c r="A58" s="35">
        <v>1212079240</v>
      </c>
      <c r="B58" s="36">
        <v>45904704</v>
      </c>
      <c r="C58" s="37">
        <v>44418</v>
      </c>
      <c r="D58" s="137">
        <v>1809.556</v>
      </c>
      <c r="E58" s="36" t="s">
        <v>655</v>
      </c>
      <c r="F58" s="36">
        <v>1</v>
      </c>
      <c r="G58" s="36" t="s">
        <v>184</v>
      </c>
      <c r="H58" s="37">
        <v>44417</v>
      </c>
    </row>
    <row r="59" spans="1:8" x14ac:dyDescent="0.3">
      <c r="A59" s="35">
        <v>1212079235</v>
      </c>
      <c r="B59" s="36">
        <v>33911762</v>
      </c>
      <c r="C59" s="37">
        <v>44418</v>
      </c>
      <c r="D59" s="137">
        <v>3569.587</v>
      </c>
      <c r="E59" s="36" t="s">
        <v>655</v>
      </c>
      <c r="F59" s="36">
        <v>2</v>
      </c>
      <c r="G59" s="36" t="s">
        <v>184</v>
      </c>
      <c r="H59" s="37">
        <v>44417</v>
      </c>
    </row>
    <row r="60" spans="1:8" x14ac:dyDescent="0.3">
      <c r="A60" s="35">
        <v>1212079239</v>
      </c>
      <c r="B60" s="36">
        <v>38922174</v>
      </c>
      <c r="C60" s="37">
        <v>44418</v>
      </c>
      <c r="D60" s="137">
        <v>4439.9840000000004</v>
      </c>
      <c r="E60" s="36" t="s">
        <v>655</v>
      </c>
      <c r="F60" s="36">
        <v>2</v>
      </c>
      <c r="G60" s="36" t="s">
        <v>184</v>
      </c>
      <c r="H60" s="37">
        <v>44417</v>
      </c>
    </row>
    <row r="61" spans="1:8" x14ac:dyDescent="0.3">
      <c r="A61" s="35">
        <v>1212079234</v>
      </c>
      <c r="B61" s="36">
        <v>25921367</v>
      </c>
      <c r="C61" s="37">
        <v>44418</v>
      </c>
      <c r="D61" s="137">
        <v>15889.804</v>
      </c>
      <c r="E61" s="36" t="s">
        <v>655</v>
      </c>
      <c r="F61" s="36">
        <v>9</v>
      </c>
      <c r="G61" s="36" t="s">
        <v>112</v>
      </c>
      <c r="H61" s="37">
        <v>44417</v>
      </c>
    </row>
    <row r="62" spans="1:8" x14ac:dyDescent="0.3">
      <c r="A62" s="35">
        <v>1212069210</v>
      </c>
      <c r="B62" s="36">
        <v>14920963</v>
      </c>
      <c r="C62" s="37">
        <v>44421</v>
      </c>
      <c r="D62" s="137">
        <v>6659.9740000000002</v>
      </c>
      <c r="E62" s="36" t="s">
        <v>655</v>
      </c>
      <c r="F62" s="36">
        <v>3</v>
      </c>
      <c r="G62" s="36" t="s">
        <v>112</v>
      </c>
      <c r="H62" s="37">
        <v>44421</v>
      </c>
    </row>
    <row r="63" spans="1:8" x14ac:dyDescent="0.3">
      <c r="A63" s="35">
        <v>1212081827</v>
      </c>
      <c r="B63" s="36">
        <v>38925795</v>
      </c>
      <c r="C63" s="37">
        <v>44425</v>
      </c>
      <c r="D63" s="137">
        <v>14129.772999999999</v>
      </c>
      <c r="E63" s="36" t="s">
        <v>655</v>
      </c>
      <c r="F63" s="36">
        <v>8</v>
      </c>
      <c r="G63" s="36" t="s">
        <v>112</v>
      </c>
      <c r="H63" s="37">
        <v>44421</v>
      </c>
    </row>
    <row r="64" spans="1:8" x14ac:dyDescent="0.3">
      <c r="A64" s="35">
        <v>1212087202</v>
      </c>
      <c r="B64" s="36">
        <v>33920336</v>
      </c>
      <c r="C64" s="37">
        <v>44439</v>
      </c>
      <c r="D64" s="137">
        <v>3520.0619999999999</v>
      </c>
      <c r="E64" s="36" t="s">
        <v>655</v>
      </c>
      <c r="F64" s="36">
        <v>2</v>
      </c>
      <c r="G64" s="36" t="s">
        <v>112</v>
      </c>
      <c r="H64" s="37">
        <v>44439</v>
      </c>
    </row>
    <row r="65" spans="1:8" x14ac:dyDescent="0.3">
      <c r="A65" s="35">
        <v>1212089374</v>
      </c>
      <c r="B65" s="36">
        <v>14918723</v>
      </c>
      <c r="C65" s="37">
        <v>44446</v>
      </c>
      <c r="D65" s="137">
        <v>1760.0309999999999</v>
      </c>
      <c r="E65" s="36" t="s">
        <v>655</v>
      </c>
      <c r="F65" s="36">
        <v>1</v>
      </c>
      <c r="G65" s="36" t="s">
        <v>112</v>
      </c>
      <c r="H65" s="37">
        <v>44446</v>
      </c>
    </row>
    <row r="66" spans="1:8" x14ac:dyDescent="0.3">
      <c r="A66" s="38">
        <v>1212091819</v>
      </c>
      <c r="B66" s="36">
        <v>32937612</v>
      </c>
      <c r="C66" s="37">
        <v>44453</v>
      </c>
      <c r="D66" s="137">
        <v>5280.0929999999998</v>
      </c>
      <c r="E66" s="36" t="s">
        <v>655</v>
      </c>
      <c r="F66" s="36">
        <v>3</v>
      </c>
      <c r="G66" s="36" t="s">
        <v>112</v>
      </c>
      <c r="H66" s="37">
        <v>44453</v>
      </c>
    </row>
    <row r="67" spans="1:8" x14ac:dyDescent="0.3">
      <c r="A67" s="39">
        <v>1212094613</v>
      </c>
      <c r="B67" s="36">
        <v>25939012</v>
      </c>
      <c r="C67" s="37">
        <v>44459</v>
      </c>
      <c r="D67" s="137">
        <v>1760.0309999999999</v>
      </c>
      <c r="E67" s="36" t="s">
        <v>655</v>
      </c>
      <c r="F67" s="36">
        <v>1</v>
      </c>
      <c r="G67" s="36" t="s">
        <v>112</v>
      </c>
      <c r="H67" s="37">
        <v>44459</v>
      </c>
    </row>
    <row r="68" spans="1:8" x14ac:dyDescent="0.3">
      <c r="A68" s="38">
        <v>1212097585</v>
      </c>
      <c r="B68" s="68">
        <v>26938843</v>
      </c>
      <c r="C68" s="37">
        <v>44466</v>
      </c>
      <c r="D68" s="137">
        <v>8800.1550000000007</v>
      </c>
      <c r="E68" s="36" t="s">
        <v>655</v>
      </c>
      <c r="F68" s="36">
        <v>5</v>
      </c>
      <c r="G68" s="36" t="s">
        <v>112</v>
      </c>
      <c r="H68" s="37">
        <v>44466</v>
      </c>
    </row>
    <row r="69" spans="1:8" x14ac:dyDescent="0.3">
      <c r="A69" s="35">
        <v>1212098869</v>
      </c>
      <c r="B69" s="36">
        <v>3945599</v>
      </c>
      <c r="C69" s="37">
        <v>44468</v>
      </c>
      <c r="D69" s="137">
        <v>1809.556</v>
      </c>
      <c r="E69" s="36" t="s">
        <v>655</v>
      </c>
      <c r="F69" s="36">
        <v>1</v>
      </c>
      <c r="G69" s="36" t="s">
        <v>112</v>
      </c>
      <c r="H69" s="37">
        <v>44467</v>
      </c>
    </row>
    <row r="70" spans="1:8" x14ac:dyDescent="0.3">
      <c r="A70" s="35">
        <v>1212099088</v>
      </c>
      <c r="B70" s="36">
        <v>9857090</v>
      </c>
      <c r="C70" s="37">
        <v>44468</v>
      </c>
      <c r="D70" s="137">
        <v>147.999</v>
      </c>
      <c r="E70" s="36" t="s">
        <v>655</v>
      </c>
      <c r="F70" s="36">
        <v>1</v>
      </c>
      <c r="G70" s="36" t="s">
        <v>112</v>
      </c>
      <c r="H70" s="37">
        <v>44467</v>
      </c>
    </row>
    <row r="71" spans="1:8" x14ac:dyDescent="0.3">
      <c r="A71" s="35">
        <v>1212099090</v>
      </c>
      <c r="B71" s="36">
        <v>9857415</v>
      </c>
      <c r="C71" s="37">
        <v>44468</v>
      </c>
      <c r="D71" s="137">
        <v>147.999</v>
      </c>
      <c r="E71" s="36" t="s">
        <v>655</v>
      </c>
      <c r="F71" s="36">
        <v>1</v>
      </c>
      <c r="G71" s="36" t="s">
        <v>112</v>
      </c>
      <c r="H71" s="37">
        <v>44467</v>
      </c>
    </row>
    <row r="72" spans="1:8" x14ac:dyDescent="0.3">
      <c r="A72" s="35">
        <v>1212099092</v>
      </c>
      <c r="B72" s="36">
        <v>9860184</v>
      </c>
      <c r="C72" s="37">
        <v>44468</v>
      </c>
      <c r="D72" s="137">
        <v>133.20099999999999</v>
      </c>
      <c r="E72" s="36" t="s">
        <v>655</v>
      </c>
      <c r="F72" s="36">
        <v>1</v>
      </c>
      <c r="G72" s="36" t="s">
        <v>112</v>
      </c>
      <c r="H72" s="37">
        <v>44467</v>
      </c>
    </row>
    <row r="73" spans="1:8" x14ac:dyDescent="0.3">
      <c r="A73" s="35">
        <v>1212098999</v>
      </c>
      <c r="B73" s="36">
        <v>5586110</v>
      </c>
      <c r="C73" s="37">
        <v>44468</v>
      </c>
      <c r="D73" s="137">
        <v>550.01</v>
      </c>
      <c r="E73" s="36" t="s">
        <v>655</v>
      </c>
      <c r="F73" s="36">
        <v>1</v>
      </c>
      <c r="G73" s="36" t="s">
        <v>112</v>
      </c>
      <c r="H73" s="37">
        <v>44467</v>
      </c>
    </row>
    <row r="74" spans="1:8" x14ac:dyDescent="0.3">
      <c r="A74" s="35">
        <v>1212099069</v>
      </c>
      <c r="B74" s="36">
        <v>17577031</v>
      </c>
      <c r="C74" s="37">
        <v>44468</v>
      </c>
      <c r="D74" s="137">
        <v>220.00399999999999</v>
      </c>
      <c r="E74" s="36" t="s">
        <v>655</v>
      </c>
      <c r="F74" s="36">
        <v>1</v>
      </c>
      <c r="G74" s="36" t="s">
        <v>112</v>
      </c>
      <c r="H74" s="37">
        <v>44467</v>
      </c>
    </row>
    <row r="75" spans="1:8" x14ac:dyDescent="0.3">
      <c r="A75" s="35">
        <v>1212099070</v>
      </c>
      <c r="B75" s="36">
        <v>18562421</v>
      </c>
      <c r="C75" s="37">
        <v>44468</v>
      </c>
      <c r="D75" s="137">
        <v>55.000999999999998</v>
      </c>
      <c r="E75" s="36" t="s">
        <v>655</v>
      </c>
      <c r="F75" s="36">
        <v>1</v>
      </c>
      <c r="G75" s="36" t="s">
        <v>112</v>
      </c>
      <c r="H75" s="37">
        <v>44467</v>
      </c>
    </row>
    <row r="76" spans="1:8" x14ac:dyDescent="0.3">
      <c r="A76" s="35">
        <v>1212099750</v>
      </c>
      <c r="B76" s="36">
        <v>28587763</v>
      </c>
      <c r="C76" s="37">
        <v>44469</v>
      </c>
      <c r="D76" s="137">
        <v>110.002</v>
      </c>
      <c r="E76" s="36" t="s">
        <v>655</v>
      </c>
      <c r="F76" s="36">
        <v>1</v>
      </c>
      <c r="G76" s="36" t="s">
        <v>112</v>
      </c>
      <c r="H76" s="37">
        <v>44469</v>
      </c>
    </row>
    <row r="77" spans="1:8" x14ac:dyDescent="0.3">
      <c r="A77" s="35">
        <v>1212099732</v>
      </c>
      <c r="B77" s="36">
        <v>9924281</v>
      </c>
      <c r="C77" s="37">
        <v>44469</v>
      </c>
      <c r="D77" s="137">
        <v>1210.021</v>
      </c>
      <c r="E77" s="36" t="s">
        <v>655</v>
      </c>
      <c r="F77" s="36">
        <v>1</v>
      </c>
      <c r="G77" s="36" t="s">
        <v>112</v>
      </c>
      <c r="H77" s="37">
        <v>44469</v>
      </c>
    </row>
    <row r="78" spans="1:8" x14ac:dyDescent="0.3">
      <c r="A78" s="35">
        <v>1212099743</v>
      </c>
      <c r="B78" s="36">
        <v>9981603</v>
      </c>
      <c r="C78" s="37">
        <v>44469</v>
      </c>
      <c r="D78" s="137">
        <v>72.602999999999994</v>
      </c>
      <c r="E78" s="36" t="s">
        <v>655</v>
      </c>
      <c r="F78" s="36">
        <v>1</v>
      </c>
      <c r="G78" s="36" t="s">
        <v>112</v>
      </c>
      <c r="H78" s="37">
        <v>44469</v>
      </c>
    </row>
    <row r="79" spans="1:8" x14ac:dyDescent="0.3">
      <c r="A79" s="35">
        <v>1212099739</v>
      </c>
      <c r="B79" s="36">
        <v>9959387</v>
      </c>
      <c r="C79" s="37">
        <v>44469</v>
      </c>
      <c r="D79" s="137">
        <v>1849.9929999999999</v>
      </c>
      <c r="E79" s="36" t="s">
        <v>655</v>
      </c>
      <c r="F79" s="36">
        <v>1</v>
      </c>
      <c r="G79" s="36" t="s">
        <v>112</v>
      </c>
      <c r="H79" s="37">
        <v>44469</v>
      </c>
    </row>
    <row r="80" spans="1:8" x14ac:dyDescent="0.3">
      <c r="A80" s="40">
        <v>1212100324</v>
      </c>
      <c r="B80" s="68">
        <v>18919355</v>
      </c>
      <c r="C80" s="37">
        <v>44473</v>
      </c>
      <c r="D80" s="137">
        <v>17600.310000000001</v>
      </c>
      <c r="E80" s="36" t="s">
        <v>655</v>
      </c>
      <c r="F80" s="36">
        <v>10</v>
      </c>
      <c r="G80" s="36" t="s">
        <v>112</v>
      </c>
      <c r="H80" s="37">
        <v>44470</v>
      </c>
    </row>
    <row r="81" spans="1:8" x14ac:dyDescent="0.3">
      <c r="A81" s="35">
        <v>1212100922</v>
      </c>
      <c r="B81" s="36">
        <v>47929164</v>
      </c>
      <c r="C81" s="37">
        <v>44475</v>
      </c>
      <c r="D81" s="137">
        <v>19361</v>
      </c>
      <c r="E81" s="36" t="s">
        <v>655</v>
      </c>
      <c r="F81" s="36">
        <v>11</v>
      </c>
      <c r="G81" s="36" t="s">
        <v>112</v>
      </c>
      <c r="H81" s="37">
        <v>44474</v>
      </c>
    </row>
    <row r="82" spans="1:8" x14ac:dyDescent="0.3">
      <c r="A82" s="35">
        <v>1212101782</v>
      </c>
      <c r="B82" s="36">
        <v>18919872</v>
      </c>
      <c r="C82" s="37">
        <v>44476</v>
      </c>
      <c r="D82" s="137">
        <v>19361</v>
      </c>
      <c r="E82" s="36" t="s">
        <v>655</v>
      </c>
      <c r="F82" s="36">
        <v>11</v>
      </c>
      <c r="G82" s="36" t="s">
        <v>112</v>
      </c>
      <c r="H82" s="37">
        <v>44476</v>
      </c>
    </row>
    <row r="83" spans="1:8" x14ac:dyDescent="0.3">
      <c r="A83" s="35">
        <v>1212102439</v>
      </c>
      <c r="B83" s="36">
        <v>23584198</v>
      </c>
      <c r="C83" s="37">
        <v>44476</v>
      </c>
      <c r="D83" s="138">
        <v>275.005</v>
      </c>
      <c r="E83" s="36" t="s">
        <v>655</v>
      </c>
      <c r="F83" s="36">
        <v>1</v>
      </c>
      <c r="G83" s="36" t="s">
        <v>112</v>
      </c>
      <c r="H83" s="37">
        <v>44476</v>
      </c>
    </row>
    <row r="84" spans="1:8" x14ac:dyDescent="0.3">
      <c r="A84" s="35">
        <v>1212102457</v>
      </c>
      <c r="B84" s="36">
        <v>60566080</v>
      </c>
      <c r="C84" s="37">
        <v>44476</v>
      </c>
      <c r="D84" s="137">
        <v>110.002</v>
      </c>
      <c r="E84" s="36" t="s">
        <v>655</v>
      </c>
      <c r="F84" s="36">
        <v>1</v>
      </c>
      <c r="G84" s="36" t="s">
        <v>112</v>
      </c>
      <c r="H84" s="37">
        <v>44476</v>
      </c>
    </row>
    <row r="85" spans="1:8" x14ac:dyDescent="0.3">
      <c r="A85" s="35">
        <v>1212102461</v>
      </c>
      <c r="B85" s="36">
        <v>77587725</v>
      </c>
      <c r="C85" s="37">
        <v>44476</v>
      </c>
      <c r="D85" s="137">
        <v>364.91399999999999</v>
      </c>
      <c r="E85" s="36" t="s">
        <v>655</v>
      </c>
      <c r="F85" s="36">
        <v>1</v>
      </c>
      <c r="G85" s="36" t="s">
        <v>112</v>
      </c>
      <c r="H85" s="37">
        <v>44476</v>
      </c>
    </row>
    <row r="86" spans="1:8" x14ac:dyDescent="0.3">
      <c r="A86" s="35">
        <v>1212102430</v>
      </c>
      <c r="B86" s="36">
        <v>13640039</v>
      </c>
      <c r="C86" s="37">
        <v>44476</v>
      </c>
      <c r="D86" s="137">
        <v>628.99699999999996</v>
      </c>
      <c r="E86" s="36" t="s">
        <v>655</v>
      </c>
      <c r="F86" s="36">
        <v>1</v>
      </c>
      <c r="G86" s="36" t="s">
        <v>112</v>
      </c>
      <c r="H86" s="37">
        <v>44476</v>
      </c>
    </row>
    <row r="87" spans="1:8" x14ac:dyDescent="0.3">
      <c r="A87" s="35">
        <v>1212102425</v>
      </c>
      <c r="B87" s="36">
        <v>13608232</v>
      </c>
      <c r="C87" s="37">
        <v>44476</v>
      </c>
      <c r="D87" s="137">
        <v>50.265000000000001</v>
      </c>
      <c r="E87" s="36" t="s">
        <v>655</v>
      </c>
      <c r="F87" s="36">
        <v>1</v>
      </c>
      <c r="G87" s="36" t="s">
        <v>112</v>
      </c>
      <c r="H87" s="37">
        <v>44476</v>
      </c>
    </row>
    <row r="88" spans="1:8" x14ac:dyDescent="0.3">
      <c r="A88" s="35">
        <v>1212103019</v>
      </c>
      <c r="B88" s="36">
        <v>35929926</v>
      </c>
      <c r="C88" s="37">
        <v>44480</v>
      </c>
      <c r="D88" s="137">
        <v>10610</v>
      </c>
      <c r="E88" s="36" t="s">
        <v>655</v>
      </c>
      <c r="F88" s="36">
        <v>6</v>
      </c>
      <c r="G88" s="36" t="s">
        <v>112</v>
      </c>
      <c r="H88" s="37">
        <v>44479</v>
      </c>
    </row>
    <row r="89" spans="1:8" x14ac:dyDescent="0.3">
      <c r="A89" s="35">
        <v>1212103023</v>
      </c>
      <c r="B89" s="36">
        <v>36931353</v>
      </c>
      <c r="C89" s="37">
        <v>44481</v>
      </c>
      <c r="D89" s="137">
        <v>3521</v>
      </c>
      <c r="E89" s="36" t="s">
        <v>655</v>
      </c>
      <c r="F89" s="36">
        <v>2</v>
      </c>
      <c r="G89" s="36" t="s">
        <v>112</v>
      </c>
      <c r="H89" s="37">
        <v>44481</v>
      </c>
    </row>
    <row r="90" spans="1:8" x14ac:dyDescent="0.3">
      <c r="A90" s="35">
        <v>1212103024</v>
      </c>
      <c r="B90" s="36">
        <v>36931354</v>
      </c>
      <c r="C90" s="37">
        <v>44481</v>
      </c>
      <c r="D90" s="137">
        <v>7041</v>
      </c>
      <c r="E90" s="36" t="s">
        <v>655</v>
      </c>
      <c r="F90" s="36">
        <v>4</v>
      </c>
      <c r="G90" s="36" t="s">
        <v>112</v>
      </c>
      <c r="H90" s="37">
        <v>44481</v>
      </c>
    </row>
    <row r="91" spans="1:8" x14ac:dyDescent="0.3">
      <c r="A91" s="35">
        <v>1212103032</v>
      </c>
      <c r="B91" s="36">
        <v>36931358</v>
      </c>
      <c r="C91" s="37">
        <v>44481</v>
      </c>
      <c r="D91" s="137">
        <v>5281</v>
      </c>
      <c r="E91" s="36" t="s">
        <v>655</v>
      </c>
      <c r="F91" s="36">
        <v>3</v>
      </c>
      <c r="G91" s="36" t="s">
        <v>112</v>
      </c>
      <c r="H91" s="37">
        <v>44481</v>
      </c>
    </row>
    <row r="92" spans="1:8" x14ac:dyDescent="0.3">
      <c r="A92" s="35">
        <v>1212103033</v>
      </c>
      <c r="B92" s="36">
        <v>36931359</v>
      </c>
      <c r="C92" s="37">
        <v>44481</v>
      </c>
      <c r="D92" s="137">
        <v>1760.0309999999999</v>
      </c>
      <c r="E92" s="36" t="s">
        <v>655</v>
      </c>
      <c r="F92" s="36">
        <v>2</v>
      </c>
      <c r="G92" s="36" t="s">
        <v>112</v>
      </c>
      <c r="H92" s="37">
        <v>44481</v>
      </c>
    </row>
    <row r="93" spans="1:8" x14ac:dyDescent="0.3">
      <c r="A93" s="35">
        <v>1212103315</v>
      </c>
      <c r="B93" s="36">
        <v>5913920</v>
      </c>
      <c r="C93" s="37">
        <v>44481</v>
      </c>
      <c r="D93" s="137">
        <v>10911.304</v>
      </c>
      <c r="E93" s="36" t="s">
        <v>655</v>
      </c>
      <c r="F93" s="36">
        <v>6</v>
      </c>
      <c r="G93" s="36" t="s">
        <v>112</v>
      </c>
      <c r="H93" s="37">
        <v>44481</v>
      </c>
    </row>
    <row r="94" spans="1:8" x14ac:dyDescent="0.3">
      <c r="A94" s="35">
        <v>1212105505</v>
      </c>
      <c r="B94" s="36">
        <v>18924092</v>
      </c>
      <c r="C94" s="37">
        <v>44487</v>
      </c>
      <c r="D94" s="137">
        <v>14080.248</v>
      </c>
      <c r="E94" s="36" t="s">
        <v>655</v>
      </c>
      <c r="F94" s="36">
        <v>8</v>
      </c>
      <c r="G94" s="36" t="s">
        <v>112</v>
      </c>
      <c r="H94" s="37">
        <v>44484</v>
      </c>
    </row>
    <row r="95" spans="1:8" x14ac:dyDescent="0.3">
      <c r="A95" s="35">
        <v>1212106818</v>
      </c>
      <c r="B95" s="36">
        <v>16800028</v>
      </c>
      <c r="C95" s="37">
        <v>44489</v>
      </c>
      <c r="D95" s="137">
        <v>369.99799999999999</v>
      </c>
      <c r="E95" s="36" t="s">
        <v>655</v>
      </c>
      <c r="F95" s="36">
        <v>1</v>
      </c>
      <c r="G95" s="36" t="s">
        <v>112</v>
      </c>
      <c r="H95" s="37">
        <v>44488</v>
      </c>
    </row>
    <row r="96" spans="1:8" x14ac:dyDescent="0.3">
      <c r="A96" s="35">
        <v>1212106895</v>
      </c>
      <c r="B96" s="36">
        <v>16980180</v>
      </c>
      <c r="C96" s="37">
        <v>44489</v>
      </c>
      <c r="D96" s="137">
        <v>369.99799999999999</v>
      </c>
      <c r="E96" s="36" t="s">
        <v>655</v>
      </c>
      <c r="F96" s="36">
        <v>1</v>
      </c>
      <c r="G96" s="36" t="s">
        <v>112</v>
      </c>
      <c r="H96" s="37">
        <v>44488</v>
      </c>
    </row>
    <row r="97" spans="1:8" x14ac:dyDescent="0.3">
      <c r="A97" s="35">
        <v>1212106758</v>
      </c>
      <c r="B97" s="36">
        <v>1580093</v>
      </c>
      <c r="C97" s="37">
        <v>44489</v>
      </c>
      <c r="D97" s="137">
        <v>74</v>
      </c>
      <c r="E97" s="36" t="s">
        <v>655</v>
      </c>
      <c r="F97" s="36">
        <v>1</v>
      </c>
      <c r="G97" s="36" t="s">
        <v>112</v>
      </c>
      <c r="H97" s="37">
        <v>44488</v>
      </c>
    </row>
    <row r="98" spans="1:8" x14ac:dyDescent="0.3">
      <c r="A98" s="35">
        <v>1212106860</v>
      </c>
      <c r="B98" s="36">
        <v>73566223</v>
      </c>
      <c r="C98" s="37">
        <v>44489</v>
      </c>
      <c r="D98" s="137">
        <v>440.00799999999998</v>
      </c>
      <c r="E98" s="36" t="s">
        <v>655</v>
      </c>
      <c r="F98" s="36">
        <v>1</v>
      </c>
      <c r="G98" s="36" t="s">
        <v>112</v>
      </c>
      <c r="H98" s="37">
        <v>44488</v>
      </c>
    </row>
    <row r="99" spans="1:8" x14ac:dyDescent="0.3">
      <c r="A99" s="35">
        <v>1212106862</v>
      </c>
      <c r="B99" s="36">
        <v>2570029</v>
      </c>
      <c r="C99" s="37">
        <v>44489</v>
      </c>
      <c r="D99" s="137">
        <v>3518.5810000000001</v>
      </c>
      <c r="E99" s="36" t="s">
        <v>655</v>
      </c>
      <c r="F99" s="36">
        <v>2</v>
      </c>
      <c r="G99" s="36" t="s">
        <v>112</v>
      </c>
      <c r="H99" s="37">
        <v>44488</v>
      </c>
    </row>
    <row r="100" spans="1:8" x14ac:dyDescent="0.3">
      <c r="A100" s="35">
        <v>1212107465</v>
      </c>
      <c r="B100" s="36">
        <v>17698287</v>
      </c>
      <c r="C100" s="37">
        <v>44490</v>
      </c>
      <c r="D100" s="137">
        <v>4724.951</v>
      </c>
      <c r="E100" s="36" t="s">
        <v>655</v>
      </c>
      <c r="F100" s="36">
        <v>3</v>
      </c>
      <c r="G100" s="36" t="s">
        <v>112</v>
      </c>
      <c r="H100" s="37">
        <v>44490</v>
      </c>
    </row>
    <row r="101" spans="1:8" x14ac:dyDescent="0.3">
      <c r="A101" s="35">
        <v>1212108406</v>
      </c>
      <c r="B101" s="36">
        <v>46926103</v>
      </c>
      <c r="C101" s="37">
        <v>44494</v>
      </c>
      <c r="D101" s="137">
        <v>12419.27</v>
      </c>
      <c r="E101" s="36" t="s">
        <v>655</v>
      </c>
      <c r="F101" s="36">
        <v>7</v>
      </c>
      <c r="G101" s="36" t="s">
        <v>112</v>
      </c>
      <c r="H101" s="37">
        <v>44491</v>
      </c>
    </row>
    <row r="102" spans="1:8" x14ac:dyDescent="0.3">
      <c r="A102" s="35">
        <v>1212107495</v>
      </c>
      <c r="B102" s="36">
        <v>36555454</v>
      </c>
      <c r="C102" s="37">
        <v>44490</v>
      </c>
      <c r="D102" s="137">
        <v>1210.021</v>
      </c>
      <c r="E102" s="36" t="s">
        <v>655</v>
      </c>
      <c r="F102" s="36">
        <v>1</v>
      </c>
      <c r="G102" s="36" t="s">
        <v>112</v>
      </c>
      <c r="H102" s="37">
        <v>44490</v>
      </c>
    </row>
    <row r="103" spans="1:8" x14ac:dyDescent="0.3">
      <c r="A103" s="35">
        <v>1212107466</v>
      </c>
      <c r="B103" s="36">
        <v>17699756</v>
      </c>
      <c r="C103" s="37">
        <v>44490</v>
      </c>
      <c r="D103" s="137">
        <v>385.00700000000001</v>
      </c>
      <c r="E103" s="36" t="s">
        <v>655</v>
      </c>
      <c r="F103" s="36">
        <v>1</v>
      </c>
      <c r="G103" s="36" t="s">
        <v>112</v>
      </c>
      <c r="H103" s="37">
        <v>44490</v>
      </c>
    </row>
    <row r="104" spans="1:8" x14ac:dyDescent="0.3">
      <c r="A104" s="35">
        <v>1212107489</v>
      </c>
      <c r="B104" s="36">
        <v>20575380</v>
      </c>
      <c r="C104" s="37">
        <v>44490</v>
      </c>
      <c r="D104" s="137">
        <v>825.01499999999999</v>
      </c>
      <c r="E104" s="36" t="s">
        <v>655</v>
      </c>
      <c r="F104" s="36">
        <v>1</v>
      </c>
      <c r="G104" s="36" t="s">
        <v>112</v>
      </c>
      <c r="H104" s="37">
        <v>44490</v>
      </c>
    </row>
    <row r="105" spans="1:8" x14ac:dyDescent="0.3">
      <c r="A105" s="35">
        <v>1212108054</v>
      </c>
      <c r="B105" s="36">
        <v>17804607</v>
      </c>
      <c r="C105" s="37">
        <v>44491</v>
      </c>
      <c r="D105" s="137">
        <v>4483.2269999999999</v>
      </c>
      <c r="E105" s="36" t="s">
        <v>655</v>
      </c>
      <c r="F105" s="36">
        <v>2</v>
      </c>
      <c r="G105" s="36" t="s">
        <v>112</v>
      </c>
      <c r="H105" s="37">
        <v>44491</v>
      </c>
    </row>
    <row r="106" spans="1:8" x14ac:dyDescent="0.3">
      <c r="A106" s="35">
        <v>1212108055</v>
      </c>
      <c r="B106" s="36">
        <v>17826447</v>
      </c>
      <c r="C106" s="37">
        <v>44491</v>
      </c>
      <c r="D106" s="137">
        <v>715.01300000000003</v>
      </c>
      <c r="E106" s="36" t="s">
        <v>655</v>
      </c>
      <c r="F106" s="36">
        <v>1</v>
      </c>
      <c r="G106" s="36" t="s">
        <v>112</v>
      </c>
      <c r="H106" s="37">
        <v>44491</v>
      </c>
    </row>
    <row r="107" spans="1:8" x14ac:dyDescent="0.3">
      <c r="A107" s="35">
        <v>1212108045</v>
      </c>
      <c r="B107" s="36">
        <v>4569761</v>
      </c>
      <c r="C107" s="37">
        <v>44491</v>
      </c>
      <c r="D107" s="137">
        <v>110.002</v>
      </c>
      <c r="E107" s="36" t="s">
        <v>655</v>
      </c>
      <c r="F107" s="36">
        <v>1</v>
      </c>
      <c r="G107" s="36" t="s">
        <v>112</v>
      </c>
      <c r="H107" s="37">
        <v>44491</v>
      </c>
    </row>
    <row r="108" spans="1:8" x14ac:dyDescent="0.3">
      <c r="A108" s="35">
        <v>1212108086</v>
      </c>
      <c r="B108" s="36">
        <v>83569262</v>
      </c>
      <c r="C108" s="37">
        <v>44491</v>
      </c>
      <c r="D108" s="137">
        <v>440.00799999999998</v>
      </c>
      <c r="E108" s="36" t="s">
        <v>655</v>
      </c>
      <c r="F108" s="36">
        <v>1</v>
      </c>
      <c r="G108" s="36" t="s">
        <v>112</v>
      </c>
      <c r="H108" s="37">
        <v>44491</v>
      </c>
    </row>
    <row r="109" spans="1:8" x14ac:dyDescent="0.3">
      <c r="A109" s="35">
        <v>1212109088</v>
      </c>
      <c r="B109" s="36">
        <v>18635352</v>
      </c>
      <c r="C109" s="37">
        <v>44495</v>
      </c>
      <c r="D109" s="137">
        <v>924.99599999999998</v>
      </c>
      <c r="E109" s="36" t="s">
        <v>655</v>
      </c>
      <c r="F109" s="36">
        <v>1</v>
      </c>
      <c r="G109" s="36" t="s">
        <v>112</v>
      </c>
      <c r="H109" s="37">
        <v>44494</v>
      </c>
    </row>
    <row r="110" spans="1:8" x14ac:dyDescent="0.3">
      <c r="A110" s="35">
        <v>1212109111</v>
      </c>
      <c r="B110" s="36">
        <v>38569258</v>
      </c>
      <c r="C110" s="37">
        <v>44495</v>
      </c>
      <c r="D110" s="137">
        <v>55.000999999999998</v>
      </c>
      <c r="E110" s="36" t="s">
        <v>655</v>
      </c>
      <c r="F110" s="36">
        <v>1</v>
      </c>
      <c r="G110" s="36" t="s">
        <v>112</v>
      </c>
      <c r="H110" s="37">
        <v>44494</v>
      </c>
    </row>
    <row r="111" spans="1:8" x14ac:dyDescent="0.3">
      <c r="A111" s="35">
        <v>1212108997</v>
      </c>
      <c r="B111" s="36">
        <v>3577991</v>
      </c>
      <c r="C111" s="37">
        <v>44495</v>
      </c>
      <c r="D111" s="137">
        <v>821.00199999999995</v>
      </c>
      <c r="E111" s="36" t="s">
        <v>655</v>
      </c>
      <c r="F111" s="36">
        <v>1</v>
      </c>
      <c r="G111" s="36" t="s">
        <v>112</v>
      </c>
      <c r="H111" s="37">
        <v>44494</v>
      </c>
    </row>
    <row r="112" spans="1:8" x14ac:dyDescent="0.3">
      <c r="A112" s="35">
        <v>1212109052</v>
      </c>
      <c r="B112" s="36" t="s">
        <v>657</v>
      </c>
      <c r="C112" s="37">
        <v>44495</v>
      </c>
      <c r="D112" s="137">
        <v>220.00399999999999</v>
      </c>
      <c r="E112" s="36" t="s">
        <v>655</v>
      </c>
      <c r="F112" s="36">
        <v>1</v>
      </c>
      <c r="G112" s="36" t="s">
        <v>112</v>
      </c>
      <c r="H112" s="37">
        <v>44494</v>
      </c>
    </row>
    <row r="113" spans="1:8" x14ac:dyDescent="0.3">
      <c r="A113" s="35">
        <v>1212109057</v>
      </c>
      <c r="B113" s="36" t="s">
        <v>658</v>
      </c>
      <c r="C113" s="37">
        <v>44495</v>
      </c>
      <c r="D113" s="137">
        <v>220.00399999999999</v>
      </c>
      <c r="E113" s="36" t="s">
        <v>655</v>
      </c>
      <c r="F113" s="36">
        <v>1</v>
      </c>
      <c r="G113" s="36" t="s">
        <v>112</v>
      </c>
      <c r="H113" s="37">
        <v>44494</v>
      </c>
    </row>
    <row r="114" spans="1:8" x14ac:dyDescent="0.3">
      <c r="A114" s="35">
        <v>1212109001</v>
      </c>
      <c r="B114" s="36">
        <v>17888330</v>
      </c>
      <c r="C114" s="37">
        <v>44495</v>
      </c>
      <c r="D114" s="137">
        <v>961.99699999999996</v>
      </c>
      <c r="E114" s="36" t="s">
        <v>655</v>
      </c>
      <c r="F114" s="36">
        <v>1</v>
      </c>
      <c r="G114" s="36" t="s">
        <v>112</v>
      </c>
      <c r="H114" s="37">
        <v>44494</v>
      </c>
    </row>
    <row r="115" spans="1:8" x14ac:dyDescent="0.3">
      <c r="A115" s="35">
        <v>1212109026</v>
      </c>
      <c r="B115" s="36">
        <v>17948175</v>
      </c>
      <c r="C115" s="37">
        <v>44495</v>
      </c>
      <c r="D115" s="137">
        <v>2367.991</v>
      </c>
      <c r="E115" s="36" t="s">
        <v>655</v>
      </c>
      <c r="F115" s="36">
        <v>1</v>
      </c>
      <c r="G115" s="36" t="s">
        <v>112</v>
      </c>
      <c r="H115" s="37">
        <v>44494</v>
      </c>
    </row>
    <row r="116" spans="1:8" x14ac:dyDescent="0.3">
      <c r="A116" s="35">
        <v>1212109090</v>
      </c>
      <c r="B116" s="36">
        <v>18665220</v>
      </c>
      <c r="C116" s="37">
        <v>44495</v>
      </c>
      <c r="D116" s="137">
        <v>275.005</v>
      </c>
      <c r="E116" s="36" t="s">
        <v>655</v>
      </c>
      <c r="F116" s="36">
        <v>1</v>
      </c>
      <c r="G116" s="36" t="s">
        <v>112</v>
      </c>
      <c r="H116" s="37">
        <v>44494</v>
      </c>
    </row>
    <row r="117" spans="1:8" x14ac:dyDescent="0.3">
      <c r="A117" s="35">
        <v>1212109737</v>
      </c>
      <c r="B117" s="43" t="s">
        <v>659</v>
      </c>
      <c r="C117" s="37">
        <v>44496</v>
      </c>
      <c r="D117" s="137">
        <v>11963.544</v>
      </c>
      <c r="E117" s="36" t="s">
        <v>655</v>
      </c>
      <c r="F117" s="36">
        <v>6</v>
      </c>
      <c r="G117" s="36" t="s">
        <v>112</v>
      </c>
      <c r="H117" s="37">
        <v>44495</v>
      </c>
    </row>
    <row r="118" spans="1:8" x14ac:dyDescent="0.3">
      <c r="A118" s="35">
        <v>1212109982</v>
      </c>
      <c r="B118" s="36">
        <v>63572674</v>
      </c>
      <c r="C118" s="37">
        <v>44496</v>
      </c>
      <c r="D118" s="137">
        <v>330.00599999999997</v>
      </c>
      <c r="E118" s="36" t="s">
        <v>655</v>
      </c>
      <c r="F118" s="36">
        <v>1</v>
      </c>
      <c r="G118" s="36" t="s">
        <v>112</v>
      </c>
      <c r="H118" s="37">
        <v>44495</v>
      </c>
    </row>
    <row r="119" spans="1:8" x14ac:dyDescent="0.3">
      <c r="A119" s="35">
        <v>1212109944</v>
      </c>
      <c r="B119" s="36">
        <v>18861612</v>
      </c>
      <c r="C119" s="37">
        <v>44496</v>
      </c>
      <c r="D119" s="137">
        <v>3699.9859999999999</v>
      </c>
      <c r="E119" s="36" t="s">
        <v>655</v>
      </c>
      <c r="F119" s="36">
        <v>2</v>
      </c>
      <c r="G119" s="36" t="s">
        <v>112</v>
      </c>
      <c r="H119" s="37">
        <v>44495</v>
      </c>
    </row>
    <row r="120" spans="1:8" x14ac:dyDescent="0.3">
      <c r="A120" s="35">
        <v>1212109949</v>
      </c>
      <c r="B120" s="36">
        <v>18866258</v>
      </c>
      <c r="C120" s="37">
        <v>44496</v>
      </c>
      <c r="D120" s="137">
        <v>55.000999999999998</v>
      </c>
      <c r="E120" s="36" t="s">
        <v>655</v>
      </c>
      <c r="F120" s="36">
        <v>1</v>
      </c>
      <c r="G120" s="36" t="s">
        <v>112</v>
      </c>
      <c r="H120" s="37">
        <v>44495</v>
      </c>
    </row>
    <row r="121" spans="1:8" x14ac:dyDescent="0.3">
      <c r="A121" s="35">
        <v>1212109935</v>
      </c>
      <c r="B121" s="36">
        <v>48550620</v>
      </c>
      <c r="C121" s="37">
        <v>44496</v>
      </c>
      <c r="D121" s="137">
        <v>605.01099999999997</v>
      </c>
      <c r="E121" s="36" t="s">
        <v>655</v>
      </c>
      <c r="F121" s="36">
        <v>1</v>
      </c>
      <c r="G121" s="36" t="s">
        <v>112</v>
      </c>
      <c r="H121" s="37">
        <v>44495</v>
      </c>
    </row>
    <row r="122" spans="1:8" x14ac:dyDescent="0.3">
      <c r="A122" s="35">
        <v>1212109757</v>
      </c>
      <c r="B122" s="36" t="s">
        <v>660</v>
      </c>
      <c r="C122" s="37">
        <v>44497</v>
      </c>
      <c r="D122" s="137" t="s">
        <v>661</v>
      </c>
      <c r="E122" s="36" t="s">
        <v>655</v>
      </c>
      <c r="F122" s="36">
        <v>1</v>
      </c>
      <c r="G122" s="36" t="s">
        <v>112</v>
      </c>
      <c r="H122" s="37">
        <v>44496</v>
      </c>
    </row>
    <row r="123" spans="1:8" x14ac:dyDescent="0.3">
      <c r="A123" s="35">
        <v>1212110266</v>
      </c>
      <c r="B123" s="36">
        <v>18987387</v>
      </c>
      <c r="C123" s="37">
        <v>44497</v>
      </c>
      <c r="D123" s="137">
        <v>739.99800000000005</v>
      </c>
      <c r="E123" s="36" t="s">
        <v>655</v>
      </c>
      <c r="F123" s="36">
        <v>1</v>
      </c>
      <c r="G123" s="36" t="s">
        <v>112</v>
      </c>
      <c r="H123" s="37">
        <v>44496</v>
      </c>
    </row>
    <row r="124" spans="1:8" x14ac:dyDescent="0.3">
      <c r="A124" s="35">
        <v>1212110267</v>
      </c>
      <c r="B124" s="36">
        <v>19550453</v>
      </c>
      <c r="C124" s="37">
        <v>44497</v>
      </c>
      <c r="D124" s="137">
        <v>739.99800000000005</v>
      </c>
      <c r="E124" s="36" t="s">
        <v>655</v>
      </c>
      <c r="F124" s="36">
        <v>1</v>
      </c>
      <c r="G124" s="36" t="s">
        <v>112</v>
      </c>
      <c r="H124" s="37">
        <v>44496</v>
      </c>
    </row>
    <row r="125" spans="1:8" x14ac:dyDescent="0.3">
      <c r="A125" s="35">
        <v>1212110292</v>
      </c>
      <c r="B125" s="36">
        <v>44570816</v>
      </c>
      <c r="C125" s="37">
        <v>44497</v>
      </c>
      <c r="D125" s="137">
        <v>573.43600000000004</v>
      </c>
      <c r="E125" s="36" t="s">
        <v>655</v>
      </c>
      <c r="F125" s="36">
        <v>1</v>
      </c>
      <c r="G125" s="36" t="s">
        <v>112</v>
      </c>
      <c r="H125" s="37">
        <v>44496</v>
      </c>
    </row>
    <row r="126" spans="1:8" x14ac:dyDescent="0.3">
      <c r="A126" s="35">
        <v>1212110305</v>
      </c>
      <c r="B126" s="36">
        <v>18575586</v>
      </c>
      <c r="C126" s="37">
        <v>44497</v>
      </c>
      <c r="D126" s="137">
        <v>406.99799999999999</v>
      </c>
      <c r="E126" s="36" t="s">
        <v>655</v>
      </c>
      <c r="F126" s="36">
        <v>1</v>
      </c>
      <c r="G126" s="36" t="s">
        <v>112</v>
      </c>
      <c r="H126" s="37">
        <v>44496</v>
      </c>
    </row>
    <row r="127" spans="1:8" x14ac:dyDescent="0.3">
      <c r="A127" s="35">
        <v>1212110288</v>
      </c>
      <c r="B127" s="36">
        <v>21576307</v>
      </c>
      <c r="C127" s="37">
        <v>44497</v>
      </c>
      <c r="D127" s="137">
        <v>110.002</v>
      </c>
      <c r="E127" s="36" t="s">
        <v>655</v>
      </c>
      <c r="F127" s="36">
        <v>1</v>
      </c>
      <c r="G127" s="36" t="s">
        <v>112</v>
      </c>
      <c r="H127" s="37">
        <v>44496</v>
      </c>
    </row>
    <row r="128" spans="1:8" x14ac:dyDescent="0.3">
      <c r="A128" s="35">
        <v>1212111156</v>
      </c>
      <c r="B128" s="44">
        <v>25913219</v>
      </c>
      <c r="C128" s="37">
        <v>44501</v>
      </c>
      <c r="D128" s="137">
        <v>14080.24</v>
      </c>
      <c r="E128" s="36" t="s">
        <v>655</v>
      </c>
      <c r="F128" s="36">
        <v>8</v>
      </c>
      <c r="G128" s="36" t="s">
        <v>112</v>
      </c>
      <c r="H128" s="37">
        <v>44498</v>
      </c>
    </row>
    <row r="129" spans="1:8" x14ac:dyDescent="0.3">
      <c r="A129" s="35">
        <v>1212107508</v>
      </c>
      <c r="B129" s="36" t="s">
        <v>662</v>
      </c>
      <c r="C129" s="37">
        <v>44490</v>
      </c>
      <c r="D129" s="137">
        <v>1320.0229999999999</v>
      </c>
      <c r="E129" s="36" t="s">
        <v>655</v>
      </c>
      <c r="F129" s="36">
        <v>1</v>
      </c>
      <c r="G129" s="36" t="s">
        <v>112</v>
      </c>
      <c r="H129" s="37">
        <v>44490</v>
      </c>
    </row>
    <row r="130" spans="1:8" x14ac:dyDescent="0.3">
      <c r="A130" s="35">
        <v>1212111354</v>
      </c>
      <c r="B130" s="36">
        <v>41577761</v>
      </c>
      <c r="C130" s="37">
        <v>44501</v>
      </c>
      <c r="D130" s="137">
        <v>330</v>
      </c>
      <c r="E130" s="36" t="s">
        <v>655</v>
      </c>
      <c r="F130" s="36">
        <v>1</v>
      </c>
      <c r="G130" s="36" t="s">
        <v>112</v>
      </c>
      <c r="H130" s="37">
        <v>44498</v>
      </c>
    </row>
    <row r="131" spans="1:8" x14ac:dyDescent="0.3">
      <c r="A131" s="35">
        <v>1212111355</v>
      </c>
      <c r="B131" s="36">
        <v>41577961</v>
      </c>
      <c r="C131" s="37">
        <v>44501</v>
      </c>
      <c r="D131" s="137">
        <v>385</v>
      </c>
      <c r="E131" s="36" t="s">
        <v>655</v>
      </c>
      <c r="F131" s="36">
        <v>1</v>
      </c>
      <c r="G131" s="36" t="s">
        <v>112</v>
      </c>
      <c r="H131" s="37">
        <v>44498</v>
      </c>
    </row>
    <row r="132" spans="1:8" x14ac:dyDescent="0.3">
      <c r="A132" s="35">
        <v>1212111359</v>
      </c>
      <c r="B132" s="36">
        <v>6575312</v>
      </c>
      <c r="C132" s="37">
        <v>44501</v>
      </c>
      <c r="D132" s="137">
        <v>220</v>
      </c>
      <c r="E132" s="36" t="s">
        <v>655</v>
      </c>
      <c r="F132" s="36">
        <v>1</v>
      </c>
      <c r="G132" s="36" t="s">
        <v>112</v>
      </c>
      <c r="H132" s="37">
        <v>44498</v>
      </c>
    </row>
    <row r="133" spans="1:8" x14ac:dyDescent="0.3">
      <c r="A133" s="35">
        <v>1212111340</v>
      </c>
      <c r="B133" s="36">
        <v>21647428</v>
      </c>
      <c r="C133" s="37">
        <v>44501</v>
      </c>
      <c r="D133" s="137">
        <v>330</v>
      </c>
      <c r="E133" s="36" t="s">
        <v>655</v>
      </c>
      <c r="F133" s="36">
        <v>1</v>
      </c>
      <c r="G133" s="36" t="s">
        <v>112</v>
      </c>
      <c r="H133" s="37">
        <v>44498</v>
      </c>
    </row>
    <row r="134" spans="1:8" x14ac:dyDescent="0.3">
      <c r="A134" s="35">
        <v>1212111356</v>
      </c>
      <c r="B134" s="36">
        <v>83575346</v>
      </c>
      <c r="C134" s="37">
        <v>44501</v>
      </c>
      <c r="D134" s="137">
        <v>302</v>
      </c>
      <c r="E134" s="36" t="s">
        <v>655</v>
      </c>
      <c r="F134" s="36">
        <v>1</v>
      </c>
      <c r="G134" s="36" t="s">
        <v>112</v>
      </c>
      <c r="H134" s="37">
        <v>44498</v>
      </c>
    </row>
    <row r="135" spans="1:8" x14ac:dyDescent="0.3">
      <c r="A135" s="35">
        <v>1212111646</v>
      </c>
      <c r="B135" s="36">
        <v>47939208</v>
      </c>
      <c r="C135" s="37">
        <v>44502</v>
      </c>
      <c r="D135" s="137">
        <v>10911.304</v>
      </c>
      <c r="E135" s="36" t="s">
        <v>655</v>
      </c>
      <c r="F135" s="36">
        <v>6</v>
      </c>
      <c r="G135" s="36" t="s">
        <v>112</v>
      </c>
      <c r="H135" s="37">
        <v>44501</v>
      </c>
    </row>
    <row r="136" spans="1:8" x14ac:dyDescent="0.3">
      <c r="A136" s="35">
        <v>1212111828</v>
      </c>
      <c r="B136" s="36">
        <v>69587665</v>
      </c>
      <c r="C136" s="37">
        <v>44502</v>
      </c>
      <c r="D136" s="138">
        <v>550.01</v>
      </c>
      <c r="E136" s="36" t="s">
        <v>655</v>
      </c>
      <c r="F136" s="36">
        <v>1</v>
      </c>
      <c r="G136" s="36" t="s">
        <v>112</v>
      </c>
      <c r="H136" s="37">
        <v>44501</v>
      </c>
    </row>
    <row r="137" spans="1:8" x14ac:dyDescent="0.3">
      <c r="A137" s="35">
        <v>1212111795</v>
      </c>
      <c r="B137" s="36">
        <v>14578118</v>
      </c>
      <c r="C137" s="37">
        <v>44502</v>
      </c>
      <c r="D137" s="137">
        <v>275.005</v>
      </c>
      <c r="E137" s="36" t="s">
        <v>655</v>
      </c>
      <c r="F137" s="36">
        <v>1</v>
      </c>
      <c r="G137" s="36" t="s">
        <v>112</v>
      </c>
      <c r="H137" s="37">
        <v>44501</v>
      </c>
    </row>
    <row r="138" spans="1:8" x14ac:dyDescent="0.3">
      <c r="A138" s="35">
        <v>1212111794</v>
      </c>
      <c r="B138" s="36">
        <v>4570085</v>
      </c>
      <c r="C138" s="37">
        <v>44502</v>
      </c>
      <c r="D138" s="137">
        <v>1057.1659999999999</v>
      </c>
      <c r="E138" s="36" t="s">
        <v>655</v>
      </c>
      <c r="F138" s="36">
        <v>1</v>
      </c>
      <c r="G138" s="36" t="s">
        <v>112</v>
      </c>
      <c r="H138" s="37">
        <v>44501</v>
      </c>
    </row>
    <row r="139" spans="1:8" x14ac:dyDescent="0.3">
      <c r="A139" s="35">
        <v>1212111792</v>
      </c>
      <c r="B139" s="36" t="s">
        <v>663</v>
      </c>
      <c r="C139" s="37">
        <v>44502</v>
      </c>
      <c r="D139" s="137">
        <v>1759.29</v>
      </c>
      <c r="E139" s="36" t="s">
        <v>655</v>
      </c>
      <c r="F139" s="36">
        <v>1</v>
      </c>
      <c r="G139" s="36" t="s">
        <v>112</v>
      </c>
      <c r="H139" s="37">
        <v>44501</v>
      </c>
    </row>
    <row r="140" spans="1:8" x14ac:dyDescent="0.3">
      <c r="A140" s="35">
        <v>1212111808</v>
      </c>
      <c r="B140" s="36">
        <v>21852120</v>
      </c>
      <c r="C140" s="37">
        <v>44502</v>
      </c>
      <c r="D140" s="137">
        <v>4994.9799999999996</v>
      </c>
      <c r="E140" s="36" t="s">
        <v>655</v>
      </c>
      <c r="F140" s="36">
        <v>3</v>
      </c>
      <c r="G140" s="36" t="s">
        <v>112</v>
      </c>
      <c r="H140" s="37">
        <v>44501</v>
      </c>
    </row>
    <row r="141" spans="1:8" x14ac:dyDescent="0.3">
      <c r="A141" s="35">
        <v>1212112554</v>
      </c>
      <c r="B141" s="36">
        <v>13577552</v>
      </c>
      <c r="C141" s="37">
        <v>44503</v>
      </c>
      <c r="D141" s="137">
        <v>385.00700000000001</v>
      </c>
      <c r="E141" s="36" t="s">
        <v>655</v>
      </c>
      <c r="F141" s="36">
        <v>1</v>
      </c>
      <c r="G141" s="36" t="s">
        <v>112</v>
      </c>
      <c r="H141" s="37">
        <v>44502</v>
      </c>
    </row>
    <row r="142" spans="1:8" x14ac:dyDescent="0.3">
      <c r="A142" s="35">
        <v>1212112562</v>
      </c>
      <c r="B142" s="36">
        <v>22617696</v>
      </c>
      <c r="C142" s="37">
        <v>44503</v>
      </c>
      <c r="D142" s="137">
        <v>1183.9960000000001</v>
      </c>
      <c r="E142" s="36" t="s">
        <v>655</v>
      </c>
      <c r="F142" s="36">
        <v>1</v>
      </c>
      <c r="G142" s="36" t="s">
        <v>112</v>
      </c>
      <c r="H142" s="37">
        <v>44502</v>
      </c>
    </row>
    <row r="143" spans="1:8" x14ac:dyDescent="0.3">
      <c r="A143" s="35">
        <v>1212112586</v>
      </c>
      <c r="B143" s="36">
        <v>69587707</v>
      </c>
      <c r="C143" s="37">
        <v>44503</v>
      </c>
      <c r="D143" s="137">
        <v>110.002</v>
      </c>
      <c r="E143" s="36" t="s">
        <v>655</v>
      </c>
      <c r="F143" s="36">
        <v>1</v>
      </c>
      <c r="G143" s="36" t="s">
        <v>112</v>
      </c>
      <c r="H143" s="37">
        <v>44502</v>
      </c>
    </row>
    <row r="144" spans="1:8" x14ac:dyDescent="0.3">
      <c r="A144" s="35">
        <v>1212112560</v>
      </c>
      <c r="B144" s="36">
        <v>22617510</v>
      </c>
      <c r="C144" s="37">
        <v>44503</v>
      </c>
      <c r="D144" s="137">
        <v>1479.9949999999999</v>
      </c>
      <c r="E144" s="36" t="s">
        <v>655</v>
      </c>
      <c r="F144" s="36">
        <v>1</v>
      </c>
      <c r="G144" s="36" t="s">
        <v>112</v>
      </c>
      <c r="H144" s="37">
        <v>44502</v>
      </c>
    </row>
    <row r="145" spans="1:8" x14ac:dyDescent="0.3">
      <c r="A145" s="35">
        <v>1212112612</v>
      </c>
      <c r="B145" s="36">
        <v>80576075</v>
      </c>
      <c r="C145" s="37">
        <v>44503</v>
      </c>
      <c r="D145" s="137">
        <v>440.00799999999998</v>
      </c>
      <c r="E145" s="36" t="s">
        <v>655</v>
      </c>
      <c r="F145" s="36">
        <v>1</v>
      </c>
      <c r="G145" s="36" t="s">
        <v>112</v>
      </c>
      <c r="H145" s="37">
        <v>44502</v>
      </c>
    </row>
    <row r="146" spans="1:8" x14ac:dyDescent="0.3">
      <c r="A146" s="35">
        <v>1212113207</v>
      </c>
      <c r="B146" s="36">
        <v>64575734</v>
      </c>
      <c r="C146" s="37">
        <v>44504</v>
      </c>
      <c r="D146" s="137">
        <v>452.38900000000001</v>
      </c>
      <c r="E146" s="36" t="s">
        <v>655</v>
      </c>
      <c r="F146" s="36">
        <v>1</v>
      </c>
      <c r="G146" s="36" t="s">
        <v>112</v>
      </c>
      <c r="H146" s="37">
        <v>44503</v>
      </c>
    </row>
    <row r="147" spans="1:8" x14ac:dyDescent="0.3">
      <c r="A147" s="35">
        <v>1212113183</v>
      </c>
      <c r="B147" s="36">
        <v>22854842</v>
      </c>
      <c r="C147" s="37">
        <v>44504</v>
      </c>
      <c r="D147" s="137">
        <v>221.999</v>
      </c>
      <c r="E147" s="36" t="s">
        <v>655</v>
      </c>
      <c r="F147" s="36">
        <v>1</v>
      </c>
      <c r="G147" s="36" t="s">
        <v>112</v>
      </c>
      <c r="H147" s="37">
        <v>44503</v>
      </c>
    </row>
    <row r="148" spans="1:8" x14ac:dyDescent="0.3">
      <c r="A148" s="35">
        <v>1212113198</v>
      </c>
      <c r="B148" s="36">
        <v>38577308</v>
      </c>
      <c r="C148" s="37">
        <v>44504</v>
      </c>
      <c r="D148" s="137">
        <v>110.002</v>
      </c>
      <c r="E148" s="36" t="s">
        <v>655</v>
      </c>
      <c r="F148" s="36">
        <v>1</v>
      </c>
      <c r="G148" s="36" t="s">
        <v>112</v>
      </c>
      <c r="H148" s="37">
        <v>44503</v>
      </c>
    </row>
    <row r="149" spans="1:8" x14ac:dyDescent="0.3">
      <c r="A149" s="35">
        <v>1212113160</v>
      </c>
      <c r="B149" s="36" t="s">
        <v>664</v>
      </c>
      <c r="C149" s="37">
        <v>44504</v>
      </c>
      <c r="D149" s="137">
        <v>2585.0459999999998</v>
      </c>
      <c r="E149" s="36" t="s">
        <v>655</v>
      </c>
      <c r="F149" s="36">
        <v>2</v>
      </c>
      <c r="G149" s="36" t="s">
        <v>112</v>
      </c>
      <c r="H149" s="37">
        <v>44503</v>
      </c>
    </row>
    <row r="150" spans="1:8" x14ac:dyDescent="0.3">
      <c r="A150" s="35">
        <v>1212113179</v>
      </c>
      <c r="B150" s="36">
        <v>9582938</v>
      </c>
      <c r="C150" s="37">
        <v>44504</v>
      </c>
      <c r="D150" s="137">
        <v>275.005</v>
      </c>
      <c r="E150" s="36" t="s">
        <v>655</v>
      </c>
      <c r="F150" s="36">
        <v>1</v>
      </c>
      <c r="G150" s="36" t="s">
        <v>112</v>
      </c>
      <c r="H150" s="37">
        <v>44503</v>
      </c>
    </row>
    <row r="151" spans="1:8" x14ac:dyDescent="0.3">
      <c r="A151" s="35">
        <v>1212113193</v>
      </c>
      <c r="B151" s="36">
        <v>22971038</v>
      </c>
      <c r="C151" s="37">
        <v>44504</v>
      </c>
      <c r="D151" s="137">
        <v>275.005</v>
      </c>
      <c r="E151" s="36" t="s">
        <v>655</v>
      </c>
      <c r="F151" s="36">
        <v>1</v>
      </c>
      <c r="G151" s="36" t="s">
        <v>112</v>
      </c>
      <c r="H151" s="37">
        <v>44503</v>
      </c>
    </row>
    <row r="152" spans="1:8" x14ac:dyDescent="0.3">
      <c r="A152" s="35">
        <v>1212113497</v>
      </c>
      <c r="B152" s="36" t="s">
        <v>665</v>
      </c>
      <c r="C152" s="37">
        <v>44505</v>
      </c>
      <c r="D152" s="137">
        <v>6635.0379999999996</v>
      </c>
      <c r="E152" s="36" t="s">
        <v>655</v>
      </c>
      <c r="F152" s="36">
        <v>4</v>
      </c>
      <c r="G152" s="36" t="s">
        <v>112</v>
      </c>
      <c r="H152" s="37">
        <v>44504</v>
      </c>
    </row>
    <row r="153" spans="1:8" x14ac:dyDescent="0.3">
      <c r="A153" s="35">
        <v>1212113505</v>
      </c>
      <c r="B153" s="36" t="s">
        <v>666</v>
      </c>
      <c r="C153" s="37">
        <v>44505</v>
      </c>
      <c r="D153" s="137">
        <v>2475.0439999999999</v>
      </c>
      <c r="E153" s="36" t="s">
        <v>655</v>
      </c>
      <c r="F153" s="36">
        <v>1</v>
      </c>
      <c r="G153" s="36" t="s">
        <v>112</v>
      </c>
      <c r="H153" s="37">
        <v>44505</v>
      </c>
    </row>
    <row r="154" spans="1:8" x14ac:dyDescent="0.3">
      <c r="A154" s="35">
        <v>1212113565</v>
      </c>
      <c r="B154" s="36">
        <v>23820461</v>
      </c>
      <c r="C154" s="37">
        <v>44505</v>
      </c>
      <c r="D154" s="137">
        <v>37</v>
      </c>
      <c r="E154" s="36" t="s">
        <v>655</v>
      </c>
      <c r="F154" s="36">
        <v>1</v>
      </c>
      <c r="G154" s="36" t="s">
        <v>112</v>
      </c>
      <c r="H154" s="37">
        <v>44506</v>
      </c>
    </row>
    <row r="155" spans="1:8" x14ac:dyDescent="0.3">
      <c r="A155" s="35">
        <v>1212113538</v>
      </c>
      <c r="B155" s="36">
        <v>23642454</v>
      </c>
      <c r="C155" s="37">
        <v>44505</v>
      </c>
      <c r="D155" s="137">
        <v>3699.9859999999999</v>
      </c>
      <c r="E155" s="36" t="s">
        <v>655</v>
      </c>
      <c r="F155" s="36">
        <v>2</v>
      </c>
      <c r="G155" s="36" t="s">
        <v>112</v>
      </c>
      <c r="H155" s="37">
        <v>44507</v>
      </c>
    </row>
    <row r="156" spans="1:8" x14ac:dyDescent="0.3">
      <c r="A156" s="35">
        <v>1212113560</v>
      </c>
      <c r="B156" s="36">
        <v>12581075</v>
      </c>
      <c r="C156" s="37">
        <v>44505</v>
      </c>
      <c r="D156" s="137">
        <v>52.131</v>
      </c>
      <c r="E156" s="36" t="s">
        <v>655</v>
      </c>
      <c r="F156" s="36">
        <v>1</v>
      </c>
      <c r="G156" s="36" t="s">
        <v>112</v>
      </c>
      <c r="H156" s="37">
        <v>44508</v>
      </c>
    </row>
    <row r="157" spans="1:8" x14ac:dyDescent="0.3">
      <c r="A157" s="35">
        <v>1212113713</v>
      </c>
      <c r="B157" s="36">
        <v>32919826</v>
      </c>
      <c r="C157" s="37">
        <v>44508</v>
      </c>
      <c r="D157" s="137">
        <v>3520.0619999999999</v>
      </c>
      <c r="E157" s="36" t="s">
        <v>655</v>
      </c>
      <c r="F157" s="36">
        <v>2</v>
      </c>
      <c r="G157" s="36" t="s">
        <v>112</v>
      </c>
      <c r="H157" s="37">
        <v>44505</v>
      </c>
    </row>
    <row r="158" spans="1:8" x14ac:dyDescent="0.3">
      <c r="A158" s="35">
        <v>1212113735</v>
      </c>
      <c r="B158" s="36">
        <v>23936303</v>
      </c>
      <c r="C158" s="37">
        <v>44508</v>
      </c>
      <c r="D158" s="137">
        <v>110.002</v>
      </c>
      <c r="E158" s="36" t="s">
        <v>655</v>
      </c>
      <c r="F158" s="36">
        <v>1</v>
      </c>
      <c r="G158" s="36" t="s">
        <v>112</v>
      </c>
      <c r="H158" s="37">
        <v>44505</v>
      </c>
    </row>
    <row r="159" spans="1:8" x14ac:dyDescent="0.3">
      <c r="A159" s="35">
        <v>1212113720</v>
      </c>
      <c r="B159" s="36">
        <v>9588324</v>
      </c>
      <c r="C159" s="37">
        <v>44508</v>
      </c>
      <c r="D159" s="137">
        <v>74</v>
      </c>
      <c r="E159" s="36" t="s">
        <v>655</v>
      </c>
      <c r="F159" s="36">
        <v>1</v>
      </c>
      <c r="G159" s="36" t="s">
        <v>112</v>
      </c>
      <c r="H159" s="37">
        <v>44505</v>
      </c>
    </row>
    <row r="160" spans="1:8" x14ac:dyDescent="0.3">
      <c r="A160" s="35">
        <v>1212113738</v>
      </c>
      <c r="B160" s="36">
        <v>40554083</v>
      </c>
      <c r="C160" s="37">
        <v>44508</v>
      </c>
      <c r="D160" s="137">
        <v>275</v>
      </c>
      <c r="E160" s="36" t="s">
        <v>655</v>
      </c>
      <c r="F160" s="36">
        <v>1</v>
      </c>
      <c r="G160" s="36" t="s">
        <v>112</v>
      </c>
      <c r="H160" s="37">
        <v>44505</v>
      </c>
    </row>
    <row r="161" spans="1:8" x14ac:dyDescent="0.3">
      <c r="A161" s="35">
        <v>1212113743</v>
      </c>
      <c r="B161" s="36" t="s">
        <v>667</v>
      </c>
      <c r="C161" s="37">
        <v>44508</v>
      </c>
      <c r="D161" s="137">
        <v>293.041</v>
      </c>
      <c r="E161" s="36" t="s">
        <v>655</v>
      </c>
      <c r="F161" s="36">
        <v>1</v>
      </c>
      <c r="G161" s="36" t="s">
        <v>112</v>
      </c>
      <c r="H161" s="37">
        <v>44505</v>
      </c>
    </row>
    <row r="162" spans="1:8" x14ac:dyDescent="0.3">
      <c r="A162" s="35">
        <v>1212113724</v>
      </c>
      <c r="B162" s="36">
        <v>14583974</v>
      </c>
      <c r="C162" s="37">
        <v>44508</v>
      </c>
      <c r="D162" s="137">
        <v>55.000999999999998</v>
      </c>
      <c r="E162" s="36" t="s">
        <v>655</v>
      </c>
      <c r="F162" s="36">
        <v>1</v>
      </c>
      <c r="G162" s="36" t="s">
        <v>112</v>
      </c>
      <c r="H162" s="37">
        <v>44505</v>
      </c>
    </row>
    <row r="163" spans="1:8" x14ac:dyDescent="0.3">
      <c r="A163" s="35">
        <v>1212114074</v>
      </c>
      <c r="B163" s="36">
        <v>46930947</v>
      </c>
      <c r="C163" s="37">
        <v>44509</v>
      </c>
      <c r="D163" s="137">
        <v>7040.12</v>
      </c>
      <c r="E163" s="36" t="s">
        <v>655</v>
      </c>
      <c r="F163" s="36">
        <v>4</v>
      </c>
      <c r="G163" s="36" t="s">
        <v>112</v>
      </c>
      <c r="H163" s="37">
        <v>44508</v>
      </c>
    </row>
    <row r="164" spans="1:8" x14ac:dyDescent="0.3">
      <c r="A164" s="35">
        <v>1212114276</v>
      </c>
      <c r="B164" s="36">
        <v>63572911</v>
      </c>
      <c r="C164" s="37">
        <v>44509</v>
      </c>
      <c r="D164" s="137">
        <v>1155.02</v>
      </c>
      <c r="E164" s="36" t="s">
        <v>655</v>
      </c>
      <c r="F164" s="36">
        <v>1</v>
      </c>
      <c r="G164" s="36" t="s">
        <v>112</v>
      </c>
      <c r="H164" s="37">
        <v>44508</v>
      </c>
    </row>
    <row r="165" spans="1:8" x14ac:dyDescent="0.3">
      <c r="A165" s="35">
        <v>1212114283</v>
      </c>
      <c r="B165" s="36">
        <v>67574693</v>
      </c>
      <c r="C165" s="37">
        <v>44509</v>
      </c>
      <c r="D165" s="137">
        <v>220.00399999999999</v>
      </c>
      <c r="E165" s="36" t="s">
        <v>655</v>
      </c>
      <c r="F165" s="36">
        <v>1</v>
      </c>
      <c r="G165" s="36" t="s">
        <v>112</v>
      </c>
      <c r="H165" s="37">
        <v>44508</v>
      </c>
    </row>
    <row r="166" spans="1:8" x14ac:dyDescent="0.3">
      <c r="A166" s="35">
        <v>1212114266</v>
      </c>
      <c r="B166" s="36">
        <v>24648561</v>
      </c>
      <c r="C166" s="37">
        <v>44509</v>
      </c>
      <c r="D166" s="137">
        <v>147.999</v>
      </c>
      <c r="E166" s="36" t="s">
        <v>655</v>
      </c>
      <c r="F166" s="36">
        <v>1</v>
      </c>
      <c r="G166" s="36" t="s">
        <v>112</v>
      </c>
      <c r="H166" s="37">
        <v>44508</v>
      </c>
    </row>
    <row r="167" spans="1:8" x14ac:dyDescent="0.3">
      <c r="A167" s="35">
        <v>1212114275</v>
      </c>
      <c r="B167" s="36">
        <v>58581666</v>
      </c>
      <c r="C167" s="37">
        <v>44509</v>
      </c>
      <c r="D167" s="137">
        <v>37.000999999999998</v>
      </c>
      <c r="E167" s="36" t="s">
        <v>655</v>
      </c>
      <c r="F167" s="36">
        <v>1</v>
      </c>
      <c r="G167" s="36" t="s">
        <v>112</v>
      </c>
      <c r="H167" s="37">
        <v>44508</v>
      </c>
    </row>
    <row r="168" spans="1:8" x14ac:dyDescent="0.3">
      <c r="A168" s="35">
        <v>1212115054</v>
      </c>
      <c r="B168" s="36">
        <v>24774958</v>
      </c>
      <c r="C168" s="37">
        <v>44511</v>
      </c>
      <c r="D168" s="137">
        <v>1507.963</v>
      </c>
      <c r="E168" s="36" t="s">
        <v>655</v>
      </c>
      <c r="F168" s="36">
        <v>1</v>
      </c>
      <c r="G168" s="36" t="s">
        <v>112</v>
      </c>
      <c r="H168" s="37">
        <v>44510</v>
      </c>
    </row>
    <row r="169" spans="1:8" x14ac:dyDescent="0.3">
      <c r="A169" s="35">
        <v>1212115044</v>
      </c>
      <c r="B169" s="36">
        <v>11581119</v>
      </c>
      <c r="C169" s="37">
        <v>44511</v>
      </c>
      <c r="D169" s="137">
        <v>74.001000000000005</v>
      </c>
      <c r="E169" s="36" t="s">
        <v>655</v>
      </c>
      <c r="F169" s="36">
        <v>1</v>
      </c>
      <c r="G169" s="36" t="s">
        <v>112</v>
      </c>
      <c r="H169" s="37">
        <v>44510</v>
      </c>
    </row>
    <row r="170" spans="1:8" x14ac:dyDescent="0.3">
      <c r="A170" s="35">
        <v>1212115059</v>
      </c>
      <c r="B170" s="36">
        <v>24795508</v>
      </c>
      <c r="C170" s="37">
        <v>44511</v>
      </c>
      <c r="D170" s="137">
        <v>110.86199999999999</v>
      </c>
      <c r="E170" s="36" t="s">
        <v>655</v>
      </c>
      <c r="F170" s="36">
        <v>1</v>
      </c>
      <c r="G170" s="36" t="s">
        <v>112</v>
      </c>
      <c r="H170" s="37">
        <v>44510</v>
      </c>
    </row>
    <row r="171" spans="1:8" x14ac:dyDescent="0.3">
      <c r="A171" s="35">
        <v>1212115121</v>
      </c>
      <c r="B171" s="36">
        <v>25632809</v>
      </c>
      <c r="C171" s="37">
        <v>44511</v>
      </c>
      <c r="D171" s="137">
        <v>7389.0190000000002</v>
      </c>
      <c r="E171" s="36" t="s">
        <v>655</v>
      </c>
      <c r="F171" s="36">
        <v>4</v>
      </c>
      <c r="G171" s="36" t="s">
        <v>112</v>
      </c>
      <c r="H171" s="37">
        <v>44510</v>
      </c>
    </row>
    <row r="172" spans="1:8" x14ac:dyDescent="0.3">
      <c r="A172" s="35">
        <v>1212115057</v>
      </c>
      <c r="B172" s="36">
        <v>24792393</v>
      </c>
      <c r="C172" s="37">
        <v>44511</v>
      </c>
      <c r="D172" s="137">
        <v>495.00900000000001</v>
      </c>
      <c r="E172" s="36" t="s">
        <v>655</v>
      </c>
      <c r="F172" s="36">
        <v>1</v>
      </c>
      <c r="G172" s="36" t="s">
        <v>112</v>
      </c>
      <c r="H172" s="37">
        <v>44510</v>
      </c>
    </row>
    <row r="173" spans="1:8" x14ac:dyDescent="0.3">
      <c r="A173" s="35">
        <v>1212115132</v>
      </c>
      <c r="B173" s="36">
        <v>25681214</v>
      </c>
      <c r="C173" s="37">
        <v>44511</v>
      </c>
      <c r="D173" s="137">
        <v>4825.482</v>
      </c>
      <c r="E173" s="36" t="s">
        <v>655</v>
      </c>
      <c r="F173" s="36">
        <v>3</v>
      </c>
      <c r="G173" s="36" t="s">
        <v>112</v>
      </c>
      <c r="H173" s="37">
        <v>44510</v>
      </c>
    </row>
    <row r="174" spans="1:8" x14ac:dyDescent="0.3">
      <c r="A174" s="35">
        <v>1212115104</v>
      </c>
      <c r="B174" s="36">
        <v>31581620</v>
      </c>
      <c r="C174" s="37">
        <v>44511</v>
      </c>
      <c r="D174" s="137">
        <v>369.99799999999999</v>
      </c>
      <c r="E174" s="36" t="s">
        <v>655</v>
      </c>
      <c r="F174" s="36">
        <v>1</v>
      </c>
      <c r="G174" s="36" t="s">
        <v>112</v>
      </c>
      <c r="H174" s="37">
        <v>44510</v>
      </c>
    </row>
    <row r="175" spans="1:8" x14ac:dyDescent="0.3">
      <c r="A175" s="35">
        <v>1212115045</v>
      </c>
      <c r="B175" s="36">
        <v>20572305</v>
      </c>
      <c r="C175" s="37">
        <v>44511</v>
      </c>
      <c r="D175" s="137">
        <v>961.99699999999996</v>
      </c>
      <c r="E175" s="36" t="s">
        <v>655</v>
      </c>
      <c r="F175" s="36">
        <v>1</v>
      </c>
      <c r="G175" s="36" t="s">
        <v>112</v>
      </c>
      <c r="H175" s="37">
        <v>44510</v>
      </c>
    </row>
    <row r="176" spans="1:8" x14ac:dyDescent="0.3">
      <c r="A176" s="35">
        <v>1212115098</v>
      </c>
      <c r="B176" s="36">
        <v>24950450</v>
      </c>
      <c r="C176" s="37">
        <v>44511</v>
      </c>
      <c r="D176" s="137">
        <v>739.99800000000005</v>
      </c>
      <c r="E176" s="36" t="s">
        <v>655</v>
      </c>
      <c r="F176" s="36">
        <v>1</v>
      </c>
      <c r="G176" s="36" t="s">
        <v>112</v>
      </c>
      <c r="H176" s="37">
        <v>44510</v>
      </c>
    </row>
    <row r="177" spans="1:8" x14ac:dyDescent="0.3">
      <c r="A177" s="35">
        <v>1212116207</v>
      </c>
      <c r="B177" s="36">
        <v>25858677</v>
      </c>
      <c r="C177" s="37">
        <v>44512</v>
      </c>
      <c r="D177" s="137">
        <v>1849.9929999999999</v>
      </c>
      <c r="E177" s="36" t="s">
        <v>655</v>
      </c>
      <c r="F177" s="36">
        <v>1</v>
      </c>
      <c r="G177" s="36" t="s">
        <v>112</v>
      </c>
      <c r="H177" s="37">
        <v>44512</v>
      </c>
    </row>
    <row r="178" spans="1:8" x14ac:dyDescent="0.3">
      <c r="A178" s="35">
        <v>1212116187</v>
      </c>
      <c r="B178" s="36">
        <v>5552702</v>
      </c>
      <c r="C178" s="37">
        <v>44512</v>
      </c>
      <c r="D178" s="137">
        <v>165.00299999999999</v>
      </c>
      <c r="E178" s="36" t="s">
        <v>655</v>
      </c>
      <c r="F178" s="36">
        <v>1</v>
      </c>
      <c r="G178" s="36" t="s">
        <v>112</v>
      </c>
      <c r="H178" s="37">
        <v>44512</v>
      </c>
    </row>
    <row r="179" spans="1:8" x14ac:dyDescent="0.3">
      <c r="A179" s="35">
        <v>1212116452</v>
      </c>
      <c r="B179" s="36">
        <v>26916453</v>
      </c>
      <c r="C179" s="37">
        <v>44515</v>
      </c>
      <c r="D179" s="137">
        <v>7040.1239999999998</v>
      </c>
      <c r="E179" s="36" t="s">
        <v>655</v>
      </c>
      <c r="F179" s="36">
        <v>4</v>
      </c>
      <c r="G179" s="36" t="s">
        <v>112</v>
      </c>
      <c r="H179" s="37">
        <v>44515</v>
      </c>
    </row>
    <row r="180" spans="1:8" x14ac:dyDescent="0.3">
      <c r="A180" s="35">
        <v>1212116647</v>
      </c>
      <c r="B180" s="36">
        <v>26709500</v>
      </c>
      <c r="C180" s="37">
        <v>44515</v>
      </c>
      <c r="D180" s="137">
        <v>104.93600000000001</v>
      </c>
      <c r="E180" s="36" t="s">
        <v>655</v>
      </c>
      <c r="F180" s="36">
        <v>1</v>
      </c>
      <c r="G180" s="36" t="s">
        <v>112</v>
      </c>
      <c r="H180" s="37">
        <v>44515</v>
      </c>
    </row>
    <row r="181" spans="1:8" x14ac:dyDescent="0.3">
      <c r="A181" s="35">
        <v>1212116601</v>
      </c>
      <c r="B181" s="36">
        <v>12580686</v>
      </c>
      <c r="C181" s="37">
        <v>44515</v>
      </c>
      <c r="D181" s="137">
        <v>55.000999999999998</v>
      </c>
      <c r="E181" s="36" t="s">
        <v>655</v>
      </c>
      <c r="F181" s="36">
        <v>1</v>
      </c>
      <c r="G181" s="36" t="s">
        <v>112</v>
      </c>
      <c r="H181" s="37">
        <v>44516</v>
      </c>
    </row>
    <row r="182" spans="1:8" x14ac:dyDescent="0.3">
      <c r="A182" s="35">
        <v>1212116662</v>
      </c>
      <c r="B182" s="36">
        <v>26780876</v>
      </c>
      <c r="C182" s="37">
        <v>44515</v>
      </c>
      <c r="D182" s="137">
        <v>1479.9949999999999</v>
      </c>
      <c r="E182" s="36" t="s">
        <v>655</v>
      </c>
      <c r="F182" s="36">
        <v>1</v>
      </c>
      <c r="G182" s="36" t="s">
        <v>112</v>
      </c>
      <c r="H182" s="37">
        <v>44517</v>
      </c>
    </row>
    <row r="183" spans="1:8" x14ac:dyDescent="0.3">
      <c r="A183" s="35">
        <v>1212116629</v>
      </c>
      <c r="B183" s="36">
        <v>76570034</v>
      </c>
      <c r="C183" s="37">
        <v>44515</v>
      </c>
      <c r="D183" s="137">
        <v>605.01099999999997</v>
      </c>
      <c r="E183" s="36" t="s">
        <v>655</v>
      </c>
      <c r="F183" s="36">
        <v>1</v>
      </c>
      <c r="G183" s="36" t="s">
        <v>112</v>
      </c>
      <c r="H183" s="37">
        <v>44518</v>
      </c>
    </row>
    <row r="184" spans="1:8" x14ac:dyDescent="0.3">
      <c r="A184" s="35">
        <v>1212116669</v>
      </c>
      <c r="B184" s="36">
        <v>79557572</v>
      </c>
      <c r="C184" s="37">
        <v>44515</v>
      </c>
      <c r="D184" s="137">
        <v>52.131</v>
      </c>
      <c r="E184" s="36" t="s">
        <v>655</v>
      </c>
      <c r="F184" s="36">
        <v>1</v>
      </c>
      <c r="G184" s="36" t="s">
        <v>112</v>
      </c>
      <c r="H184" s="37">
        <v>44519</v>
      </c>
    </row>
    <row r="185" spans="1:8" x14ac:dyDescent="0.3">
      <c r="A185" s="35">
        <v>1212116646</v>
      </c>
      <c r="B185" s="36">
        <v>26690471</v>
      </c>
      <c r="C185" s="37">
        <v>44515</v>
      </c>
      <c r="D185" s="137">
        <v>74.001000000000005</v>
      </c>
      <c r="E185" s="36" t="s">
        <v>655</v>
      </c>
      <c r="F185" s="36">
        <v>1</v>
      </c>
      <c r="G185" s="36" t="s">
        <v>112</v>
      </c>
      <c r="H185" s="37">
        <v>44520</v>
      </c>
    </row>
    <row r="186" spans="1:8" x14ac:dyDescent="0.3">
      <c r="A186" s="35">
        <v>1212116665</v>
      </c>
      <c r="B186" s="36">
        <v>26816841</v>
      </c>
      <c r="C186" s="37">
        <v>44515</v>
      </c>
      <c r="D186" s="137">
        <v>5586.9790000000003</v>
      </c>
      <c r="E186" s="36" t="s">
        <v>655</v>
      </c>
      <c r="F186" s="36">
        <v>3</v>
      </c>
      <c r="G186" s="36" t="s">
        <v>112</v>
      </c>
      <c r="H186" s="37">
        <v>44521</v>
      </c>
    </row>
    <row r="187" spans="1:8" x14ac:dyDescent="0.3">
      <c r="A187" s="35">
        <v>1212116663</v>
      </c>
      <c r="B187" s="36">
        <v>26800306</v>
      </c>
      <c r="C187" s="37">
        <v>44515</v>
      </c>
      <c r="D187" s="137">
        <v>7214.973</v>
      </c>
      <c r="E187" s="36" t="s">
        <v>655</v>
      </c>
      <c r="F187" s="36">
        <v>3</v>
      </c>
      <c r="G187" s="36" t="s">
        <v>112</v>
      </c>
      <c r="H187" s="37">
        <v>44522</v>
      </c>
    </row>
    <row r="188" spans="1:8" x14ac:dyDescent="0.3">
      <c r="A188" s="35">
        <v>1212116989</v>
      </c>
      <c r="B188" s="36">
        <v>48559196</v>
      </c>
      <c r="C188" s="37">
        <v>44516</v>
      </c>
      <c r="D188" s="137">
        <v>220.00399999999999</v>
      </c>
      <c r="E188" s="36" t="s">
        <v>655</v>
      </c>
      <c r="F188" s="36">
        <v>1</v>
      </c>
      <c r="G188" s="36" t="s">
        <v>112</v>
      </c>
      <c r="H188" s="37">
        <v>44515</v>
      </c>
    </row>
    <row r="189" spans="1:8" x14ac:dyDescent="0.3">
      <c r="A189" s="35">
        <v>1212116992</v>
      </c>
      <c r="B189" s="36">
        <v>79584853</v>
      </c>
      <c r="C189" s="37">
        <v>44516</v>
      </c>
      <c r="D189" s="137">
        <v>385.00700000000001</v>
      </c>
      <c r="E189" s="36" t="s">
        <v>655</v>
      </c>
      <c r="F189" s="36">
        <v>1</v>
      </c>
      <c r="G189" s="36" t="s">
        <v>112</v>
      </c>
      <c r="H189" s="37">
        <v>44515</v>
      </c>
    </row>
    <row r="190" spans="1:8" x14ac:dyDescent="0.3">
      <c r="A190" s="35">
        <v>1212116969</v>
      </c>
      <c r="B190" s="36">
        <v>26871771</v>
      </c>
      <c r="C190" s="37">
        <v>44516</v>
      </c>
      <c r="D190" s="137">
        <v>4439.9840000000004</v>
      </c>
      <c r="E190" s="36" t="s">
        <v>655</v>
      </c>
      <c r="F190" s="36">
        <v>2</v>
      </c>
      <c r="G190" s="36" t="s">
        <v>112</v>
      </c>
      <c r="H190" s="37">
        <v>44515</v>
      </c>
    </row>
    <row r="191" spans="1:8" x14ac:dyDescent="0.3">
      <c r="A191" s="35">
        <v>1212116965</v>
      </c>
      <c r="B191" s="36">
        <v>15562850</v>
      </c>
      <c r="C191" s="37">
        <v>44516</v>
      </c>
      <c r="D191" s="137">
        <v>385.00700000000001</v>
      </c>
      <c r="E191" s="36" t="s">
        <v>655</v>
      </c>
      <c r="F191" s="36">
        <v>1</v>
      </c>
      <c r="G191" s="36" t="s">
        <v>112</v>
      </c>
      <c r="H191" s="37">
        <v>44515</v>
      </c>
    </row>
    <row r="192" spans="1:8" x14ac:dyDescent="0.3">
      <c r="A192" s="35">
        <v>1212116968</v>
      </c>
      <c r="B192" s="36">
        <v>26865618</v>
      </c>
      <c r="C192" s="37">
        <v>44516</v>
      </c>
      <c r="D192" s="137">
        <v>220.00399999999999</v>
      </c>
      <c r="E192" s="36" t="s">
        <v>655</v>
      </c>
      <c r="F192" s="36">
        <v>1</v>
      </c>
      <c r="G192" s="36" t="s">
        <v>112</v>
      </c>
      <c r="H192" s="37">
        <v>44515</v>
      </c>
    </row>
    <row r="193" spans="1:8" x14ac:dyDescent="0.3">
      <c r="A193" s="35">
        <v>1212117800</v>
      </c>
      <c r="B193" s="36">
        <v>4578212</v>
      </c>
      <c r="C193" s="37">
        <v>44517</v>
      </c>
      <c r="D193" s="137">
        <v>715.01300000000003</v>
      </c>
      <c r="E193" s="36" t="s">
        <v>655</v>
      </c>
      <c r="F193" s="36">
        <v>1</v>
      </c>
      <c r="G193" s="36" t="s">
        <v>112</v>
      </c>
      <c r="H193" s="37">
        <v>44516</v>
      </c>
    </row>
    <row r="194" spans="1:8" x14ac:dyDescent="0.3">
      <c r="A194" s="35">
        <v>1212117808</v>
      </c>
      <c r="B194" s="36">
        <v>27746402</v>
      </c>
      <c r="C194" s="37">
        <v>44517</v>
      </c>
      <c r="D194" s="137">
        <v>147.999</v>
      </c>
      <c r="E194" s="36" t="s">
        <v>655</v>
      </c>
      <c r="F194" s="36">
        <v>1</v>
      </c>
      <c r="G194" s="36" t="s">
        <v>112</v>
      </c>
      <c r="H194" s="37">
        <v>44516</v>
      </c>
    </row>
    <row r="195" spans="1:8" x14ac:dyDescent="0.3">
      <c r="A195" s="35">
        <v>1212117815</v>
      </c>
      <c r="B195" s="36">
        <v>27828679</v>
      </c>
      <c r="C195" s="37">
        <v>44517</v>
      </c>
      <c r="D195" s="137">
        <v>495.00900000000001</v>
      </c>
      <c r="E195" s="36" t="s">
        <v>655</v>
      </c>
      <c r="F195" s="36">
        <v>1</v>
      </c>
      <c r="G195" s="36" t="s">
        <v>112</v>
      </c>
      <c r="H195" s="37">
        <v>44516</v>
      </c>
    </row>
    <row r="196" spans="1:8" x14ac:dyDescent="0.3">
      <c r="A196" s="35">
        <v>1212117783</v>
      </c>
      <c r="B196" s="36">
        <v>73566595</v>
      </c>
      <c r="C196" s="37">
        <v>44517</v>
      </c>
      <c r="D196" s="137">
        <v>1650.029</v>
      </c>
      <c r="E196" s="36" t="s">
        <v>655</v>
      </c>
      <c r="F196" s="36">
        <v>1</v>
      </c>
      <c r="G196" s="36" t="s">
        <v>112</v>
      </c>
      <c r="H196" s="37">
        <v>44516</v>
      </c>
    </row>
    <row r="197" spans="1:8" x14ac:dyDescent="0.3">
      <c r="A197" s="35">
        <v>1212117820</v>
      </c>
      <c r="B197" s="36">
        <v>27834966</v>
      </c>
      <c r="C197" s="37">
        <v>44517</v>
      </c>
      <c r="D197" s="137">
        <v>628.99699999999996</v>
      </c>
      <c r="E197" s="36" t="s">
        <v>655</v>
      </c>
      <c r="F197" s="36">
        <v>1</v>
      </c>
      <c r="G197" s="36" t="s">
        <v>112</v>
      </c>
      <c r="H197" s="37">
        <v>44516</v>
      </c>
    </row>
    <row r="198" spans="1:8" x14ac:dyDescent="0.3">
      <c r="A198" s="35">
        <v>1212118280</v>
      </c>
      <c r="B198" s="36">
        <v>80575583</v>
      </c>
      <c r="C198" s="37">
        <v>44518</v>
      </c>
      <c r="D198" s="137">
        <v>50.265000000000001</v>
      </c>
      <c r="E198" s="36" t="s">
        <v>655</v>
      </c>
      <c r="F198" s="36">
        <v>1</v>
      </c>
      <c r="G198" s="36" t="s">
        <v>112</v>
      </c>
      <c r="H198" s="37">
        <v>44517</v>
      </c>
    </row>
    <row r="199" spans="1:8" x14ac:dyDescent="0.3">
      <c r="A199" s="35">
        <v>1212118300</v>
      </c>
      <c r="B199" s="36">
        <v>53565972</v>
      </c>
      <c r="C199" s="37">
        <v>44518</v>
      </c>
      <c r="D199" s="137">
        <v>150.79599999999999</v>
      </c>
      <c r="E199" s="36" t="s">
        <v>655</v>
      </c>
      <c r="F199" s="36">
        <v>1</v>
      </c>
      <c r="G199" s="36" t="s">
        <v>112</v>
      </c>
      <c r="H199" s="37">
        <v>44517</v>
      </c>
    </row>
    <row r="200" spans="1:8" x14ac:dyDescent="0.3">
      <c r="A200" s="35">
        <v>1212118329</v>
      </c>
      <c r="B200" s="36">
        <v>64576012</v>
      </c>
      <c r="C200" s="37">
        <v>44518</v>
      </c>
      <c r="D200" s="137">
        <v>2764.5990000000002</v>
      </c>
      <c r="E200" s="36" t="s">
        <v>655</v>
      </c>
      <c r="F200" s="36">
        <v>2</v>
      </c>
      <c r="G200" s="36" t="s">
        <v>112</v>
      </c>
      <c r="H200" s="37">
        <v>44517</v>
      </c>
    </row>
    <row r="201" spans="1:8" x14ac:dyDescent="0.3">
      <c r="A201" s="35">
        <v>1212118285</v>
      </c>
      <c r="B201" s="36" t="s">
        <v>668</v>
      </c>
      <c r="C201" s="37">
        <v>44518</v>
      </c>
      <c r="D201" s="137">
        <v>715.01300000000003</v>
      </c>
      <c r="E201" s="36" t="s">
        <v>655</v>
      </c>
      <c r="F201" s="36">
        <v>1</v>
      </c>
      <c r="G201" s="36" t="s">
        <v>112</v>
      </c>
      <c r="H201" s="37">
        <v>44517</v>
      </c>
    </row>
    <row r="202" spans="1:8" x14ac:dyDescent="0.3">
      <c r="A202" s="35">
        <v>1212118268</v>
      </c>
      <c r="B202" s="36" t="s">
        <v>669</v>
      </c>
      <c r="C202" s="37">
        <v>44518</v>
      </c>
      <c r="D202" s="137">
        <v>4473.6239999999998</v>
      </c>
      <c r="E202" s="36" t="s">
        <v>655</v>
      </c>
      <c r="F202" s="36">
        <v>3</v>
      </c>
      <c r="G202" s="36" t="s">
        <v>112</v>
      </c>
      <c r="H202" s="37">
        <v>44517</v>
      </c>
    </row>
    <row r="203" spans="1:8" x14ac:dyDescent="0.3">
      <c r="A203" s="35">
        <v>1212118314</v>
      </c>
      <c r="B203" s="36">
        <v>28767747</v>
      </c>
      <c r="C203" s="37">
        <v>44518</v>
      </c>
      <c r="D203" s="137">
        <v>1109.9949999999999</v>
      </c>
      <c r="E203" s="36" t="s">
        <v>655</v>
      </c>
      <c r="F203" s="36">
        <v>1</v>
      </c>
      <c r="G203" s="36" t="s">
        <v>112</v>
      </c>
      <c r="H203" s="37">
        <v>44517</v>
      </c>
    </row>
    <row r="204" spans="1:8" x14ac:dyDescent="0.3">
      <c r="A204" s="35">
        <v>1212117814</v>
      </c>
      <c r="B204" s="36">
        <v>27824983</v>
      </c>
      <c r="C204" s="37">
        <v>44517</v>
      </c>
      <c r="D204" s="137">
        <v>258.99900000000002</v>
      </c>
      <c r="E204" s="36" t="s">
        <v>655</v>
      </c>
      <c r="F204" s="36">
        <v>1</v>
      </c>
      <c r="G204" s="36" t="s">
        <v>112</v>
      </c>
      <c r="H204" s="37">
        <v>44516</v>
      </c>
    </row>
    <row r="205" spans="1:8" x14ac:dyDescent="0.3">
      <c r="A205" s="35">
        <v>1212118281</v>
      </c>
      <c r="B205" s="36">
        <v>80575584</v>
      </c>
      <c r="C205" s="37">
        <v>44518</v>
      </c>
      <c r="D205" s="137">
        <v>58.731000000000002</v>
      </c>
      <c r="E205" s="36" t="s">
        <v>655</v>
      </c>
      <c r="F205" s="36">
        <v>1</v>
      </c>
      <c r="G205" s="36" t="s">
        <v>112</v>
      </c>
      <c r="H205" s="37">
        <v>44517</v>
      </c>
    </row>
    <row r="206" spans="1:8" x14ac:dyDescent="0.3">
      <c r="A206" s="35">
        <v>1212118316</v>
      </c>
      <c r="B206" s="36">
        <v>28769133</v>
      </c>
      <c r="C206" s="37">
        <v>44518</v>
      </c>
      <c r="D206" s="137">
        <v>739.99800000000005</v>
      </c>
      <c r="E206" s="36" t="s">
        <v>655</v>
      </c>
      <c r="F206" s="36">
        <v>1</v>
      </c>
      <c r="G206" s="36" t="s">
        <v>112</v>
      </c>
      <c r="H206" s="37">
        <v>44517</v>
      </c>
    </row>
    <row r="207" spans="1:8" x14ac:dyDescent="0.3">
      <c r="A207" s="35">
        <v>1212118913</v>
      </c>
      <c r="B207" s="36">
        <v>25585939</v>
      </c>
      <c r="C207" s="37">
        <v>44519</v>
      </c>
      <c r="D207" s="137">
        <v>110.002</v>
      </c>
      <c r="E207" s="36" t="s">
        <v>655</v>
      </c>
      <c r="F207" s="36">
        <v>1</v>
      </c>
      <c r="G207" s="36" t="s">
        <v>112</v>
      </c>
      <c r="H207" s="37">
        <v>44519</v>
      </c>
    </row>
    <row r="208" spans="1:8" x14ac:dyDescent="0.3">
      <c r="A208" s="35">
        <v>1212118923</v>
      </c>
      <c r="B208" s="36">
        <v>28987819</v>
      </c>
      <c r="C208" s="37">
        <v>44519</v>
      </c>
      <c r="D208" s="137">
        <v>2200.0390000000002</v>
      </c>
      <c r="E208" s="36" t="s">
        <v>655</v>
      </c>
      <c r="F208" s="36">
        <v>1</v>
      </c>
      <c r="G208" s="36" t="s">
        <v>112</v>
      </c>
      <c r="H208" s="37">
        <v>44519</v>
      </c>
    </row>
    <row r="209" spans="1:9" x14ac:dyDescent="0.3">
      <c r="A209" s="35">
        <v>1212118907</v>
      </c>
      <c r="B209" s="36">
        <v>55588806</v>
      </c>
      <c r="C209" s="37">
        <v>44519</v>
      </c>
      <c r="D209" s="137">
        <v>2534.7800000000002</v>
      </c>
      <c r="E209" s="36" t="s">
        <v>655</v>
      </c>
      <c r="F209" s="36">
        <v>1</v>
      </c>
      <c r="G209" s="36" t="s">
        <v>112</v>
      </c>
      <c r="H209" s="37">
        <v>44519</v>
      </c>
    </row>
    <row r="210" spans="1:9" x14ac:dyDescent="0.3">
      <c r="A210" s="35">
        <v>1212118905</v>
      </c>
      <c r="B210" s="36">
        <v>28831764</v>
      </c>
      <c r="C210" s="37">
        <v>44519</v>
      </c>
      <c r="D210" s="137">
        <v>5894.8370000000004</v>
      </c>
      <c r="E210" s="36" t="s">
        <v>655</v>
      </c>
      <c r="F210" s="36">
        <v>3</v>
      </c>
      <c r="G210" s="36" t="s">
        <v>112</v>
      </c>
      <c r="H210" s="37">
        <v>44519</v>
      </c>
    </row>
    <row r="211" spans="1:9" x14ac:dyDescent="0.3">
      <c r="A211" s="35">
        <v>1212118918</v>
      </c>
      <c r="B211" s="36">
        <v>28963703</v>
      </c>
      <c r="C211" s="37">
        <v>44519</v>
      </c>
      <c r="D211" s="137">
        <v>3641.3470000000002</v>
      </c>
      <c r="E211" s="36" t="s">
        <v>655</v>
      </c>
      <c r="F211" s="36">
        <v>2</v>
      </c>
      <c r="G211" s="36" t="s">
        <v>112</v>
      </c>
      <c r="H211" s="37">
        <v>44519</v>
      </c>
    </row>
    <row r="212" spans="1:9" x14ac:dyDescent="0.3">
      <c r="A212" s="35">
        <v>1212119160</v>
      </c>
      <c r="B212" s="44">
        <v>36908602</v>
      </c>
      <c r="C212" s="37">
        <v>44522</v>
      </c>
      <c r="D212" s="137">
        <v>19360.329999999998</v>
      </c>
      <c r="E212" s="36" t="s">
        <v>655</v>
      </c>
      <c r="F212" s="36">
        <v>11</v>
      </c>
      <c r="G212" s="36" t="s">
        <v>112</v>
      </c>
      <c r="H212" s="37">
        <v>44519</v>
      </c>
    </row>
    <row r="213" spans="1:9" x14ac:dyDescent="0.3">
      <c r="A213" s="35">
        <v>1212119899</v>
      </c>
      <c r="B213" s="36">
        <v>23577631</v>
      </c>
      <c r="C213" s="37">
        <v>44523</v>
      </c>
      <c r="D213" s="137">
        <v>1430.0250000000001</v>
      </c>
      <c r="E213" s="36" t="s">
        <v>655</v>
      </c>
      <c r="F213" s="36">
        <v>1</v>
      </c>
      <c r="G213" s="36" t="s">
        <v>112</v>
      </c>
      <c r="H213" s="37">
        <v>44522</v>
      </c>
    </row>
    <row r="214" spans="1:9" x14ac:dyDescent="0.3">
      <c r="A214" s="45">
        <v>1212119880</v>
      </c>
      <c r="B214" s="46">
        <v>39572478</v>
      </c>
      <c r="C214" s="47">
        <v>44523</v>
      </c>
      <c r="D214" s="139">
        <v>55.000999999999998</v>
      </c>
      <c r="E214" s="46" t="s">
        <v>655</v>
      </c>
      <c r="F214" s="46">
        <v>1</v>
      </c>
      <c r="G214" s="46" t="s">
        <v>112</v>
      </c>
      <c r="H214" s="47">
        <v>44522</v>
      </c>
      <c r="I214" s="23" t="s">
        <v>670</v>
      </c>
    </row>
    <row r="215" spans="1:9" x14ac:dyDescent="0.3">
      <c r="A215" s="35">
        <v>1212119794</v>
      </c>
      <c r="B215" s="36">
        <v>26919803</v>
      </c>
      <c r="C215" s="37">
        <v>44523</v>
      </c>
      <c r="D215" s="137">
        <v>14081</v>
      </c>
      <c r="E215" s="36" t="s">
        <v>655</v>
      </c>
      <c r="F215" s="36">
        <v>8</v>
      </c>
      <c r="G215" s="36" t="s">
        <v>112</v>
      </c>
      <c r="H215" s="37">
        <v>44522</v>
      </c>
    </row>
    <row r="216" spans="1:9" x14ac:dyDescent="0.3">
      <c r="A216" s="35">
        <v>1212119900</v>
      </c>
      <c r="B216" s="36">
        <v>28564429</v>
      </c>
      <c r="C216" s="37">
        <v>44523</v>
      </c>
      <c r="D216" s="137">
        <v>37.000999999999998</v>
      </c>
      <c r="E216" s="36" t="s">
        <v>655</v>
      </c>
      <c r="F216" s="36">
        <v>1</v>
      </c>
      <c r="G216" s="36" t="s">
        <v>112</v>
      </c>
      <c r="H216" s="37">
        <v>44522</v>
      </c>
    </row>
    <row r="217" spans="1:9" x14ac:dyDescent="0.3">
      <c r="A217" s="35">
        <v>1212119886</v>
      </c>
      <c r="B217" s="36">
        <v>62577257</v>
      </c>
      <c r="C217" s="37">
        <v>44523</v>
      </c>
      <c r="D217" s="137">
        <v>440.00799999999998</v>
      </c>
      <c r="E217" s="36" t="s">
        <v>655</v>
      </c>
      <c r="F217" s="36">
        <v>1</v>
      </c>
      <c r="G217" s="36" t="s">
        <v>112</v>
      </c>
      <c r="H217" s="37">
        <v>44522</v>
      </c>
    </row>
    <row r="218" spans="1:9" x14ac:dyDescent="0.3">
      <c r="A218" s="35">
        <v>1212119895</v>
      </c>
      <c r="B218" s="36">
        <v>6569834</v>
      </c>
      <c r="C218" s="37">
        <v>44523</v>
      </c>
      <c r="D218" s="137">
        <v>50.320999999999998</v>
      </c>
      <c r="E218" s="36" t="s">
        <v>655</v>
      </c>
      <c r="F218" s="36">
        <v>1</v>
      </c>
      <c r="G218" s="36" t="s">
        <v>112</v>
      </c>
      <c r="H218" s="37">
        <v>44522</v>
      </c>
    </row>
    <row r="219" spans="1:9" x14ac:dyDescent="0.3">
      <c r="A219" s="35">
        <v>1212119878</v>
      </c>
      <c r="B219" s="36">
        <v>32561956</v>
      </c>
      <c r="C219" s="37">
        <v>44523</v>
      </c>
      <c r="D219" s="137">
        <v>495.00900000000001</v>
      </c>
      <c r="E219" s="36" t="s">
        <v>655</v>
      </c>
      <c r="F219" s="36">
        <v>1</v>
      </c>
      <c r="G219" s="36" t="s">
        <v>112</v>
      </c>
      <c r="H219" s="37">
        <v>44522</v>
      </c>
    </row>
    <row r="220" spans="1:9" x14ac:dyDescent="0.3">
      <c r="A220" s="35">
        <v>1212120716</v>
      </c>
      <c r="B220" s="36">
        <v>4566120</v>
      </c>
      <c r="C220" s="37">
        <v>44524</v>
      </c>
      <c r="D220" s="137">
        <v>165.00299999999999</v>
      </c>
      <c r="E220" s="36" t="s">
        <v>655</v>
      </c>
      <c r="F220" s="36">
        <v>1</v>
      </c>
      <c r="G220" s="36" t="s">
        <v>112</v>
      </c>
      <c r="H220" s="37">
        <v>44523</v>
      </c>
    </row>
    <row r="221" spans="1:9" x14ac:dyDescent="0.3">
      <c r="A221" s="35">
        <v>1212120753</v>
      </c>
      <c r="B221" s="36">
        <v>20580504</v>
      </c>
      <c r="C221" s="37">
        <v>44524</v>
      </c>
      <c r="D221" s="137">
        <v>586.42999999999995</v>
      </c>
      <c r="E221" s="36" t="s">
        <v>655</v>
      </c>
      <c r="F221" s="36">
        <v>1</v>
      </c>
      <c r="G221" s="36" t="s">
        <v>112</v>
      </c>
      <c r="H221" s="37">
        <v>44523</v>
      </c>
    </row>
    <row r="222" spans="1:9" x14ac:dyDescent="0.3">
      <c r="A222" s="35">
        <v>1212120784</v>
      </c>
      <c r="B222" s="36">
        <v>61572981</v>
      </c>
      <c r="C222" s="37">
        <v>44524</v>
      </c>
      <c r="D222" s="137">
        <v>55.000999999999998</v>
      </c>
      <c r="E222" s="36" t="s">
        <v>655</v>
      </c>
      <c r="F222" s="36">
        <v>1</v>
      </c>
      <c r="G222" s="36" t="s">
        <v>112</v>
      </c>
      <c r="H222" s="37">
        <v>44523</v>
      </c>
    </row>
    <row r="223" spans="1:9" x14ac:dyDescent="0.3">
      <c r="A223" s="35">
        <v>1212120807</v>
      </c>
      <c r="B223" s="36">
        <v>34566788</v>
      </c>
      <c r="C223" s="37">
        <v>44524</v>
      </c>
      <c r="D223" s="137">
        <v>165.00299999999999</v>
      </c>
      <c r="E223" s="36" t="s">
        <v>655</v>
      </c>
      <c r="F223" s="36">
        <v>1</v>
      </c>
      <c r="G223" s="36" t="s">
        <v>112</v>
      </c>
      <c r="H223" s="37">
        <v>44523</v>
      </c>
    </row>
    <row r="224" spans="1:9" x14ac:dyDescent="0.3">
      <c r="A224" s="35">
        <v>1212120747</v>
      </c>
      <c r="B224" s="36">
        <v>1581173</v>
      </c>
      <c r="C224" s="37">
        <v>44524</v>
      </c>
      <c r="D224" s="137">
        <v>110.002</v>
      </c>
      <c r="E224" s="36" t="s">
        <v>655</v>
      </c>
      <c r="F224" s="36">
        <v>1</v>
      </c>
      <c r="G224" s="36" t="s">
        <v>112</v>
      </c>
      <c r="H224" s="37">
        <v>44523</v>
      </c>
    </row>
    <row r="225" spans="1:8" x14ac:dyDescent="0.3">
      <c r="A225" s="35">
        <v>1212120752</v>
      </c>
      <c r="B225" s="36">
        <v>15553401</v>
      </c>
      <c r="C225" s="37">
        <v>44524</v>
      </c>
      <c r="D225" s="137">
        <v>55.000999999999998</v>
      </c>
      <c r="E225" s="36" t="s">
        <v>655</v>
      </c>
      <c r="F225" s="36">
        <v>1</v>
      </c>
      <c r="G225" s="36" t="s">
        <v>112</v>
      </c>
      <c r="H225" s="37">
        <v>44523</v>
      </c>
    </row>
    <row r="226" spans="1:8" x14ac:dyDescent="0.3">
      <c r="A226" s="35">
        <v>1212120289</v>
      </c>
      <c r="B226" s="36">
        <v>35902334</v>
      </c>
      <c r="C226" s="37">
        <v>44529</v>
      </c>
      <c r="D226" s="137">
        <v>1760.0309999999999</v>
      </c>
      <c r="E226" s="36" t="s">
        <v>655</v>
      </c>
      <c r="F226" s="36">
        <v>1</v>
      </c>
      <c r="G226" s="36" t="s">
        <v>112</v>
      </c>
      <c r="H226" s="37">
        <v>44529</v>
      </c>
    </row>
    <row r="227" spans="1:8" x14ac:dyDescent="0.3">
      <c r="A227" s="35">
        <v>1212121331</v>
      </c>
      <c r="B227" s="36">
        <v>32695864</v>
      </c>
      <c r="C227" s="37">
        <v>44529</v>
      </c>
      <c r="D227" s="137">
        <v>165.00299999999999</v>
      </c>
      <c r="E227" s="36" t="s">
        <v>655</v>
      </c>
      <c r="F227" s="36">
        <v>1</v>
      </c>
      <c r="G227" s="36" t="s">
        <v>112</v>
      </c>
      <c r="H227" s="37">
        <v>44529</v>
      </c>
    </row>
    <row r="228" spans="1:8" x14ac:dyDescent="0.3">
      <c r="A228" s="35">
        <v>1212121325</v>
      </c>
      <c r="B228" s="36">
        <v>18583196</v>
      </c>
      <c r="C228" s="37">
        <v>44529</v>
      </c>
      <c r="D228" s="137">
        <v>52.131</v>
      </c>
      <c r="E228" s="36" t="s">
        <v>655</v>
      </c>
      <c r="F228" s="36">
        <v>1</v>
      </c>
      <c r="G228" s="36" t="s">
        <v>112</v>
      </c>
      <c r="H228" s="37">
        <v>44529</v>
      </c>
    </row>
    <row r="229" spans="1:8" x14ac:dyDescent="0.3">
      <c r="A229" s="35">
        <v>1212121309</v>
      </c>
      <c r="B229" s="36" t="s">
        <v>671</v>
      </c>
      <c r="C229" s="37">
        <v>44529</v>
      </c>
      <c r="D229" s="137">
        <v>10053.087</v>
      </c>
      <c r="E229" s="36" t="s">
        <v>655</v>
      </c>
      <c r="F229" s="36">
        <v>6</v>
      </c>
      <c r="G229" s="36" t="s">
        <v>112</v>
      </c>
      <c r="H229" s="37">
        <v>44529</v>
      </c>
    </row>
    <row r="230" spans="1:8" x14ac:dyDescent="0.3">
      <c r="A230" s="35">
        <v>1212121351</v>
      </c>
      <c r="B230" s="36">
        <v>51580357</v>
      </c>
      <c r="C230" s="37">
        <v>44529</v>
      </c>
      <c r="D230" s="137">
        <v>110.002</v>
      </c>
      <c r="E230" s="36" t="s">
        <v>655</v>
      </c>
      <c r="F230" s="36">
        <v>1</v>
      </c>
      <c r="G230" s="36" t="s">
        <v>112</v>
      </c>
      <c r="H230" s="37">
        <v>44529</v>
      </c>
    </row>
    <row r="231" spans="1:8" x14ac:dyDescent="0.3">
      <c r="A231" s="35">
        <v>1212121864</v>
      </c>
      <c r="B231" s="36">
        <v>38924848</v>
      </c>
      <c r="C231" s="37">
        <v>44531</v>
      </c>
      <c r="D231" s="137">
        <v>3520.0619999999999</v>
      </c>
      <c r="E231" s="36" t="s">
        <v>655</v>
      </c>
      <c r="F231" s="36">
        <v>2</v>
      </c>
      <c r="G231" s="36" t="s">
        <v>112</v>
      </c>
      <c r="H231" s="37">
        <v>44530</v>
      </c>
    </row>
    <row r="232" spans="1:8" x14ac:dyDescent="0.3">
      <c r="A232" s="35">
        <v>1212121857</v>
      </c>
      <c r="B232" s="36">
        <v>38924661</v>
      </c>
      <c r="C232" s="37">
        <v>44531</v>
      </c>
      <c r="D232" s="137">
        <v>5280.0929999999998</v>
      </c>
      <c r="E232" s="36" t="s">
        <v>655</v>
      </c>
      <c r="F232" s="36">
        <v>3</v>
      </c>
      <c r="G232" s="36" t="s">
        <v>112</v>
      </c>
      <c r="H232" s="37">
        <v>44530</v>
      </c>
    </row>
    <row r="233" spans="1:8" x14ac:dyDescent="0.3">
      <c r="A233" s="35">
        <v>1212122771</v>
      </c>
      <c r="B233" s="36">
        <v>68571236</v>
      </c>
      <c r="C233" s="37">
        <v>44531</v>
      </c>
      <c r="D233" s="137">
        <v>220.00399999999999</v>
      </c>
      <c r="E233" s="36" t="s">
        <v>655</v>
      </c>
      <c r="F233" s="36">
        <v>1</v>
      </c>
      <c r="G233" s="36" t="s">
        <v>112</v>
      </c>
      <c r="H233" s="37">
        <v>44530</v>
      </c>
    </row>
    <row r="234" spans="1:8" x14ac:dyDescent="0.3">
      <c r="A234" s="35">
        <v>1212122823</v>
      </c>
      <c r="B234" s="36">
        <v>34991756</v>
      </c>
      <c r="C234" s="37">
        <v>44531</v>
      </c>
      <c r="D234" s="137">
        <v>660.01199999999994</v>
      </c>
      <c r="E234" s="36" t="s">
        <v>655</v>
      </c>
      <c r="F234" s="36">
        <v>1</v>
      </c>
      <c r="G234" s="36" t="s">
        <v>112</v>
      </c>
      <c r="H234" s="37">
        <v>44530</v>
      </c>
    </row>
    <row r="235" spans="1:8" x14ac:dyDescent="0.3">
      <c r="A235" s="35">
        <v>1212122750</v>
      </c>
      <c r="B235" s="36">
        <v>41578595</v>
      </c>
      <c r="C235" s="37">
        <v>44531</v>
      </c>
      <c r="D235" s="137">
        <v>110.002</v>
      </c>
      <c r="E235" s="36" t="s">
        <v>655</v>
      </c>
      <c r="F235" s="36">
        <v>1</v>
      </c>
      <c r="G235" s="36" t="s">
        <v>112</v>
      </c>
      <c r="H235" s="37">
        <v>44530</v>
      </c>
    </row>
    <row r="236" spans="1:8" x14ac:dyDescent="0.3">
      <c r="A236" s="35">
        <v>1212122828</v>
      </c>
      <c r="B236" s="36">
        <v>35693305</v>
      </c>
      <c r="C236" s="37">
        <v>44531</v>
      </c>
      <c r="D236" s="137">
        <v>605.01099999999997</v>
      </c>
      <c r="E236" s="36" t="s">
        <v>655</v>
      </c>
      <c r="F236" s="36">
        <v>1</v>
      </c>
      <c r="G236" s="36" t="s">
        <v>112</v>
      </c>
      <c r="H236" s="37">
        <v>44530</v>
      </c>
    </row>
    <row r="237" spans="1:8" x14ac:dyDescent="0.3">
      <c r="A237" s="35">
        <v>1212122837</v>
      </c>
      <c r="B237" s="36">
        <v>84570914</v>
      </c>
      <c r="C237" s="37">
        <v>44531</v>
      </c>
      <c r="D237" s="137">
        <v>605.01099999999997</v>
      </c>
      <c r="E237" s="36" t="s">
        <v>655</v>
      </c>
      <c r="F237" s="36">
        <v>1</v>
      </c>
      <c r="G237" s="36" t="s">
        <v>112</v>
      </c>
      <c r="H237" s="37">
        <v>44530</v>
      </c>
    </row>
    <row r="238" spans="1:8" x14ac:dyDescent="0.3">
      <c r="A238" s="35">
        <v>1212121982</v>
      </c>
      <c r="B238" s="36">
        <v>32966385</v>
      </c>
      <c r="C238" s="37">
        <v>44530</v>
      </c>
      <c r="D238" s="137">
        <v>1109.9949999999999</v>
      </c>
      <c r="E238" s="36" t="s">
        <v>655</v>
      </c>
      <c r="F238" s="36">
        <v>1</v>
      </c>
      <c r="G238" s="36" t="s">
        <v>112</v>
      </c>
      <c r="H238" s="37">
        <v>44531</v>
      </c>
    </row>
    <row r="239" spans="1:8" x14ac:dyDescent="0.3">
      <c r="A239" s="35">
        <v>1212121987</v>
      </c>
      <c r="B239" s="36">
        <v>48559747</v>
      </c>
      <c r="C239" s="37">
        <v>44530</v>
      </c>
      <c r="D239" s="137">
        <v>55.000999999999998</v>
      </c>
      <c r="E239" s="36" t="s">
        <v>655</v>
      </c>
      <c r="F239" s="36">
        <v>1</v>
      </c>
      <c r="G239" s="36" t="s">
        <v>112</v>
      </c>
      <c r="H239" s="37">
        <v>44531</v>
      </c>
    </row>
    <row r="240" spans="1:8" x14ac:dyDescent="0.3">
      <c r="A240" s="35">
        <v>1212121988</v>
      </c>
      <c r="B240" s="36">
        <v>48559749</v>
      </c>
      <c r="C240" s="37">
        <v>44530</v>
      </c>
      <c r="D240" s="137">
        <v>55.000999999999998</v>
      </c>
      <c r="E240" s="36" t="s">
        <v>655</v>
      </c>
      <c r="F240" s="36">
        <v>1</v>
      </c>
      <c r="G240" s="36" t="s">
        <v>112</v>
      </c>
      <c r="H240" s="37">
        <v>44531</v>
      </c>
    </row>
    <row r="241" spans="1:8" x14ac:dyDescent="0.3">
      <c r="A241" s="35">
        <v>1212122005</v>
      </c>
      <c r="B241" s="36">
        <v>92582893</v>
      </c>
      <c r="C241" s="37">
        <v>44530</v>
      </c>
      <c r="D241" s="137">
        <v>330.00599999999997</v>
      </c>
      <c r="E241" s="36" t="s">
        <v>655</v>
      </c>
      <c r="F241" s="36">
        <v>1</v>
      </c>
      <c r="G241" s="36" t="s">
        <v>112</v>
      </c>
      <c r="H241" s="37">
        <v>44531</v>
      </c>
    </row>
    <row r="242" spans="1:8" x14ac:dyDescent="0.3">
      <c r="A242" s="35">
        <v>1212121986</v>
      </c>
      <c r="B242" s="36">
        <v>47571835</v>
      </c>
      <c r="C242" s="37">
        <v>44530</v>
      </c>
      <c r="D242" s="137">
        <v>1375.0239999999999</v>
      </c>
      <c r="E242" s="36" t="s">
        <v>655</v>
      </c>
      <c r="F242" s="36">
        <v>1</v>
      </c>
      <c r="G242" s="36" t="s">
        <v>112</v>
      </c>
      <c r="H242" s="37">
        <v>44531</v>
      </c>
    </row>
    <row r="243" spans="1:8" x14ac:dyDescent="0.3">
      <c r="A243" s="35">
        <v>1212122650</v>
      </c>
      <c r="B243" s="36">
        <v>33716890</v>
      </c>
      <c r="C243" s="37">
        <v>44531</v>
      </c>
      <c r="D243" s="137">
        <v>1876.7</v>
      </c>
      <c r="E243" s="36" t="s">
        <v>655</v>
      </c>
      <c r="F243" s="36">
        <v>1</v>
      </c>
      <c r="G243" s="36" t="s">
        <v>112</v>
      </c>
      <c r="H243" s="37">
        <v>44530</v>
      </c>
    </row>
    <row r="244" spans="1:8" x14ac:dyDescent="0.3">
      <c r="A244" s="35">
        <v>1212121964</v>
      </c>
      <c r="B244" s="36">
        <v>32890518</v>
      </c>
      <c r="C244" s="37">
        <v>44530</v>
      </c>
      <c r="D244" s="137">
        <v>5327.98</v>
      </c>
      <c r="E244" s="36" t="s">
        <v>655</v>
      </c>
      <c r="F244" s="36">
        <v>4</v>
      </c>
      <c r="G244" s="36" t="s">
        <v>112</v>
      </c>
      <c r="H244" s="37">
        <v>44531</v>
      </c>
    </row>
    <row r="245" spans="1:8" x14ac:dyDescent="0.3">
      <c r="A245" s="35">
        <v>1212123023</v>
      </c>
      <c r="B245" s="36">
        <v>38926893</v>
      </c>
      <c r="C245" s="37">
        <v>44533</v>
      </c>
      <c r="D245" s="137">
        <v>1809.56</v>
      </c>
      <c r="E245" s="36" t="s">
        <v>655</v>
      </c>
      <c r="F245" s="36">
        <v>1</v>
      </c>
      <c r="G245" s="36" t="s">
        <v>112</v>
      </c>
      <c r="H245" s="37">
        <v>44532</v>
      </c>
    </row>
    <row r="246" spans="1:8" x14ac:dyDescent="0.3">
      <c r="A246" s="35">
        <v>1212123424</v>
      </c>
      <c r="B246" s="36" t="s">
        <v>672</v>
      </c>
      <c r="C246" s="37">
        <v>44533</v>
      </c>
      <c r="D246" s="137">
        <v>7791.143</v>
      </c>
      <c r="E246" s="36" t="s">
        <v>655</v>
      </c>
      <c r="F246" s="36">
        <v>4</v>
      </c>
      <c r="G246" s="36" t="s">
        <v>112</v>
      </c>
      <c r="H246" s="37">
        <v>44532</v>
      </c>
    </row>
    <row r="247" spans="1:8" x14ac:dyDescent="0.3">
      <c r="A247" s="35">
        <v>1212123438</v>
      </c>
      <c r="B247" s="36">
        <v>35987729</v>
      </c>
      <c r="C247" s="37">
        <v>44533</v>
      </c>
      <c r="D247" s="137">
        <v>330.00599999999997</v>
      </c>
      <c r="E247" s="36" t="s">
        <v>655</v>
      </c>
      <c r="F247" s="36">
        <v>1</v>
      </c>
      <c r="G247" s="36" t="s">
        <v>112</v>
      </c>
      <c r="H247" s="37">
        <v>44532</v>
      </c>
    </row>
    <row r="248" spans="1:8" x14ac:dyDescent="0.3">
      <c r="A248" s="35">
        <v>1212123460</v>
      </c>
      <c r="B248" s="36">
        <v>49573674</v>
      </c>
      <c r="C248" s="37">
        <v>44533</v>
      </c>
      <c r="D248" s="137">
        <v>825.01499999999999</v>
      </c>
      <c r="E248" s="36" t="s">
        <v>655</v>
      </c>
      <c r="F248" s="36">
        <v>1</v>
      </c>
      <c r="G248" s="36" t="s">
        <v>112</v>
      </c>
      <c r="H248" s="37">
        <v>44532</v>
      </c>
    </row>
    <row r="249" spans="1:8" x14ac:dyDescent="0.3">
      <c r="A249" s="35">
        <v>1212123454</v>
      </c>
      <c r="B249" s="36">
        <v>36742096</v>
      </c>
      <c r="C249" s="37">
        <v>44533</v>
      </c>
      <c r="D249" s="137">
        <v>74.001000000000005</v>
      </c>
      <c r="E249" s="36" t="s">
        <v>655</v>
      </c>
      <c r="F249" s="36">
        <v>1</v>
      </c>
      <c r="G249" s="36" t="s">
        <v>112</v>
      </c>
      <c r="H249" s="37">
        <v>44532</v>
      </c>
    </row>
    <row r="250" spans="1:8" x14ac:dyDescent="0.3">
      <c r="A250" s="35">
        <v>1212123491</v>
      </c>
      <c r="B250" s="36">
        <v>36985545</v>
      </c>
      <c r="C250" s="37">
        <v>44533</v>
      </c>
      <c r="D250" s="137">
        <v>110.002</v>
      </c>
      <c r="E250" s="36" t="s">
        <v>655</v>
      </c>
      <c r="F250" s="36">
        <v>1</v>
      </c>
      <c r="G250" s="36" t="s">
        <v>112</v>
      </c>
      <c r="H250" s="37">
        <v>44532</v>
      </c>
    </row>
    <row r="251" spans="1:8" x14ac:dyDescent="0.3">
      <c r="A251" s="35">
        <v>1212123684</v>
      </c>
      <c r="B251" s="36">
        <v>17565723</v>
      </c>
      <c r="C251" s="37">
        <v>44536</v>
      </c>
      <c r="D251" s="137">
        <v>804.24699999999996</v>
      </c>
      <c r="E251" s="36" t="s">
        <v>655</v>
      </c>
      <c r="F251" s="36">
        <v>1</v>
      </c>
      <c r="G251" s="36" t="s">
        <v>112</v>
      </c>
      <c r="H251" s="37">
        <v>44533</v>
      </c>
    </row>
    <row r="252" spans="1:8" x14ac:dyDescent="0.3">
      <c r="A252" s="35">
        <v>1212123672</v>
      </c>
      <c r="B252" s="36" t="s">
        <v>673</v>
      </c>
      <c r="C252" s="37">
        <v>44536</v>
      </c>
      <c r="D252" s="137">
        <v>3970.97</v>
      </c>
      <c r="E252" s="36" t="s">
        <v>655</v>
      </c>
      <c r="F252" s="36">
        <v>2</v>
      </c>
      <c r="G252" s="36" t="s">
        <v>112</v>
      </c>
      <c r="H252" s="37">
        <v>44533</v>
      </c>
    </row>
    <row r="253" spans="1:8" x14ac:dyDescent="0.3">
      <c r="A253" s="35">
        <v>1212123695</v>
      </c>
      <c r="B253" s="36">
        <v>37681856</v>
      </c>
      <c r="C253" s="37">
        <v>44536</v>
      </c>
      <c r="D253" s="137">
        <v>165.00299999999999</v>
      </c>
      <c r="E253" s="36" t="s">
        <v>655</v>
      </c>
      <c r="F253" s="36">
        <v>1</v>
      </c>
      <c r="G253" s="36" t="s">
        <v>112</v>
      </c>
      <c r="H253" s="37">
        <v>44533</v>
      </c>
    </row>
    <row r="254" spans="1:8" x14ac:dyDescent="0.3">
      <c r="A254" s="35">
        <v>1212123633</v>
      </c>
      <c r="B254" s="36">
        <v>35910122</v>
      </c>
      <c r="C254" s="37">
        <v>44536</v>
      </c>
      <c r="D254" s="137">
        <v>5280.09</v>
      </c>
      <c r="E254" s="36" t="s">
        <v>655</v>
      </c>
      <c r="F254" s="36">
        <v>3</v>
      </c>
      <c r="G254" s="36" t="s">
        <v>112</v>
      </c>
      <c r="H254" s="37">
        <v>44533</v>
      </c>
    </row>
    <row r="255" spans="1:8" x14ac:dyDescent="0.3">
      <c r="A255" s="35">
        <v>1212123677</v>
      </c>
      <c r="B255" s="36">
        <v>1581607</v>
      </c>
      <c r="C255" s="37">
        <v>44536</v>
      </c>
      <c r="D255" s="137">
        <v>50.265000000000001</v>
      </c>
      <c r="E255" s="36" t="s">
        <v>655</v>
      </c>
      <c r="F255" s="36">
        <v>1</v>
      </c>
      <c r="G255" s="36" t="s">
        <v>112</v>
      </c>
      <c r="H255" s="37">
        <v>44533</v>
      </c>
    </row>
    <row r="256" spans="1:8" x14ac:dyDescent="0.3">
      <c r="A256" s="35">
        <v>1212123688</v>
      </c>
      <c r="B256" s="36">
        <v>37606821</v>
      </c>
      <c r="C256" s="37">
        <v>44536</v>
      </c>
      <c r="D256" s="137">
        <v>573.43600000000004</v>
      </c>
      <c r="E256" s="36" t="s">
        <v>655</v>
      </c>
      <c r="F256" s="36">
        <v>1</v>
      </c>
      <c r="G256" s="36" t="s">
        <v>112</v>
      </c>
      <c r="H256" s="37">
        <v>44533</v>
      </c>
    </row>
    <row r="257" spans="1:8" x14ac:dyDescent="0.3">
      <c r="A257" s="35">
        <v>1212123694</v>
      </c>
      <c r="B257" s="36">
        <v>37659662</v>
      </c>
      <c r="C257" s="37">
        <v>44536</v>
      </c>
      <c r="D257" s="137">
        <v>1479.9949999999999</v>
      </c>
      <c r="E257" s="36" t="s">
        <v>655</v>
      </c>
      <c r="F257" s="36">
        <v>1</v>
      </c>
      <c r="G257" s="36" t="s">
        <v>112</v>
      </c>
      <c r="H257" s="37">
        <v>44533</v>
      </c>
    </row>
    <row r="258" spans="1:8" x14ac:dyDescent="0.3">
      <c r="A258" s="35">
        <v>1212123942</v>
      </c>
      <c r="B258" s="36">
        <v>31903430</v>
      </c>
      <c r="C258" s="37">
        <v>44537</v>
      </c>
      <c r="D258" s="137">
        <v>8849.68</v>
      </c>
      <c r="E258" s="36" t="s">
        <v>655</v>
      </c>
      <c r="F258" s="36">
        <v>5</v>
      </c>
      <c r="G258" s="36" t="s">
        <v>112</v>
      </c>
      <c r="H258" s="37">
        <v>44537</v>
      </c>
    </row>
    <row r="259" spans="1:8" x14ac:dyDescent="0.3">
      <c r="A259" s="35">
        <v>1212124048</v>
      </c>
      <c r="B259" s="36">
        <v>37888325</v>
      </c>
      <c r="C259" s="37">
        <v>44537</v>
      </c>
      <c r="D259" s="137">
        <v>2219.991</v>
      </c>
      <c r="E259" s="36" t="s">
        <v>655</v>
      </c>
      <c r="F259" s="36">
        <v>2</v>
      </c>
      <c r="G259" s="36" t="s">
        <v>112</v>
      </c>
      <c r="H259" s="37">
        <v>44537</v>
      </c>
    </row>
    <row r="260" spans="1:8" x14ac:dyDescent="0.3">
      <c r="A260" s="35">
        <v>1212124051</v>
      </c>
      <c r="B260" s="36">
        <v>37896858</v>
      </c>
      <c r="C260" s="37">
        <v>44537</v>
      </c>
      <c r="D260" s="137">
        <v>102.396</v>
      </c>
      <c r="E260" s="36" t="s">
        <v>655</v>
      </c>
      <c r="F260" s="36">
        <v>1</v>
      </c>
      <c r="G260" s="36" t="s">
        <v>112</v>
      </c>
      <c r="H260" s="37">
        <v>44537</v>
      </c>
    </row>
    <row r="261" spans="1:8" x14ac:dyDescent="0.3">
      <c r="A261" s="35">
        <v>1212124028</v>
      </c>
      <c r="B261" s="36">
        <v>76577914</v>
      </c>
      <c r="C261" s="37">
        <v>44537</v>
      </c>
      <c r="D261" s="137">
        <v>2475.0439999999999</v>
      </c>
      <c r="E261" s="36" t="s">
        <v>655</v>
      </c>
      <c r="F261" s="36">
        <v>1</v>
      </c>
      <c r="G261" s="36" t="s">
        <v>112</v>
      </c>
      <c r="H261" s="37">
        <v>44537</v>
      </c>
    </row>
    <row r="262" spans="1:8" x14ac:dyDescent="0.3">
      <c r="A262" s="35">
        <v>1212124053</v>
      </c>
      <c r="B262" s="36">
        <v>37919480</v>
      </c>
      <c r="C262" s="37">
        <v>44537</v>
      </c>
      <c r="D262" s="137">
        <v>55.000999999999998</v>
      </c>
      <c r="E262" s="36" t="s">
        <v>655</v>
      </c>
      <c r="F262" s="36">
        <v>1</v>
      </c>
      <c r="G262" s="36" t="s">
        <v>112</v>
      </c>
      <c r="H262" s="37">
        <v>44537</v>
      </c>
    </row>
    <row r="263" spans="1:8" x14ac:dyDescent="0.3">
      <c r="A263" s="35">
        <v>1212124002</v>
      </c>
      <c r="B263" s="36">
        <v>7576672</v>
      </c>
      <c r="C263" s="37">
        <v>44537</v>
      </c>
      <c r="D263" s="137">
        <v>55.000999999999998</v>
      </c>
      <c r="E263" s="36" t="s">
        <v>655</v>
      </c>
      <c r="F263" s="36">
        <v>1</v>
      </c>
      <c r="G263" s="36" t="s">
        <v>112</v>
      </c>
      <c r="H263" s="37">
        <v>44537</v>
      </c>
    </row>
    <row r="264" spans="1:8" x14ac:dyDescent="0.3">
      <c r="A264" s="35">
        <v>1212124033</v>
      </c>
      <c r="B264" s="36">
        <v>25550990</v>
      </c>
      <c r="C264" s="37">
        <v>44537</v>
      </c>
      <c r="D264" s="137">
        <v>1651.6890000000001</v>
      </c>
      <c r="E264" s="36" t="s">
        <v>655</v>
      </c>
      <c r="F264" s="36">
        <v>2</v>
      </c>
      <c r="G264" s="36" t="s">
        <v>112</v>
      </c>
      <c r="H264" s="37">
        <v>44537</v>
      </c>
    </row>
    <row r="265" spans="1:8" x14ac:dyDescent="0.3">
      <c r="A265" s="35">
        <v>1212125132</v>
      </c>
      <c r="B265" s="36">
        <v>38747276</v>
      </c>
      <c r="C265" s="37">
        <v>44538</v>
      </c>
      <c r="D265" s="137">
        <v>110.002</v>
      </c>
      <c r="E265" s="36" t="s">
        <v>655</v>
      </c>
      <c r="F265" s="36">
        <v>1</v>
      </c>
      <c r="G265" s="36" t="s">
        <v>112</v>
      </c>
      <c r="H265" s="37">
        <v>44538</v>
      </c>
    </row>
    <row r="266" spans="1:8" x14ac:dyDescent="0.3">
      <c r="A266" s="35">
        <v>1212124953</v>
      </c>
      <c r="B266" s="36">
        <v>69562100</v>
      </c>
      <c r="C266" s="37">
        <v>44538</v>
      </c>
      <c r="D266" s="137">
        <v>550.01</v>
      </c>
      <c r="E266" s="36" t="s">
        <v>655</v>
      </c>
      <c r="F266" s="36">
        <v>1</v>
      </c>
      <c r="G266" s="36" t="s">
        <v>112</v>
      </c>
      <c r="H266" s="37">
        <v>44538</v>
      </c>
    </row>
    <row r="267" spans="1:8" x14ac:dyDescent="0.3">
      <c r="A267" s="35">
        <v>1212125130</v>
      </c>
      <c r="B267" s="36">
        <v>38699171</v>
      </c>
      <c r="C267" s="37">
        <v>44538</v>
      </c>
      <c r="D267" s="137">
        <v>2865.13</v>
      </c>
      <c r="E267" s="36" t="s">
        <v>655</v>
      </c>
      <c r="F267" s="36">
        <v>2</v>
      </c>
      <c r="G267" s="36" t="s">
        <v>112</v>
      </c>
      <c r="H267" s="37">
        <v>44538</v>
      </c>
    </row>
    <row r="268" spans="1:8" x14ac:dyDescent="0.3">
      <c r="A268" s="35">
        <v>1212125136</v>
      </c>
      <c r="B268" s="36">
        <v>38778195</v>
      </c>
      <c r="C268" s="37">
        <v>44538</v>
      </c>
      <c r="D268" s="137">
        <v>74.001999999999995</v>
      </c>
      <c r="E268" s="36" t="s">
        <v>655</v>
      </c>
      <c r="F268" s="36">
        <v>1</v>
      </c>
      <c r="G268" s="36" t="s">
        <v>112</v>
      </c>
      <c r="H268" s="37">
        <v>44538</v>
      </c>
    </row>
    <row r="269" spans="1:8" x14ac:dyDescent="0.3">
      <c r="A269" s="35">
        <v>1212125140</v>
      </c>
      <c r="B269" s="36">
        <v>38783612</v>
      </c>
      <c r="C269" s="37">
        <v>44538</v>
      </c>
      <c r="D269" s="137">
        <v>351.858</v>
      </c>
      <c r="E269" s="36" t="s">
        <v>655</v>
      </c>
      <c r="F269" s="36">
        <v>1</v>
      </c>
      <c r="G269" s="36" t="s">
        <v>112</v>
      </c>
      <c r="H269" s="37">
        <v>44538</v>
      </c>
    </row>
    <row r="270" spans="1:8" x14ac:dyDescent="0.3">
      <c r="A270" s="35">
        <v>1212125031</v>
      </c>
      <c r="B270" s="36">
        <v>37946956</v>
      </c>
      <c r="C270" s="37">
        <v>44538</v>
      </c>
      <c r="D270" s="137">
        <v>37.000999999999998</v>
      </c>
      <c r="E270" s="36" t="s">
        <v>655</v>
      </c>
      <c r="F270" s="36">
        <v>1</v>
      </c>
      <c r="G270" s="36" t="s">
        <v>112</v>
      </c>
      <c r="H270" s="37">
        <v>44538</v>
      </c>
    </row>
    <row r="271" spans="1:8" x14ac:dyDescent="0.3">
      <c r="A271" s="35">
        <v>1212125122</v>
      </c>
      <c r="B271" s="36">
        <v>10581151</v>
      </c>
      <c r="C271" s="37">
        <v>44538</v>
      </c>
      <c r="D271" s="137">
        <v>552.91999999999996</v>
      </c>
      <c r="E271" s="36" t="s">
        <v>655</v>
      </c>
      <c r="F271" s="36">
        <v>1</v>
      </c>
      <c r="G271" s="36" t="s">
        <v>112</v>
      </c>
      <c r="H271" s="37">
        <v>44538</v>
      </c>
    </row>
    <row r="272" spans="1:8" x14ac:dyDescent="0.3">
      <c r="A272" s="35">
        <v>1212124664</v>
      </c>
      <c r="B272" s="36">
        <v>38926888</v>
      </c>
      <c r="C272" s="37">
        <v>44539</v>
      </c>
      <c r="D272" s="137">
        <v>1760.0309999999999</v>
      </c>
      <c r="E272" s="36" t="s">
        <v>655</v>
      </c>
      <c r="F272" s="36">
        <v>1</v>
      </c>
      <c r="G272" s="36" t="s">
        <v>112</v>
      </c>
      <c r="H272" s="37">
        <v>44538</v>
      </c>
    </row>
    <row r="273" spans="1:8" x14ac:dyDescent="0.3">
      <c r="A273" s="35">
        <v>1212124665</v>
      </c>
      <c r="B273" s="36">
        <v>38926889</v>
      </c>
      <c r="C273" s="37">
        <v>44539</v>
      </c>
      <c r="D273" s="137">
        <v>1760.0309999999999</v>
      </c>
      <c r="E273" s="36" t="s">
        <v>655</v>
      </c>
      <c r="F273" s="36">
        <v>1</v>
      </c>
      <c r="G273" s="36" t="s">
        <v>112</v>
      </c>
      <c r="H273" s="37">
        <v>44538</v>
      </c>
    </row>
    <row r="274" spans="1:8" x14ac:dyDescent="0.3">
      <c r="A274" s="35">
        <v>1212125622</v>
      </c>
      <c r="B274" s="36" t="s">
        <v>674</v>
      </c>
      <c r="C274" s="37">
        <v>44539</v>
      </c>
      <c r="D274" s="137">
        <v>16478.686000000002</v>
      </c>
      <c r="E274" s="36" t="s">
        <v>655</v>
      </c>
      <c r="F274" s="36">
        <v>8</v>
      </c>
      <c r="G274" s="36" t="s">
        <v>112</v>
      </c>
      <c r="H274" s="37">
        <v>44538</v>
      </c>
    </row>
    <row r="275" spans="1:8" x14ac:dyDescent="0.3">
      <c r="A275" s="35">
        <v>1212125755</v>
      </c>
      <c r="B275" s="36">
        <v>39657966</v>
      </c>
      <c r="C275" s="37">
        <v>44539</v>
      </c>
      <c r="D275" s="137">
        <v>16478.686000000002</v>
      </c>
      <c r="E275" s="36" t="s">
        <v>655</v>
      </c>
      <c r="F275" s="36">
        <v>4</v>
      </c>
      <c r="G275" s="36" t="s">
        <v>112</v>
      </c>
      <c r="H275" s="37">
        <v>44538</v>
      </c>
    </row>
    <row r="276" spans="1:8" x14ac:dyDescent="0.3">
      <c r="A276" s="35">
        <v>1212125778</v>
      </c>
      <c r="B276" s="36">
        <v>39741213</v>
      </c>
      <c r="C276" s="37">
        <v>44539</v>
      </c>
      <c r="D276" s="137">
        <v>111.001</v>
      </c>
      <c r="E276" s="36" t="s">
        <v>655</v>
      </c>
      <c r="F276" s="36">
        <v>1</v>
      </c>
      <c r="G276" s="36" t="s">
        <v>112</v>
      </c>
      <c r="H276" s="37">
        <v>44538</v>
      </c>
    </row>
    <row r="277" spans="1:8" x14ac:dyDescent="0.3">
      <c r="A277" s="35">
        <v>1212125781</v>
      </c>
      <c r="B277" s="36">
        <v>58561382</v>
      </c>
      <c r="C277" s="37">
        <v>44539</v>
      </c>
      <c r="D277" s="137">
        <v>104.261</v>
      </c>
      <c r="E277" s="36" t="s">
        <v>655</v>
      </c>
      <c r="F277" s="36">
        <v>1</v>
      </c>
      <c r="G277" s="36" t="s">
        <v>112</v>
      </c>
      <c r="H277" s="37">
        <v>44538</v>
      </c>
    </row>
    <row r="278" spans="1:8" x14ac:dyDescent="0.3">
      <c r="A278" s="35">
        <v>1212125629</v>
      </c>
      <c r="B278" s="36">
        <v>18584778</v>
      </c>
      <c r="C278" s="37">
        <v>44539</v>
      </c>
      <c r="D278" s="137">
        <v>880.97</v>
      </c>
      <c r="E278" s="36" t="s">
        <v>655</v>
      </c>
      <c r="F278" s="36">
        <v>1</v>
      </c>
      <c r="G278" s="36" t="s">
        <v>112</v>
      </c>
      <c r="H278" s="37">
        <v>44538</v>
      </c>
    </row>
    <row r="279" spans="1:8" x14ac:dyDescent="0.3">
      <c r="A279" s="35">
        <v>1212124672</v>
      </c>
      <c r="B279" s="36">
        <v>26919207</v>
      </c>
      <c r="C279" s="37">
        <v>44543</v>
      </c>
      <c r="D279" s="137">
        <v>5280.0929999999998</v>
      </c>
      <c r="E279" s="36" t="s">
        <v>655</v>
      </c>
      <c r="F279" s="36">
        <v>3</v>
      </c>
      <c r="G279" s="36" t="s">
        <v>112</v>
      </c>
      <c r="H279" s="37">
        <v>44542</v>
      </c>
    </row>
    <row r="280" spans="1:8" x14ac:dyDescent="0.3">
      <c r="A280" s="35">
        <v>1212126654</v>
      </c>
      <c r="B280" s="36">
        <v>14916621</v>
      </c>
      <c r="C280" s="37">
        <v>44543</v>
      </c>
      <c r="D280" s="137">
        <v>10560.186</v>
      </c>
      <c r="E280" s="36" t="s">
        <v>655</v>
      </c>
      <c r="F280" s="36">
        <v>6</v>
      </c>
      <c r="G280" s="36" t="s">
        <v>112</v>
      </c>
      <c r="H280" s="37">
        <v>44542</v>
      </c>
    </row>
    <row r="281" spans="1:8" x14ac:dyDescent="0.3">
      <c r="A281" s="35">
        <v>1212127224</v>
      </c>
      <c r="B281" s="36">
        <v>33920871</v>
      </c>
      <c r="C281" s="37">
        <v>44544</v>
      </c>
      <c r="D281" s="137">
        <v>17600.3</v>
      </c>
      <c r="E281" s="36" t="s">
        <v>655</v>
      </c>
      <c r="F281" s="36">
        <v>10</v>
      </c>
      <c r="G281" s="36" t="s">
        <v>112</v>
      </c>
      <c r="H281" s="37">
        <v>44543</v>
      </c>
    </row>
    <row r="282" spans="1:8" x14ac:dyDescent="0.3">
      <c r="A282" s="35">
        <v>1212127050</v>
      </c>
      <c r="B282" s="36">
        <v>38926893</v>
      </c>
      <c r="C282" s="37">
        <v>44544</v>
      </c>
      <c r="D282" s="137">
        <v>1760.03</v>
      </c>
      <c r="E282" s="36" t="s">
        <v>655</v>
      </c>
      <c r="F282" s="36">
        <v>1</v>
      </c>
      <c r="G282" s="36" t="s">
        <v>112</v>
      </c>
      <c r="H282" s="37">
        <v>44543</v>
      </c>
    </row>
    <row r="283" spans="1:8" x14ac:dyDescent="0.3">
      <c r="A283" s="35">
        <v>1212127053</v>
      </c>
      <c r="B283" s="36">
        <v>32930366</v>
      </c>
      <c r="C283" s="37">
        <v>44544</v>
      </c>
      <c r="D283" s="137">
        <v>14080.24</v>
      </c>
      <c r="E283" s="36" t="s">
        <v>655</v>
      </c>
      <c r="F283" s="36">
        <v>8</v>
      </c>
      <c r="G283" s="36" t="s">
        <v>112</v>
      </c>
      <c r="H283" s="37">
        <v>44543</v>
      </c>
    </row>
    <row r="284" spans="1:8" x14ac:dyDescent="0.3">
      <c r="A284" s="35">
        <v>1212127054</v>
      </c>
      <c r="B284" s="36">
        <v>45914785</v>
      </c>
      <c r="C284" s="37">
        <v>44544</v>
      </c>
      <c r="D284" s="137">
        <v>5280.09</v>
      </c>
      <c r="E284" s="36" t="s">
        <v>655</v>
      </c>
      <c r="F284" s="36">
        <v>3</v>
      </c>
      <c r="G284" s="36" t="s">
        <v>112</v>
      </c>
      <c r="H284" s="37">
        <v>44543</v>
      </c>
    </row>
    <row r="285" spans="1:8" x14ac:dyDescent="0.3">
      <c r="A285" s="35">
        <v>1212127055</v>
      </c>
      <c r="B285" s="36">
        <v>35910122</v>
      </c>
      <c r="C285" s="37">
        <v>44544</v>
      </c>
      <c r="D285" s="137">
        <v>7040.12</v>
      </c>
      <c r="E285" s="36" t="s">
        <v>655</v>
      </c>
      <c r="F285" s="36">
        <v>4</v>
      </c>
      <c r="G285" s="36" t="s">
        <v>112</v>
      </c>
      <c r="H285" s="37">
        <v>44543</v>
      </c>
    </row>
    <row r="286" spans="1:8" x14ac:dyDescent="0.3">
      <c r="A286" s="35">
        <v>1212127942</v>
      </c>
      <c r="B286" s="36">
        <v>39572958</v>
      </c>
      <c r="C286" s="37">
        <v>44545</v>
      </c>
      <c r="D286" s="137">
        <v>165.00299999999999</v>
      </c>
      <c r="E286" s="36" t="s">
        <v>655</v>
      </c>
      <c r="F286" s="36">
        <v>1</v>
      </c>
      <c r="G286" s="36" t="s">
        <v>112</v>
      </c>
      <c r="H286" s="37">
        <v>44545</v>
      </c>
    </row>
    <row r="287" spans="1:8" x14ac:dyDescent="0.3">
      <c r="A287" s="35">
        <v>1212127939</v>
      </c>
      <c r="B287" s="36">
        <v>4564865</v>
      </c>
      <c r="C287" s="37">
        <v>44547</v>
      </c>
      <c r="D287" s="137">
        <v>220.00399999999999</v>
      </c>
      <c r="E287" s="36" t="s">
        <v>655</v>
      </c>
      <c r="F287" s="36">
        <v>1</v>
      </c>
      <c r="G287" s="36" t="s">
        <v>112</v>
      </c>
      <c r="H287" s="37">
        <v>44545</v>
      </c>
    </row>
    <row r="288" spans="1:8" x14ac:dyDescent="0.3">
      <c r="A288" s="35">
        <v>1212128255</v>
      </c>
      <c r="B288" s="36">
        <v>5552185</v>
      </c>
      <c r="C288" s="37">
        <v>44548</v>
      </c>
      <c r="D288" s="137">
        <v>1650.029</v>
      </c>
      <c r="E288" s="36" t="s">
        <v>655</v>
      </c>
      <c r="F288" s="36">
        <v>1</v>
      </c>
      <c r="G288" s="36" t="s">
        <v>112</v>
      </c>
      <c r="H288" s="37">
        <v>44545</v>
      </c>
    </row>
    <row r="289" spans="1:9" x14ac:dyDescent="0.3">
      <c r="A289" s="35">
        <v>1212128276</v>
      </c>
      <c r="B289" s="36">
        <v>31903430</v>
      </c>
      <c r="C289" s="37">
        <v>44545</v>
      </c>
      <c r="D289" s="137">
        <v>8800.1550000000007</v>
      </c>
      <c r="E289" s="36" t="s">
        <v>655</v>
      </c>
      <c r="F289" s="36">
        <v>5</v>
      </c>
      <c r="G289" s="36" t="s">
        <v>112</v>
      </c>
      <c r="H289" s="37">
        <v>44544</v>
      </c>
    </row>
    <row r="290" spans="1:9" x14ac:dyDescent="0.3">
      <c r="A290" s="35">
        <v>1212127932</v>
      </c>
      <c r="B290" s="36" t="s">
        <v>675</v>
      </c>
      <c r="C290" s="37">
        <v>44546</v>
      </c>
      <c r="D290" s="137">
        <v>715.01300000000003</v>
      </c>
      <c r="E290" s="36" t="s">
        <v>655</v>
      </c>
      <c r="F290" s="36">
        <v>1</v>
      </c>
      <c r="G290" s="36" t="s">
        <v>112</v>
      </c>
      <c r="H290" s="37">
        <v>44545</v>
      </c>
    </row>
    <row r="291" spans="1:9" x14ac:dyDescent="0.3">
      <c r="A291" s="35">
        <v>1212128281</v>
      </c>
      <c r="B291" s="36">
        <v>2571264</v>
      </c>
      <c r="C291" s="37">
        <v>44549</v>
      </c>
      <c r="D291" s="137">
        <v>165.00299999999999</v>
      </c>
      <c r="E291" s="36" t="s">
        <v>655</v>
      </c>
      <c r="F291" s="36">
        <v>1</v>
      </c>
      <c r="G291" s="36" t="s">
        <v>112</v>
      </c>
      <c r="H291" s="37">
        <v>44545</v>
      </c>
    </row>
    <row r="292" spans="1:9" x14ac:dyDescent="0.3">
      <c r="A292" s="35">
        <v>1212128266</v>
      </c>
      <c r="B292" s="36">
        <v>23562125</v>
      </c>
      <c r="C292" s="37">
        <v>44550</v>
      </c>
      <c r="D292" s="137">
        <v>165.00299999999999</v>
      </c>
      <c r="E292" s="36" t="s">
        <v>655</v>
      </c>
      <c r="F292" s="36">
        <v>1</v>
      </c>
      <c r="G292" s="36" t="s">
        <v>112</v>
      </c>
      <c r="H292" s="37">
        <v>44545</v>
      </c>
    </row>
    <row r="293" spans="1:9" x14ac:dyDescent="0.3">
      <c r="A293" s="50">
        <v>1212128310</v>
      </c>
      <c r="B293" s="51">
        <v>32978950</v>
      </c>
      <c r="C293" s="52">
        <v>44551</v>
      </c>
      <c r="D293" s="140">
        <v>110.002</v>
      </c>
      <c r="E293" s="51" t="s">
        <v>655</v>
      </c>
      <c r="F293" s="51">
        <v>1</v>
      </c>
      <c r="G293" s="51" t="s">
        <v>112</v>
      </c>
      <c r="H293" s="52">
        <v>44545</v>
      </c>
      <c r="I293" s="23" t="s">
        <v>676</v>
      </c>
    </row>
    <row r="294" spans="1:9" x14ac:dyDescent="0.3">
      <c r="A294" s="35">
        <v>1212129163</v>
      </c>
      <c r="B294" s="36">
        <v>3575068</v>
      </c>
      <c r="C294" s="37">
        <v>44552</v>
      </c>
      <c r="D294" s="137">
        <v>55.000999999999998</v>
      </c>
      <c r="E294" s="36" t="s">
        <v>655</v>
      </c>
      <c r="F294" s="36">
        <v>1</v>
      </c>
      <c r="G294" s="36" t="s">
        <v>112</v>
      </c>
      <c r="H294" s="37">
        <v>44545</v>
      </c>
    </row>
    <row r="295" spans="1:9" x14ac:dyDescent="0.3">
      <c r="A295" s="35">
        <v>1212128387</v>
      </c>
      <c r="B295" s="36" t="s">
        <v>677</v>
      </c>
      <c r="C295" s="37">
        <v>44547</v>
      </c>
      <c r="D295" s="137">
        <v>55.000999999999998</v>
      </c>
      <c r="E295" s="36" t="s">
        <v>655</v>
      </c>
      <c r="F295" s="36">
        <v>1</v>
      </c>
      <c r="G295" s="36" t="s">
        <v>112</v>
      </c>
      <c r="H295" s="37">
        <v>44546</v>
      </c>
    </row>
    <row r="296" spans="1:9" x14ac:dyDescent="0.3">
      <c r="A296" s="35">
        <v>1212125733</v>
      </c>
      <c r="B296" s="36">
        <v>47572121</v>
      </c>
      <c r="C296" s="37">
        <v>44547</v>
      </c>
      <c r="D296" s="137">
        <v>603.18499999999995</v>
      </c>
      <c r="E296" s="36" t="s">
        <v>655</v>
      </c>
      <c r="F296" s="36">
        <v>1</v>
      </c>
      <c r="G296" s="36" t="s">
        <v>112</v>
      </c>
      <c r="H296" s="37">
        <v>44546</v>
      </c>
    </row>
    <row r="297" spans="1:9" x14ac:dyDescent="0.3">
      <c r="A297" s="35">
        <v>1212128396</v>
      </c>
      <c r="B297" s="36">
        <v>21578721</v>
      </c>
      <c r="C297" s="37">
        <v>44547</v>
      </c>
      <c r="D297" s="137">
        <v>147.00200000000001</v>
      </c>
      <c r="E297" s="36" t="s">
        <v>655</v>
      </c>
      <c r="F297" s="36">
        <v>1</v>
      </c>
      <c r="G297" s="36" t="s">
        <v>112</v>
      </c>
      <c r="H297" s="37">
        <v>44546</v>
      </c>
    </row>
    <row r="298" spans="1:9" x14ac:dyDescent="0.3">
      <c r="A298" s="35">
        <v>1212129611</v>
      </c>
      <c r="B298" s="36">
        <v>27585897</v>
      </c>
      <c r="C298" s="37">
        <v>44547</v>
      </c>
      <c r="D298" s="137">
        <v>1042.6110000000001</v>
      </c>
      <c r="E298" s="36" t="s">
        <v>655</v>
      </c>
      <c r="F298" s="36">
        <v>1</v>
      </c>
      <c r="G298" s="36" t="s">
        <v>112</v>
      </c>
      <c r="H298" s="37">
        <v>44546</v>
      </c>
    </row>
    <row r="299" spans="1:9" x14ac:dyDescent="0.3">
      <c r="A299" s="35">
        <v>1212129717</v>
      </c>
      <c r="B299" s="36">
        <v>39572478</v>
      </c>
      <c r="C299" s="37">
        <v>44547</v>
      </c>
      <c r="D299" s="137">
        <v>385.00700000000001</v>
      </c>
      <c r="E299" s="36" t="s">
        <v>655</v>
      </c>
      <c r="F299" s="36">
        <v>1</v>
      </c>
      <c r="G299" s="36" t="s">
        <v>112</v>
      </c>
      <c r="H299" s="37">
        <v>44546</v>
      </c>
    </row>
    <row r="300" spans="1:9" x14ac:dyDescent="0.3">
      <c r="A300" s="35">
        <v>1212128404</v>
      </c>
      <c r="B300" s="36">
        <v>28583215</v>
      </c>
      <c r="C300" s="37">
        <v>44547</v>
      </c>
      <c r="D300" s="137">
        <v>275.005</v>
      </c>
      <c r="E300" s="36" t="s">
        <v>655</v>
      </c>
      <c r="F300" s="36">
        <v>1</v>
      </c>
      <c r="G300" s="36" t="s">
        <v>112</v>
      </c>
      <c r="H300" s="37">
        <v>44546</v>
      </c>
    </row>
    <row r="301" spans="1:9" x14ac:dyDescent="0.3">
      <c r="A301" s="35">
        <v>1212130446</v>
      </c>
      <c r="B301" s="36">
        <v>7587084</v>
      </c>
      <c r="C301" s="37">
        <v>44550</v>
      </c>
      <c r="D301" s="137">
        <v>550.01</v>
      </c>
      <c r="E301" s="36" t="s">
        <v>655</v>
      </c>
      <c r="F301" s="36">
        <v>1</v>
      </c>
      <c r="G301" s="36" t="s">
        <v>112</v>
      </c>
      <c r="H301" s="37">
        <v>44547</v>
      </c>
    </row>
    <row r="302" spans="1:9" x14ac:dyDescent="0.3">
      <c r="A302" s="35">
        <v>1212130511</v>
      </c>
      <c r="B302" s="36">
        <v>69589122</v>
      </c>
      <c r="C302" s="37">
        <v>44550</v>
      </c>
      <c r="D302" s="137">
        <v>550.01</v>
      </c>
      <c r="E302" s="36" t="s">
        <v>655</v>
      </c>
      <c r="F302" s="36">
        <v>1</v>
      </c>
      <c r="G302" s="36" t="s">
        <v>112</v>
      </c>
      <c r="H302" s="37">
        <v>44547</v>
      </c>
    </row>
    <row r="303" spans="1:9" x14ac:dyDescent="0.3">
      <c r="A303" s="35">
        <v>1212129826</v>
      </c>
      <c r="B303" s="36">
        <v>85559127</v>
      </c>
      <c r="C303" s="37">
        <v>44550</v>
      </c>
      <c r="D303" s="137">
        <v>3135.0549999999998</v>
      </c>
      <c r="E303" s="36" t="s">
        <v>655</v>
      </c>
      <c r="F303" s="36">
        <v>2</v>
      </c>
      <c r="G303" s="36" t="s">
        <v>112</v>
      </c>
      <c r="H303" s="37">
        <v>44547</v>
      </c>
    </row>
    <row r="304" spans="1:9" x14ac:dyDescent="0.3">
      <c r="A304" s="35">
        <v>1212130499</v>
      </c>
      <c r="B304" s="36">
        <v>68571627</v>
      </c>
      <c r="C304" s="37">
        <v>44550</v>
      </c>
      <c r="D304" s="137">
        <v>935.01599999999996</v>
      </c>
      <c r="E304" s="36" t="s">
        <v>655</v>
      </c>
      <c r="F304" s="36">
        <v>1</v>
      </c>
      <c r="G304" s="36" t="s">
        <v>112</v>
      </c>
      <c r="H304" s="37">
        <v>44547</v>
      </c>
    </row>
    <row r="305" spans="1:8" x14ac:dyDescent="0.3">
      <c r="A305" s="35">
        <v>1212130509</v>
      </c>
      <c r="B305" s="36">
        <v>68571629</v>
      </c>
      <c r="C305" s="37">
        <v>44550</v>
      </c>
      <c r="D305" s="137">
        <v>55.000999999999998</v>
      </c>
      <c r="E305" s="36" t="s">
        <v>655</v>
      </c>
      <c r="F305" s="36">
        <v>1</v>
      </c>
      <c r="G305" s="36" t="s">
        <v>112</v>
      </c>
      <c r="H305" s="37">
        <v>44547</v>
      </c>
    </row>
    <row r="306" spans="1:8" x14ac:dyDescent="0.3">
      <c r="A306" s="35">
        <v>1212129816</v>
      </c>
      <c r="B306" s="36">
        <v>43618809</v>
      </c>
      <c r="C306" s="37">
        <v>44550</v>
      </c>
      <c r="D306" s="137">
        <v>55.000999999999998</v>
      </c>
      <c r="E306" s="36" t="s">
        <v>655</v>
      </c>
      <c r="F306" s="36">
        <v>1</v>
      </c>
      <c r="G306" s="36" t="s">
        <v>112</v>
      </c>
      <c r="H306" s="37">
        <v>44547</v>
      </c>
    </row>
    <row r="307" spans="1:8" x14ac:dyDescent="0.3">
      <c r="A307" s="35">
        <v>1212130532</v>
      </c>
      <c r="B307" s="36">
        <v>62578542</v>
      </c>
      <c r="C307" s="37">
        <v>44550</v>
      </c>
      <c r="D307" s="137">
        <v>275.005</v>
      </c>
      <c r="E307" s="36" t="s">
        <v>655</v>
      </c>
      <c r="F307" s="36">
        <v>1</v>
      </c>
      <c r="G307" s="36" t="s">
        <v>112</v>
      </c>
      <c r="H307" s="37">
        <v>44547</v>
      </c>
    </row>
    <row r="308" spans="1:8" x14ac:dyDescent="0.3">
      <c r="A308" s="35">
        <v>1212130522</v>
      </c>
      <c r="B308" s="36">
        <v>42576721</v>
      </c>
      <c r="C308" s="37">
        <v>44550</v>
      </c>
      <c r="D308" s="137">
        <v>385.00700000000001</v>
      </c>
      <c r="E308" s="36" t="s">
        <v>655</v>
      </c>
      <c r="F308" s="36">
        <v>1</v>
      </c>
      <c r="G308" s="36" t="s">
        <v>112</v>
      </c>
      <c r="H308" s="37">
        <v>44547</v>
      </c>
    </row>
    <row r="309" spans="1:8" x14ac:dyDescent="0.3">
      <c r="A309" s="35">
        <v>1212125743</v>
      </c>
      <c r="B309" s="36">
        <v>5557192</v>
      </c>
      <c r="C309" s="37">
        <v>44550</v>
      </c>
      <c r="D309" s="137">
        <v>55.000999999999998</v>
      </c>
      <c r="E309" s="36" t="s">
        <v>655</v>
      </c>
      <c r="F309" s="36">
        <v>1</v>
      </c>
      <c r="G309" s="36" t="s">
        <v>112</v>
      </c>
      <c r="H309" s="37">
        <v>44547</v>
      </c>
    </row>
    <row r="310" spans="1:8" x14ac:dyDescent="0.3">
      <c r="A310" s="35">
        <v>1212130785</v>
      </c>
      <c r="B310" s="44">
        <v>33923961</v>
      </c>
      <c r="C310" s="37">
        <v>44551</v>
      </c>
      <c r="D310" s="137">
        <v>15840.279</v>
      </c>
      <c r="E310" s="36" t="s">
        <v>655</v>
      </c>
      <c r="F310" s="36">
        <v>9</v>
      </c>
      <c r="G310" s="36" t="s">
        <v>112</v>
      </c>
      <c r="H310" s="37">
        <v>44550</v>
      </c>
    </row>
    <row r="311" spans="1:8" x14ac:dyDescent="0.3">
      <c r="A311" s="35">
        <v>1212130933</v>
      </c>
      <c r="B311" s="36">
        <v>44613022</v>
      </c>
      <c r="C311" s="37">
        <v>44551</v>
      </c>
      <c r="D311" s="137">
        <v>550.01</v>
      </c>
      <c r="E311" s="36" t="s">
        <v>655</v>
      </c>
      <c r="F311" s="36">
        <v>1</v>
      </c>
      <c r="G311" s="36" t="s">
        <v>112</v>
      </c>
      <c r="H311" s="37">
        <v>44550</v>
      </c>
    </row>
    <row r="312" spans="1:8" x14ac:dyDescent="0.3">
      <c r="A312" s="35">
        <v>1212130884</v>
      </c>
      <c r="B312" s="36" t="s">
        <v>678</v>
      </c>
      <c r="C312" s="37">
        <v>44551</v>
      </c>
      <c r="D312" s="137">
        <v>770.01400000000001</v>
      </c>
      <c r="E312" s="36" t="s">
        <v>655</v>
      </c>
      <c r="F312" s="36">
        <v>1</v>
      </c>
      <c r="G312" s="36" t="s">
        <v>112</v>
      </c>
      <c r="H312" s="37">
        <v>44550</v>
      </c>
    </row>
    <row r="313" spans="1:8" x14ac:dyDescent="0.3">
      <c r="A313" s="35">
        <v>1212130929</v>
      </c>
      <c r="B313" s="36">
        <v>43938446</v>
      </c>
      <c r="C313" s="37">
        <v>44551</v>
      </c>
      <c r="D313" s="137">
        <v>573.43600000000004</v>
      </c>
      <c r="E313" s="36" t="s">
        <v>655</v>
      </c>
      <c r="F313" s="36">
        <v>1</v>
      </c>
      <c r="G313" s="36" t="s">
        <v>112</v>
      </c>
      <c r="H313" s="37">
        <v>44550</v>
      </c>
    </row>
    <row r="314" spans="1:8" x14ac:dyDescent="0.3">
      <c r="A314" s="35">
        <v>1212130916</v>
      </c>
      <c r="B314" s="36">
        <v>85559158</v>
      </c>
      <c r="C314" s="37">
        <v>44551</v>
      </c>
      <c r="D314" s="137">
        <v>50.265000000000001</v>
      </c>
      <c r="E314" s="36" t="s">
        <v>655</v>
      </c>
      <c r="F314" s="36">
        <v>1</v>
      </c>
      <c r="G314" s="36" t="s">
        <v>112</v>
      </c>
      <c r="H314" s="37">
        <v>44550</v>
      </c>
    </row>
    <row r="315" spans="1:8" x14ac:dyDescent="0.3">
      <c r="A315" s="35">
        <v>1212130894</v>
      </c>
      <c r="B315" s="36">
        <v>5582894</v>
      </c>
      <c r="C315" s="37">
        <v>44551</v>
      </c>
      <c r="D315" s="137">
        <v>251.327</v>
      </c>
      <c r="E315" s="36" t="s">
        <v>655</v>
      </c>
      <c r="F315" s="36">
        <v>1</v>
      </c>
      <c r="G315" s="36" t="s">
        <v>112</v>
      </c>
      <c r="H315" s="37">
        <v>44550</v>
      </c>
    </row>
    <row r="316" spans="1:8" x14ac:dyDescent="0.3">
      <c r="A316" s="35">
        <v>1212131972</v>
      </c>
      <c r="B316" s="36">
        <v>44737157</v>
      </c>
      <c r="C316" s="37">
        <v>44552</v>
      </c>
      <c r="D316" s="137">
        <v>184.999</v>
      </c>
      <c r="E316" s="36" t="s">
        <v>655</v>
      </c>
      <c r="F316" s="36">
        <v>1</v>
      </c>
      <c r="G316" s="36" t="s">
        <v>112</v>
      </c>
      <c r="H316" s="37">
        <v>44551</v>
      </c>
    </row>
    <row r="317" spans="1:8" x14ac:dyDescent="0.3">
      <c r="A317" s="35">
        <v>1212131980</v>
      </c>
      <c r="B317" s="36">
        <v>56555464</v>
      </c>
      <c r="C317" s="37">
        <v>44552</v>
      </c>
      <c r="D317" s="137">
        <v>2111.1480000000001</v>
      </c>
      <c r="E317" s="36" t="s">
        <v>655</v>
      </c>
      <c r="F317" s="36">
        <v>1</v>
      </c>
      <c r="G317" s="36" t="s">
        <v>112</v>
      </c>
      <c r="H317" s="37">
        <v>44551</v>
      </c>
    </row>
    <row r="318" spans="1:8" x14ac:dyDescent="0.3">
      <c r="A318" s="35">
        <v>1212131981</v>
      </c>
      <c r="B318" s="36">
        <v>58578929</v>
      </c>
      <c r="C318" s="37">
        <v>44552</v>
      </c>
      <c r="D318" s="137">
        <v>1563.9159999999999</v>
      </c>
      <c r="E318" s="36" t="s">
        <v>655</v>
      </c>
      <c r="F318" s="36">
        <v>1</v>
      </c>
      <c r="G318" s="36" t="s">
        <v>112</v>
      </c>
      <c r="H318" s="37">
        <v>44551</v>
      </c>
    </row>
    <row r="319" spans="1:8" x14ac:dyDescent="0.3">
      <c r="A319" s="35">
        <v>1212132002</v>
      </c>
      <c r="B319" s="36">
        <v>44890675</v>
      </c>
      <c r="C319" s="37">
        <v>44552</v>
      </c>
      <c r="D319" s="137">
        <v>208.52199999999999</v>
      </c>
      <c r="E319" s="36" t="s">
        <v>655</v>
      </c>
      <c r="F319" s="36">
        <v>1</v>
      </c>
      <c r="G319" s="36" t="s">
        <v>112</v>
      </c>
      <c r="H319" s="37">
        <v>44551</v>
      </c>
    </row>
    <row r="320" spans="1:8" x14ac:dyDescent="0.3">
      <c r="A320" s="35">
        <v>1212131989</v>
      </c>
      <c r="B320" s="36">
        <v>16584116</v>
      </c>
      <c r="C320" s="37">
        <v>44552</v>
      </c>
      <c r="D320" s="137">
        <v>100.53100000000001</v>
      </c>
      <c r="E320" s="36" t="s">
        <v>655</v>
      </c>
      <c r="F320" s="36">
        <v>1</v>
      </c>
      <c r="G320" s="36" t="s">
        <v>112</v>
      </c>
      <c r="H320" s="37">
        <v>44551</v>
      </c>
    </row>
    <row r="321" spans="1:9" x14ac:dyDescent="0.3">
      <c r="A321" s="35">
        <v>1212132244</v>
      </c>
      <c r="B321" s="36" t="s">
        <v>679</v>
      </c>
      <c r="C321" s="37">
        <v>44553</v>
      </c>
      <c r="D321" s="137">
        <v>220.00399999999999</v>
      </c>
      <c r="E321" s="36" t="s">
        <v>655</v>
      </c>
      <c r="F321" s="36">
        <v>1</v>
      </c>
      <c r="G321" s="36" t="s">
        <v>112</v>
      </c>
      <c r="H321" s="37">
        <v>44558</v>
      </c>
    </row>
    <row r="322" spans="1:9" x14ac:dyDescent="0.3">
      <c r="A322" s="35">
        <v>1212132285</v>
      </c>
      <c r="B322" s="36">
        <v>47572452</v>
      </c>
      <c r="C322" s="37">
        <v>44553</v>
      </c>
      <c r="D322" s="137">
        <v>110.002</v>
      </c>
      <c r="E322" s="36" t="s">
        <v>655</v>
      </c>
      <c r="F322" s="36">
        <v>1</v>
      </c>
      <c r="G322" s="36" t="s">
        <v>112</v>
      </c>
      <c r="H322" s="37">
        <v>44558</v>
      </c>
    </row>
    <row r="323" spans="1:9" x14ac:dyDescent="0.3">
      <c r="A323" s="35">
        <v>1212132281</v>
      </c>
      <c r="B323" s="36">
        <v>45691061</v>
      </c>
      <c r="C323" s="37">
        <v>44553</v>
      </c>
      <c r="D323" s="137">
        <v>104.261</v>
      </c>
      <c r="E323" s="36" t="s">
        <v>655</v>
      </c>
      <c r="F323" s="36">
        <v>1</v>
      </c>
      <c r="G323" s="36" t="s">
        <v>112</v>
      </c>
      <c r="H323" s="37">
        <v>44558</v>
      </c>
    </row>
    <row r="324" spans="1:9" x14ac:dyDescent="0.3">
      <c r="A324" s="35">
        <v>1212132283</v>
      </c>
      <c r="B324" s="36">
        <v>45718414</v>
      </c>
      <c r="C324" s="37">
        <v>44553</v>
      </c>
      <c r="D324" s="137">
        <v>2959.9879999999998</v>
      </c>
      <c r="E324" s="36" t="s">
        <v>655</v>
      </c>
      <c r="F324" s="36">
        <v>2</v>
      </c>
      <c r="G324" s="36" t="s">
        <v>112</v>
      </c>
      <c r="H324" s="37">
        <v>44558</v>
      </c>
    </row>
    <row r="325" spans="1:9" x14ac:dyDescent="0.3">
      <c r="A325" s="35">
        <v>1212132665</v>
      </c>
      <c r="B325" s="36">
        <v>31910486</v>
      </c>
      <c r="C325" s="37">
        <v>44565</v>
      </c>
      <c r="D325" s="137">
        <v>5280.0929999999998</v>
      </c>
      <c r="E325" s="36" t="s">
        <v>655</v>
      </c>
      <c r="F325" s="36">
        <v>3</v>
      </c>
      <c r="G325" s="36" t="s">
        <v>112</v>
      </c>
      <c r="H325" s="37">
        <v>44564</v>
      </c>
    </row>
    <row r="326" spans="1:9" x14ac:dyDescent="0.3">
      <c r="A326" s="35">
        <v>1212133170</v>
      </c>
      <c r="B326" s="36">
        <v>47925085</v>
      </c>
      <c r="C326" s="37">
        <v>44565</v>
      </c>
      <c r="D326" s="137">
        <v>2219.991</v>
      </c>
      <c r="E326" s="36" t="s">
        <v>655</v>
      </c>
      <c r="F326" s="36">
        <v>1</v>
      </c>
      <c r="G326" s="36" t="s">
        <v>112</v>
      </c>
      <c r="H326" s="37">
        <v>44564</v>
      </c>
    </row>
    <row r="327" spans="1:9" x14ac:dyDescent="0.3">
      <c r="A327" s="35">
        <v>1212133139</v>
      </c>
      <c r="B327" s="36">
        <v>25937908</v>
      </c>
      <c r="C327" s="37">
        <v>44565</v>
      </c>
      <c r="D327" s="137">
        <v>8800.1550000000007</v>
      </c>
      <c r="E327" s="36" t="s">
        <v>655</v>
      </c>
      <c r="F327" s="36">
        <v>5</v>
      </c>
      <c r="G327" s="36" t="s">
        <v>112</v>
      </c>
      <c r="H327" s="37">
        <v>44564</v>
      </c>
    </row>
    <row r="328" spans="1:9" x14ac:dyDescent="0.3">
      <c r="A328" s="35">
        <v>1212133406</v>
      </c>
      <c r="B328" s="36">
        <v>41573942</v>
      </c>
      <c r="C328" s="37">
        <v>44565</v>
      </c>
      <c r="D328" s="137">
        <v>715.01300000000003</v>
      </c>
      <c r="E328" s="36" t="s">
        <v>655</v>
      </c>
      <c r="F328" s="36">
        <v>1</v>
      </c>
      <c r="G328" s="36" t="s">
        <v>112</v>
      </c>
      <c r="H328" s="37">
        <v>44564</v>
      </c>
    </row>
    <row r="329" spans="1:9" x14ac:dyDescent="0.3">
      <c r="A329" s="35">
        <v>1212133196</v>
      </c>
      <c r="B329" s="36">
        <v>9552772</v>
      </c>
      <c r="C329" s="37">
        <v>44565</v>
      </c>
      <c r="D329" s="137">
        <v>1094.742</v>
      </c>
      <c r="E329" s="36" t="s">
        <v>655</v>
      </c>
      <c r="F329" s="36">
        <v>1</v>
      </c>
      <c r="G329" s="36" t="s">
        <v>112</v>
      </c>
      <c r="H329" s="37">
        <v>44564</v>
      </c>
    </row>
    <row r="330" spans="1:9" x14ac:dyDescent="0.3">
      <c r="A330" s="35">
        <v>1212133364</v>
      </c>
      <c r="B330" s="36">
        <v>2571551</v>
      </c>
      <c r="C330" s="37">
        <v>44565</v>
      </c>
      <c r="D330" s="137">
        <v>220.00399999999999</v>
      </c>
      <c r="E330" s="36" t="s">
        <v>655</v>
      </c>
      <c r="F330" s="36">
        <v>1</v>
      </c>
      <c r="G330" s="36" t="s">
        <v>112</v>
      </c>
      <c r="H330" s="37">
        <v>44564</v>
      </c>
    </row>
    <row r="331" spans="1:9" x14ac:dyDescent="0.3">
      <c r="A331" s="35">
        <v>1212133375</v>
      </c>
      <c r="B331" s="36">
        <v>46969980</v>
      </c>
      <c r="C331" s="37">
        <v>44565</v>
      </c>
      <c r="D331" s="137">
        <v>330.00599999999997</v>
      </c>
      <c r="E331" s="36" t="s">
        <v>655</v>
      </c>
      <c r="F331" s="36">
        <v>1</v>
      </c>
      <c r="G331" s="36" t="s">
        <v>112</v>
      </c>
      <c r="H331" s="37">
        <v>44564</v>
      </c>
    </row>
    <row r="332" spans="1:9" x14ac:dyDescent="0.3">
      <c r="A332" s="35">
        <v>1212133385</v>
      </c>
      <c r="B332" s="36">
        <v>1551236</v>
      </c>
      <c r="C332" s="37">
        <v>44565</v>
      </c>
      <c r="D332" s="137">
        <v>100.53100000000001</v>
      </c>
      <c r="E332" s="36" t="s">
        <v>655</v>
      </c>
      <c r="F332" s="36">
        <v>1</v>
      </c>
      <c r="G332" s="36" t="s">
        <v>112</v>
      </c>
      <c r="H332" s="37">
        <v>44564</v>
      </c>
    </row>
    <row r="333" spans="1:9" x14ac:dyDescent="0.3">
      <c r="A333" s="50">
        <v>1212133354</v>
      </c>
      <c r="B333" s="51">
        <v>46725422</v>
      </c>
      <c r="C333" s="52">
        <v>44565</v>
      </c>
      <c r="D333" s="140">
        <v>147.999</v>
      </c>
      <c r="E333" s="51" t="s">
        <v>655</v>
      </c>
      <c r="F333" s="51">
        <v>1</v>
      </c>
      <c r="G333" s="51" t="s">
        <v>112</v>
      </c>
      <c r="H333" s="52">
        <v>44564</v>
      </c>
      <c r="I333" s="23" t="s">
        <v>676</v>
      </c>
    </row>
    <row r="334" spans="1:9" x14ac:dyDescent="0.3">
      <c r="A334" s="50">
        <v>1222000263</v>
      </c>
      <c r="B334" s="51" t="s">
        <v>680</v>
      </c>
      <c r="C334" s="52">
        <v>44571</v>
      </c>
      <c r="D334" s="140">
        <v>23430.413</v>
      </c>
      <c r="E334" s="51" t="s">
        <v>655</v>
      </c>
      <c r="F334" s="51">
        <v>13</v>
      </c>
      <c r="G334" s="51" t="s">
        <v>112</v>
      </c>
      <c r="H334" s="52">
        <v>44571</v>
      </c>
      <c r="I334" s="23" t="s">
        <v>681</v>
      </c>
    </row>
    <row r="335" spans="1:9" x14ac:dyDescent="0.3">
      <c r="A335" s="54" t="s">
        <v>682</v>
      </c>
      <c r="B335" s="55">
        <v>48780706</v>
      </c>
      <c r="C335" s="56">
        <v>44568</v>
      </c>
      <c r="D335" s="140">
        <v>87.320999999999998</v>
      </c>
      <c r="E335" s="51" t="s">
        <v>655</v>
      </c>
      <c r="F335" s="51">
        <v>1</v>
      </c>
      <c r="G335" s="51" t="s">
        <v>112</v>
      </c>
      <c r="H335" s="52">
        <v>44571</v>
      </c>
      <c r="I335" s="23" t="s">
        <v>676</v>
      </c>
    </row>
    <row r="336" spans="1:9" x14ac:dyDescent="0.3">
      <c r="A336" s="35">
        <v>1212132882</v>
      </c>
      <c r="B336" s="36">
        <v>13560101</v>
      </c>
      <c r="C336" s="37">
        <v>44925</v>
      </c>
      <c r="D336" s="137">
        <v>55.000999999999998</v>
      </c>
      <c r="E336" s="36" t="s">
        <v>655</v>
      </c>
      <c r="F336" s="36">
        <v>1</v>
      </c>
      <c r="G336" s="36" t="s">
        <v>112</v>
      </c>
      <c r="H336" s="37">
        <v>44564</v>
      </c>
    </row>
    <row r="337" spans="1:8" x14ac:dyDescent="0.3">
      <c r="A337" s="35">
        <v>1212133400</v>
      </c>
      <c r="B337" s="36">
        <v>27586236</v>
      </c>
      <c r="C337" s="37">
        <v>44565</v>
      </c>
      <c r="D337" s="137">
        <v>49.000999999999998</v>
      </c>
      <c r="E337" s="36" t="s">
        <v>655</v>
      </c>
      <c r="F337" s="36">
        <v>1</v>
      </c>
      <c r="G337" s="36" t="s">
        <v>112</v>
      </c>
      <c r="H337" s="37">
        <v>44564</v>
      </c>
    </row>
    <row r="338" spans="1:8" x14ac:dyDescent="0.3">
      <c r="A338" s="35">
        <v>1212133190</v>
      </c>
      <c r="B338" s="36" t="s">
        <v>683</v>
      </c>
      <c r="C338" s="37">
        <v>44565</v>
      </c>
      <c r="D338" s="137">
        <v>220.00399999999999</v>
      </c>
      <c r="E338" s="36" t="s">
        <v>655</v>
      </c>
      <c r="F338" s="36">
        <v>1</v>
      </c>
      <c r="G338" s="36" t="s">
        <v>112</v>
      </c>
      <c r="H338" s="37">
        <v>44564</v>
      </c>
    </row>
    <row r="339" spans="1:8" x14ac:dyDescent="0.3">
      <c r="A339" s="35">
        <v>1212133513</v>
      </c>
      <c r="B339" s="36">
        <v>35922475</v>
      </c>
      <c r="C339" s="37">
        <v>44567</v>
      </c>
      <c r="D339" s="137">
        <v>12320.21</v>
      </c>
      <c r="E339" s="36" t="s">
        <v>655</v>
      </c>
      <c r="F339" s="36">
        <v>7</v>
      </c>
      <c r="G339" s="36" t="s">
        <v>112</v>
      </c>
      <c r="H339" s="37">
        <v>44567</v>
      </c>
    </row>
    <row r="340" spans="1:8" x14ac:dyDescent="0.3">
      <c r="A340" s="53">
        <v>1212132657</v>
      </c>
      <c r="B340" s="57">
        <v>46911949</v>
      </c>
      <c r="C340" s="37">
        <v>44567</v>
      </c>
      <c r="D340" s="137">
        <v>15840.27</v>
      </c>
      <c r="E340" s="36" t="s">
        <v>655</v>
      </c>
      <c r="F340" s="36">
        <v>9</v>
      </c>
      <c r="G340" s="36" t="s">
        <v>112</v>
      </c>
      <c r="H340" s="37">
        <v>44567</v>
      </c>
    </row>
    <row r="341" spans="1:8" x14ac:dyDescent="0.3">
      <c r="A341" s="35">
        <v>1212133614</v>
      </c>
      <c r="B341" s="36">
        <v>48630155</v>
      </c>
      <c r="C341" s="37">
        <v>44567</v>
      </c>
      <c r="D341" s="137">
        <v>452.38900000000001</v>
      </c>
      <c r="E341" s="36" t="s">
        <v>655</v>
      </c>
      <c r="F341" s="36">
        <v>1</v>
      </c>
      <c r="G341" s="36" t="s">
        <v>112</v>
      </c>
      <c r="H341" s="37">
        <v>44567</v>
      </c>
    </row>
    <row r="342" spans="1:8" x14ac:dyDescent="0.3">
      <c r="A342" s="35">
        <v>1212133578</v>
      </c>
      <c r="B342" s="36">
        <v>52569048</v>
      </c>
      <c r="C342" s="37">
        <v>44567</v>
      </c>
      <c r="D342" s="137">
        <v>251.327</v>
      </c>
      <c r="E342" s="36" t="s">
        <v>655</v>
      </c>
      <c r="F342" s="36">
        <v>1</v>
      </c>
      <c r="G342" s="36" t="s">
        <v>112</v>
      </c>
      <c r="H342" s="37">
        <v>44567</v>
      </c>
    </row>
    <row r="343" spans="1:8" x14ac:dyDescent="0.3">
      <c r="A343" s="35">
        <v>1212133619</v>
      </c>
      <c r="B343" s="36" t="s">
        <v>684</v>
      </c>
      <c r="C343" s="37">
        <v>44567</v>
      </c>
      <c r="D343" s="137">
        <v>8193.2659999999996</v>
      </c>
      <c r="E343" s="36" t="s">
        <v>655</v>
      </c>
      <c r="F343" s="36">
        <v>5</v>
      </c>
      <c r="G343" s="36" t="s">
        <v>112</v>
      </c>
      <c r="H343" s="37">
        <v>44567</v>
      </c>
    </row>
    <row r="344" spans="1:8" x14ac:dyDescent="0.3">
      <c r="A344" s="35">
        <v>1212133592</v>
      </c>
      <c r="B344" s="36" t="s">
        <v>685</v>
      </c>
      <c r="C344" s="37">
        <v>44567</v>
      </c>
      <c r="D344" s="137">
        <v>165.00299999999999</v>
      </c>
      <c r="E344" s="36" t="s">
        <v>655</v>
      </c>
      <c r="F344" s="36">
        <v>1</v>
      </c>
      <c r="G344" s="36" t="s">
        <v>112</v>
      </c>
      <c r="H344" s="37">
        <v>44567</v>
      </c>
    </row>
    <row r="345" spans="1:8" x14ac:dyDescent="0.3">
      <c r="A345" s="35">
        <v>1212133558</v>
      </c>
      <c r="B345" s="36">
        <v>17566003</v>
      </c>
      <c r="C345" s="37">
        <v>44567</v>
      </c>
      <c r="D345" s="137">
        <v>50.265000000000001</v>
      </c>
      <c r="E345" s="36" t="s">
        <v>655</v>
      </c>
      <c r="F345" s="36">
        <v>1</v>
      </c>
      <c r="G345" s="36" t="s">
        <v>112</v>
      </c>
      <c r="H345" s="37">
        <v>44567</v>
      </c>
    </row>
    <row r="346" spans="1:8" x14ac:dyDescent="0.3">
      <c r="A346" s="35">
        <v>1212133624</v>
      </c>
      <c r="B346" s="36" t="s">
        <v>686</v>
      </c>
      <c r="C346" s="37">
        <v>44567</v>
      </c>
      <c r="D346" s="137">
        <v>3850.0680000000002</v>
      </c>
      <c r="E346" s="36" t="s">
        <v>655</v>
      </c>
      <c r="F346" s="36">
        <v>2</v>
      </c>
      <c r="G346" s="36" t="s">
        <v>112</v>
      </c>
      <c r="H346" s="37">
        <v>44567</v>
      </c>
    </row>
    <row r="347" spans="1:8" x14ac:dyDescent="0.3">
      <c r="A347" s="53">
        <v>1222000107</v>
      </c>
      <c r="B347" s="57">
        <v>63574346</v>
      </c>
      <c r="C347" s="58">
        <v>44568</v>
      </c>
      <c r="D347" s="137">
        <v>990.01700000000005</v>
      </c>
      <c r="E347" s="36" t="s">
        <v>655</v>
      </c>
      <c r="F347" s="36">
        <v>1</v>
      </c>
      <c r="G347" s="36" t="s">
        <v>112</v>
      </c>
      <c r="H347" s="37">
        <v>44571</v>
      </c>
    </row>
    <row r="348" spans="1:8" x14ac:dyDescent="0.3">
      <c r="A348" s="53" t="s">
        <v>687</v>
      </c>
      <c r="B348" s="57">
        <v>48784731</v>
      </c>
      <c r="C348" s="58">
        <v>44568</v>
      </c>
      <c r="D348" s="137">
        <v>220.00399999999999</v>
      </c>
      <c r="E348" s="36" t="s">
        <v>655</v>
      </c>
      <c r="F348" s="36">
        <v>1</v>
      </c>
      <c r="G348" s="36" t="s">
        <v>112</v>
      </c>
      <c r="H348" s="37">
        <v>44571</v>
      </c>
    </row>
    <row r="349" spans="1:8" x14ac:dyDescent="0.3">
      <c r="A349" s="53">
        <v>1222000122</v>
      </c>
      <c r="B349" s="57">
        <v>48948307</v>
      </c>
      <c r="C349" s="58">
        <v>44568</v>
      </c>
      <c r="D349" s="137">
        <v>385.00700000000001</v>
      </c>
      <c r="E349" s="36" t="s">
        <v>655</v>
      </c>
      <c r="F349" s="36">
        <v>1</v>
      </c>
      <c r="G349" s="36" t="s">
        <v>112</v>
      </c>
      <c r="H349" s="37">
        <v>44571</v>
      </c>
    </row>
    <row r="350" spans="1:8" x14ac:dyDescent="0.3">
      <c r="A350" s="53" t="s">
        <v>688</v>
      </c>
      <c r="B350" s="57">
        <v>69589630</v>
      </c>
      <c r="C350" s="58">
        <v>44568</v>
      </c>
      <c r="D350" s="137">
        <v>55.000999999999998</v>
      </c>
      <c r="E350" s="36" t="s">
        <v>655</v>
      </c>
      <c r="F350" s="36">
        <v>1</v>
      </c>
      <c r="G350" s="36" t="s">
        <v>112</v>
      </c>
      <c r="H350" s="37">
        <v>44571</v>
      </c>
    </row>
    <row r="351" spans="1:8" x14ac:dyDescent="0.3">
      <c r="A351" s="53" t="s">
        <v>689</v>
      </c>
      <c r="B351" s="57">
        <v>48674459</v>
      </c>
      <c r="C351" s="58">
        <v>44568</v>
      </c>
      <c r="D351" s="137">
        <v>1294.9939999999999</v>
      </c>
      <c r="E351" s="36" t="s">
        <v>655</v>
      </c>
      <c r="F351" s="36">
        <v>1</v>
      </c>
      <c r="G351" s="36" t="s">
        <v>112</v>
      </c>
      <c r="H351" s="37">
        <v>44571</v>
      </c>
    </row>
    <row r="352" spans="1:8" x14ac:dyDescent="0.3">
      <c r="A352" s="53">
        <v>1222000112</v>
      </c>
      <c r="B352" s="57">
        <v>10555756</v>
      </c>
      <c r="C352" s="58">
        <v>44568</v>
      </c>
      <c r="D352" s="137">
        <v>275.005</v>
      </c>
      <c r="E352" s="36" t="s">
        <v>655</v>
      </c>
      <c r="F352" s="36">
        <v>1</v>
      </c>
      <c r="G352" s="36" t="s">
        <v>112</v>
      </c>
      <c r="H352" s="37">
        <v>44571</v>
      </c>
    </row>
    <row r="353" spans="1:9" x14ac:dyDescent="0.3">
      <c r="A353" s="59">
        <v>1222000403</v>
      </c>
      <c r="B353" s="60">
        <v>219394701</v>
      </c>
      <c r="C353" s="37">
        <v>44571</v>
      </c>
      <c r="D353" s="137">
        <v>8800.15</v>
      </c>
      <c r="E353" s="36" t="s">
        <v>655</v>
      </c>
      <c r="F353" s="36">
        <v>5</v>
      </c>
      <c r="G353" s="36" t="s">
        <v>112</v>
      </c>
      <c r="H353" s="37">
        <v>44571</v>
      </c>
    </row>
    <row r="354" spans="1:9" x14ac:dyDescent="0.3">
      <c r="A354" s="40">
        <v>1222000467</v>
      </c>
      <c r="B354" s="36">
        <v>35925134</v>
      </c>
      <c r="C354" s="37">
        <v>44572</v>
      </c>
      <c r="D354" s="137">
        <v>15840.27</v>
      </c>
      <c r="E354" s="36" t="s">
        <v>655</v>
      </c>
      <c r="F354" s="36">
        <v>9</v>
      </c>
      <c r="G354" s="36" t="s">
        <v>112</v>
      </c>
      <c r="H354" s="37">
        <v>44571</v>
      </c>
    </row>
    <row r="355" spans="1:9" x14ac:dyDescent="0.3">
      <c r="A355" s="35">
        <v>1222000308</v>
      </c>
      <c r="B355" s="36">
        <v>49773092</v>
      </c>
      <c r="C355" s="37">
        <v>44571</v>
      </c>
      <c r="D355" s="137">
        <v>495.00900000000001</v>
      </c>
      <c r="E355" s="36" t="s">
        <v>655</v>
      </c>
      <c r="F355" s="36">
        <v>1</v>
      </c>
      <c r="G355" s="36" t="s">
        <v>112</v>
      </c>
      <c r="H355" s="37">
        <v>44571</v>
      </c>
    </row>
    <row r="356" spans="1:9" x14ac:dyDescent="0.3">
      <c r="A356" s="35">
        <v>1222000341</v>
      </c>
      <c r="B356" s="36">
        <v>49869969</v>
      </c>
      <c r="C356" s="37">
        <v>44571</v>
      </c>
      <c r="D356" s="137">
        <v>275.005</v>
      </c>
      <c r="E356" s="36" t="s">
        <v>655</v>
      </c>
      <c r="F356" s="36">
        <v>1</v>
      </c>
      <c r="G356" s="36" t="s">
        <v>112</v>
      </c>
      <c r="H356" s="37">
        <v>44571</v>
      </c>
    </row>
    <row r="357" spans="1:9" x14ac:dyDescent="0.3">
      <c r="A357" s="35">
        <v>1222000362</v>
      </c>
      <c r="B357" s="36">
        <v>51603451</v>
      </c>
      <c r="C357" s="37">
        <v>44571</v>
      </c>
      <c r="D357" s="137">
        <v>330.00599999999997</v>
      </c>
      <c r="E357" s="36" t="s">
        <v>655</v>
      </c>
      <c r="F357" s="36">
        <v>1</v>
      </c>
      <c r="G357" s="36" t="s">
        <v>112</v>
      </c>
      <c r="H357" s="37">
        <v>44571</v>
      </c>
    </row>
    <row r="358" spans="1:9" x14ac:dyDescent="0.3">
      <c r="A358" s="35">
        <v>1222000309</v>
      </c>
      <c r="B358" s="36">
        <v>49775462</v>
      </c>
      <c r="C358" s="37">
        <v>44571</v>
      </c>
      <c r="D358" s="137">
        <v>251.327</v>
      </c>
      <c r="E358" s="36" t="s">
        <v>655</v>
      </c>
      <c r="F358" s="36">
        <v>1</v>
      </c>
      <c r="G358" s="36" t="s">
        <v>112</v>
      </c>
      <c r="H358" s="37">
        <v>44571</v>
      </c>
    </row>
    <row r="359" spans="1:9" x14ac:dyDescent="0.3">
      <c r="A359" s="35">
        <v>1222000355</v>
      </c>
      <c r="B359" s="36">
        <v>49969314</v>
      </c>
      <c r="C359" s="37">
        <v>44571</v>
      </c>
      <c r="D359" s="137">
        <v>1507.963</v>
      </c>
      <c r="E359" s="36" t="s">
        <v>655</v>
      </c>
      <c r="F359" s="36">
        <v>1</v>
      </c>
      <c r="G359" s="36" t="s">
        <v>112</v>
      </c>
      <c r="H359" s="37">
        <v>44571</v>
      </c>
    </row>
    <row r="360" spans="1:9" x14ac:dyDescent="0.3">
      <c r="A360" s="35">
        <v>1222000302</v>
      </c>
      <c r="B360" s="36">
        <v>20585776</v>
      </c>
      <c r="C360" s="37">
        <v>44571</v>
      </c>
      <c r="D360" s="137">
        <v>1045.018</v>
      </c>
      <c r="E360" s="36" t="s">
        <v>655</v>
      </c>
      <c r="F360" s="36">
        <v>1</v>
      </c>
      <c r="G360" s="36" t="s">
        <v>112</v>
      </c>
      <c r="H360" s="37">
        <v>44571</v>
      </c>
    </row>
    <row r="361" spans="1:9" x14ac:dyDescent="0.3">
      <c r="A361" s="35">
        <v>1222000558</v>
      </c>
      <c r="B361" s="36" t="s">
        <v>690</v>
      </c>
      <c r="C361" s="37">
        <v>44572</v>
      </c>
      <c r="D361" s="137">
        <v>3575.0630000000001</v>
      </c>
      <c r="E361" s="36" t="s">
        <v>655</v>
      </c>
      <c r="F361" s="36">
        <v>2</v>
      </c>
      <c r="G361" s="36" t="s">
        <v>112</v>
      </c>
      <c r="H361" s="37">
        <v>44574</v>
      </c>
    </row>
    <row r="362" spans="1:9" x14ac:dyDescent="0.3">
      <c r="A362" s="35">
        <v>1222000582</v>
      </c>
      <c r="B362" s="36">
        <v>72567048</v>
      </c>
      <c r="C362" s="37">
        <v>44572</v>
      </c>
      <c r="D362" s="137">
        <v>275.005</v>
      </c>
      <c r="E362" s="36" t="s">
        <v>655</v>
      </c>
      <c r="F362" s="36">
        <v>1</v>
      </c>
      <c r="G362" s="36" t="s">
        <v>112</v>
      </c>
      <c r="H362" s="37">
        <v>44574</v>
      </c>
    </row>
    <row r="363" spans="1:9" x14ac:dyDescent="0.3">
      <c r="A363" s="35">
        <v>1222000445</v>
      </c>
      <c r="B363" s="36">
        <v>26587797</v>
      </c>
      <c r="C363" s="37">
        <v>44572</v>
      </c>
      <c r="D363" s="137">
        <v>150.79599999999999</v>
      </c>
      <c r="E363" s="36" t="s">
        <v>655</v>
      </c>
      <c r="F363" s="36">
        <v>1</v>
      </c>
      <c r="G363" s="36" t="s">
        <v>112</v>
      </c>
      <c r="H363" s="37">
        <v>44574</v>
      </c>
    </row>
    <row r="364" spans="1:9" x14ac:dyDescent="0.3">
      <c r="A364" s="35">
        <v>1222000440</v>
      </c>
      <c r="B364" s="36">
        <v>8561373</v>
      </c>
      <c r="C364" s="37">
        <v>44572</v>
      </c>
      <c r="D364" s="137">
        <v>825.01499999999999</v>
      </c>
      <c r="E364" s="36" t="s">
        <v>655</v>
      </c>
      <c r="F364" s="36">
        <v>1</v>
      </c>
      <c r="G364" s="36" t="s">
        <v>112</v>
      </c>
      <c r="H364" s="37">
        <v>44574</v>
      </c>
    </row>
    <row r="365" spans="1:9" x14ac:dyDescent="0.3">
      <c r="A365" s="35">
        <v>1222000572</v>
      </c>
      <c r="B365" s="36">
        <v>51658157</v>
      </c>
      <c r="C365" s="37">
        <v>44572</v>
      </c>
      <c r="D365" s="137">
        <v>660.01199999999994</v>
      </c>
      <c r="E365" s="36" t="s">
        <v>655</v>
      </c>
      <c r="F365" s="36">
        <v>1</v>
      </c>
      <c r="G365" s="36" t="s">
        <v>112</v>
      </c>
      <c r="H365" s="37">
        <v>44574</v>
      </c>
    </row>
    <row r="366" spans="1:9" x14ac:dyDescent="0.3">
      <c r="A366" s="53" t="s">
        <v>691</v>
      </c>
      <c r="B366" s="57">
        <v>70560610</v>
      </c>
      <c r="C366" s="58">
        <v>44568</v>
      </c>
      <c r="D366" s="137">
        <v>55.000999999999998</v>
      </c>
      <c r="E366" s="36" t="s">
        <v>655</v>
      </c>
      <c r="F366" s="36">
        <v>1</v>
      </c>
      <c r="G366" s="36" t="s">
        <v>112</v>
      </c>
      <c r="H366" s="37">
        <v>44571</v>
      </c>
      <c r="I366" s="22" t="s">
        <v>692</v>
      </c>
    </row>
    <row r="367" spans="1:9" x14ac:dyDescent="0.3">
      <c r="A367" s="35">
        <v>1222000567</v>
      </c>
      <c r="B367" s="36">
        <v>51624071</v>
      </c>
      <c r="C367" s="37">
        <v>44572</v>
      </c>
      <c r="D367" s="137">
        <v>110.002</v>
      </c>
      <c r="E367" s="36" t="s">
        <v>655</v>
      </c>
      <c r="F367" s="36">
        <v>1</v>
      </c>
      <c r="G367" s="62" t="s">
        <v>112</v>
      </c>
      <c r="H367" s="37">
        <v>44574</v>
      </c>
      <c r="I367" s="22" t="s">
        <v>693</v>
      </c>
    </row>
    <row r="368" spans="1:9" x14ac:dyDescent="0.3">
      <c r="A368" s="35">
        <v>1222000571</v>
      </c>
      <c r="B368" s="36">
        <v>51658100</v>
      </c>
      <c r="C368" s="37">
        <v>44572</v>
      </c>
      <c r="D368" s="137">
        <v>2219.991</v>
      </c>
      <c r="E368" s="36" t="s">
        <v>655</v>
      </c>
      <c r="F368" s="36">
        <v>1</v>
      </c>
      <c r="G368" s="36" t="s">
        <v>112</v>
      </c>
      <c r="H368" s="37">
        <v>44574</v>
      </c>
      <c r="I368" s="22" t="s">
        <v>693</v>
      </c>
    </row>
    <row r="369" spans="1:9" x14ac:dyDescent="0.3">
      <c r="A369" s="35">
        <v>1222000752</v>
      </c>
      <c r="B369" s="36">
        <v>51936393</v>
      </c>
      <c r="C369" s="37">
        <v>44573</v>
      </c>
      <c r="D369" s="137">
        <v>110.002</v>
      </c>
      <c r="E369" s="36" t="s">
        <v>655</v>
      </c>
      <c r="F369" s="36">
        <v>1</v>
      </c>
      <c r="G369" s="36" t="s">
        <v>112</v>
      </c>
      <c r="H369" s="37">
        <v>44578</v>
      </c>
      <c r="I369" s="22" t="s">
        <v>694</v>
      </c>
    </row>
    <row r="370" spans="1:9" x14ac:dyDescent="0.3">
      <c r="A370" s="35">
        <v>1222000809</v>
      </c>
      <c r="B370" s="36">
        <v>20572745</v>
      </c>
      <c r="C370" s="37">
        <v>44573</v>
      </c>
      <c r="D370" s="137">
        <v>1155.02</v>
      </c>
      <c r="E370" s="36" t="s">
        <v>655</v>
      </c>
      <c r="F370" s="36">
        <v>1</v>
      </c>
      <c r="G370" s="36" t="s">
        <v>112</v>
      </c>
      <c r="H370" s="37">
        <v>44578</v>
      </c>
      <c r="I370" s="22" t="s">
        <v>694</v>
      </c>
    </row>
    <row r="371" spans="1:9" x14ac:dyDescent="0.3">
      <c r="A371" s="35">
        <v>1222000746</v>
      </c>
      <c r="B371" s="36">
        <v>51898606</v>
      </c>
      <c r="C371" s="37">
        <v>44573</v>
      </c>
      <c r="D371" s="137">
        <v>3144.9870000000001</v>
      </c>
      <c r="E371" s="36" t="s">
        <v>655</v>
      </c>
      <c r="F371" s="36">
        <v>2</v>
      </c>
      <c r="G371" s="36" t="s">
        <v>112</v>
      </c>
      <c r="H371" s="37">
        <v>44578</v>
      </c>
      <c r="I371" s="22" t="s">
        <v>694</v>
      </c>
    </row>
    <row r="372" spans="1:9" x14ac:dyDescent="0.3">
      <c r="A372" s="35">
        <v>1222000751</v>
      </c>
      <c r="B372" s="36">
        <v>51932361</v>
      </c>
      <c r="C372" s="37">
        <v>44573</v>
      </c>
      <c r="D372" s="137">
        <v>5026.5439999999999</v>
      </c>
      <c r="E372" s="36" t="s">
        <v>655</v>
      </c>
      <c r="F372" s="36">
        <v>3</v>
      </c>
      <c r="G372" s="36" t="s">
        <v>112</v>
      </c>
      <c r="H372" s="37">
        <v>44578</v>
      </c>
      <c r="I372" s="22" t="s">
        <v>694</v>
      </c>
    </row>
    <row r="373" spans="1:9" x14ac:dyDescent="0.3">
      <c r="A373" s="35">
        <v>1222000749</v>
      </c>
      <c r="B373" s="36">
        <v>51906600</v>
      </c>
      <c r="C373" s="37">
        <v>44573</v>
      </c>
      <c r="D373" s="137">
        <v>55.000999999999998</v>
      </c>
      <c r="E373" s="36" t="s">
        <v>655</v>
      </c>
      <c r="F373" s="36">
        <v>1</v>
      </c>
      <c r="G373" s="36" t="s">
        <v>112</v>
      </c>
      <c r="H373" s="37">
        <v>44578</v>
      </c>
      <c r="I373" s="22" t="s">
        <v>694</v>
      </c>
    </row>
    <row r="374" spans="1:9" x14ac:dyDescent="0.3">
      <c r="A374" s="35">
        <v>1222000826</v>
      </c>
      <c r="B374" s="36">
        <v>52844976</v>
      </c>
      <c r="C374" s="37">
        <v>44573</v>
      </c>
      <c r="D374" s="137">
        <v>385.00700000000001</v>
      </c>
      <c r="E374" s="36" t="s">
        <v>655</v>
      </c>
      <c r="F374" s="36">
        <v>1</v>
      </c>
      <c r="G374" s="36" t="s">
        <v>112</v>
      </c>
      <c r="H374" s="37">
        <v>44578</v>
      </c>
      <c r="I374" s="22" t="s">
        <v>694</v>
      </c>
    </row>
    <row r="375" spans="1:9" x14ac:dyDescent="0.3">
      <c r="A375" s="35">
        <v>1222000810</v>
      </c>
      <c r="B375" s="36">
        <v>21564644</v>
      </c>
      <c r="C375" s="37">
        <v>44573</v>
      </c>
      <c r="D375" s="137">
        <v>351.858</v>
      </c>
      <c r="E375" s="36" t="s">
        <v>655</v>
      </c>
      <c r="F375" s="36">
        <v>1</v>
      </c>
      <c r="G375" s="36" t="s">
        <v>112</v>
      </c>
      <c r="H375" s="37">
        <v>44578</v>
      </c>
      <c r="I375" s="22" t="s">
        <v>694</v>
      </c>
    </row>
    <row r="376" spans="1:9" x14ac:dyDescent="0.3">
      <c r="A376" s="35">
        <v>1222000811</v>
      </c>
      <c r="B376" s="36">
        <v>21579363</v>
      </c>
      <c r="C376" s="37">
        <v>44573</v>
      </c>
      <c r="D376" s="137">
        <v>385.00700000000001</v>
      </c>
      <c r="E376" s="36" t="s">
        <v>655</v>
      </c>
      <c r="F376" s="36">
        <v>1</v>
      </c>
      <c r="G376" s="36" t="s">
        <v>112</v>
      </c>
      <c r="H376" s="37">
        <v>44578</v>
      </c>
      <c r="I376" s="22" t="s">
        <v>694</v>
      </c>
    </row>
    <row r="377" spans="1:9" x14ac:dyDescent="0.3">
      <c r="A377" s="35">
        <v>1222000769</v>
      </c>
      <c r="B377" s="36">
        <v>2571892</v>
      </c>
      <c r="C377" s="37">
        <v>44573</v>
      </c>
      <c r="D377" s="137">
        <v>55.000999999999998</v>
      </c>
      <c r="E377" s="36" t="s">
        <v>655</v>
      </c>
      <c r="F377" s="36">
        <v>1</v>
      </c>
      <c r="G377" s="36" t="s">
        <v>112</v>
      </c>
      <c r="H377" s="37">
        <v>44578</v>
      </c>
      <c r="I377" s="22" t="s">
        <v>694</v>
      </c>
    </row>
    <row r="378" spans="1:9" x14ac:dyDescent="0.3">
      <c r="A378" s="35">
        <v>1222000739</v>
      </c>
      <c r="B378" s="36">
        <v>38570113</v>
      </c>
      <c r="C378" s="37">
        <v>44573</v>
      </c>
      <c r="D378" s="137">
        <v>2750.049</v>
      </c>
      <c r="E378" s="36" t="s">
        <v>655</v>
      </c>
      <c r="F378" s="36">
        <v>2</v>
      </c>
      <c r="G378" s="36" t="s">
        <v>112</v>
      </c>
      <c r="H378" s="37">
        <v>44578</v>
      </c>
      <c r="I378" s="22" t="s">
        <v>694</v>
      </c>
    </row>
    <row r="379" spans="1:9" x14ac:dyDescent="0.3">
      <c r="A379" s="35">
        <v>1222001074</v>
      </c>
      <c r="B379" s="36">
        <v>51581433</v>
      </c>
      <c r="C379" s="37">
        <v>44574</v>
      </c>
      <c r="D379" s="137">
        <v>110.002</v>
      </c>
      <c r="E379" s="36" t="s">
        <v>655</v>
      </c>
      <c r="F379" s="36">
        <v>1</v>
      </c>
      <c r="G379" s="36" t="s">
        <v>112</v>
      </c>
      <c r="H379" s="37">
        <v>44578</v>
      </c>
      <c r="I379" s="22" t="s">
        <v>694</v>
      </c>
    </row>
    <row r="380" spans="1:9" x14ac:dyDescent="0.3">
      <c r="A380" s="35">
        <v>1222001076</v>
      </c>
      <c r="B380" s="36">
        <v>52869504</v>
      </c>
      <c r="C380" s="37">
        <v>44574</v>
      </c>
      <c r="D380" s="137">
        <v>385.00700000000001</v>
      </c>
      <c r="E380" s="36" t="s">
        <v>655</v>
      </c>
      <c r="F380" s="36">
        <v>1</v>
      </c>
      <c r="G380" s="36" t="s">
        <v>112</v>
      </c>
      <c r="H380" s="37">
        <v>44578</v>
      </c>
      <c r="I380" s="22" t="s">
        <v>694</v>
      </c>
    </row>
    <row r="381" spans="1:9" x14ac:dyDescent="0.3">
      <c r="A381" s="35">
        <v>1222001099</v>
      </c>
      <c r="B381" s="36">
        <v>67576133</v>
      </c>
      <c r="C381" s="37">
        <v>44574</v>
      </c>
      <c r="D381" s="137">
        <v>528.58299999999997</v>
      </c>
      <c r="E381" s="36" t="s">
        <v>655</v>
      </c>
      <c r="F381" s="36">
        <v>1</v>
      </c>
      <c r="G381" s="36" t="s">
        <v>112</v>
      </c>
      <c r="H381" s="37">
        <v>44578</v>
      </c>
      <c r="I381" s="22" t="s">
        <v>694</v>
      </c>
    </row>
    <row r="382" spans="1:9" x14ac:dyDescent="0.3">
      <c r="A382" s="35">
        <v>1222001108</v>
      </c>
      <c r="B382" s="36">
        <v>86566906</v>
      </c>
      <c r="C382" s="37">
        <v>44574</v>
      </c>
      <c r="D382" s="137">
        <v>605.01099999999997</v>
      </c>
      <c r="E382" s="36" t="s">
        <v>655</v>
      </c>
      <c r="F382" s="36">
        <v>1</v>
      </c>
      <c r="G382" s="36" t="s">
        <v>112</v>
      </c>
      <c r="H382" s="37">
        <v>44578</v>
      </c>
      <c r="I382" s="22" t="s">
        <v>694</v>
      </c>
    </row>
    <row r="383" spans="1:9" x14ac:dyDescent="0.3">
      <c r="A383" s="35">
        <v>1222001060</v>
      </c>
      <c r="B383" s="36">
        <v>80581166</v>
      </c>
      <c r="C383" s="37">
        <v>44574</v>
      </c>
      <c r="D383" s="137">
        <v>1759.29</v>
      </c>
      <c r="E383" s="36" t="s">
        <v>655</v>
      </c>
      <c r="F383" s="36">
        <v>1</v>
      </c>
      <c r="G383" s="36" t="s">
        <v>112</v>
      </c>
      <c r="H383" s="37">
        <v>44578</v>
      </c>
      <c r="I383" s="22" t="s">
        <v>694</v>
      </c>
    </row>
    <row r="384" spans="1:9" x14ac:dyDescent="0.3">
      <c r="A384" s="35">
        <v>1222001914</v>
      </c>
      <c r="B384" s="36">
        <v>14931664</v>
      </c>
      <c r="C384" s="37">
        <v>44578</v>
      </c>
      <c r="D384" s="137">
        <v>12320.217000000001</v>
      </c>
      <c r="E384" s="36" t="s">
        <v>655</v>
      </c>
      <c r="F384" s="36">
        <v>7</v>
      </c>
      <c r="G384" s="36" t="s">
        <v>112</v>
      </c>
      <c r="H384" s="37">
        <v>44578</v>
      </c>
      <c r="I384" s="22" t="s">
        <v>695</v>
      </c>
    </row>
    <row r="385" spans="1:10" x14ac:dyDescent="0.3">
      <c r="A385" s="35">
        <v>1222002582</v>
      </c>
      <c r="B385" s="36">
        <v>53882645</v>
      </c>
      <c r="C385" s="37">
        <v>44580</v>
      </c>
      <c r="D385" s="137">
        <v>110.002</v>
      </c>
      <c r="E385" s="36" t="s">
        <v>655</v>
      </c>
      <c r="F385" s="36">
        <v>1</v>
      </c>
      <c r="G385" s="36" t="s">
        <v>112</v>
      </c>
      <c r="H385" s="37">
        <v>44579</v>
      </c>
      <c r="I385" s="22" t="s">
        <v>696</v>
      </c>
    </row>
    <row r="386" spans="1:10" x14ac:dyDescent="0.3">
      <c r="A386" s="50">
        <v>1222002525</v>
      </c>
      <c r="B386" s="51">
        <v>53699866</v>
      </c>
      <c r="C386" s="52">
        <v>44579</v>
      </c>
      <c r="D386" s="140">
        <v>605.01099999999997</v>
      </c>
      <c r="E386" s="51" t="s">
        <v>655</v>
      </c>
      <c r="F386" s="51">
        <v>1</v>
      </c>
      <c r="G386" s="51" t="s">
        <v>112</v>
      </c>
      <c r="H386" s="52">
        <v>44578</v>
      </c>
      <c r="I386" s="51" t="s">
        <v>697</v>
      </c>
    </row>
    <row r="387" spans="1:10" x14ac:dyDescent="0.3">
      <c r="A387" s="35">
        <v>1222002528</v>
      </c>
      <c r="B387" s="36">
        <v>63570429</v>
      </c>
      <c r="C387" s="37">
        <v>44579</v>
      </c>
      <c r="D387" s="137">
        <v>1156.105</v>
      </c>
      <c r="E387" s="36" t="s">
        <v>655</v>
      </c>
      <c r="F387" s="36">
        <v>1</v>
      </c>
      <c r="G387" s="36" t="s">
        <v>112</v>
      </c>
      <c r="H387" s="37">
        <v>44578</v>
      </c>
      <c r="I387" s="22" t="s">
        <v>697</v>
      </c>
    </row>
    <row r="388" spans="1:10" x14ac:dyDescent="0.3">
      <c r="A388" s="35">
        <v>1222002534</v>
      </c>
      <c r="B388" s="36">
        <v>83571141</v>
      </c>
      <c r="C388" s="37">
        <v>44579</v>
      </c>
      <c r="D388" s="137">
        <v>165.00299999999999</v>
      </c>
      <c r="E388" s="36" t="s">
        <v>655</v>
      </c>
      <c r="F388" s="36">
        <v>1</v>
      </c>
      <c r="G388" s="36" t="s">
        <v>112</v>
      </c>
      <c r="H388" s="37">
        <v>44578</v>
      </c>
      <c r="I388" s="22" t="s">
        <v>697</v>
      </c>
    </row>
    <row r="389" spans="1:10" x14ac:dyDescent="0.3">
      <c r="A389" s="35">
        <v>1222002542</v>
      </c>
      <c r="B389" s="36">
        <v>5553038</v>
      </c>
      <c r="C389" s="37">
        <v>44579</v>
      </c>
      <c r="D389" s="137">
        <v>55.000999999999998</v>
      </c>
      <c r="E389" s="36" t="s">
        <v>655</v>
      </c>
      <c r="F389" s="36">
        <v>1</v>
      </c>
      <c r="G389" s="36" t="s">
        <v>112</v>
      </c>
      <c r="H389" s="37">
        <v>44578</v>
      </c>
      <c r="I389" s="22" t="s">
        <v>697</v>
      </c>
    </row>
    <row r="390" spans="1:10" x14ac:dyDescent="0.3">
      <c r="A390" s="35">
        <v>1222002554</v>
      </c>
      <c r="B390" s="36">
        <v>53757030</v>
      </c>
      <c r="C390" s="37">
        <v>44579</v>
      </c>
      <c r="D390" s="137">
        <v>110.002</v>
      </c>
      <c r="E390" s="36" t="s">
        <v>655</v>
      </c>
      <c r="F390" s="36">
        <v>1</v>
      </c>
      <c r="G390" s="36" t="s">
        <v>112</v>
      </c>
      <c r="H390" s="37">
        <v>44578</v>
      </c>
      <c r="I390" s="22" t="s">
        <v>697</v>
      </c>
    </row>
    <row r="391" spans="1:10" x14ac:dyDescent="0.3">
      <c r="A391" s="35">
        <v>1222002556</v>
      </c>
      <c r="B391" s="36">
        <v>53821934</v>
      </c>
      <c r="C391" s="37">
        <v>44579</v>
      </c>
      <c r="D391" s="137">
        <v>330.00599999999997</v>
      </c>
      <c r="E391" s="36" t="s">
        <v>655</v>
      </c>
      <c r="F391" s="36">
        <v>1</v>
      </c>
      <c r="G391" s="36" t="s">
        <v>112</v>
      </c>
      <c r="H391" s="37">
        <v>44578</v>
      </c>
      <c r="I391" s="22" t="s">
        <v>697</v>
      </c>
    </row>
    <row r="392" spans="1:10" x14ac:dyDescent="0.3">
      <c r="A392" s="35">
        <v>1222002571</v>
      </c>
      <c r="B392" s="36" t="s">
        <v>698</v>
      </c>
      <c r="C392" s="37">
        <v>44579</v>
      </c>
      <c r="D392" s="137">
        <v>1042.6110000000001</v>
      </c>
      <c r="E392" s="36" t="s">
        <v>655</v>
      </c>
      <c r="F392" s="36">
        <v>1</v>
      </c>
      <c r="G392" s="36" t="s">
        <v>112</v>
      </c>
      <c r="H392" s="37">
        <v>44578</v>
      </c>
      <c r="I392" s="22" t="s">
        <v>697</v>
      </c>
    </row>
    <row r="393" spans="1:10" x14ac:dyDescent="0.3">
      <c r="A393" s="35">
        <v>1222002572</v>
      </c>
      <c r="B393" s="36" t="s">
        <v>699</v>
      </c>
      <c r="C393" s="37">
        <v>44579</v>
      </c>
      <c r="D393" s="137">
        <v>18095.557000000001</v>
      </c>
      <c r="E393" s="36" t="s">
        <v>655</v>
      </c>
      <c r="F393" s="36">
        <v>10</v>
      </c>
      <c r="G393" s="36" t="s">
        <v>112</v>
      </c>
      <c r="H393" s="37">
        <v>44578</v>
      </c>
      <c r="I393" s="22" t="s">
        <v>697</v>
      </c>
    </row>
    <row r="394" spans="1:10" x14ac:dyDescent="0.3">
      <c r="A394" s="35">
        <v>1222002524</v>
      </c>
      <c r="B394" s="36">
        <v>49580198</v>
      </c>
      <c r="C394" s="37">
        <v>44579</v>
      </c>
      <c r="D394" s="137">
        <v>3935.0030000000002</v>
      </c>
      <c r="E394" s="36" t="s">
        <v>655</v>
      </c>
      <c r="F394" s="36">
        <v>2</v>
      </c>
      <c r="G394" s="36" t="s">
        <v>112</v>
      </c>
      <c r="H394" s="37">
        <v>44578</v>
      </c>
      <c r="I394" s="22" t="s">
        <v>697</v>
      </c>
      <c r="J394" s="23" t="s">
        <v>700</v>
      </c>
    </row>
    <row r="395" spans="1:10" x14ac:dyDescent="0.3">
      <c r="A395" s="35">
        <v>1222003645</v>
      </c>
      <c r="B395" s="36">
        <v>15588545</v>
      </c>
      <c r="C395" s="37">
        <v>44585</v>
      </c>
      <c r="D395" s="137">
        <v>50.265000000000001</v>
      </c>
      <c r="E395" s="36" t="s">
        <v>655</v>
      </c>
      <c r="F395" s="36">
        <v>1</v>
      </c>
      <c r="G395" s="36" t="s">
        <v>112</v>
      </c>
      <c r="H395" s="37">
        <v>44580</v>
      </c>
      <c r="I395" s="22" t="s">
        <v>701</v>
      </c>
      <c r="J395" s="23" t="s">
        <v>700</v>
      </c>
    </row>
    <row r="396" spans="1:10" x14ac:dyDescent="0.3">
      <c r="A396" s="35">
        <v>1222003677</v>
      </c>
      <c r="B396" s="36">
        <v>3577068</v>
      </c>
      <c r="C396" s="37">
        <v>44584</v>
      </c>
      <c r="D396" s="137">
        <v>330.00599999999997</v>
      </c>
      <c r="E396" s="36" t="s">
        <v>655</v>
      </c>
      <c r="F396" s="36">
        <v>1</v>
      </c>
      <c r="G396" s="36" t="s">
        <v>112</v>
      </c>
      <c r="H396" s="37">
        <v>44580</v>
      </c>
      <c r="I396" s="22" t="s">
        <v>701</v>
      </c>
      <c r="J396" s="23" t="s">
        <v>700</v>
      </c>
    </row>
    <row r="397" spans="1:10" x14ac:dyDescent="0.3">
      <c r="A397" s="35">
        <v>1222003679</v>
      </c>
      <c r="B397" s="36">
        <v>20557246</v>
      </c>
      <c r="C397" s="37">
        <v>44581</v>
      </c>
      <c r="D397" s="137">
        <v>411.12099999999998</v>
      </c>
      <c r="E397" s="36" t="s">
        <v>655</v>
      </c>
      <c r="F397" s="36">
        <v>1</v>
      </c>
      <c r="G397" s="36" t="s">
        <v>112</v>
      </c>
      <c r="H397" s="37">
        <v>44580</v>
      </c>
      <c r="I397" s="22" t="s">
        <v>701</v>
      </c>
      <c r="J397" s="23" t="s">
        <v>700</v>
      </c>
    </row>
    <row r="398" spans="1:10" x14ac:dyDescent="0.3">
      <c r="A398" s="35">
        <v>1222003681</v>
      </c>
      <c r="B398" s="36">
        <v>23580465</v>
      </c>
      <c r="C398" s="37">
        <v>44582</v>
      </c>
      <c r="D398" s="137">
        <v>100.53100000000001</v>
      </c>
      <c r="E398" s="36" t="s">
        <v>655</v>
      </c>
      <c r="F398" s="36">
        <v>1</v>
      </c>
      <c r="G398" s="36" t="s">
        <v>112</v>
      </c>
      <c r="H398" s="37">
        <v>44580</v>
      </c>
      <c r="I398" s="22" t="s">
        <v>701</v>
      </c>
      <c r="J398" s="23" t="s">
        <v>700</v>
      </c>
    </row>
    <row r="399" spans="1:10" x14ac:dyDescent="0.3">
      <c r="A399" s="35">
        <v>1222003685</v>
      </c>
      <c r="B399" s="36">
        <v>54750204</v>
      </c>
      <c r="C399" s="37">
        <v>44583</v>
      </c>
      <c r="D399" s="137">
        <v>9286.9650000000001</v>
      </c>
      <c r="E399" s="36" t="s">
        <v>655</v>
      </c>
      <c r="F399" s="36">
        <v>4</v>
      </c>
      <c r="G399" s="36" t="s">
        <v>112</v>
      </c>
      <c r="H399" s="37">
        <v>44580</v>
      </c>
      <c r="I399" s="22" t="s">
        <v>701</v>
      </c>
      <c r="J399" s="23" t="s">
        <v>700</v>
      </c>
    </row>
    <row r="400" spans="1:10" x14ac:dyDescent="0.3">
      <c r="A400" s="35">
        <v>1222002588</v>
      </c>
      <c r="B400" s="36">
        <v>53991134</v>
      </c>
      <c r="C400" s="37">
        <v>44580</v>
      </c>
      <c r="D400" s="137">
        <v>111.001</v>
      </c>
      <c r="E400" s="36" t="s">
        <v>655</v>
      </c>
      <c r="F400" s="36">
        <v>1</v>
      </c>
      <c r="G400" s="36" t="s">
        <v>112</v>
      </c>
      <c r="H400" s="37">
        <v>44579</v>
      </c>
      <c r="I400" s="22" t="s">
        <v>696</v>
      </c>
      <c r="J400" s="23" t="s">
        <v>700</v>
      </c>
    </row>
    <row r="401" spans="1:10" x14ac:dyDescent="0.3">
      <c r="A401" s="40">
        <v>1222005451</v>
      </c>
      <c r="B401" s="36">
        <v>26910374</v>
      </c>
      <c r="C401" s="37">
        <v>44586</v>
      </c>
      <c r="D401" s="137">
        <v>14080.248</v>
      </c>
      <c r="E401" s="36" t="s">
        <v>655</v>
      </c>
      <c r="F401" s="36">
        <v>8</v>
      </c>
      <c r="G401" s="36" t="s">
        <v>112</v>
      </c>
      <c r="H401" s="37">
        <v>44585</v>
      </c>
      <c r="I401" s="22" t="s">
        <v>702</v>
      </c>
      <c r="J401" s="23" t="s">
        <v>700</v>
      </c>
    </row>
    <row r="402" spans="1:10" x14ac:dyDescent="0.3">
      <c r="A402" s="35">
        <v>1222005027</v>
      </c>
      <c r="B402" s="36">
        <v>56663949</v>
      </c>
      <c r="C402" s="37">
        <v>44586</v>
      </c>
      <c r="D402" s="137">
        <v>351.858</v>
      </c>
      <c r="E402" s="36" t="s">
        <v>655</v>
      </c>
      <c r="F402" s="36">
        <v>1</v>
      </c>
      <c r="G402" s="36" t="s">
        <v>112</v>
      </c>
      <c r="H402" s="37">
        <v>44585</v>
      </c>
      <c r="I402" s="22" t="s">
        <v>702</v>
      </c>
      <c r="J402" s="23" t="s">
        <v>703</v>
      </c>
    </row>
    <row r="403" spans="1:10" x14ac:dyDescent="0.3">
      <c r="A403" s="35">
        <v>1222004993</v>
      </c>
      <c r="B403" s="36" t="s">
        <v>704</v>
      </c>
      <c r="C403" s="37">
        <v>44586</v>
      </c>
      <c r="D403" s="137">
        <v>385.00700000000001</v>
      </c>
      <c r="E403" s="36" t="s">
        <v>655</v>
      </c>
      <c r="F403" s="36">
        <v>1</v>
      </c>
      <c r="G403" s="36" t="s">
        <v>112</v>
      </c>
      <c r="H403" s="37">
        <v>44585</v>
      </c>
      <c r="I403" s="22" t="s">
        <v>702</v>
      </c>
      <c r="J403" s="23" t="s">
        <v>705</v>
      </c>
    </row>
    <row r="404" spans="1:10" x14ac:dyDescent="0.3">
      <c r="A404" s="35">
        <v>1222004994</v>
      </c>
      <c r="B404" s="36" t="s">
        <v>706</v>
      </c>
      <c r="C404" s="37">
        <v>44586</v>
      </c>
      <c r="D404" s="137">
        <v>935.01599999999996</v>
      </c>
      <c r="E404" s="36" t="s">
        <v>655</v>
      </c>
      <c r="F404" s="36">
        <v>1</v>
      </c>
      <c r="G404" s="36" t="s">
        <v>112</v>
      </c>
      <c r="H404" s="37">
        <v>44585</v>
      </c>
      <c r="I404" s="22" t="s">
        <v>702</v>
      </c>
      <c r="J404" s="23" t="s">
        <v>707</v>
      </c>
    </row>
    <row r="405" spans="1:10" x14ac:dyDescent="0.3">
      <c r="A405" s="35">
        <v>1222004996</v>
      </c>
      <c r="B405" s="36">
        <v>1583149</v>
      </c>
      <c r="C405" s="37">
        <v>44586</v>
      </c>
      <c r="D405" s="137">
        <v>715.01300000000003</v>
      </c>
      <c r="E405" s="36" t="s">
        <v>655</v>
      </c>
      <c r="F405" s="36">
        <v>1</v>
      </c>
      <c r="G405" s="36" t="s">
        <v>112</v>
      </c>
      <c r="H405" s="37">
        <v>44585</v>
      </c>
      <c r="I405" s="22" t="s">
        <v>702</v>
      </c>
      <c r="J405" s="23" t="s">
        <v>708</v>
      </c>
    </row>
    <row r="406" spans="1:10" x14ac:dyDescent="0.3">
      <c r="A406" s="35">
        <v>1222005030</v>
      </c>
      <c r="B406" s="36">
        <v>63572332</v>
      </c>
      <c r="C406" s="37">
        <v>44586</v>
      </c>
      <c r="D406" s="137">
        <v>550.01</v>
      </c>
      <c r="E406" s="36" t="s">
        <v>655</v>
      </c>
      <c r="F406" s="36">
        <v>1</v>
      </c>
      <c r="G406" s="36" t="s">
        <v>112</v>
      </c>
      <c r="H406" s="37">
        <v>44585</v>
      </c>
      <c r="I406" s="22" t="s">
        <v>702</v>
      </c>
      <c r="J406" s="23" t="s">
        <v>709</v>
      </c>
    </row>
    <row r="407" spans="1:10" x14ac:dyDescent="0.3">
      <c r="A407" s="35">
        <v>1222003995</v>
      </c>
      <c r="B407" s="36">
        <v>63579952</v>
      </c>
      <c r="C407" s="37">
        <v>44587</v>
      </c>
      <c r="D407" s="137">
        <v>605.01099999999997</v>
      </c>
      <c r="E407" s="36" t="s">
        <v>655</v>
      </c>
      <c r="F407" s="36">
        <v>1</v>
      </c>
      <c r="G407" s="36" t="s">
        <v>112</v>
      </c>
      <c r="H407" s="37">
        <v>44588</v>
      </c>
      <c r="I407" s="22" t="s">
        <v>710</v>
      </c>
    </row>
    <row r="408" spans="1:10" x14ac:dyDescent="0.3">
      <c r="A408" s="35">
        <v>1222004003</v>
      </c>
      <c r="B408" s="36">
        <v>8554255</v>
      </c>
      <c r="C408" s="37">
        <v>44587</v>
      </c>
      <c r="D408" s="137">
        <v>110.002</v>
      </c>
      <c r="E408" s="36" t="s">
        <v>655</v>
      </c>
      <c r="F408" s="36">
        <v>1</v>
      </c>
      <c r="G408" s="36" t="s">
        <v>112</v>
      </c>
      <c r="H408" s="37">
        <v>44591</v>
      </c>
      <c r="I408" s="22" t="s">
        <v>710</v>
      </c>
    </row>
    <row r="409" spans="1:10" x14ac:dyDescent="0.3">
      <c r="A409" s="35">
        <v>1222004020</v>
      </c>
      <c r="B409" s="36">
        <v>55682888</v>
      </c>
      <c r="C409" s="37">
        <v>44587</v>
      </c>
      <c r="D409" s="137">
        <v>440.00799999999998</v>
      </c>
      <c r="E409" s="36" t="s">
        <v>655</v>
      </c>
      <c r="F409" s="36">
        <v>1</v>
      </c>
      <c r="G409" s="36" t="s">
        <v>112</v>
      </c>
      <c r="H409" s="37">
        <v>44586</v>
      </c>
      <c r="I409" s="22" t="s">
        <v>710</v>
      </c>
    </row>
    <row r="410" spans="1:10" x14ac:dyDescent="0.3">
      <c r="A410" s="35">
        <v>1222004024</v>
      </c>
      <c r="B410" s="36">
        <v>55712286</v>
      </c>
      <c r="C410" s="37">
        <v>44587</v>
      </c>
      <c r="D410" s="137">
        <v>55.000999999999998</v>
      </c>
      <c r="E410" s="36" t="s">
        <v>655</v>
      </c>
      <c r="F410" s="36">
        <v>1</v>
      </c>
      <c r="G410" s="36" t="s">
        <v>112</v>
      </c>
      <c r="H410" s="37">
        <v>44587</v>
      </c>
      <c r="I410" s="22" t="s">
        <v>710</v>
      </c>
    </row>
    <row r="411" spans="1:10" x14ac:dyDescent="0.3">
      <c r="A411" s="35">
        <v>1222004333</v>
      </c>
      <c r="B411" s="36">
        <v>21565034</v>
      </c>
      <c r="C411" s="37">
        <v>44587</v>
      </c>
      <c r="D411" s="137">
        <v>52.131</v>
      </c>
      <c r="E411" s="36" t="s">
        <v>655</v>
      </c>
      <c r="F411" s="36">
        <v>1</v>
      </c>
      <c r="G411" s="36" t="s">
        <v>112</v>
      </c>
      <c r="H411" s="37">
        <v>44590</v>
      </c>
      <c r="I411" s="22" t="s">
        <v>710</v>
      </c>
    </row>
    <row r="412" spans="1:10" x14ac:dyDescent="0.3">
      <c r="A412" s="35">
        <v>1222004013</v>
      </c>
      <c r="B412" s="36">
        <v>55582685</v>
      </c>
      <c r="C412" s="37">
        <v>44587</v>
      </c>
      <c r="D412" s="137">
        <v>55.000999999999998</v>
      </c>
      <c r="E412" s="36" t="s">
        <v>655</v>
      </c>
      <c r="F412" s="36">
        <v>1</v>
      </c>
      <c r="G412" s="36" t="s">
        <v>112</v>
      </c>
      <c r="H412" s="37">
        <v>44589</v>
      </c>
      <c r="I412" s="22" t="s">
        <v>710</v>
      </c>
      <c r="J412" s="63"/>
    </row>
    <row r="413" spans="1:10" x14ac:dyDescent="0.3">
      <c r="A413" s="35">
        <v>1222006623</v>
      </c>
      <c r="B413" s="36">
        <v>51581934</v>
      </c>
      <c r="C413" s="37">
        <v>44588</v>
      </c>
      <c r="D413" s="137">
        <v>55.000999999999998</v>
      </c>
      <c r="E413" s="36" t="s">
        <v>655</v>
      </c>
      <c r="F413" s="36">
        <v>1</v>
      </c>
      <c r="G413" s="36" t="s">
        <v>112</v>
      </c>
      <c r="H413" s="37">
        <v>44587</v>
      </c>
      <c r="I413" s="22" t="s">
        <v>711</v>
      </c>
    </row>
    <row r="414" spans="1:10" x14ac:dyDescent="0.3">
      <c r="A414" s="35">
        <v>1222006617</v>
      </c>
      <c r="B414" s="36">
        <v>5553317</v>
      </c>
      <c r="C414" s="37">
        <v>44588</v>
      </c>
      <c r="D414" s="137">
        <v>165.00299999999999</v>
      </c>
      <c r="E414" s="36" t="s">
        <v>655</v>
      </c>
      <c r="F414" s="36">
        <v>1</v>
      </c>
      <c r="G414" s="36" t="s">
        <v>112</v>
      </c>
      <c r="H414" s="37">
        <v>44589</v>
      </c>
      <c r="I414" s="22" t="s">
        <v>711</v>
      </c>
    </row>
    <row r="415" spans="1:10" x14ac:dyDescent="0.3">
      <c r="A415" s="35">
        <v>1222006644</v>
      </c>
      <c r="B415" s="36">
        <v>56812726</v>
      </c>
      <c r="C415" s="37">
        <v>44588</v>
      </c>
      <c r="D415" s="137">
        <v>50.265000000000001</v>
      </c>
      <c r="E415" s="36" t="s">
        <v>655</v>
      </c>
      <c r="F415" s="36">
        <v>1</v>
      </c>
      <c r="G415" s="36" t="s">
        <v>112</v>
      </c>
      <c r="H415" s="37">
        <v>44590</v>
      </c>
      <c r="I415" s="22" t="s">
        <v>711</v>
      </c>
    </row>
    <row r="416" spans="1:10" x14ac:dyDescent="0.3">
      <c r="A416" s="35">
        <v>1222006633</v>
      </c>
      <c r="B416" s="36">
        <v>56757139</v>
      </c>
      <c r="C416" s="37">
        <v>44588</v>
      </c>
      <c r="D416" s="137">
        <v>110.002</v>
      </c>
      <c r="E416" s="36" t="s">
        <v>655</v>
      </c>
      <c r="F416" s="36">
        <v>1</v>
      </c>
      <c r="G416" s="36" t="s">
        <v>112</v>
      </c>
      <c r="H416" s="37">
        <v>44591</v>
      </c>
      <c r="I416" s="22" t="s">
        <v>711</v>
      </c>
    </row>
    <row r="417" spans="1:11" x14ac:dyDescent="0.3">
      <c r="A417" s="35">
        <v>1222006614</v>
      </c>
      <c r="B417" s="36">
        <v>2570087</v>
      </c>
      <c r="C417" s="37">
        <v>44588</v>
      </c>
      <c r="D417" s="137">
        <v>110.002</v>
      </c>
      <c r="E417" s="36" t="s">
        <v>655</v>
      </c>
      <c r="F417" s="36">
        <v>1</v>
      </c>
      <c r="G417" s="36" t="s">
        <v>112</v>
      </c>
      <c r="H417" s="37">
        <v>44592</v>
      </c>
      <c r="I417" s="22" t="s">
        <v>711</v>
      </c>
    </row>
    <row r="418" spans="1:11" x14ac:dyDescent="0.3">
      <c r="A418" s="35">
        <v>1222006652</v>
      </c>
      <c r="B418" s="36">
        <v>26588274</v>
      </c>
      <c r="C418" s="37">
        <v>44588</v>
      </c>
      <c r="D418" s="137">
        <v>50.265000000000001</v>
      </c>
      <c r="E418" s="36" t="s">
        <v>655</v>
      </c>
      <c r="F418" s="36">
        <v>1</v>
      </c>
      <c r="G418" s="36" t="s">
        <v>112</v>
      </c>
      <c r="H418" s="37">
        <v>44588</v>
      </c>
      <c r="I418" s="22" t="s">
        <v>711</v>
      </c>
    </row>
    <row r="419" spans="1:11" x14ac:dyDescent="0.3">
      <c r="A419" s="35">
        <v>1222007360</v>
      </c>
      <c r="B419" s="36">
        <v>76552350</v>
      </c>
      <c r="C419" s="37">
        <v>44589</v>
      </c>
      <c r="D419" s="137">
        <v>55.000999999999998</v>
      </c>
      <c r="E419" s="36" t="s">
        <v>655</v>
      </c>
      <c r="F419" s="36">
        <v>1</v>
      </c>
      <c r="G419" s="36" t="s">
        <v>112</v>
      </c>
      <c r="H419" s="37">
        <v>44588</v>
      </c>
      <c r="I419" s="22" t="s">
        <v>712</v>
      </c>
      <c r="J419" s="64"/>
    </row>
    <row r="420" spans="1:11" x14ac:dyDescent="0.3">
      <c r="A420" s="35">
        <v>1222007396</v>
      </c>
      <c r="B420" s="36">
        <v>23587447</v>
      </c>
      <c r="C420" s="37">
        <v>44589</v>
      </c>
      <c r="D420" s="137">
        <v>385.00700000000001</v>
      </c>
      <c r="E420" s="36" t="s">
        <v>655</v>
      </c>
      <c r="F420" s="36">
        <v>1</v>
      </c>
      <c r="G420" s="36" t="s">
        <v>112</v>
      </c>
      <c r="H420" s="37">
        <v>44588</v>
      </c>
      <c r="I420" s="22" t="s">
        <v>712</v>
      </c>
      <c r="J420" s="64"/>
    </row>
    <row r="421" spans="1:11" x14ac:dyDescent="0.3">
      <c r="A421" s="35">
        <v>1222007415</v>
      </c>
      <c r="B421" s="36">
        <v>79558260</v>
      </c>
      <c r="C421" s="37">
        <v>44589</v>
      </c>
      <c r="D421" s="137">
        <v>825.01499999999999</v>
      </c>
      <c r="E421" s="36" t="s">
        <v>655</v>
      </c>
      <c r="F421" s="36">
        <v>1</v>
      </c>
      <c r="G421" s="36" t="s">
        <v>112</v>
      </c>
      <c r="H421" s="37">
        <v>44588</v>
      </c>
      <c r="I421" s="22" t="s">
        <v>712</v>
      </c>
      <c r="J421" s="64"/>
    </row>
    <row r="422" spans="1:11" x14ac:dyDescent="0.3">
      <c r="A422" s="35">
        <v>1222007342</v>
      </c>
      <c r="B422" s="36">
        <v>5553348</v>
      </c>
      <c r="C422" s="37">
        <v>44589</v>
      </c>
      <c r="D422" s="137">
        <v>110.002</v>
      </c>
      <c r="E422" s="36" t="s">
        <v>655</v>
      </c>
      <c r="F422" s="36">
        <v>1</v>
      </c>
      <c r="G422" s="36" t="s">
        <v>112</v>
      </c>
      <c r="H422" s="37">
        <v>44588</v>
      </c>
      <c r="I422" s="22" t="s">
        <v>712</v>
      </c>
      <c r="J422" s="64"/>
    </row>
    <row r="423" spans="1:11" x14ac:dyDescent="0.3">
      <c r="A423" s="35">
        <v>1222007412</v>
      </c>
      <c r="B423" s="36">
        <v>57959504</v>
      </c>
      <c r="C423" s="37">
        <v>44589</v>
      </c>
      <c r="D423" s="137">
        <v>55.000999999999998</v>
      </c>
      <c r="E423" s="36" t="s">
        <v>655</v>
      </c>
      <c r="F423" s="36">
        <v>1</v>
      </c>
      <c r="G423" s="36" t="s">
        <v>112</v>
      </c>
      <c r="H423" s="37">
        <v>44588</v>
      </c>
      <c r="I423" s="22" t="s">
        <v>712</v>
      </c>
      <c r="J423" s="64"/>
    </row>
    <row r="424" spans="1:11" x14ac:dyDescent="0.3">
      <c r="A424" s="35">
        <v>1222007362</v>
      </c>
      <c r="B424" s="36">
        <v>85578594</v>
      </c>
      <c r="C424" s="37">
        <v>44589</v>
      </c>
      <c r="D424" s="137">
        <v>50.265000000000001</v>
      </c>
      <c r="E424" s="36" t="s">
        <v>655</v>
      </c>
      <c r="F424" s="36">
        <v>1</v>
      </c>
      <c r="G424" s="36" t="s">
        <v>112</v>
      </c>
      <c r="H424" s="37">
        <v>44588</v>
      </c>
      <c r="I424" s="22" t="s">
        <v>712</v>
      </c>
      <c r="J424" s="64"/>
    </row>
    <row r="425" spans="1:11" x14ac:dyDescent="0.3">
      <c r="A425" s="35">
        <v>1222007359</v>
      </c>
      <c r="B425" s="36">
        <v>63580093</v>
      </c>
      <c r="C425" s="37">
        <v>44589</v>
      </c>
      <c r="D425" s="137">
        <v>110.002</v>
      </c>
      <c r="E425" s="36" t="s">
        <v>655</v>
      </c>
      <c r="F425" s="36">
        <v>1</v>
      </c>
      <c r="G425" s="36" t="s">
        <v>112</v>
      </c>
      <c r="H425" s="37">
        <v>44588</v>
      </c>
      <c r="I425" s="22" t="s">
        <v>712</v>
      </c>
      <c r="J425" s="64"/>
    </row>
    <row r="426" spans="1:11" x14ac:dyDescent="0.3">
      <c r="A426" s="35">
        <v>1222007410</v>
      </c>
      <c r="B426" s="36">
        <v>57934885</v>
      </c>
      <c r="C426" s="37">
        <v>44589</v>
      </c>
      <c r="D426" s="137">
        <v>37.000999999999998</v>
      </c>
      <c r="E426" s="36" t="s">
        <v>655</v>
      </c>
      <c r="F426" s="36">
        <v>1</v>
      </c>
      <c r="G426" s="36" t="s">
        <v>112</v>
      </c>
      <c r="H426" s="37">
        <v>44588</v>
      </c>
      <c r="I426" s="22" t="s">
        <v>712</v>
      </c>
      <c r="J426" s="64"/>
    </row>
    <row r="427" spans="1:11" x14ac:dyDescent="0.3">
      <c r="A427" s="35">
        <v>1222007369</v>
      </c>
      <c r="B427" s="36">
        <v>35585494</v>
      </c>
      <c r="C427" s="37">
        <v>44589</v>
      </c>
      <c r="D427" s="137">
        <v>50.265000000000001</v>
      </c>
      <c r="E427" s="36" t="s">
        <v>655</v>
      </c>
      <c r="F427" s="36">
        <v>1</v>
      </c>
      <c r="G427" s="36" t="s">
        <v>112</v>
      </c>
      <c r="H427" s="37">
        <v>44588</v>
      </c>
      <c r="I427" s="22" t="s">
        <v>712</v>
      </c>
      <c r="J427" s="64"/>
    </row>
    <row r="428" spans="1:11" x14ac:dyDescent="0.3">
      <c r="A428" s="35">
        <v>1222007388</v>
      </c>
      <c r="B428" s="36">
        <v>7576419</v>
      </c>
      <c r="C428" s="37">
        <v>44589</v>
      </c>
      <c r="D428" s="137">
        <v>495.00900000000001</v>
      </c>
      <c r="E428" s="36" t="s">
        <v>655</v>
      </c>
      <c r="F428" s="36">
        <v>1</v>
      </c>
      <c r="G428" s="36" t="s">
        <v>112</v>
      </c>
      <c r="H428" s="37">
        <v>44588</v>
      </c>
      <c r="I428" s="22" t="s">
        <v>712</v>
      </c>
      <c r="J428" s="64"/>
    </row>
    <row r="429" spans="1:11" x14ac:dyDescent="0.3">
      <c r="A429" s="35">
        <v>1222007358</v>
      </c>
      <c r="B429" s="36">
        <v>57654392</v>
      </c>
      <c r="C429" s="37">
        <v>44589</v>
      </c>
      <c r="D429" s="137">
        <v>100.53100000000001</v>
      </c>
      <c r="E429" s="36" t="s">
        <v>655</v>
      </c>
      <c r="F429" s="36">
        <v>1</v>
      </c>
      <c r="G429" s="36" t="s">
        <v>112</v>
      </c>
      <c r="H429" s="37">
        <v>44588</v>
      </c>
      <c r="I429" s="22" t="s">
        <v>712</v>
      </c>
      <c r="J429" s="64" t="s">
        <v>713</v>
      </c>
      <c r="K429" t="s">
        <v>714</v>
      </c>
    </row>
    <row r="430" spans="1:11" x14ac:dyDescent="0.3">
      <c r="A430" s="35">
        <v>1222008121</v>
      </c>
      <c r="B430" s="36">
        <v>1583350</v>
      </c>
      <c r="C430" s="37">
        <v>44592</v>
      </c>
      <c r="D430" s="137">
        <v>603.18499999999995</v>
      </c>
      <c r="E430" s="36" t="s">
        <v>655</v>
      </c>
      <c r="F430" s="36">
        <v>1</v>
      </c>
      <c r="G430" s="36" t="s">
        <v>112</v>
      </c>
      <c r="H430" s="37">
        <v>44593</v>
      </c>
      <c r="I430" s="22" t="s">
        <v>715</v>
      </c>
      <c r="J430" s="64" t="s">
        <v>716</v>
      </c>
    </row>
    <row r="431" spans="1:11" x14ac:dyDescent="0.3">
      <c r="A431" s="35">
        <v>1222008123</v>
      </c>
      <c r="B431" s="36">
        <v>10582055</v>
      </c>
      <c r="C431" s="37">
        <v>44592</v>
      </c>
      <c r="D431" s="137">
        <v>1705.03</v>
      </c>
      <c r="E431" s="36" t="s">
        <v>655</v>
      </c>
      <c r="F431" s="36">
        <v>1</v>
      </c>
      <c r="G431" s="36" t="s">
        <v>112</v>
      </c>
      <c r="H431" s="37">
        <v>44593</v>
      </c>
      <c r="I431" s="22" t="s">
        <v>715</v>
      </c>
      <c r="J431" s="64" t="s">
        <v>716</v>
      </c>
    </row>
    <row r="432" spans="1:11" x14ac:dyDescent="0.3">
      <c r="A432" s="35">
        <v>1222008135</v>
      </c>
      <c r="B432" s="36">
        <v>3577125</v>
      </c>
      <c r="C432" s="37">
        <v>44592</v>
      </c>
      <c r="D432" s="137">
        <v>52.131</v>
      </c>
      <c r="E432" s="36" t="s">
        <v>655</v>
      </c>
      <c r="F432" s="36">
        <v>1</v>
      </c>
      <c r="G432" s="36" t="s">
        <v>112</v>
      </c>
      <c r="H432" s="37">
        <v>44593</v>
      </c>
      <c r="I432" s="22" t="s">
        <v>715</v>
      </c>
      <c r="J432" s="64" t="s">
        <v>716</v>
      </c>
    </row>
    <row r="433" spans="1:10" x14ac:dyDescent="0.3">
      <c r="A433" s="35">
        <v>1222008111</v>
      </c>
      <c r="B433" s="36">
        <v>5553472</v>
      </c>
      <c r="C433" s="37">
        <v>44592</v>
      </c>
      <c r="D433" s="137">
        <v>385.00700000000001</v>
      </c>
      <c r="E433" s="36" t="s">
        <v>655</v>
      </c>
      <c r="F433" s="36">
        <v>1</v>
      </c>
      <c r="G433" s="36" t="s">
        <v>112</v>
      </c>
      <c r="H433" s="37">
        <v>44593</v>
      </c>
      <c r="I433" s="22" t="s">
        <v>715</v>
      </c>
      <c r="J433" s="64" t="s">
        <v>716</v>
      </c>
    </row>
    <row r="434" spans="1:10" x14ac:dyDescent="0.3">
      <c r="A434" s="35">
        <v>1222008130</v>
      </c>
      <c r="B434" s="36">
        <v>58697246</v>
      </c>
      <c r="C434" s="37">
        <v>44592</v>
      </c>
      <c r="D434" s="137">
        <v>440.00799999999998</v>
      </c>
      <c r="E434" s="36" t="s">
        <v>655</v>
      </c>
      <c r="F434" s="36">
        <v>1</v>
      </c>
      <c r="G434" s="36" t="s">
        <v>112</v>
      </c>
      <c r="H434" s="37">
        <v>44593</v>
      </c>
      <c r="I434" s="22" t="s">
        <v>715</v>
      </c>
      <c r="J434" s="64" t="s">
        <v>716</v>
      </c>
    </row>
    <row r="435" spans="1:10" x14ac:dyDescent="0.3">
      <c r="A435" s="50">
        <v>1222008136</v>
      </c>
      <c r="B435" s="51">
        <v>3577205</v>
      </c>
      <c r="C435" s="52">
        <v>44592</v>
      </c>
      <c r="D435" s="140">
        <v>165.00299999999999</v>
      </c>
      <c r="E435" s="51" t="s">
        <v>655</v>
      </c>
      <c r="F435" s="51">
        <v>1</v>
      </c>
      <c r="G435" s="51" t="s">
        <v>112</v>
      </c>
      <c r="H435" s="52">
        <v>44593</v>
      </c>
      <c r="I435" s="51" t="s">
        <v>715</v>
      </c>
      <c r="J435" s="65" t="s">
        <v>716</v>
      </c>
    </row>
    <row r="436" spans="1:10" x14ac:dyDescent="0.3">
      <c r="A436" s="35">
        <v>1222008624</v>
      </c>
      <c r="B436" s="36">
        <v>6574748</v>
      </c>
      <c r="C436" s="37">
        <v>44593</v>
      </c>
      <c r="D436" s="137">
        <v>402.12299999999999</v>
      </c>
      <c r="E436" s="36" t="s">
        <v>655</v>
      </c>
      <c r="F436" s="36">
        <v>1</v>
      </c>
      <c r="G436" s="36" t="s">
        <v>112</v>
      </c>
      <c r="H436" s="37">
        <v>44593</v>
      </c>
      <c r="I436" s="22" t="s">
        <v>715</v>
      </c>
      <c r="J436" s="64" t="s">
        <v>716</v>
      </c>
    </row>
    <row r="437" spans="1:10" x14ac:dyDescent="0.3">
      <c r="A437" s="35">
        <v>1222008642</v>
      </c>
      <c r="B437" s="36">
        <v>73567625</v>
      </c>
      <c r="C437" s="37">
        <v>44593</v>
      </c>
      <c r="D437" s="137">
        <v>715.01300000000003</v>
      </c>
      <c r="E437" s="36" t="s">
        <v>655</v>
      </c>
      <c r="F437" s="36">
        <v>1</v>
      </c>
      <c r="G437" s="36" t="s">
        <v>112</v>
      </c>
      <c r="H437" s="37">
        <v>44593</v>
      </c>
      <c r="I437" s="22" t="s">
        <v>715</v>
      </c>
      <c r="J437" s="64" t="s">
        <v>716</v>
      </c>
    </row>
    <row r="438" spans="1:10" x14ac:dyDescent="0.3">
      <c r="A438" s="35">
        <v>1222008628</v>
      </c>
      <c r="B438" s="36">
        <v>25584450</v>
      </c>
      <c r="C438" s="37">
        <v>44593</v>
      </c>
      <c r="D438" s="137">
        <v>150.79599999999999</v>
      </c>
      <c r="E438" s="36" t="s">
        <v>655</v>
      </c>
      <c r="F438" s="36">
        <v>1</v>
      </c>
      <c r="G438" s="36" t="s">
        <v>112</v>
      </c>
      <c r="H438" s="37">
        <v>44593</v>
      </c>
      <c r="I438" s="22" t="s">
        <v>715</v>
      </c>
      <c r="J438" s="64" t="s">
        <v>716</v>
      </c>
    </row>
    <row r="439" spans="1:10" x14ac:dyDescent="0.3">
      <c r="A439" s="35">
        <v>1222008627</v>
      </c>
      <c r="B439" s="36">
        <v>7588779</v>
      </c>
      <c r="C439" s="37">
        <v>44593</v>
      </c>
      <c r="D439" s="137">
        <v>165.00299999999999</v>
      </c>
      <c r="E439" s="36" t="s">
        <v>655</v>
      </c>
      <c r="F439" s="36">
        <v>1</v>
      </c>
      <c r="G439" s="36" t="s">
        <v>112</v>
      </c>
      <c r="H439" s="37">
        <v>44593</v>
      </c>
      <c r="I439" s="22" t="s">
        <v>715</v>
      </c>
      <c r="J439" s="64" t="s">
        <v>716</v>
      </c>
    </row>
    <row r="440" spans="1:10" x14ac:dyDescent="0.3">
      <c r="A440" s="35">
        <v>1222009649</v>
      </c>
      <c r="B440" s="36" t="s">
        <v>717</v>
      </c>
      <c r="C440" s="37">
        <v>44594</v>
      </c>
      <c r="D440" s="137">
        <v>1055.5740000000001</v>
      </c>
      <c r="E440" s="36" t="s">
        <v>655</v>
      </c>
      <c r="F440" s="36">
        <v>1</v>
      </c>
      <c r="G440" s="36" t="s">
        <v>112</v>
      </c>
      <c r="H440" s="37">
        <v>44594</v>
      </c>
      <c r="I440" s="22" t="s">
        <v>718</v>
      </c>
      <c r="J440" s="64" t="s">
        <v>716</v>
      </c>
    </row>
    <row r="441" spans="1:10" x14ac:dyDescent="0.3">
      <c r="A441" s="35">
        <v>1222009684</v>
      </c>
      <c r="B441" s="36">
        <v>44572735</v>
      </c>
      <c r="C441" s="37">
        <v>44594</v>
      </c>
      <c r="D441" s="137">
        <v>550.01</v>
      </c>
      <c r="E441" s="36" t="s">
        <v>655</v>
      </c>
      <c r="F441" s="36">
        <v>1</v>
      </c>
      <c r="G441" s="36" t="s">
        <v>112</v>
      </c>
      <c r="H441" s="37">
        <v>44594</v>
      </c>
      <c r="I441" s="22" t="s">
        <v>718</v>
      </c>
      <c r="J441" s="64" t="s">
        <v>716</v>
      </c>
    </row>
    <row r="442" spans="1:10" x14ac:dyDescent="0.3">
      <c r="A442" s="35">
        <v>1222009685</v>
      </c>
      <c r="B442" s="36">
        <v>46574769</v>
      </c>
      <c r="C442" s="37">
        <v>44594</v>
      </c>
      <c r="D442" s="137">
        <v>55.000999999999998</v>
      </c>
      <c r="E442" s="36" t="s">
        <v>655</v>
      </c>
      <c r="F442" s="36">
        <v>1</v>
      </c>
      <c r="G442" s="36" t="s">
        <v>112</v>
      </c>
      <c r="H442" s="37">
        <v>44594</v>
      </c>
      <c r="I442" s="22" t="s">
        <v>718</v>
      </c>
      <c r="J442" s="64" t="s">
        <v>716</v>
      </c>
    </row>
    <row r="443" spans="1:10" x14ac:dyDescent="0.3">
      <c r="A443" s="35">
        <v>1222009688</v>
      </c>
      <c r="B443" s="36">
        <v>59639900</v>
      </c>
      <c r="C443" s="37">
        <v>44594</v>
      </c>
      <c r="D443" s="137">
        <v>55.000999999999998</v>
      </c>
      <c r="E443" s="36" t="s">
        <v>655</v>
      </c>
      <c r="F443" s="36">
        <v>1</v>
      </c>
      <c r="G443" s="36" t="s">
        <v>112</v>
      </c>
      <c r="H443" s="37">
        <v>44594</v>
      </c>
      <c r="I443" s="22" t="s">
        <v>718</v>
      </c>
      <c r="J443" s="64" t="s">
        <v>716</v>
      </c>
    </row>
    <row r="444" spans="1:10" x14ac:dyDescent="0.3">
      <c r="A444" s="35">
        <v>1222009702</v>
      </c>
      <c r="B444" s="36">
        <v>77580849</v>
      </c>
      <c r="C444" s="37">
        <v>44594</v>
      </c>
      <c r="D444" s="137">
        <v>550.01</v>
      </c>
      <c r="E444" s="36" t="s">
        <v>655</v>
      </c>
      <c r="F444" s="36">
        <v>1</v>
      </c>
      <c r="G444" s="36" t="s">
        <v>112</v>
      </c>
      <c r="H444" s="37">
        <v>44594</v>
      </c>
      <c r="I444" s="22" t="s">
        <v>718</v>
      </c>
      <c r="J444" s="64" t="s">
        <v>716</v>
      </c>
    </row>
    <row r="445" spans="1:10" x14ac:dyDescent="0.3">
      <c r="A445" s="35">
        <v>1222009695</v>
      </c>
      <c r="B445" s="36">
        <v>59658232</v>
      </c>
      <c r="C445" s="37">
        <v>44594</v>
      </c>
      <c r="D445" s="137">
        <v>55.000999999999998</v>
      </c>
      <c r="E445" s="36" t="s">
        <v>655</v>
      </c>
      <c r="F445" s="36">
        <v>1</v>
      </c>
      <c r="G445" s="36" t="s">
        <v>112</v>
      </c>
      <c r="H445" s="37">
        <v>44594</v>
      </c>
      <c r="I445" s="22" t="s">
        <v>718</v>
      </c>
      <c r="J445" s="64" t="s">
        <v>716</v>
      </c>
    </row>
    <row r="446" spans="1:10" x14ac:dyDescent="0.3">
      <c r="A446" s="35">
        <v>1222009726</v>
      </c>
      <c r="B446" s="36">
        <v>76569488</v>
      </c>
      <c r="C446" s="37">
        <v>44594</v>
      </c>
      <c r="D446" s="137">
        <v>196.00399999999999</v>
      </c>
      <c r="E446" s="36" t="s">
        <v>655</v>
      </c>
      <c r="F446" s="36">
        <v>1</v>
      </c>
      <c r="G446" s="36" t="s">
        <v>112</v>
      </c>
      <c r="H446" s="37">
        <v>44594</v>
      </c>
      <c r="I446" s="22" t="s">
        <v>718</v>
      </c>
      <c r="J446" s="64" t="s">
        <v>716</v>
      </c>
    </row>
    <row r="447" spans="1:10" x14ac:dyDescent="0.3">
      <c r="A447" s="35">
        <v>1222009727</v>
      </c>
      <c r="B447" s="36">
        <v>76569489</v>
      </c>
      <c r="C447" s="37">
        <v>44594</v>
      </c>
      <c r="D447" s="137">
        <v>330.00599999999997</v>
      </c>
      <c r="E447" s="36" t="s">
        <v>655</v>
      </c>
      <c r="F447" s="36">
        <v>1</v>
      </c>
      <c r="G447" s="36" t="s">
        <v>112</v>
      </c>
      <c r="H447" s="37">
        <v>44594</v>
      </c>
      <c r="I447" s="22" t="s">
        <v>718</v>
      </c>
      <c r="J447" s="64" t="s">
        <v>716</v>
      </c>
    </row>
    <row r="448" spans="1:10" x14ac:dyDescent="0.3">
      <c r="A448" s="35">
        <v>1222011399</v>
      </c>
      <c r="B448" s="36">
        <v>26914760</v>
      </c>
      <c r="C448" s="37">
        <v>44599</v>
      </c>
      <c r="D448" s="137">
        <v>3520.0619999999999</v>
      </c>
      <c r="E448" s="36" t="s">
        <v>655</v>
      </c>
      <c r="F448" s="36">
        <v>2</v>
      </c>
      <c r="G448" s="36" t="s">
        <v>112</v>
      </c>
      <c r="H448" s="37">
        <v>44598</v>
      </c>
      <c r="I448" s="22" t="s">
        <v>719</v>
      </c>
    </row>
    <row r="449" spans="1:11" x14ac:dyDescent="0.3">
      <c r="A449" s="35">
        <v>1222009719</v>
      </c>
      <c r="B449" s="36">
        <v>60576474</v>
      </c>
      <c r="C449" s="37">
        <v>44594</v>
      </c>
      <c r="D449" s="137">
        <v>55.000999999999998</v>
      </c>
      <c r="E449" s="36" t="s">
        <v>655</v>
      </c>
      <c r="F449" s="36">
        <v>1</v>
      </c>
      <c r="G449" s="36" t="s">
        <v>112</v>
      </c>
      <c r="H449" s="37">
        <v>44594</v>
      </c>
      <c r="I449" s="22" t="s">
        <v>718</v>
      </c>
      <c r="J449" s="64" t="s">
        <v>716</v>
      </c>
    </row>
    <row r="450" spans="1:11" x14ac:dyDescent="0.3">
      <c r="A450" s="35">
        <v>1222008631</v>
      </c>
      <c r="B450" s="36">
        <v>58917104</v>
      </c>
      <c r="C450" s="37">
        <v>44593</v>
      </c>
      <c r="D450" s="137">
        <v>50.265000000000001</v>
      </c>
      <c r="E450" s="36" t="s">
        <v>655</v>
      </c>
      <c r="F450" s="36">
        <v>1</v>
      </c>
      <c r="G450" s="36" t="s">
        <v>112</v>
      </c>
      <c r="H450" s="37">
        <v>44593</v>
      </c>
      <c r="I450" s="22" t="s">
        <v>715</v>
      </c>
      <c r="J450" s="64" t="s">
        <v>720</v>
      </c>
    </row>
    <row r="451" spans="1:11" x14ac:dyDescent="0.3">
      <c r="A451" s="35">
        <v>1222010298</v>
      </c>
      <c r="B451" s="36">
        <v>61682517</v>
      </c>
      <c r="C451" s="37"/>
      <c r="D451" s="137">
        <v>55.000999999999998</v>
      </c>
      <c r="E451" s="36" t="s">
        <v>655</v>
      </c>
      <c r="F451" s="36">
        <v>1</v>
      </c>
      <c r="G451" s="36" t="s">
        <v>112</v>
      </c>
      <c r="H451" s="37">
        <v>44602</v>
      </c>
      <c r="I451" s="22" t="s">
        <v>721</v>
      </c>
      <c r="J451" s="64" t="s">
        <v>716</v>
      </c>
      <c r="K451" t="s">
        <v>722</v>
      </c>
    </row>
    <row r="452" spans="1:11" x14ac:dyDescent="0.3">
      <c r="A452" s="35">
        <v>1222010968</v>
      </c>
      <c r="B452" s="36">
        <v>1584372</v>
      </c>
      <c r="C452" s="37"/>
      <c r="D452" s="137">
        <v>55.000999999999998</v>
      </c>
      <c r="E452" s="36" t="s">
        <v>655</v>
      </c>
      <c r="F452" s="36">
        <v>1</v>
      </c>
      <c r="G452" s="36" t="s">
        <v>112</v>
      </c>
      <c r="H452" s="37">
        <v>44602</v>
      </c>
      <c r="I452" s="22" t="s">
        <v>721</v>
      </c>
      <c r="J452" s="64" t="s">
        <v>716</v>
      </c>
      <c r="K452" t="s">
        <v>722</v>
      </c>
    </row>
    <row r="453" spans="1:11" x14ac:dyDescent="0.3">
      <c r="A453" s="35">
        <v>1222010971</v>
      </c>
      <c r="B453" s="36">
        <v>9587159</v>
      </c>
      <c r="C453" s="37"/>
      <c r="D453" s="137">
        <v>55.000999999999998</v>
      </c>
      <c r="E453" s="36" t="s">
        <v>655</v>
      </c>
      <c r="F453" s="36">
        <v>1</v>
      </c>
      <c r="G453" s="36" t="s">
        <v>112</v>
      </c>
      <c r="H453" s="37">
        <v>44602</v>
      </c>
      <c r="I453" s="22" t="s">
        <v>721</v>
      </c>
      <c r="J453" s="64" t="s">
        <v>716</v>
      </c>
      <c r="K453" t="s">
        <v>722</v>
      </c>
    </row>
    <row r="454" spans="1:11" x14ac:dyDescent="0.3">
      <c r="A454" s="35">
        <v>1222010982</v>
      </c>
      <c r="B454" s="36">
        <v>18584452</v>
      </c>
      <c r="C454" s="37"/>
      <c r="D454" s="137">
        <v>550.01</v>
      </c>
      <c r="E454" s="36" t="s">
        <v>655</v>
      </c>
      <c r="F454" s="36">
        <v>1</v>
      </c>
      <c r="G454" s="36" t="s">
        <v>112</v>
      </c>
      <c r="H454" s="37">
        <v>44602</v>
      </c>
      <c r="I454" s="22" t="s">
        <v>721</v>
      </c>
      <c r="J454" s="64" t="s">
        <v>716</v>
      </c>
      <c r="K454" t="s">
        <v>722</v>
      </c>
    </row>
    <row r="455" spans="1:11" x14ac:dyDescent="0.3">
      <c r="A455" s="35">
        <v>1222010983</v>
      </c>
      <c r="B455" s="36">
        <v>24586440</v>
      </c>
      <c r="C455" s="37"/>
      <c r="D455" s="137">
        <v>1055.5740000000001</v>
      </c>
      <c r="E455" s="36" t="s">
        <v>655</v>
      </c>
      <c r="F455" s="36">
        <v>1</v>
      </c>
      <c r="G455" s="36" t="s">
        <v>112</v>
      </c>
      <c r="H455" s="37">
        <v>44602</v>
      </c>
      <c r="I455" s="22" t="s">
        <v>721</v>
      </c>
      <c r="J455" s="64" t="s">
        <v>716</v>
      </c>
      <c r="K455" t="s">
        <v>722</v>
      </c>
    </row>
    <row r="456" spans="1:11" x14ac:dyDescent="0.3">
      <c r="A456" s="35">
        <v>1222014398</v>
      </c>
      <c r="B456" s="36">
        <v>32919126</v>
      </c>
      <c r="C456" s="37">
        <v>44606</v>
      </c>
      <c r="D456" s="137">
        <v>12320.21</v>
      </c>
      <c r="E456" s="36" t="s">
        <v>655</v>
      </c>
      <c r="F456" s="36">
        <v>7</v>
      </c>
      <c r="G456" s="36" t="s">
        <v>112</v>
      </c>
      <c r="H456" s="37">
        <v>44603</v>
      </c>
      <c r="I456" s="22" t="s">
        <v>723</v>
      </c>
      <c r="J456" s="64" t="s">
        <v>724</v>
      </c>
    </row>
    <row r="457" spans="1:11" x14ac:dyDescent="0.3">
      <c r="A457" s="35">
        <v>1222012133</v>
      </c>
      <c r="B457" s="36" t="s">
        <v>725</v>
      </c>
      <c r="C457" s="37">
        <v>44608</v>
      </c>
      <c r="D457" s="137"/>
      <c r="E457" s="36" t="s">
        <v>655</v>
      </c>
      <c r="F457" s="36"/>
      <c r="G457" s="36" t="s">
        <v>112</v>
      </c>
      <c r="H457" s="37">
        <v>44608</v>
      </c>
      <c r="I457" s="22" t="s">
        <v>726</v>
      </c>
    </row>
    <row r="458" spans="1:11" x14ac:dyDescent="0.3">
      <c r="A458" s="35">
        <v>1222012131</v>
      </c>
      <c r="B458" s="36">
        <v>74564974</v>
      </c>
      <c r="C458" s="37">
        <v>44608</v>
      </c>
      <c r="D458" s="137"/>
      <c r="E458" s="36" t="s">
        <v>655</v>
      </c>
      <c r="F458" s="36"/>
      <c r="G458" s="36" t="s">
        <v>112</v>
      </c>
      <c r="H458" s="37">
        <v>44608</v>
      </c>
      <c r="I458" s="22" t="s">
        <v>726</v>
      </c>
    </row>
    <row r="459" spans="1:11" x14ac:dyDescent="0.3">
      <c r="A459" s="35">
        <v>1222012123</v>
      </c>
      <c r="B459" s="36">
        <v>61921309</v>
      </c>
      <c r="C459" s="37">
        <v>44608</v>
      </c>
      <c r="D459" s="137"/>
      <c r="E459" s="36" t="s">
        <v>655</v>
      </c>
      <c r="F459" s="36"/>
      <c r="G459" s="36" t="s">
        <v>112</v>
      </c>
      <c r="H459" s="37">
        <v>44608</v>
      </c>
      <c r="I459" s="22" t="s">
        <v>726</v>
      </c>
    </row>
    <row r="460" spans="1:11" x14ac:dyDescent="0.3">
      <c r="A460" s="35">
        <v>1222012106</v>
      </c>
      <c r="B460" s="36" t="s">
        <v>727</v>
      </c>
      <c r="C460" s="37">
        <v>44608</v>
      </c>
      <c r="D460" s="137"/>
      <c r="E460" s="36" t="s">
        <v>655</v>
      </c>
      <c r="F460" s="36"/>
      <c r="G460" s="36" t="s">
        <v>112</v>
      </c>
      <c r="H460" s="37">
        <v>44608</v>
      </c>
      <c r="I460" s="22" t="s">
        <v>726</v>
      </c>
    </row>
    <row r="461" spans="1:11" x14ac:dyDescent="0.3">
      <c r="A461" s="35">
        <v>1222012144</v>
      </c>
      <c r="B461" s="36">
        <v>12583192</v>
      </c>
      <c r="C461" s="37">
        <v>44608</v>
      </c>
      <c r="D461" s="137"/>
      <c r="E461" s="36" t="s">
        <v>655</v>
      </c>
      <c r="F461" s="36"/>
      <c r="G461" s="36" t="s">
        <v>112</v>
      </c>
      <c r="H461" s="37">
        <v>44608</v>
      </c>
      <c r="I461" s="22" t="s">
        <v>726</v>
      </c>
    </row>
    <row r="462" spans="1:11" x14ac:dyDescent="0.3">
      <c r="A462" s="35">
        <v>1222013141</v>
      </c>
      <c r="B462" s="36">
        <v>6578679</v>
      </c>
      <c r="C462" s="37">
        <v>44608</v>
      </c>
      <c r="D462" s="137"/>
      <c r="E462" s="36" t="s">
        <v>655</v>
      </c>
      <c r="F462" s="36"/>
      <c r="G462" s="36" t="s">
        <v>112</v>
      </c>
      <c r="H462" s="37">
        <v>44608</v>
      </c>
      <c r="I462" s="22" t="s">
        <v>726</v>
      </c>
    </row>
    <row r="463" spans="1:11" x14ac:dyDescent="0.3">
      <c r="A463" s="35">
        <v>1222013142</v>
      </c>
      <c r="B463" s="36">
        <v>7554827</v>
      </c>
      <c r="C463" s="37">
        <v>44608</v>
      </c>
      <c r="D463" s="137"/>
      <c r="E463" s="36" t="s">
        <v>655</v>
      </c>
      <c r="F463" s="36"/>
      <c r="G463" s="36" t="s">
        <v>112</v>
      </c>
      <c r="H463" s="37">
        <v>44608</v>
      </c>
      <c r="I463" s="22" t="s">
        <v>726</v>
      </c>
    </row>
    <row r="464" spans="1:11" x14ac:dyDescent="0.3">
      <c r="A464" s="35">
        <v>1222013088</v>
      </c>
      <c r="B464" s="36">
        <v>2578915</v>
      </c>
      <c r="C464" s="37">
        <v>44608</v>
      </c>
      <c r="D464" s="137"/>
      <c r="E464" s="36" t="s">
        <v>655</v>
      </c>
      <c r="F464" s="36"/>
      <c r="G464" s="36" t="s">
        <v>112</v>
      </c>
      <c r="H464" s="37">
        <v>44608</v>
      </c>
      <c r="I464" s="22" t="s">
        <v>726</v>
      </c>
    </row>
    <row r="465" spans="1:9" x14ac:dyDescent="0.3">
      <c r="A465" s="35">
        <v>1222013129</v>
      </c>
      <c r="B465" s="36">
        <v>62810210</v>
      </c>
      <c r="C465" s="37">
        <v>44608</v>
      </c>
      <c r="D465" s="137"/>
      <c r="E465" s="36" t="s">
        <v>655</v>
      </c>
      <c r="F465" s="36"/>
      <c r="G465" s="36" t="s">
        <v>112</v>
      </c>
      <c r="H465" s="37">
        <v>44608</v>
      </c>
      <c r="I465" s="22" t="s">
        <v>726</v>
      </c>
    </row>
    <row r="466" spans="1:9" x14ac:dyDescent="0.3">
      <c r="A466" s="35">
        <v>1222013208</v>
      </c>
      <c r="B466" s="68">
        <v>15587543</v>
      </c>
      <c r="C466" s="37">
        <v>44608</v>
      </c>
      <c r="D466" s="137"/>
      <c r="E466" s="36" t="s">
        <v>655</v>
      </c>
      <c r="F466" s="36"/>
      <c r="G466" s="36" t="s">
        <v>112</v>
      </c>
      <c r="H466" s="37">
        <v>44608</v>
      </c>
      <c r="I466" s="22" t="s">
        <v>726</v>
      </c>
    </row>
    <row r="467" spans="1:9" x14ac:dyDescent="0.3">
      <c r="A467" s="35">
        <v>1222013227</v>
      </c>
      <c r="B467" s="36">
        <v>63676457</v>
      </c>
      <c r="C467" s="37">
        <v>44608</v>
      </c>
      <c r="D467" s="137"/>
      <c r="E467" s="36" t="s">
        <v>655</v>
      </c>
      <c r="F467" s="36"/>
      <c r="G467" s="36" t="s">
        <v>112</v>
      </c>
      <c r="H467" s="37">
        <v>44608</v>
      </c>
      <c r="I467" s="22" t="s">
        <v>726</v>
      </c>
    </row>
    <row r="468" spans="1:9" x14ac:dyDescent="0.3">
      <c r="A468" s="35">
        <v>1222013093</v>
      </c>
      <c r="B468" s="36">
        <v>22578785</v>
      </c>
      <c r="C468" s="37">
        <v>44608</v>
      </c>
      <c r="D468" s="137"/>
      <c r="E468" s="36" t="s">
        <v>655</v>
      </c>
      <c r="F468" s="36"/>
      <c r="G468" s="36" t="s">
        <v>112</v>
      </c>
      <c r="H468" s="37">
        <v>44608</v>
      </c>
      <c r="I468" s="22" t="s">
        <v>726</v>
      </c>
    </row>
    <row r="469" spans="1:9" x14ac:dyDescent="0.3">
      <c r="A469" s="35">
        <v>1222016309</v>
      </c>
      <c r="B469" s="36">
        <v>33992834</v>
      </c>
      <c r="C469" s="37">
        <v>44609</v>
      </c>
      <c r="D469" s="137">
        <v>11231.99</v>
      </c>
      <c r="E469" s="36" t="s">
        <v>655</v>
      </c>
      <c r="F469" s="36">
        <v>5</v>
      </c>
      <c r="G469" s="36" t="s">
        <v>112</v>
      </c>
      <c r="H469" s="37">
        <v>44608</v>
      </c>
      <c r="I469" s="22" t="s">
        <v>728</v>
      </c>
    </row>
    <row r="470" spans="1:9" x14ac:dyDescent="0.3">
      <c r="A470" s="35">
        <v>1222016515</v>
      </c>
      <c r="B470" s="36">
        <v>25921066</v>
      </c>
      <c r="C470" s="37">
        <v>44613</v>
      </c>
      <c r="D470" s="137">
        <v>15840.27</v>
      </c>
      <c r="E470" s="36" t="s">
        <v>655</v>
      </c>
      <c r="F470" s="36">
        <v>9</v>
      </c>
      <c r="G470" s="36" t="s">
        <v>112</v>
      </c>
      <c r="H470" s="37">
        <v>44613</v>
      </c>
      <c r="I470" s="22" t="s">
        <v>729</v>
      </c>
    </row>
    <row r="471" spans="1:9" x14ac:dyDescent="0.3">
      <c r="A471" s="35">
        <v>1222012209</v>
      </c>
      <c r="B471" s="36">
        <v>62621175</v>
      </c>
      <c r="C471" s="37">
        <v>44620</v>
      </c>
      <c r="D471" s="141">
        <v>330.00599999999997</v>
      </c>
      <c r="E471" s="36" t="s">
        <v>655</v>
      </c>
      <c r="F471" s="36">
        <v>1</v>
      </c>
      <c r="G471" s="36" t="s">
        <v>112</v>
      </c>
      <c r="H471" s="37">
        <v>44620</v>
      </c>
      <c r="I471" s="22" t="s">
        <v>730</v>
      </c>
    </row>
    <row r="472" spans="1:9" x14ac:dyDescent="0.3">
      <c r="A472" s="35">
        <v>1222012218</v>
      </c>
      <c r="B472" s="36">
        <v>62701125</v>
      </c>
      <c r="C472" s="37">
        <v>44620</v>
      </c>
      <c r="D472" s="137">
        <v>351.858</v>
      </c>
      <c r="E472" s="36" t="s">
        <v>655</v>
      </c>
      <c r="F472" s="36">
        <v>1</v>
      </c>
      <c r="G472" s="36" t="s">
        <v>112</v>
      </c>
      <c r="H472" s="37">
        <v>44620</v>
      </c>
      <c r="I472" s="22" t="s">
        <v>730</v>
      </c>
    </row>
    <row r="473" spans="1:9" x14ac:dyDescent="0.3">
      <c r="A473" s="35">
        <v>1222015876</v>
      </c>
      <c r="B473" s="36">
        <v>53567551</v>
      </c>
      <c r="C473" s="37">
        <v>44620</v>
      </c>
      <c r="D473" s="137">
        <v>287.5</v>
      </c>
      <c r="E473" s="36" t="s">
        <v>655</v>
      </c>
      <c r="F473" s="36">
        <v>1</v>
      </c>
      <c r="G473" s="36" t="s">
        <v>112</v>
      </c>
      <c r="H473" s="37">
        <v>44620</v>
      </c>
      <c r="I473" s="22" t="s">
        <v>730</v>
      </c>
    </row>
    <row r="474" spans="1:9" x14ac:dyDescent="0.3">
      <c r="A474" s="35">
        <v>1222015898</v>
      </c>
      <c r="B474" s="36">
        <v>42576815</v>
      </c>
      <c r="C474" s="37">
        <v>44620</v>
      </c>
      <c r="D474" s="137">
        <v>67.5</v>
      </c>
      <c r="E474" s="36" t="s">
        <v>655</v>
      </c>
      <c r="F474" s="36">
        <v>1</v>
      </c>
      <c r="G474" s="36" t="s">
        <v>112</v>
      </c>
      <c r="H474" s="37">
        <v>44620</v>
      </c>
      <c r="I474" s="22" t="s">
        <v>730</v>
      </c>
    </row>
    <row r="475" spans="1:9" x14ac:dyDescent="0.3">
      <c r="A475" s="35">
        <v>1222015910</v>
      </c>
      <c r="B475" s="36">
        <v>64788347</v>
      </c>
      <c r="C475" s="37">
        <v>44620</v>
      </c>
      <c r="D475" s="137">
        <v>67.5</v>
      </c>
      <c r="E475" s="36" t="s">
        <v>655</v>
      </c>
      <c r="F475" s="36">
        <v>1</v>
      </c>
      <c r="G475" s="36" t="s">
        <v>112</v>
      </c>
      <c r="H475" s="37">
        <v>44620</v>
      </c>
      <c r="I475" s="22" t="s">
        <v>730</v>
      </c>
    </row>
    <row r="476" spans="1:9" x14ac:dyDescent="0.3">
      <c r="A476" s="35">
        <v>1222015931</v>
      </c>
      <c r="B476" s="36">
        <v>4567958</v>
      </c>
      <c r="C476" s="37">
        <v>44620</v>
      </c>
      <c r="D476" s="137">
        <v>167.5</v>
      </c>
      <c r="E476" s="36" t="s">
        <v>655</v>
      </c>
      <c r="F476" s="36">
        <v>1</v>
      </c>
      <c r="G476" s="36" t="s">
        <v>112</v>
      </c>
      <c r="H476" s="37">
        <v>44620</v>
      </c>
      <c r="I476" s="22" t="s">
        <v>730</v>
      </c>
    </row>
    <row r="477" spans="1:9" x14ac:dyDescent="0.3">
      <c r="A477" s="35">
        <v>1222015933</v>
      </c>
      <c r="B477" s="36">
        <v>4567959</v>
      </c>
      <c r="C477" s="37">
        <v>44620</v>
      </c>
      <c r="D477" s="137">
        <v>167.5</v>
      </c>
      <c r="E477" s="36" t="s">
        <v>655</v>
      </c>
      <c r="F477" s="36">
        <v>1</v>
      </c>
      <c r="G477" s="36" t="s">
        <v>112</v>
      </c>
      <c r="H477" s="37">
        <v>44620</v>
      </c>
      <c r="I477" s="22" t="s">
        <v>730</v>
      </c>
    </row>
    <row r="478" spans="1:9" x14ac:dyDescent="0.3">
      <c r="A478" s="35">
        <v>1222015937</v>
      </c>
      <c r="B478" s="36">
        <v>64882013</v>
      </c>
      <c r="C478" s="37">
        <v>44620</v>
      </c>
      <c r="D478" s="137" t="s">
        <v>731</v>
      </c>
      <c r="E478" s="36" t="s">
        <v>655</v>
      </c>
      <c r="F478" s="36">
        <v>4</v>
      </c>
      <c r="G478" s="36" t="s">
        <v>112</v>
      </c>
      <c r="H478" s="37">
        <v>44620</v>
      </c>
      <c r="I478" s="22" t="s">
        <v>730</v>
      </c>
    </row>
    <row r="479" spans="1:9" x14ac:dyDescent="0.3">
      <c r="A479" s="35">
        <v>1222016395</v>
      </c>
      <c r="B479" s="36">
        <v>20580382</v>
      </c>
      <c r="C479" s="37">
        <v>44620</v>
      </c>
      <c r="D479" s="137">
        <v>330.00599999999997</v>
      </c>
      <c r="E479" s="36" t="s">
        <v>655</v>
      </c>
      <c r="F479" s="36">
        <v>1</v>
      </c>
      <c r="G479" s="36" t="s">
        <v>112</v>
      </c>
      <c r="H479" s="37">
        <v>44620</v>
      </c>
      <c r="I479" s="22" t="s">
        <v>730</v>
      </c>
    </row>
    <row r="480" spans="1:9" x14ac:dyDescent="0.3">
      <c r="A480" s="35">
        <v>1222016580</v>
      </c>
      <c r="B480" s="36">
        <v>84563773</v>
      </c>
      <c r="C480" s="37">
        <v>44620</v>
      </c>
      <c r="D480" s="137">
        <v>502.654</v>
      </c>
      <c r="E480" s="36" t="s">
        <v>655</v>
      </c>
      <c r="F480" s="36">
        <v>1</v>
      </c>
      <c r="G480" s="36" t="s">
        <v>112</v>
      </c>
      <c r="H480" s="37">
        <v>44620</v>
      </c>
      <c r="I480" s="22" t="s">
        <v>730</v>
      </c>
    </row>
    <row r="481" spans="1:9" x14ac:dyDescent="0.3">
      <c r="A481" s="35">
        <v>1222017002</v>
      </c>
      <c r="B481" s="36">
        <v>60575130</v>
      </c>
      <c r="C481" s="37">
        <v>44620</v>
      </c>
      <c r="D481" s="137">
        <v>440.00799999999998</v>
      </c>
      <c r="E481" s="36" t="s">
        <v>655</v>
      </c>
      <c r="F481" s="36">
        <v>1</v>
      </c>
      <c r="G481" s="36" t="s">
        <v>112</v>
      </c>
      <c r="H481" s="37">
        <v>44620</v>
      </c>
      <c r="I481" s="22" t="s">
        <v>730</v>
      </c>
    </row>
    <row r="482" spans="1:9" x14ac:dyDescent="0.3">
      <c r="A482" s="35">
        <v>1222017012</v>
      </c>
      <c r="B482" s="36">
        <v>65869462</v>
      </c>
      <c r="C482" s="37">
        <v>44620</v>
      </c>
      <c r="D482" s="137">
        <v>715.01300000000003</v>
      </c>
      <c r="E482" s="36" t="s">
        <v>655</v>
      </c>
      <c r="F482" s="36">
        <v>1</v>
      </c>
      <c r="G482" s="36" t="s">
        <v>112</v>
      </c>
      <c r="H482" s="37">
        <v>44620</v>
      </c>
      <c r="I482" s="22" t="s">
        <v>730</v>
      </c>
    </row>
    <row r="483" spans="1:9" x14ac:dyDescent="0.3">
      <c r="A483" s="35">
        <v>1222017024</v>
      </c>
      <c r="B483" s="36">
        <v>76569701</v>
      </c>
      <c r="C483" s="37">
        <v>44620</v>
      </c>
      <c r="D483" s="137">
        <v>49.000999999999998</v>
      </c>
      <c r="E483" s="36" t="s">
        <v>655</v>
      </c>
      <c r="F483" s="36">
        <v>1</v>
      </c>
      <c r="G483" s="36" t="s">
        <v>112</v>
      </c>
      <c r="H483" s="37">
        <v>44620</v>
      </c>
      <c r="I483" s="22" t="s">
        <v>730</v>
      </c>
    </row>
    <row r="484" spans="1:9" x14ac:dyDescent="0.3">
      <c r="A484" s="35">
        <v>1222017025</v>
      </c>
      <c r="B484" s="36">
        <v>83584477</v>
      </c>
      <c r="C484" s="37">
        <v>44620</v>
      </c>
      <c r="D484" s="137">
        <v>550.01</v>
      </c>
      <c r="E484" s="36" t="s">
        <v>655</v>
      </c>
      <c r="F484" s="36">
        <v>1</v>
      </c>
      <c r="G484" s="36" t="s">
        <v>112</v>
      </c>
      <c r="H484" s="37">
        <v>44620</v>
      </c>
      <c r="I484" s="22" t="s">
        <v>730</v>
      </c>
    </row>
    <row r="485" spans="1:9" x14ac:dyDescent="0.3">
      <c r="A485" s="35">
        <v>1222017029</v>
      </c>
      <c r="B485" s="36">
        <v>2570545</v>
      </c>
      <c r="C485" s="37">
        <v>44620</v>
      </c>
      <c r="D485" s="137">
        <v>55.000999999999998</v>
      </c>
      <c r="E485" s="36" t="s">
        <v>655</v>
      </c>
      <c r="F485" s="36">
        <v>1</v>
      </c>
      <c r="G485" s="36" t="s">
        <v>112</v>
      </c>
      <c r="H485" s="37">
        <v>44620</v>
      </c>
      <c r="I485" s="22" t="s">
        <v>730</v>
      </c>
    </row>
    <row r="486" spans="1:9" x14ac:dyDescent="0.3">
      <c r="A486" s="35">
        <v>1222019696</v>
      </c>
      <c r="B486" s="36">
        <v>18936865</v>
      </c>
      <c r="C486" s="37">
        <v>44620</v>
      </c>
      <c r="D486" s="137">
        <v>7040.12</v>
      </c>
      <c r="E486" s="36" t="s">
        <v>655</v>
      </c>
      <c r="F486" s="36">
        <v>4</v>
      </c>
      <c r="G486" s="36" t="s">
        <v>112</v>
      </c>
      <c r="H486" s="37">
        <v>44621</v>
      </c>
      <c r="I486" s="22" t="s">
        <v>732</v>
      </c>
    </row>
    <row r="487" spans="1:9" x14ac:dyDescent="0.3">
      <c r="A487" s="35">
        <v>1222022945</v>
      </c>
      <c r="B487" s="36">
        <v>14911898</v>
      </c>
      <c r="C487" s="37">
        <v>44628</v>
      </c>
      <c r="D487" s="137">
        <v>15840.27</v>
      </c>
      <c r="E487" s="36" t="s">
        <v>655</v>
      </c>
      <c r="F487" s="36">
        <v>9</v>
      </c>
      <c r="G487" s="36" t="s">
        <v>112</v>
      </c>
      <c r="H487" s="37">
        <v>44628</v>
      </c>
      <c r="I487" s="22" t="s">
        <v>733</v>
      </c>
    </row>
    <row r="488" spans="1:9" x14ac:dyDescent="0.3">
      <c r="A488" s="35">
        <v>1222021287</v>
      </c>
      <c r="B488" s="36">
        <v>11582908</v>
      </c>
      <c r="C488" s="37"/>
      <c r="D488" s="137">
        <v>605.01099999999997</v>
      </c>
      <c r="E488" s="36" t="s">
        <v>655</v>
      </c>
      <c r="F488" s="36">
        <v>1</v>
      </c>
      <c r="G488" s="36" t="s">
        <v>112</v>
      </c>
      <c r="H488" s="37">
        <v>44628</v>
      </c>
      <c r="I488" s="22" t="s">
        <v>734</v>
      </c>
    </row>
    <row r="489" spans="1:9" x14ac:dyDescent="0.3">
      <c r="A489" s="35">
        <v>1222021290</v>
      </c>
      <c r="B489" s="36">
        <v>18552510</v>
      </c>
      <c r="C489" s="37"/>
      <c r="D489" s="137">
        <v>440.00799999999998</v>
      </c>
      <c r="E489" s="36" t="s">
        <v>655</v>
      </c>
      <c r="F489" s="36">
        <v>1</v>
      </c>
      <c r="G489" s="36" t="s">
        <v>112</v>
      </c>
      <c r="H489" s="37">
        <v>44628</v>
      </c>
      <c r="I489" s="22" t="s">
        <v>734</v>
      </c>
    </row>
    <row r="490" spans="1:9" x14ac:dyDescent="0.3">
      <c r="A490" s="35">
        <v>1222021340</v>
      </c>
      <c r="B490" s="36">
        <v>68976648</v>
      </c>
      <c r="C490" s="37"/>
      <c r="D490" s="137">
        <v>220.00399999999999</v>
      </c>
      <c r="E490" s="36" t="s">
        <v>655</v>
      </c>
      <c r="F490" s="36">
        <v>1</v>
      </c>
      <c r="G490" s="36" t="s">
        <v>112</v>
      </c>
      <c r="H490" s="37">
        <v>44628</v>
      </c>
      <c r="I490" s="22" t="s">
        <v>734</v>
      </c>
    </row>
    <row r="491" spans="1:9" x14ac:dyDescent="0.3">
      <c r="A491" s="35">
        <v>1222021321</v>
      </c>
      <c r="B491" s="36">
        <v>13586075</v>
      </c>
      <c r="C491" s="37"/>
      <c r="D491" s="137">
        <v>165.00299999999999</v>
      </c>
      <c r="E491" s="36" t="s">
        <v>655</v>
      </c>
      <c r="F491" s="36">
        <v>1</v>
      </c>
      <c r="G491" s="36" t="s">
        <v>112</v>
      </c>
      <c r="H491" s="37">
        <v>44628</v>
      </c>
      <c r="I491" s="22" t="s">
        <v>734</v>
      </c>
    </row>
    <row r="492" spans="1:9" x14ac:dyDescent="0.3">
      <c r="A492" s="35">
        <v>1222022638</v>
      </c>
      <c r="B492" s="36">
        <v>28585202</v>
      </c>
      <c r="C492" s="37"/>
      <c r="D492" s="137">
        <v>880.01599999999996</v>
      </c>
      <c r="E492" s="36" t="s">
        <v>655</v>
      </c>
      <c r="F492" s="36">
        <v>1</v>
      </c>
      <c r="G492" s="36" t="s">
        <v>112</v>
      </c>
      <c r="H492" s="37">
        <v>44628</v>
      </c>
      <c r="I492" s="22" t="s">
        <v>734</v>
      </c>
    </row>
    <row r="493" spans="1:9" x14ac:dyDescent="0.3">
      <c r="A493" s="35">
        <v>1222022627</v>
      </c>
      <c r="B493" s="36">
        <v>69740732</v>
      </c>
      <c r="C493" s="37"/>
      <c r="D493" s="137">
        <v>1960.3520000000001</v>
      </c>
      <c r="E493" s="36" t="s">
        <v>655</v>
      </c>
      <c r="F493" s="36">
        <v>1</v>
      </c>
      <c r="G493" s="36" t="s">
        <v>112</v>
      </c>
      <c r="H493" s="37">
        <v>44628</v>
      </c>
      <c r="I493" s="22" t="s">
        <v>734</v>
      </c>
    </row>
    <row r="494" spans="1:9" x14ac:dyDescent="0.3">
      <c r="A494" s="35">
        <v>1222022631</v>
      </c>
      <c r="B494" s="36">
        <v>77585039</v>
      </c>
      <c r="C494" s="37"/>
      <c r="D494" s="137">
        <v>220.00399999999999</v>
      </c>
      <c r="E494" s="36" t="s">
        <v>655</v>
      </c>
      <c r="F494" s="36">
        <v>1</v>
      </c>
      <c r="G494" s="36" t="s">
        <v>112</v>
      </c>
      <c r="H494" s="37">
        <v>44628</v>
      </c>
      <c r="I494" s="22" t="s">
        <v>734</v>
      </c>
    </row>
    <row r="495" spans="1:9" x14ac:dyDescent="0.3">
      <c r="A495" s="35">
        <v>1222022594</v>
      </c>
      <c r="B495" s="36">
        <v>21573262</v>
      </c>
      <c r="C495" s="37"/>
      <c r="D495" s="137">
        <v>55.000999999999998</v>
      </c>
      <c r="E495" s="36" t="s">
        <v>655</v>
      </c>
      <c r="F495" s="36">
        <v>1</v>
      </c>
      <c r="G495" s="36" t="s">
        <v>112</v>
      </c>
      <c r="H495" s="37">
        <v>44628</v>
      </c>
      <c r="I495" s="22" t="s">
        <v>734</v>
      </c>
    </row>
    <row r="496" spans="1:9" x14ac:dyDescent="0.3">
      <c r="A496" s="35">
        <v>1222022634</v>
      </c>
      <c r="B496" s="36">
        <v>2572898</v>
      </c>
      <c r="C496" s="37"/>
      <c r="D496" s="137">
        <v>603.18499999999995</v>
      </c>
      <c r="E496" s="36" t="s">
        <v>655</v>
      </c>
      <c r="F496" s="36">
        <v>1</v>
      </c>
      <c r="G496" s="36" t="s">
        <v>112</v>
      </c>
      <c r="H496" s="37">
        <v>44628</v>
      </c>
      <c r="I496" s="22" t="s">
        <v>734</v>
      </c>
    </row>
    <row r="497" spans="1:11" x14ac:dyDescent="0.3">
      <c r="A497" s="35">
        <v>1222024846</v>
      </c>
      <c r="B497" s="36">
        <v>47915691</v>
      </c>
      <c r="C497" s="37"/>
      <c r="D497" s="137">
        <v>8879.9599999999991</v>
      </c>
      <c r="E497" s="36" t="s">
        <v>655</v>
      </c>
      <c r="F497" s="36">
        <v>4</v>
      </c>
      <c r="G497" s="36" t="s">
        <v>112</v>
      </c>
      <c r="H497" s="37">
        <v>44631</v>
      </c>
      <c r="I497" s="22" t="s">
        <v>735</v>
      </c>
      <c r="J497" s="64"/>
    </row>
    <row r="498" spans="1:11" x14ac:dyDescent="0.3">
      <c r="A498" s="35">
        <v>1222024365</v>
      </c>
      <c r="B498" s="36">
        <v>31902322</v>
      </c>
      <c r="C498" s="37"/>
      <c r="D498" s="137">
        <v>7238.24</v>
      </c>
      <c r="E498" s="36" t="s">
        <v>655</v>
      </c>
      <c r="F498" s="36">
        <v>4</v>
      </c>
      <c r="G498" s="36" t="s">
        <v>112</v>
      </c>
      <c r="H498" s="37">
        <v>44631</v>
      </c>
      <c r="I498" s="22" t="s">
        <v>735</v>
      </c>
      <c r="J498" s="64"/>
    </row>
    <row r="499" spans="1:11" x14ac:dyDescent="0.3">
      <c r="A499" s="35">
        <v>1222023749</v>
      </c>
      <c r="B499" s="36">
        <v>45558714</v>
      </c>
      <c r="C499" s="37"/>
      <c r="D499" s="137">
        <v>380.00400000000002</v>
      </c>
      <c r="E499" s="36" t="s">
        <v>655</v>
      </c>
      <c r="F499" s="36">
        <v>1</v>
      </c>
      <c r="G499" s="36" t="s">
        <v>112</v>
      </c>
      <c r="H499" s="37">
        <v>44635</v>
      </c>
      <c r="I499" s="22" t="s">
        <v>736</v>
      </c>
      <c r="J499" s="64"/>
    </row>
    <row r="500" spans="1:11" x14ac:dyDescent="0.3">
      <c r="A500" s="35">
        <v>1222019713</v>
      </c>
      <c r="B500" s="36">
        <v>3921357</v>
      </c>
      <c r="C500" s="37"/>
      <c r="D500" s="137">
        <v>3520.0619999999999</v>
      </c>
      <c r="E500" s="36" t="s">
        <v>655</v>
      </c>
      <c r="F500" s="36">
        <v>2</v>
      </c>
      <c r="G500" s="36" t="s">
        <v>112</v>
      </c>
      <c r="H500" s="37">
        <v>44631</v>
      </c>
      <c r="I500" s="22" t="s">
        <v>735</v>
      </c>
      <c r="J500" s="66" t="s">
        <v>716</v>
      </c>
      <c r="K500" t="s">
        <v>737</v>
      </c>
    </row>
    <row r="501" spans="1:11" x14ac:dyDescent="0.3">
      <c r="A501" s="35">
        <v>1222021329</v>
      </c>
      <c r="B501" s="36">
        <v>45904578</v>
      </c>
      <c r="C501" s="37"/>
      <c r="D501" s="137">
        <v>4439.9840000000004</v>
      </c>
      <c r="E501" s="36" t="s">
        <v>655</v>
      </c>
      <c r="F501" s="36">
        <v>2</v>
      </c>
      <c r="G501" s="36" t="s">
        <v>112</v>
      </c>
      <c r="H501" s="37">
        <v>44631</v>
      </c>
      <c r="I501" s="22" t="s">
        <v>735</v>
      </c>
      <c r="J501" s="66" t="s">
        <v>716</v>
      </c>
      <c r="K501" t="s">
        <v>737</v>
      </c>
    </row>
    <row r="502" spans="1:11" x14ac:dyDescent="0.3">
      <c r="A502" s="35">
        <v>1222023700</v>
      </c>
      <c r="B502" s="36">
        <v>12583276</v>
      </c>
      <c r="C502" s="37"/>
      <c r="D502" s="137">
        <v>55.000999999999998</v>
      </c>
      <c r="E502" s="36" t="s">
        <v>655</v>
      </c>
      <c r="F502" s="36">
        <v>1</v>
      </c>
      <c r="G502" s="36" t="s">
        <v>112</v>
      </c>
      <c r="H502" s="37">
        <v>44635</v>
      </c>
      <c r="I502" s="22" t="s">
        <v>736</v>
      </c>
      <c r="J502" s="67" t="s">
        <v>716</v>
      </c>
    </row>
    <row r="503" spans="1:11" x14ac:dyDescent="0.3">
      <c r="A503" s="35">
        <v>1222023713</v>
      </c>
      <c r="B503" s="36">
        <v>71883098</v>
      </c>
      <c r="C503" s="37"/>
      <c r="D503" s="137">
        <v>1294.9939999999999</v>
      </c>
      <c r="E503" s="36" t="s">
        <v>655</v>
      </c>
      <c r="F503" s="36">
        <v>1</v>
      </c>
      <c r="G503" s="36" t="s">
        <v>112</v>
      </c>
      <c r="H503" s="37">
        <v>44635</v>
      </c>
      <c r="I503" s="22" t="s">
        <v>736</v>
      </c>
      <c r="J503" s="67" t="s">
        <v>716</v>
      </c>
    </row>
    <row r="504" spans="1:11" x14ac:dyDescent="0.3">
      <c r="A504" s="35">
        <v>1222023739</v>
      </c>
      <c r="B504" s="36">
        <v>85562855</v>
      </c>
      <c r="C504" s="37"/>
      <c r="D504" s="137">
        <v>990.01700000000005</v>
      </c>
      <c r="E504" s="36" t="s">
        <v>655</v>
      </c>
      <c r="F504" s="36">
        <v>1</v>
      </c>
      <c r="G504" s="36" t="s">
        <v>112</v>
      </c>
      <c r="H504" s="37">
        <v>44635</v>
      </c>
      <c r="I504" s="22" t="s">
        <v>736</v>
      </c>
      <c r="J504" s="67" t="s">
        <v>716</v>
      </c>
    </row>
    <row r="505" spans="1:11" x14ac:dyDescent="0.3">
      <c r="A505" s="35">
        <v>1222023757</v>
      </c>
      <c r="B505" s="36">
        <v>87566934</v>
      </c>
      <c r="C505" s="37"/>
      <c r="D505" s="137">
        <v>184.999</v>
      </c>
      <c r="E505" s="36" t="s">
        <v>655</v>
      </c>
      <c r="F505" s="36">
        <v>1</v>
      </c>
      <c r="G505" s="36" t="s">
        <v>112</v>
      </c>
      <c r="H505" s="37">
        <v>44635</v>
      </c>
      <c r="I505" s="22" t="s">
        <v>736</v>
      </c>
      <c r="J505" s="67" t="s">
        <v>716</v>
      </c>
    </row>
    <row r="506" spans="1:11" x14ac:dyDescent="0.3">
      <c r="A506" s="35">
        <v>1222025693</v>
      </c>
      <c r="B506" s="36">
        <v>12583057</v>
      </c>
      <c r="C506" s="37"/>
      <c r="D506" s="137">
        <v>385.00700000000001</v>
      </c>
      <c r="E506" s="36" t="s">
        <v>655</v>
      </c>
      <c r="F506" s="36">
        <v>1</v>
      </c>
      <c r="G506" s="36" t="s">
        <v>112</v>
      </c>
      <c r="H506" s="37">
        <v>44635</v>
      </c>
      <c r="I506" s="22" t="s">
        <v>736</v>
      </c>
      <c r="J506" s="67" t="s">
        <v>716</v>
      </c>
    </row>
    <row r="507" spans="1:11" x14ac:dyDescent="0.3">
      <c r="A507" s="35">
        <v>1222025697</v>
      </c>
      <c r="B507" s="36">
        <v>21566885</v>
      </c>
      <c r="C507" s="37"/>
      <c r="D507" s="137">
        <v>385.00700000000001</v>
      </c>
      <c r="E507" s="36" t="s">
        <v>655</v>
      </c>
      <c r="F507" s="36">
        <v>1</v>
      </c>
      <c r="G507" s="36" t="s">
        <v>112</v>
      </c>
      <c r="H507" s="37">
        <v>44635</v>
      </c>
      <c r="I507" s="22" t="s">
        <v>736</v>
      </c>
      <c r="J507" s="67" t="s">
        <v>716</v>
      </c>
    </row>
    <row r="508" spans="1:11" x14ac:dyDescent="0.3">
      <c r="A508" s="35">
        <v>1222025715</v>
      </c>
      <c r="B508" s="36">
        <v>73863715</v>
      </c>
      <c r="C508" s="37"/>
      <c r="D508" s="141">
        <v>220.00399999999999</v>
      </c>
      <c r="E508" s="36" t="s">
        <v>655</v>
      </c>
      <c r="F508" s="36">
        <v>1</v>
      </c>
      <c r="G508" s="36" t="s">
        <v>112</v>
      </c>
      <c r="H508" s="37">
        <v>44635</v>
      </c>
      <c r="I508" s="22" t="s">
        <v>736</v>
      </c>
      <c r="J508" s="67" t="s">
        <v>716</v>
      </c>
    </row>
    <row r="509" spans="1:11" x14ac:dyDescent="0.3">
      <c r="A509" s="35">
        <v>1222025716</v>
      </c>
      <c r="B509" s="36">
        <v>73872475</v>
      </c>
      <c r="C509" s="37"/>
      <c r="D509" s="137">
        <v>220.00399999999999</v>
      </c>
      <c r="E509" s="36" t="s">
        <v>655</v>
      </c>
      <c r="F509" s="36">
        <v>1</v>
      </c>
      <c r="G509" s="36" t="s">
        <v>112</v>
      </c>
      <c r="H509" s="37">
        <v>44635</v>
      </c>
      <c r="I509" s="22" t="s">
        <v>736</v>
      </c>
      <c r="J509" s="67" t="s">
        <v>716</v>
      </c>
    </row>
    <row r="510" spans="1:11" x14ac:dyDescent="0.3">
      <c r="A510" s="35">
        <v>1222025765</v>
      </c>
      <c r="B510" s="36">
        <v>51571266</v>
      </c>
      <c r="C510" s="37"/>
      <c r="D510" s="137">
        <v>1100.019</v>
      </c>
      <c r="E510" s="36" t="s">
        <v>655</v>
      </c>
      <c r="F510" s="36">
        <v>1</v>
      </c>
      <c r="G510" s="36" t="s">
        <v>112</v>
      </c>
      <c r="H510" s="37">
        <v>44635</v>
      </c>
      <c r="I510" s="22" t="s">
        <v>736</v>
      </c>
      <c r="J510" s="67" t="s">
        <v>716</v>
      </c>
    </row>
    <row r="511" spans="1:11" x14ac:dyDescent="0.3">
      <c r="A511" s="35">
        <v>1222023708</v>
      </c>
      <c r="B511" s="36">
        <v>57578493</v>
      </c>
      <c r="C511" s="37"/>
      <c r="D511" s="137">
        <v>165.00299999999999</v>
      </c>
      <c r="E511" s="36" t="s">
        <v>655</v>
      </c>
      <c r="F511" s="36">
        <v>1</v>
      </c>
      <c r="G511" s="36" t="s">
        <v>112</v>
      </c>
      <c r="H511" s="37">
        <v>44636</v>
      </c>
      <c r="I511" s="22" t="s">
        <v>738</v>
      </c>
    </row>
    <row r="512" spans="1:11" x14ac:dyDescent="0.3">
      <c r="A512" s="35">
        <v>1222025354</v>
      </c>
      <c r="B512" s="36">
        <v>3578246</v>
      </c>
      <c r="C512" s="37"/>
      <c r="D512" s="137">
        <v>220.00399999999999</v>
      </c>
      <c r="E512" s="36" t="s">
        <v>655</v>
      </c>
      <c r="F512" s="36">
        <v>1</v>
      </c>
      <c r="G512" s="36" t="s">
        <v>112</v>
      </c>
      <c r="H512" s="37">
        <v>44636</v>
      </c>
      <c r="I512" s="22" t="s">
        <v>738</v>
      </c>
    </row>
    <row r="513" spans="1:10" x14ac:dyDescent="0.3">
      <c r="A513" s="35">
        <v>1222025364</v>
      </c>
      <c r="B513" s="36">
        <v>56558226</v>
      </c>
      <c r="C513" s="37"/>
      <c r="D513" s="137">
        <v>147.999</v>
      </c>
      <c r="E513" s="36" t="s">
        <v>655</v>
      </c>
      <c r="F513" s="36">
        <v>1</v>
      </c>
      <c r="G513" s="36" t="s">
        <v>112</v>
      </c>
      <c r="H513" s="37">
        <v>44636</v>
      </c>
      <c r="I513" s="22" t="s">
        <v>738</v>
      </c>
    </row>
    <row r="514" spans="1:10" x14ac:dyDescent="0.3">
      <c r="A514" s="35">
        <v>1222025371</v>
      </c>
      <c r="B514" s="36">
        <v>59568831</v>
      </c>
      <c r="C514" s="37"/>
      <c r="D514" s="137">
        <v>220.00399999999999</v>
      </c>
      <c r="E514" s="36" t="s">
        <v>655</v>
      </c>
      <c r="F514" s="36">
        <v>1</v>
      </c>
      <c r="G514" s="36" t="s">
        <v>112</v>
      </c>
      <c r="H514" s="37">
        <v>44636</v>
      </c>
      <c r="I514" s="22" t="s">
        <v>738</v>
      </c>
    </row>
    <row r="515" spans="1:10" x14ac:dyDescent="0.3">
      <c r="A515" s="35">
        <v>1222025420</v>
      </c>
      <c r="B515" s="36">
        <v>2573072</v>
      </c>
      <c r="C515" s="37"/>
      <c r="D515" s="137">
        <v>330.00599999999997</v>
      </c>
      <c r="E515" s="36" t="s">
        <v>655</v>
      </c>
      <c r="F515" s="36">
        <v>1</v>
      </c>
      <c r="G515" s="36" t="s">
        <v>112</v>
      </c>
      <c r="H515" s="37">
        <v>44636</v>
      </c>
      <c r="I515" s="22" t="s">
        <v>738</v>
      </c>
    </row>
    <row r="516" spans="1:10" x14ac:dyDescent="0.3">
      <c r="A516" s="35">
        <v>1222025427</v>
      </c>
      <c r="B516" s="36">
        <v>17574647</v>
      </c>
      <c r="C516" s="37"/>
      <c r="D516" s="137">
        <v>50.265000000000001</v>
      </c>
      <c r="E516" s="36" t="s">
        <v>655</v>
      </c>
      <c r="F516" s="36">
        <v>1</v>
      </c>
      <c r="G516" s="36" t="s">
        <v>112</v>
      </c>
      <c r="H516" s="37">
        <v>44636</v>
      </c>
      <c r="I516" s="22" t="s">
        <v>738</v>
      </c>
    </row>
    <row r="517" spans="1:10" x14ac:dyDescent="0.3">
      <c r="A517" s="35">
        <v>1222025434</v>
      </c>
      <c r="B517" s="36">
        <v>27588009</v>
      </c>
      <c r="C517" s="37"/>
      <c r="D517" s="137">
        <v>165.00299999999999</v>
      </c>
      <c r="E517" s="36" t="s">
        <v>655</v>
      </c>
      <c r="F517" s="36">
        <v>1</v>
      </c>
      <c r="G517" s="36" t="s">
        <v>112</v>
      </c>
      <c r="H517" s="37">
        <v>44636</v>
      </c>
      <c r="I517" s="22" t="s">
        <v>738</v>
      </c>
    </row>
    <row r="518" spans="1:10" x14ac:dyDescent="0.3">
      <c r="A518" s="35">
        <v>1222025439</v>
      </c>
      <c r="B518" s="36">
        <v>40579914</v>
      </c>
      <c r="C518" s="37"/>
      <c r="D518" s="137">
        <v>517.99900000000002</v>
      </c>
      <c r="E518" s="36" t="s">
        <v>655</v>
      </c>
      <c r="F518" s="36">
        <v>1</v>
      </c>
      <c r="G518" s="36" t="s">
        <v>112</v>
      </c>
      <c r="H518" s="37">
        <v>44636</v>
      </c>
      <c r="I518" s="22" t="s">
        <v>738</v>
      </c>
    </row>
    <row r="519" spans="1:10" x14ac:dyDescent="0.3">
      <c r="A519" s="35">
        <v>1222025441</v>
      </c>
      <c r="B519" s="36">
        <v>52570099</v>
      </c>
      <c r="C519" s="37"/>
      <c r="D519" s="137">
        <v>383.49</v>
      </c>
      <c r="E519" s="36" t="s">
        <v>655</v>
      </c>
      <c r="F519" s="36">
        <v>1</v>
      </c>
      <c r="G519" s="36" t="s">
        <v>112</v>
      </c>
      <c r="H519" s="37">
        <v>44636</v>
      </c>
      <c r="I519" s="22" t="s">
        <v>738</v>
      </c>
    </row>
    <row r="520" spans="1:10" x14ac:dyDescent="0.3">
      <c r="A520" s="35">
        <v>1222025442</v>
      </c>
      <c r="B520" s="36">
        <v>53567852</v>
      </c>
      <c r="C520" s="37"/>
      <c r="D520" s="137">
        <v>54.784999999999997</v>
      </c>
      <c r="E520" s="36" t="s">
        <v>655</v>
      </c>
      <c r="F520" s="36">
        <v>1</v>
      </c>
      <c r="G520" s="36" t="s">
        <v>112</v>
      </c>
      <c r="H520" s="37">
        <v>44636</v>
      </c>
      <c r="I520" s="22" t="s">
        <v>738</v>
      </c>
    </row>
    <row r="521" spans="1:10" x14ac:dyDescent="0.3">
      <c r="A521" s="35">
        <v>1222025453</v>
      </c>
      <c r="B521" s="36" t="s">
        <v>739</v>
      </c>
      <c r="C521" s="37"/>
      <c r="D521" s="137">
        <v>220.00399999999999</v>
      </c>
      <c r="E521" s="36" t="s">
        <v>655</v>
      </c>
      <c r="F521" s="36">
        <v>1</v>
      </c>
      <c r="G521" s="36" t="s">
        <v>112</v>
      </c>
      <c r="H521" s="37">
        <v>44636</v>
      </c>
      <c r="I521" s="22" t="s">
        <v>738</v>
      </c>
    </row>
    <row r="522" spans="1:10" x14ac:dyDescent="0.3">
      <c r="A522" s="35">
        <v>1222025678</v>
      </c>
      <c r="B522" s="36">
        <v>73793644</v>
      </c>
      <c r="C522" s="37"/>
      <c r="D522" s="137">
        <v>2750.049</v>
      </c>
      <c r="E522" s="36" t="s">
        <v>655</v>
      </c>
      <c r="F522" s="36">
        <v>2</v>
      </c>
      <c r="G522" s="36" t="s">
        <v>112</v>
      </c>
      <c r="H522" s="37">
        <v>44636</v>
      </c>
      <c r="I522" s="22" t="s">
        <v>738</v>
      </c>
    </row>
    <row r="523" spans="1:10" x14ac:dyDescent="0.3">
      <c r="A523" s="35">
        <v>1222025708</v>
      </c>
      <c r="B523" s="36">
        <v>66578623</v>
      </c>
      <c r="C523" s="37"/>
      <c r="D523" s="137">
        <v>603.18499999999995</v>
      </c>
      <c r="E523" s="36" t="s">
        <v>655</v>
      </c>
      <c r="F523" s="36">
        <v>1</v>
      </c>
      <c r="G523" s="36" t="s">
        <v>112</v>
      </c>
      <c r="H523" s="37">
        <v>44636</v>
      </c>
      <c r="I523" s="22" t="s">
        <v>738</v>
      </c>
    </row>
    <row r="524" spans="1:10" x14ac:dyDescent="0.3">
      <c r="A524" s="35">
        <v>1222025736</v>
      </c>
      <c r="B524" s="36">
        <v>73910881</v>
      </c>
      <c r="C524" s="37"/>
      <c r="D524" s="137">
        <v>385.00700000000001</v>
      </c>
      <c r="E524" s="36" t="s">
        <v>655</v>
      </c>
      <c r="F524" s="36">
        <v>1</v>
      </c>
      <c r="G524" s="36" t="s">
        <v>112</v>
      </c>
      <c r="H524" s="37">
        <v>44636</v>
      </c>
      <c r="I524" s="22" t="s">
        <v>738</v>
      </c>
    </row>
    <row r="525" spans="1:10" x14ac:dyDescent="0.3">
      <c r="A525" s="35">
        <v>1222025463</v>
      </c>
      <c r="B525" s="36">
        <v>22553072</v>
      </c>
      <c r="C525" s="37"/>
      <c r="D525" s="137">
        <v>273.92200000000003</v>
      </c>
      <c r="E525" s="36" t="s">
        <v>655</v>
      </c>
      <c r="F525" s="36">
        <v>1</v>
      </c>
      <c r="G525" s="36" t="s">
        <v>112</v>
      </c>
      <c r="H525" s="37">
        <v>44636</v>
      </c>
      <c r="I525" s="22" t="s">
        <v>738</v>
      </c>
    </row>
    <row r="526" spans="1:10" x14ac:dyDescent="0.3">
      <c r="A526" s="70">
        <v>1222026800</v>
      </c>
      <c r="B526" s="71">
        <v>3578358</v>
      </c>
      <c r="C526" s="72"/>
      <c r="D526" s="142">
        <v>55.000999999999998</v>
      </c>
      <c r="E526" s="71" t="s">
        <v>655</v>
      </c>
      <c r="F526" s="71">
        <v>1</v>
      </c>
      <c r="G526" s="71" t="s">
        <v>112</v>
      </c>
      <c r="H526" s="149">
        <v>44638</v>
      </c>
      <c r="I526" s="22" t="s">
        <v>740</v>
      </c>
      <c r="J526" s="69" t="s">
        <v>716</v>
      </c>
    </row>
    <row r="527" spans="1:10" x14ac:dyDescent="0.3">
      <c r="A527" s="70">
        <v>1222026818</v>
      </c>
      <c r="B527" s="71">
        <v>74903759</v>
      </c>
      <c r="C527" s="72"/>
      <c r="D527" s="142">
        <v>11469.955</v>
      </c>
      <c r="E527" s="71" t="s">
        <v>655</v>
      </c>
      <c r="F527" s="71">
        <v>5</v>
      </c>
      <c r="G527" s="71" t="s">
        <v>112</v>
      </c>
      <c r="H527" s="72">
        <v>44638</v>
      </c>
      <c r="I527" s="22" t="s">
        <v>740</v>
      </c>
      <c r="J527" s="69" t="s">
        <v>716</v>
      </c>
    </row>
    <row r="528" spans="1:10" x14ac:dyDescent="0.3">
      <c r="A528" s="70">
        <v>1222026801</v>
      </c>
      <c r="B528" s="71">
        <v>3579484</v>
      </c>
      <c r="C528" s="72"/>
      <c r="D528" s="142">
        <v>208.52199999999999</v>
      </c>
      <c r="E528" s="71" t="s">
        <v>655</v>
      </c>
      <c r="F528" s="71">
        <v>1</v>
      </c>
      <c r="G528" s="71" t="s">
        <v>112</v>
      </c>
      <c r="H528" s="72">
        <v>44638</v>
      </c>
      <c r="I528" s="22" t="s">
        <v>740</v>
      </c>
      <c r="J528" s="69" t="s">
        <v>716</v>
      </c>
    </row>
    <row r="529" spans="1:10" x14ac:dyDescent="0.3">
      <c r="A529" s="70">
        <v>1222026806</v>
      </c>
      <c r="B529" s="71">
        <v>6581631</v>
      </c>
      <c r="C529" s="72"/>
      <c r="D529" s="142">
        <v>55.000999999999998</v>
      </c>
      <c r="E529" s="71" t="s">
        <v>655</v>
      </c>
      <c r="F529" s="71">
        <v>1</v>
      </c>
      <c r="G529" s="71" t="s">
        <v>112</v>
      </c>
      <c r="H529" s="72">
        <v>44638</v>
      </c>
      <c r="I529" s="22" t="s">
        <v>740</v>
      </c>
      <c r="J529" s="69" t="s">
        <v>716</v>
      </c>
    </row>
    <row r="530" spans="1:10" x14ac:dyDescent="0.3">
      <c r="A530" s="70">
        <v>1222026819</v>
      </c>
      <c r="B530" s="71">
        <v>74945035</v>
      </c>
      <c r="C530" s="72"/>
      <c r="D530" s="142">
        <v>1664.9939999999999</v>
      </c>
      <c r="E530" s="71" t="s">
        <v>655</v>
      </c>
      <c r="F530" s="71">
        <v>1</v>
      </c>
      <c r="G530" s="71" t="s">
        <v>112</v>
      </c>
      <c r="H530" s="72">
        <v>44638</v>
      </c>
      <c r="I530" s="22" t="s">
        <v>740</v>
      </c>
      <c r="J530" s="69" t="s">
        <v>716</v>
      </c>
    </row>
    <row r="531" spans="1:10" x14ac:dyDescent="0.3">
      <c r="A531" s="70">
        <v>1222026772</v>
      </c>
      <c r="B531" s="71">
        <v>57569174</v>
      </c>
      <c r="C531" s="72"/>
      <c r="D531" s="142">
        <v>402.12299999999999</v>
      </c>
      <c r="E531" s="71" t="s">
        <v>655</v>
      </c>
      <c r="F531" s="71">
        <v>1</v>
      </c>
      <c r="G531" s="71" t="s">
        <v>112</v>
      </c>
      <c r="H531" s="72">
        <v>44638</v>
      </c>
      <c r="I531" s="22" t="s">
        <v>740</v>
      </c>
      <c r="J531" s="69" t="s">
        <v>716</v>
      </c>
    </row>
    <row r="532" spans="1:10" x14ac:dyDescent="0.3">
      <c r="A532" s="70">
        <v>1222026786</v>
      </c>
      <c r="B532" s="71">
        <v>74834805</v>
      </c>
      <c r="C532" s="72"/>
      <c r="D532" s="142">
        <v>55.000999999999998</v>
      </c>
      <c r="E532" s="71" t="s">
        <v>655</v>
      </c>
      <c r="F532" s="71">
        <v>1</v>
      </c>
      <c r="G532" s="71" t="s">
        <v>112</v>
      </c>
      <c r="H532" s="72">
        <v>44638</v>
      </c>
      <c r="I532" s="22" t="s">
        <v>740</v>
      </c>
      <c r="J532" s="69" t="s">
        <v>716</v>
      </c>
    </row>
    <row r="533" spans="1:10" x14ac:dyDescent="0.3">
      <c r="A533" s="70">
        <v>1222026812</v>
      </c>
      <c r="B533" s="71">
        <v>51577274</v>
      </c>
      <c r="C533" s="72"/>
      <c r="D533" s="142">
        <v>1709.0250000000001</v>
      </c>
      <c r="E533" s="71" t="s">
        <v>655</v>
      </c>
      <c r="F533" s="71">
        <v>1</v>
      </c>
      <c r="G533" s="71" t="s">
        <v>112</v>
      </c>
      <c r="H533" s="72">
        <v>44638</v>
      </c>
      <c r="I533" s="22" t="s">
        <v>740</v>
      </c>
      <c r="J533" s="69" t="s">
        <v>716</v>
      </c>
    </row>
    <row r="534" spans="1:10" x14ac:dyDescent="0.3">
      <c r="A534" s="70">
        <v>1222026761</v>
      </c>
      <c r="B534" s="71">
        <v>96564362</v>
      </c>
      <c r="C534" s="72"/>
      <c r="D534" s="142">
        <v>703.71600000000001</v>
      </c>
      <c r="E534" s="71" t="s">
        <v>655</v>
      </c>
      <c r="F534" s="71">
        <v>1</v>
      </c>
      <c r="G534" s="71" t="s">
        <v>112</v>
      </c>
      <c r="H534" s="72">
        <v>44638</v>
      </c>
      <c r="I534" s="22" t="s">
        <v>740</v>
      </c>
      <c r="J534" s="69" t="s">
        <v>716</v>
      </c>
    </row>
    <row r="535" spans="1:10" x14ac:dyDescent="0.3">
      <c r="A535" s="70">
        <v>1222026810</v>
      </c>
      <c r="B535" s="71">
        <v>31584505</v>
      </c>
      <c r="C535" s="72"/>
      <c r="D535" s="142">
        <v>220.00399999999999</v>
      </c>
      <c r="E535" s="71" t="s">
        <v>655</v>
      </c>
      <c r="F535" s="71">
        <v>1</v>
      </c>
      <c r="G535" s="71" t="s">
        <v>112</v>
      </c>
      <c r="H535" s="72">
        <v>44638</v>
      </c>
      <c r="I535" s="22" t="s">
        <v>740</v>
      </c>
      <c r="J535" s="69" t="s">
        <v>716</v>
      </c>
    </row>
    <row r="536" spans="1:10" x14ac:dyDescent="0.3">
      <c r="A536" s="70">
        <v>1222027735</v>
      </c>
      <c r="B536" s="71">
        <v>45917569</v>
      </c>
      <c r="C536" s="72"/>
      <c r="D536" s="142">
        <v>8800.15</v>
      </c>
      <c r="E536" s="71" t="s">
        <v>655</v>
      </c>
      <c r="F536" s="71">
        <v>5</v>
      </c>
      <c r="G536" s="71" t="s">
        <v>112</v>
      </c>
      <c r="H536" s="72">
        <v>44641</v>
      </c>
      <c r="I536" s="22" t="s">
        <v>741</v>
      </c>
    </row>
    <row r="537" spans="1:10" x14ac:dyDescent="0.3">
      <c r="A537" s="70">
        <v>1222021329</v>
      </c>
      <c r="B537" s="71">
        <v>45904578</v>
      </c>
      <c r="C537" s="72"/>
      <c r="D537" s="142">
        <v>4439.9840000000004</v>
      </c>
      <c r="E537" s="71" t="s">
        <v>655</v>
      </c>
      <c r="F537" s="71">
        <v>2</v>
      </c>
      <c r="G537" s="71" t="s">
        <v>112</v>
      </c>
      <c r="H537" s="72">
        <v>44642</v>
      </c>
      <c r="I537" s="22" t="s">
        <v>742</v>
      </c>
    </row>
    <row r="538" spans="1:10" x14ac:dyDescent="0.3">
      <c r="A538" s="70">
        <v>1222030952</v>
      </c>
      <c r="B538" s="71">
        <v>45920501</v>
      </c>
      <c r="C538" s="72"/>
      <c r="D538" s="142">
        <v>17600.3</v>
      </c>
      <c r="E538" s="71" t="s">
        <v>655</v>
      </c>
      <c r="F538" s="71">
        <v>10</v>
      </c>
      <c r="G538" s="71" t="s">
        <v>112</v>
      </c>
      <c r="H538" s="72">
        <v>44648</v>
      </c>
      <c r="I538" s="22" t="s">
        <v>743</v>
      </c>
    </row>
    <row r="539" spans="1:10" x14ac:dyDescent="0.3">
      <c r="A539" s="35">
        <v>1222034560</v>
      </c>
      <c r="B539" s="36">
        <v>26939214</v>
      </c>
      <c r="C539" s="37">
        <v>44655</v>
      </c>
      <c r="D539" s="137">
        <v>14080.24</v>
      </c>
      <c r="E539" s="36" t="s">
        <v>655</v>
      </c>
      <c r="F539" s="36">
        <v>8</v>
      </c>
      <c r="G539" s="36" t="s">
        <v>112</v>
      </c>
      <c r="H539" s="37">
        <v>44655</v>
      </c>
      <c r="I539" s="22" t="s">
        <v>744</v>
      </c>
    </row>
    <row r="540" spans="1:10" x14ac:dyDescent="0.3">
      <c r="A540" s="35">
        <v>1222060628</v>
      </c>
      <c r="B540" s="36">
        <v>26932238</v>
      </c>
      <c r="C540" s="37">
        <v>44718</v>
      </c>
      <c r="D540" s="137">
        <v>12320.21</v>
      </c>
      <c r="E540" s="36" t="s">
        <v>655</v>
      </c>
      <c r="F540" s="36">
        <v>7</v>
      </c>
      <c r="G540" s="36" t="s">
        <v>112</v>
      </c>
      <c r="H540" s="37">
        <v>44718</v>
      </c>
      <c r="I540" s="22"/>
    </row>
    <row r="541" spans="1:10" x14ac:dyDescent="0.3">
      <c r="A541" s="35">
        <v>1222064096</v>
      </c>
      <c r="B541" s="36">
        <v>38930592</v>
      </c>
      <c r="C541" s="37">
        <v>44726</v>
      </c>
      <c r="D541" s="137">
        <v>1760.03</v>
      </c>
      <c r="E541" s="36" t="s">
        <v>655</v>
      </c>
      <c r="F541" s="36">
        <v>1</v>
      </c>
      <c r="G541" s="36" t="s">
        <v>112</v>
      </c>
      <c r="H541" s="37">
        <v>44726</v>
      </c>
      <c r="I541" s="36" t="s">
        <v>745</v>
      </c>
      <c r="J541" s="23" t="s">
        <v>746</v>
      </c>
    </row>
    <row r="542" spans="1:10" x14ac:dyDescent="0.3">
      <c r="A542" s="35">
        <v>1222064097</v>
      </c>
      <c r="B542" s="36">
        <v>38930593</v>
      </c>
      <c r="C542" s="37">
        <v>44726</v>
      </c>
      <c r="D542" s="137">
        <v>3520.06</v>
      </c>
      <c r="E542" s="36" t="s">
        <v>655</v>
      </c>
      <c r="F542" s="36">
        <v>2</v>
      </c>
      <c r="G542" s="36" t="s">
        <v>112</v>
      </c>
      <c r="H542" s="37">
        <v>44726</v>
      </c>
      <c r="I542" s="36" t="s">
        <v>745</v>
      </c>
      <c r="J542" s="23" t="s">
        <v>746</v>
      </c>
    </row>
    <row r="543" spans="1:10" x14ac:dyDescent="0.3">
      <c r="A543" s="35">
        <v>1222063794</v>
      </c>
      <c r="B543" s="36">
        <v>31938910</v>
      </c>
      <c r="C543" s="37">
        <v>44726</v>
      </c>
      <c r="D543" s="137">
        <v>15539.93</v>
      </c>
      <c r="E543" s="36" t="s">
        <v>655</v>
      </c>
      <c r="F543" s="36">
        <v>7</v>
      </c>
      <c r="G543" s="36" t="s">
        <v>112</v>
      </c>
      <c r="H543" s="37">
        <v>44726</v>
      </c>
      <c r="I543" s="36" t="s">
        <v>745</v>
      </c>
      <c r="J543" s="23" t="s">
        <v>746</v>
      </c>
    </row>
    <row r="544" spans="1:10" x14ac:dyDescent="0.3">
      <c r="A544" s="35">
        <v>1222053051</v>
      </c>
      <c r="B544" s="36">
        <v>33928268</v>
      </c>
      <c r="C544" s="37">
        <v>44726</v>
      </c>
      <c r="D544" s="137">
        <v>11099.958000000001</v>
      </c>
      <c r="E544" s="36" t="s">
        <v>655</v>
      </c>
      <c r="F544" s="36">
        <v>5</v>
      </c>
      <c r="G544" s="36" t="s">
        <v>112</v>
      </c>
      <c r="H544" s="37">
        <v>44726</v>
      </c>
      <c r="I544" s="36" t="s">
        <v>745</v>
      </c>
      <c r="J544" s="23" t="s">
        <v>746</v>
      </c>
    </row>
    <row r="545" spans="1:10" x14ac:dyDescent="0.3">
      <c r="A545" s="35">
        <v>1222062845</v>
      </c>
      <c r="B545" s="36">
        <v>7560037</v>
      </c>
      <c r="C545" s="37">
        <v>44732</v>
      </c>
      <c r="D545" s="137">
        <v>50.265000000000001</v>
      </c>
      <c r="E545" s="36" t="s">
        <v>655</v>
      </c>
      <c r="F545" s="36">
        <v>1</v>
      </c>
      <c r="G545" s="36" t="s">
        <v>112</v>
      </c>
      <c r="H545" s="37">
        <v>44732</v>
      </c>
      <c r="I545" s="36" t="s">
        <v>747</v>
      </c>
    </row>
    <row r="546" spans="1:10" x14ac:dyDescent="0.3">
      <c r="A546" s="35">
        <v>1222062847</v>
      </c>
      <c r="B546" s="36">
        <v>29577158</v>
      </c>
      <c r="C546" s="37">
        <v>44732</v>
      </c>
      <c r="D546" s="137">
        <v>304</v>
      </c>
      <c r="E546" s="36" t="s">
        <v>655</v>
      </c>
      <c r="F546" s="36">
        <v>1</v>
      </c>
      <c r="G546" s="36" t="s">
        <v>112</v>
      </c>
      <c r="H546" s="37">
        <v>44732</v>
      </c>
      <c r="I546" s="36" t="s">
        <v>747</v>
      </c>
    </row>
    <row r="547" spans="1:10" x14ac:dyDescent="0.3">
      <c r="A547" s="35">
        <v>1222062849</v>
      </c>
      <c r="B547" s="36">
        <v>2575410</v>
      </c>
      <c r="C547" s="37">
        <v>44732</v>
      </c>
      <c r="D547" s="137">
        <v>304</v>
      </c>
      <c r="E547" s="36" t="s">
        <v>655</v>
      </c>
      <c r="F547" s="36">
        <v>1</v>
      </c>
      <c r="G547" s="36" t="s">
        <v>112</v>
      </c>
      <c r="H547" s="37">
        <v>44732</v>
      </c>
      <c r="I547" s="36" t="s">
        <v>747</v>
      </c>
    </row>
    <row r="548" spans="1:10" x14ac:dyDescent="0.3">
      <c r="A548" s="35">
        <v>1222062850</v>
      </c>
      <c r="B548" s="36">
        <v>44576756</v>
      </c>
      <c r="C548" s="37">
        <v>44732</v>
      </c>
      <c r="D548" s="137">
        <v>704</v>
      </c>
      <c r="E548" s="36" t="s">
        <v>655</v>
      </c>
      <c r="F548" s="36">
        <v>1</v>
      </c>
      <c r="G548" s="36" t="s">
        <v>112</v>
      </c>
      <c r="H548" s="37">
        <v>44732</v>
      </c>
      <c r="I548" s="36" t="s">
        <v>747</v>
      </c>
    </row>
    <row r="549" spans="1:10" x14ac:dyDescent="0.3">
      <c r="A549" s="35">
        <v>1222062854</v>
      </c>
      <c r="B549" s="36">
        <v>12734076</v>
      </c>
      <c r="C549" s="37">
        <v>44732</v>
      </c>
      <c r="D549" s="137">
        <v>200</v>
      </c>
      <c r="E549" s="36" t="s">
        <v>655</v>
      </c>
      <c r="F549" s="36">
        <v>1</v>
      </c>
      <c r="G549" s="36" t="s">
        <v>112</v>
      </c>
      <c r="H549" s="37">
        <v>44732</v>
      </c>
      <c r="I549" s="36" t="s">
        <v>747</v>
      </c>
    </row>
    <row r="550" spans="1:10" x14ac:dyDescent="0.3">
      <c r="A550" s="35">
        <v>1222062857</v>
      </c>
      <c r="B550" s="36">
        <v>47576350</v>
      </c>
      <c r="C550" s="37">
        <v>44732</v>
      </c>
      <c r="D550" s="137">
        <v>350</v>
      </c>
      <c r="E550" s="36" t="s">
        <v>655</v>
      </c>
      <c r="F550" s="36">
        <v>1</v>
      </c>
      <c r="G550" s="36" t="s">
        <v>112</v>
      </c>
      <c r="H550" s="37">
        <v>44732</v>
      </c>
      <c r="I550" s="36" t="s">
        <v>747</v>
      </c>
    </row>
    <row r="551" spans="1:10" x14ac:dyDescent="0.3">
      <c r="A551" s="35">
        <v>1222062932</v>
      </c>
      <c r="B551" s="36">
        <v>64580837</v>
      </c>
      <c r="C551" s="37">
        <v>44732</v>
      </c>
      <c r="D551" s="137">
        <v>1751</v>
      </c>
      <c r="E551" s="36" t="s">
        <v>655</v>
      </c>
      <c r="F551" s="36">
        <v>1</v>
      </c>
      <c r="G551" s="36" t="s">
        <v>112</v>
      </c>
      <c r="H551" s="37">
        <v>44732</v>
      </c>
      <c r="I551" s="36" t="s">
        <v>747</v>
      </c>
    </row>
    <row r="552" spans="1:10" x14ac:dyDescent="0.3">
      <c r="A552" s="35">
        <v>1222062936</v>
      </c>
      <c r="B552" s="36">
        <v>12913510</v>
      </c>
      <c r="C552" s="37">
        <v>44732</v>
      </c>
      <c r="D552" s="137">
        <v>3630</v>
      </c>
      <c r="E552" s="36" t="s">
        <v>655</v>
      </c>
      <c r="F552" s="36">
        <v>4</v>
      </c>
      <c r="G552" s="36" t="s">
        <v>112</v>
      </c>
      <c r="H552" s="37">
        <v>44732</v>
      </c>
      <c r="I552" s="36" t="s">
        <v>747</v>
      </c>
    </row>
    <row r="553" spans="1:10" x14ac:dyDescent="0.3">
      <c r="A553" s="35">
        <v>1222062966</v>
      </c>
      <c r="B553" s="36">
        <v>3583956</v>
      </c>
      <c r="C553" s="37">
        <v>44732</v>
      </c>
      <c r="D553" s="137">
        <v>250</v>
      </c>
      <c r="E553" s="36" t="s">
        <v>655</v>
      </c>
      <c r="F553" s="36">
        <v>1</v>
      </c>
      <c r="G553" s="36" t="s">
        <v>112</v>
      </c>
      <c r="H553" s="37">
        <v>44732</v>
      </c>
      <c r="I553" s="36" t="s">
        <v>747</v>
      </c>
    </row>
    <row r="554" spans="1:10" x14ac:dyDescent="0.3">
      <c r="A554" s="35">
        <v>1222062844</v>
      </c>
      <c r="B554" s="36">
        <v>1222062844</v>
      </c>
      <c r="C554" s="37">
        <v>44732</v>
      </c>
      <c r="D554" s="137">
        <v>50</v>
      </c>
      <c r="E554" s="36" t="s">
        <v>655</v>
      </c>
      <c r="F554" s="36">
        <v>1</v>
      </c>
      <c r="G554" s="36" t="s">
        <v>112</v>
      </c>
      <c r="H554" s="37">
        <v>44732</v>
      </c>
      <c r="I554" s="36" t="s">
        <v>747</v>
      </c>
    </row>
    <row r="555" spans="1:10" x14ac:dyDescent="0.3">
      <c r="A555" s="50">
        <v>1222062846</v>
      </c>
      <c r="B555" s="51">
        <v>12654596</v>
      </c>
      <c r="C555" s="52">
        <v>44732</v>
      </c>
      <c r="D555" s="140">
        <v>750.01</v>
      </c>
      <c r="E555" s="51" t="s">
        <v>655</v>
      </c>
      <c r="F555" s="51">
        <v>1</v>
      </c>
      <c r="G555" s="51" t="s">
        <v>112</v>
      </c>
      <c r="H555" s="52">
        <v>44732</v>
      </c>
      <c r="I555" s="51" t="s">
        <v>676</v>
      </c>
      <c r="J555" s="95"/>
    </row>
    <row r="556" spans="1:10" x14ac:dyDescent="0.3">
      <c r="A556" s="50">
        <v>1222063371</v>
      </c>
      <c r="B556" s="51">
        <v>14550872</v>
      </c>
      <c r="C556" s="52">
        <v>44735</v>
      </c>
      <c r="D556" s="140">
        <v>25</v>
      </c>
      <c r="E556" s="51" t="s">
        <v>655</v>
      </c>
      <c r="F556" s="51">
        <v>1</v>
      </c>
      <c r="G556" s="51" t="s">
        <v>112</v>
      </c>
      <c r="H556" s="52">
        <v>44734</v>
      </c>
      <c r="I556" s="51" t="s">
        <v>676</v>
      </c>
      <c r="J556" s="95"/>
    </row>
    <row r="557" spans="1:10" x14ac:dyDescent="0.3">
      <c r="A557" s="50">
        <v>1222063373</v>
      </c>
      <c r="B557" s="51">
        <v>20560439</v>
      </c>
      <c r="C557" s="52">
        <v>44735</v>
      </c>
      <c r="D557" s="140">
        <v>75</v>
      </c>
      <c r="E557" s="51" t="s">
        <v>655</v>
      </c>
      <c r="F557" s="51">
        <v>1</v>
      </c>
      <c r="G557" s="51" t="s">
        <v>112</v>
      </c>
      <c r="H557" s="52">
        <v>44734</v>
      </c>
      <c r="I557" s="51" t="s">
        <v>676</v>
      </c>
      <c r="J557" s="95"/>
    </row>
    <row r="558" spans="1:10" x14ac:dyDescent="0.3">
      <c r="A558" s="50">
        <v>1222065030</v>
      </c>
      <c r="B558" s="51">
        <v>14848523</v>
      </c>
      <c r="C558" s="52">
        <v>44735</v>
      </c>
      <c r="D558" s="140">
        <v>50</v>
      </c>
      <c r="E558" s="51" t="s">
        <v>655</v>
      </c>
      <c r="F558" s="51">
        <v>1</v>
      </c>
      <c r="G558" s="51" t="s">
        <v>112</v>
      </c>
      <c r="H558" s="52">
        <v>44734</v>
      </c>
      <c r="I558" s="51" t="s">
        <v>676</v>
      </c>
      <c r="J558" s="95"/>
    </row>
    <row r="559" spans="1:10" x14ac:dyDescent="0.3">
      <c r="A559" s="50">
        <v>1222065211</v>
      </c>
      <c r="B559" s="51">
        <v>14672064</v>
      </c>
      <c r="C559" s="52">
        <v>44735</v>
      </c>
      <c r="D559" s="140">
        <v>200</v>
      </c>
      <c r="E559" s="51" t="s">
        <v>655</v>
      </c>
      <c r="F559" s="51">
        <v>1</v>
      </c>
      <c r="G559" s="51" t="s">
        <v>112</v>
      </c>
      <c r="H559" s="52">
        <v>44734</v>
      </c>
      <c r="I559" s="51" t="s">
        <v>676</v>
      </c>
      <c r="J559" s="95"/>
    </row>
    <row r="560" spans="1:10" x14ac:dyDescent="0.3">
      <c r="A560" s="50">
        <v>1222063092</v>
      </c>
      <c r="B560" s="51">
        <v>1586778</v>
      </c>
      <c r="C560" s="52">
        <v>44735</v>
      </c>
      <c r="D560" s="140">
        <v>50</v>
      </c>
      <c r="E560" s="51" t="s">
        <v>655</v>
      </c>
      <c r="F560" s="51">
        <v>1</v>
      </c>
      <c r="G560" s="51" t="s">
        <v>112</v>
      </c>
      <c r="H560" s="52">
        <v>44734</v>
      </c>
      <c r="I560" s="51" t="s">
        <v>748</v>
      </c>
      <c r="J560" s="73" t="s">
        <v>716</v>
      </c>
    </row>
    <row r="561" spans="1:10" x14ac:dyDescent="0.3">
      <c r="A561" s="50">
        <v>1221088423</v>
      </c>
      <c r="B561" s="51">
        <v>15560183</v>
      </c>
      <c r="C561" s="52">
        <v>44740</v>
      </c>
      <c r="D561" s="140">
        <v>580</v>
      </c>
      <c r="E561" s="51" t="s">
        <v>655</v>
      </c>
      <c r="F561" s="51">
        <v>1</v>
      </c>
      <c r="G561" s="51" t="s">
        <v>112</v>
      </c>
      <c r="H561" s="52">
        <v>44740</v>
      </c>
      <c r="I561" s="51" t="s">
        <v>749</v>
      </c>
      <c r="J561" s="73" t="s">
        <v>750</v>
      </c>
    </row>
    <row r="562" spans="1:10" x14ac:dyDescent="0.3">
      <c r="A562" s="35">
        <v>1222062951</v>
      </c>
      <c r="B562" s="36">
        <v>89569763</v>
      </c>
      <c r="C562" s="37">
        <v>44732</v>
      </c>
      <c r="D562" s="137">
        <v>250</v>
      </c>
      <c r="E562" s="36" t="s">
        <v>655</v>
      </c>
      <c r="F562" s="36">
        <v>1</v>
      </c>
      <c r="G562" s="36" t="s">
        <v>112</v>
      </c>
      <c r="H562" s="37">
        <v>44732</v>
      </c>
      <c r="I562" s="36" t="s">
        <v>747</v>
      </c>
      <c r="J562" s="74" t="s">
        <v>716</v>
      </c>
    </row>
    <row r="563" spans="1:10" x14ac:dyDescent="0.3">
      <c r="A563" s="35">
        <v>1222062973</v>
      </c>
      <c r="B563" s="36">
        <v>1586315</v>
      </c>
      <c r="C563" s="37">
        <v>44732</v>
      </c>
      <c r="D563" s="137">
        <v>350</v>
      </c>
      <c r="E563" s="36" t="s">
        <v>655</v>
      </c>
      <c r="F563" s="36">
        <v>1</v>
      </c>
      <c r="G563" s="36" t="s">
        <v>112</v>
      </c>
      <c r="H563" s="37">
        <v>44732</v>
      </c>
      <c r="I563" s="36" t="s">
        <v>747</v>
      </c>
      <c r="J563" s="74" t="s">
        <v>716</v>
      </c>
    </row>
    <row r="564" spans="1:10" x14ac:dyDescent="0.3">
      <c r="A564" s="35">
        <v>1222063333</v>
      </c>
      <c r="B564" s="36">
        <v>21581025</v>
      </c>
      <c r="C564" s="37">
        <v>44735</v>
      </c>
      <c r="D564" s="137">
        <v>25</v>
      </c>
      <c r="E564" s="36" t="s">
        <v>655</v>
      </c>
      <c r="F564" s="36">
        <v>1</v>
      </c>
      <c r="G564" s="36" t="s">
        <v>112</v>
      </c>
      <c r="H564" s="37">
        <v>44734</v>
      </c>
      <c r="I564" s="36" t="s">
        <v>748</v>
      </c>
      <c r="J564" s="74" t="s">
        <v>716</v>
      </c>
    </row>
    <row r="565" spans="1:10" x14ac:dyDescent="0.3">
      <c r="A565" s="35">
        <v>1222063396</v>
      </c>
      <c r="B565" s="36">
        <v>12732073</v>
      </c>
      <c r="C565" s="37">
        <v>44735</v>
      </c>
      <c r="D565" s="137">
        <v>25</v>
      </c>
      <c r="E565" s="36" t="s">
        <v>655</v>
      </c>
      <c r="F565" s="36">
        <v>1</v>
      </c>
      <c r="G565" s="36" t="s">
        <v>112</v>
      </c>
      <c r="H565" s="37">
        <v>44734</v>
      </c>
      <c r="I565" s="36" t="s">
        <v>748</v>
      </c>
      <c r="J565" s="74" t="s">
        <v>716</v>
      </c>
    </row>
    <row r="566" spans="1:10" x14ac:dyDescent="0.3">
      <c r="A566" s="35">
        <v>1222063403</v>
      </c>
      <c r="B566" s="36">
        <v>12807021</v>
      </c>
      <c r="C566" s="37">
        <v>44735</v>
      </c>
      <c r="D566" s="137">
        <v>25</v>
      </c>
      <c r="E566" s="36" t="s">
        <v>655</v>
      </c>
      <c r="F566" s="36">
        <v>1</v>
      </c>
      <c r="G566" s="36" t="s">
        <v>112</v>
      </c>
      <c r="H566" s="37">
        <v>44734</v>
      </c>
      <c r="I566" s="36" t="s">
        <v>748</v>
      </c>
      <c r="J566" s="74" t="s">
        <v>716</v>
      </c>
    </row>
    <row r="567" spans="1:10" x14ac:dyDescent="0.3">
      <c r="A567" s="35">
        <v>1222063408</v>
      </c>
      <c r="B567" s="36">
        <v>50585892</v>
      </c>
      <c r="C567" s="37">
        <v>44735</v>
      </c>
      <c r="D567" s="137">
        <v>75</v>
      </c>
      <c r="E567" s="36" t="s">
        <v>655</v>
      </c>
      <c r="F567" s="36">
        <v>1</v>
      </c>
      <c r="G567" s="36" t="s">
        <v>112</v>
      </c>
      <c r="H567" s="37">
        <v>44734</v>
      </c>
      <c r="I567" s="36" t="s">
        <v>748</v>
      </c>
      <c r="J567" s="74" t="s">
        <v>716</v>
      </c>
    </row>
    <row r="568" spans="1:10" x14ac:dyDescent="0.3">
      <c r="A568" s="35">
        <v>1222063410</v>
      </c>
      <c r="B568" s="36">
        <v>77587787</v>
      </c>
      <c r="C568" s="37">
        <v>44735</v>
      </c>
      <c r="D568" s="137">
        <v>50</v>
      </c>
      <c r="E568" s="36" t="s">
        <v>655</v>
      </c>
      <c r="F568" s="36">
        <v>1</v>
      </c>
      <c r="G568" s="36" t="s">
        <v>112</v>
      </c>
      <c r="H568" s="37">
        <v>44734</v>
      </c>
      <c r="I568" s="36" t="s">
        <v>748</v>
      </c>
      <c r="J568" s="74" t="s">
        <v>716</v>
      </c>
    </row>
    <row r="569" spans="1:10" x14ac:dyDescent="0.3">
      <c r="A569" s="35">
        <v>1222063414</v>
      </c>
      <c r="B569" s="36">
        <v>3580813</v>
      </c>
      <c r="C569" s="37">
        <v>44735</v>
      </c>
      <c r="D569" s="137">
        <v>25</v>
      </c>
      <c r="E569" s="36" t="s">
        <v>655</v>
      </c>
      <c r="F569" s="36">
        <v>1</v>
      </c>
      <c r="G569" s="36" t="s">
        <v>112</v>
      </c>
      <c r="H569" s="37">
        <v>44734</v>
      </c>
      <c r="I569" s="36" t="s">
        <v>748</v>
      </c>
      <c r="J569" s="74" t="s">
        <v>716</v>
      </c>
    </row>
    <row r="570" spans="1:10" x14ac:dyDescent="0.3">
      <c r="A570" s="35">
        <v>1222063415</v>
      </c>
      <c r="B570" s="36">
        <v>8586135</v>
      </c>
      <c r="C570" s="37">
        <v>44735</v>
      </c>
      <c r="D570" s="137">
        <v>75</v>
      </c>
      <c r="E570" s="36" t="s">
        <v>655</v>
      </c>
      <c r="F570" s="36">
        <v>1</v>
      </c>
      <c r="G570" s="36" t="s">
        <v>112</v>
      </c>
      <c r="H570" s="37">
        <v>44734</v>
      </c>
      <c r="I570" s="36" t="s">
        <v>748</v>
      </c>
      <c r="J570" s="74" t="s">
        <v>716</v>
      </c>
    </row>
    <row r="571" spans="1:10" x14ac:dyDescent="0.3">
      <c r="A571" s="35">
        <v>1222065002</v>
      </c>
      <c r="B571" s="36">
        <v>10589373</v>
      </c>
      <c r="C571" s="37">
        <v>44735</v>
      </c>
      <c r="D571" s="137">
        <v>50</v>
      </c>
      <c r="E571" s="36" t="s">
        <v>655</v>
      </c>
      <c r="F571" s="36">
        <v>1</v>
      </c>
      <c r="G571" s="36" t="s">
        <v>112</v>
      </c>
      <c r="H571" s="37">
        <v>44734</v>
      </c>
      <c r="I571" s="36" t="s">
        <v>748</v>
      </c>
      <c r="J571" s="74" t="s">
        <v>716</v>
      </c>
    </row>
    <row r="572" spans="1:10" x14ac:dyDescent="0.3">
      <c r="A572" s="35">
        <v>1222065189</v>
      </c>
      <c r="B572" s="36">
        <v>74577218</v>
      </c>
      <c r="C572" s="37">
        <v>44735</v>
      </c>
      <c r="D572" s="137">
        <v>50</v>
      </c>
      <c r="E572" s="36" t="s">
        <v>655</v>
      </c>
      <c r="F572" s="36">
        <v>1</v>
      </c>
      <c r="G572" s="36" t="s">
        <v>112</v>
      </c>
      <c r="H572" s="37">
        <v>44734</v>
      </c>
      <c r="I572" s="36" t="s">
        <v>748</v>
      </c>
      <c r="J572" s="74" t="s">
        <v>716</v>
      </c>
    </row>
    <row r="573" spans="1:10" x14ac:dyDescent="0.3">
      <c r="A573" s="35">
        <v>1222065200</v>
      </c>
      <c r="B573" s="36">
        <v>14619812</v>
      </c>
      <c r="C573" s="37">
        <v>44735</v>
      </c>
      <c r="D573" s="137">
        <v>75</v>
      </c>
      <c r="E573" s="36" t="s">
        <v>655</v>
      </c>
      <c r="F573" s="36">
        <v>1</v>
      </c>
      <c r="G573" s="36" t="s">
        <v>112</v>
      </c>
      <c r="H573" s="37">
        <v>44734</v>
      </c>
      <c r="I573" s="36" t="s">
        <v>748</v>
      </c>
      <c r="J573" s="74" t="s">
        <v>716</v>
      </c>
    </row>
    <row r="574" spans="1:10" x14ac:dyDescent="0.3">
      <c r="A574" s="35">
        <v>1222065201</v>
      </c>
      <c r="B574" s="36">
        <v>14629930</v>
      </c>
      <c r="C574" s="37">
        <v>44735</v>
      </c>
      <c r="D574" s="137">
        <v>2450</v>
      </c>
      <c r="E574" s="36" t="s">
        <v>655</v>
      </c>
      <c r="F574" s="36">
        <v>1</v>
      </c>
      <c r="G574" s="36" t="s">
        <v>112</v>
      </c>
      <c r="H574" s="37">
        <v>44734</v>
      </c>
      <c r="I574" s="36" t="s">
        <v>748</v>
      </c>
      <c r="J574" s="74" t="s">
        <v>716</v>
      </c>
    </row>
    <row r="575" spans="1:10" x14ac:dyDescent="0.3">
      <c r="A575" s="35">
        <v>1222060727</v>
      </c>
      <c r="B575" s="36" t="s">
        <v>751</v>
      </c>
      <c r="C575" s="37">
        <v>44735</v>
      </c>
      <c r="D575" s="137">
        <v>690.5</v>
      </c>
      <c r="E575" s="36" t="s">
        <v>655</v>
      </c>
      <c r="F575" s="36">
        <v>1</v>
      </c>
      <c r="G575" s="36" t="s">
        <v>112</v>
      </c>
      <c r="H575" s="37">
        <v>44734</v>
      </c>
      <c r="I575" s="36" t="s">
        <v>748</v>
      </c>
      <c r="J575" s="74" t="s">
        <v>716</v>
      </c>
    </row>
    <row r="576" spans="1:10" x14ac:dyDescent="0.3">
      <c r="A576" s="35">
        <v>1222066495</v>
      </c>
      <c r="B576" s="36" t="s">
        <v>752</v>
      </c>
      <c r="C576" s="37">
        <v>44735</v>
      </c>
      <c r="D576" s="137">
        <v>72.5</v>
      </c>
      <c r="E576" s="36" t="s">
        <v>655</v>
      </c>
      <c r="F576" s="36">
        <v>1</v>
      </c>
      <c r="G576" s="36" t="s">
        <v>112</v>
      </c>
      <c r="H576" s="37">
        <v>44734</v>
      </c>
      <c r="I576" s="36" t="s">
        <v>748</v>
      </c>
      <c r="J576" s="74" t="s">
        <v>716</v>
      </c>
    </row>
    <row r="577" spans="1:10" x14ac:dyDescent="0.3">
      <c r="A577" s="35">
        <v>1222066497</v>
      </c>
      <c r="B577" s="36" t="s">
        <v>753</v>
      </c>
      <c r="C577" s="37">
        <v>44735</v>
      </c>
      <c r="D577" s="137">
        <v>3532.5</v>
      </c>
      <c r="E577" s="36" t="s">
        <v>655</v>
      </c>
      <c r="F577" s="36">
        <v>4</v>
      </c>
      <c r="G577" s="36" t="s">
        <v>112</v>
      </c>
      <c r="H577" s="37">
        <v>44734</v>
      </c>
      <c r="I577" s="36" t="s">
        <v>748</v>
      </c>
      <c r="J577" s="74" t="s">
        <v>716</v>
      </c>
    </row>
    <row r="578" spans="1:10" x14ac:dyDescent="0.3">
      <c r="A578" s="35">
        <v>1222066499</v>
      </c>
      <c r="B578" s="36" t="s">
        <v>754</v>
      </c>
      <c r="C578" s="37">
        <v>44735</v>
      </c>
      <c r="D578" s="137">
        <v>3132.5</v>
      </c>
      <c r="E578" s="36" t="s">
        <v>655</v>
      </c>
      <c r="F578" s="36">
        <v>2</v>
      </c>
      <c r="G578" s="36" t="s">
        <v>112</v>
      </c>
      <c r="H578" s="37">
        <v>44734</v>
      </c>
      <c r="I578" s="36" t="s">
        <v>748</v>
      </c>
      <c r="J578" s="74" t="s">
        <v>716</v>
      </c>
    </row>
    <row r="579" spans="1:10" x14ac:dyDescent="0.3">
      <c r="A579" s="35">
        <v>1222066502</v>
      </c>
      <c r="B579" s="36" t="s">
        <v>755</v>
      </c>
      <c r="C579" s="37">
        <v>44735</v>
      </c>
      <c r="D579" s="137">
        <v>690.5</v>
      </c>
      <c r="E579" s="36" t="s">
        <v>655</v>
      </c>
      <c r="F579" s="36">
        <v>1</v>
      </c>
      <c r="G579" s="36" t="s">
        <v>112</v>
      </c>
      <c r="H579" s="37">
        <v>44734</v>
      </c>
      <c r="I579" s="36" t="s">
        <v>748</v>
      </c>
      <c r="J579" s="74" t="s">
        <v>716</v>
      </c>
    </row>
    <row r="580" spans="1:10" x14ac:dyDescent="0.3">
      <c r="A580" s="35">
        <v>1222069124</v>
      </c>
      <c r="B580" s="36"/>
      <c r="C580" s="37"/>
      <c r="D580" s="137"/>
      <c r="E580" s="36"/>
      <c r="F580" s="36"/>
      <c r="G580" s="36"/>
      <c r="H580" s="37"/>
      <c r="I580" s="36"/>
      <c r="J580" s="44"/>
    </row>
    <row r="581" spans="1:10" x14ac:dyDescent="0.3">
      <c r="A581" s="35">
        <v>1222067255</v>
      </c>
      <c r="B581" s="36">
        <v>1586344</v>
      </c>
      <c r="C581" s="37">
        <v>44740</v>
      </c>
      <c r="D581" s="137">
        <v>406</v>
      </c>
      <c r="E581" s="36" t="s">
        <v>655</v>
      </c>
      <c r="F581" s="36">
        <v>1</v>
      </c>
      <c r="G581" s="36" t="s">
        <v>112</v>
      </c>
      <c r="H581" s="37">
        <v>44740</v>
      </c>
      <c r="I581" s="36" t="s">
        <v>749</v>
      </c>
      <c r="J581" s="74" t="s">
        <v>750</v>
      </c>
    </row>
    <row r="582" spans="1:10" x14ac:dyDescent="0.3">
      <c r="A582" s="35">
        <v>1222067278</v>
      </c>
      <c r="B582" s="36">
        <v>79550878</v>
      </c>
      <c r="C582" s="37">
        <v>44740</v>
      </c>
      <c r="D582" s="137">
        <v>348</v>
      </c>
      <c r="E582" s="36" t="s">
        <v>655</v>
      </c>
      <c r="F582" s="36">
        <v>1</v>
      </c>
      <c r="G582" s="36" t="s">
        <v>112</v>
      </c>
      <c r="H582" s="37">
        <v>44740</v>
      </c>
      <c r="I582" s="36" t="s">
        <v>749</v>
      </c>
      <c r="J582" s="74" t="s">
        <v>750</v>
      </c>
    </row>
    <row r="583" spans="1:10" x14ac:dyDescent="0.3">
      <c r="A583" s="35">
        <v>1222067298</v>
      </c>
      <c r="B583" s="36">
        <v>15699159</v>
      </c>
      <c r="C583" s="37">
        <v>44740</v>
      </c>
      <c r="D583" s="137">
        <v>8398.9689999999991</v>
      </c>
      <c r="E583" s="36" t="s">
        <v>655</v>
      </c>
      <c r="F583" s="36">
        <v>4</v>
      </c>
      <c r="G583" s="36" t="s">
        <v>112</v>
      </c>
      <c r="H583" s="37">
        <v>44740</v>
      </c>
      <c r="I583" s="36" t="s">
        <v>749</v>
      </c>
      <c r="J583" s="74" t="s">
        <v>750</v>
      </c>
    </row>
    <row r="584" spans="1:10" x14ac:dyDescent="0.3">
      <c r="A584" s="35">
        <v>1222067312</v>
      </c>
      <c r="B584" s="36">
        <v>50551878</v>
      </c>
      <c r="C584" s="37">
        <v>44740</v>
      </c>
      <c r="D584" s="137">
        <v>78</v>
      </c>
      <c r="E584" s="36" t="s">
        <v>655</v>
      </c>
      <c r="F584" s="36">
        <v>1</v>
      </c>
      <c r="G584" s="36" t="s">
        <v>112</v>
      </c>
      <c r="H584" s="37">
        <v>44740</v>
      </c>
      <c r="I584" s="36" t="s">
        <v>749</v>
      </c>
      <c r="J584" s="74" t="s">
        <v>750</v>
      </c>
    </row>
    <row r="585" spans="1:10" x14ac:dyDescent="0.3">
      <c r="A585" s="35">
        <v>1222068276</v>
      </c>
      <c r="B585" s="36">
        <v>40580719</v>
      </c>
      <c r="C585" s="37">
        <v>44740</v>
      </c>
      <c r="D585" s="137">
        <v>6206</v>
      </c>
      <c r="E585" s="36" t="s">
        <v>655</v>
      </c>
      <c r="F585" s="36">
        <v>2</v>
      </c>
      <c r="G585" s="36" t="s">
        <v>112</v>
      </c>
      <c r="H585" s="37">
        <v>44740</v>
      </c>
      <c r="I585" s="36" t="s">
        <v>749</v>
      </c>
      <c r="J585" s="74" t="s">
        <v>750</v>
      </c>
    </row>
    <row r="586" spans="1:10" x14ac:dyDescent="0.3">
      <c r="A586" s="35">
        <v>1222068278</v>
      </c>
      <c r="B586" s="36">
        <v>27567704</v>
      </c>
      <c r="C586" s="37">
        <v>44740</v>
      </c>
      <c r="D586" s="137">
        <v>58</v>
      </c>
      <c r="E586" s="36" t="s">
        <v>655</v>
      </c>
      <c r="F586" s="36">
        <v>1</v>
      </c>
      <c r="G586" s="36" t="s">
        <v>112</v>
      </c>
      <c r="H586" s="37">
        <v>44740</v>
      </c>
      <c r="I586" s="36" t="s">
        <v>749</v>
      </c>
      <c r="J586" s="74" t="s">
        <v>750</v>
      </c>
    </row>
    <row r="587" spans="1:10" x14ac:dyDescent="0.3">
      <c r="A587" s="35">
        <v>1222068281</v>
      </c>
      <c r="B587" s="36">
        <v>15639148</v>
      </c>
      <c r="C587" s="37">
        <v>44740</v>
      </c>
      <c r="D587" s="137">
        <v>936</v>
      </c>
      <c r="E587" s="36" t="s">
        <v>655</v>
      </c>
      <c r="F587" s="36">
        <v>1</v>
      </c>
      <c r="G587" s="36" t="s">
        <v>112</v>
      </c>
      <c r="H587" s="37">
        <v>44740</v>
      </c>
      <c r="I587" s="36" t="s">
        <v>749</v>
      </c>
      <c r="J587" s="74" t="s">
        <v>750</v>
      </c>
    </row>
    <row r="588" spans="1:10" x14ac:dyDescent="0.3">
      <c r="A588" s="35">
        <v>1222068285</v>
      </c>
      <c r="B588" s="36">
        <v>15665439</v>
      </c>
      <c r="C588" s="37">
        <v>44740</v>
      </c>
      <c r="D588" s="137">
        <v>58</v>
      </c>
      <c r="E588" s="36" t="s">
        <v>655</v>
      </c>
      <c r="F588" s="36">
        <v>1</v>
      </c>
      <c r="G588" s="36" t="s">
        <v>112</v>
      </c>
      <c r="H588" s="37">
        <v>44740</v>
      </c>
      <c r="I588" s="36" t="s">
        <v>749</v>
      </c>
      <c r="J588" s="74" t="s">
        <v>750</v>
      </c>
    </row>
    <row r="589" spans="1:10" x14ac:dyDescent="0.3">
      <c r="A589" s="35">
        <v>1222068300</v>
      </c>
      <c r="B589" s="36">
        <v>8553235</v>
      </c>
      <c r="C589" s="37">
        <v>44740</v>
      </c>
      <c r="D589" s="137">
        <v>58</v>
      </c>
      <c r="E589" s="36" t="s">
        <v>655</v>
      </c>
      <c r="F589" s="36">
        <v>1</v>
      </c>
      <c r="G589" s="36" t="s">
        <v>112</v>
      </c>
      <c r="H589" s="37">
        <v>44740</v>
      </c>
      <c r="I589" s="36" t="s">
        <v>749</v>
      </c>
      <c r="J589" s="74" t="s">
        <v>750</v>
      </c>
    </row>
    <row r="590" spans="1:10" x14ac:dyDescent="0.3">
      <c r="A590" s="35">
        <v>1222068321</v>
      </c>
      <c r="B590" s="36">
        <v>15858686</v>
      </c>
      <c r="C590" s="37">
        <v>44740</v>
      </c>
      <c r="D590" s="137">
        <v>156</v>
      </c>
      <c r="E590" s="36" t="s">
        <v>655</v>
      </c>
      <c r="F590" s="36">
        <v>1</v>
      </c>
      <c r="G590" s="36" t="s">
        <v>112</v>
      </c>
      <c r="H590" s="37">
        <v>44740</v>
      </c>
      <c r="I590" s="36" t="s">
        <v>749</v>
      </c>
      <c r="J590" s="74" t="s">
        <v>750</v>
      </c>
    </row>
    <row r="591" spans="1:10" x14ac:dyDescent="0.3">
      <c r="A591" s="35">
        <v>1222068342</v>
      </c>
      <c r="B591" s="36">
        <v>23583281</v>
      </c>
      <c r="C591" s="37">
        <v>44740</v>
      </c>
      <c r="D591" s="137">
        <v>406</v>
      </c>
      <c r="E591" s="36" t="s">
        <v>655</v>
      </c>
      <c r="F591" s="36">
        <v>1</v>
      </c>
      <c r="G591" s="36" t="s">
        <v>112</v>
      </c>
      <c r="H591" s="37">
        <v>44740</v>
      </c>
      <c r="I591" s="36" t="s">
        <v>749</v>
      </c>
      <c r="J591" s="74" t="s">
        <v>750</v>
      </c>
    </row>
    <row r="592" spans="1:10" x14ac:dyDescent="0.3">
      <c r="A592" s="35">
        <v>1222068346</v>
      </c>
      <c r="B592" s="36">
        <v>11575605</v>
      </c>
      <c r="C592" s="37">
        <v>44740</v>
      </c>
      <c r="D592" s="137">
        <v>116</v>
      </c>
      <c r="E592" s="36" t="s">
        <v>655</v>
      </c>
      <c r="F592" s="36">
        <v>1</v>
      </c>
      <c r="G592" s="36" t="s">
        <v>112</v>
      </c>
      <c r="H592" s="37">
        <v>44740</v>
      </c>
      <c r="I592" s="36" t="s">
        <v>749</v>
      </c>
      <c r="J592" s="74" t="s">
        <v>750</v>
      </c>
    </row>
    <row r="593" spans="1:11" x14ac:dyDescent="0.3">
      <c r="A593" s="35">
        <v>1222068349</v>
      </c>
      <c r="B593" s="36">
        <v>15795671</v>
      </c>
      <c r="C593" s="37">
        <v>44740</v>
      </c>
      <c r="D593" s="137">
        <v>348</v>
      </c>
      <c r="E593" s="36" t="s">
        <v>655</v>
      </c>
      <c r="F593" s="36">
        <v>1</v>
      </c>
      <c r="G593" s="36" t="s">
        <v>112</v>
      </c>
      <c r="H593" s="37">
        <v>44740</v>
      </c>
      <c r="I593" s="36" t="s">
        <v>749</v>
      </c>
      <c r="J593" s="74" t="s">
        <v>750</v>
      </c>
    </row>
    <row r="594" spans="1:11" x14ac:dyDescent="0.3">
      <c r="A594" s="35">
        <v>1222068352</v>
      </c>
      <c r="B594" s="36">
        <v>78574566</v>
      </c>
      <c r="C594" s="37">
        <v>44740</v>
      </c>
      <c r="D594" s="137">
        <v>58</v>
      </c>
      <c r="E594" s="36" t="s">
        <v>655</v>
      </c>
      <c r="F594" s="36">
        <v>1</v>
      </c>
      <c r="G594" s="36" t="s">
        <v>112</v>
      </c>
      <c r="H594" s="37">
        <v>44740</v>
      </c>
      <c r="I594" s="36" t="s">
        <v>749</v>
      </c>
      <c r="J594" s="74" t="s">
        <v>750</v>
      </c>
    </row>
    <row r="595" spans="1:11" x14ac:dyDescent="0.3">
      <c r="A595" s="75">
        <v>1222063103</v>
      </c>
      <c r="B595" s="76">
        <v>7582922</v>
      </c>
      <c r="C595" s="77">
        <v>44735</v>
      </c>
      <c r="D595" s="143">
        <v>100</v>
      </c>
      <c r="E595" s="76" t="s">
        <v>655</v>
      </c>
      <c r="F595" s="76">
        <v>1</v>
      </c>
      <c r="G595" s="76" t="s">
        <v>112</v>
      </c>
      <c r="H595" s="77">
        <v>44734</v>
      </c>
      <c r="I595" s="76" t="s">
        <v>748</v>
      </c>
      <c r="J595" s="78" t="s">
        <v>716</v>
      </c>
      <c r="K595" s="78" t="s">
        <v>756</v>
      </c>
    </row>
    <row r="596" spans="1:11" x14ac:dyDescent="0.3">
      <c r="A596" s="75">
        <v>1222063340</v>
      </c>
      <c r="B596" s="76">
        <v>61581615</v>
      </c>
      <c r="C596" s="77">
        <v>44735</v>
      </c>
      <c r="D596" s="143">
        <v>75</v>
      </c>
      <c r="E596" s="76" t="s">
        <v>655</v>
      </c>
      <c r="F596" s="76">
        <v>1</v>
      </c>
      <c r="G596" s="76" t="s">
        <v>112</v>
      </c>
      <c r="H596" s="77">
        <v>44734</v>
      </c>
      <c r="I596" s="76" t="s">
        <v>748</v>
      </c>
      <c r="J596" s="78" t="s">
        <v>716</v>
      </c>
      <c r="K596" s="78" t="s">
        <v>756</v>
      </c>
    </row>
    <row r="597" spans="1:11" x14ac:dyDescent="0.3">
      <c r="A597" s="75">
        <v>1222063364</v>
      </c>
      <c r="B597" s="76">
        <v>12607618</v>
      </c>
      <c r="C597" s="77">
        <v>44735</v>
      </c>
      <c r="D597" s="143">
        <v>25</v>
      </c>
      <c r="E597" s="76" t="s">
        <v>655</v>
      </c>
      <c r="F597" s="76">
        <v>1</v>
      </c>
      <c r="G597" s="76" t="s">
        <v>112</v>
      </c>
      <c r="H597" s="77">
        <v>44734</v>
      </c>
      <c r="I597" s="76" t="s">
        <v>748</v>
      </c>
      <c r="J597" s="78" t="s">
        <v>716</v>
      </c>
      <c r="K597" s="78" t="s">
        <v>756</v>
      </c>
    </row>
    <row r="598" spans="1:11" x14ac:dyDescent="0.3">
      <c r="A598" s="75">
        <v>1222065006</v>
      </c>
      <c r="B598" s="76">
        <v>14687510</v>
      </c>
      <c r="C598" s="77">
        <v>44735</v>
      </c>
      <c r="D598" s="143">
        <v>250</v>
      </c>
      <c r="E598" s="76" t="s">
        <v>655</v>
      </c>
      <c r="F598" s="76">
        <v>1</v>
      </c>
      <c r="G598" s="76" t="s">
        <v>112</v>
      </c>
      <c r="H598" s="77">
        <v>44734</v>
      </c>
      <c r="I598" s="76" t="s">
        <v>748</v>
      </c>
      <c r="J598" s="78" t="s">
        <v>716</v>
      </c>
      <c r="K598" s="78" t="s">
        <v>756</v>
      </c>
    </row>
    <row r="599" spans="1:11" x14ac:dyDescent="0.3">
      <c r="A599" s="75">
        <v>1222068613</v>
      </c>
      <c r="B599" s="76">
        <v>15560183</v>
      </c>
      <c r="C599" s="77">
        <v>44739</v>
      </c>
      <c r="D599" s="143">
        <v>594</v>
      </c>
      <c r="E599" s="76" t="s">
        <v>655</v>
      </c>
      <c r="F599" s="76">
        <v>1</v>
      </c>
      <c r="G599" s="76" t="s">
        <v>112</v>
      </c>
      <c r="H599" s="77">
        <v>44741</v>
      </c>
      <c r="I599" s="76" t="s">
        <v>757</v>
      </c>
      <c r="J599" s="78" t="s">
        <v>758</v>
      </c>
    </row>
    <row r="600" spans="1:11" x14ac:dyDescent="0.3">
      <c r="A600" s="75">
        <v>1222068615</v>
      </c>
      <c r="B600" s="76">
        <v>16769597</v>
      </c>
      <c r="C600" s="77">
        <v>44739</v>
      </c>
      <c r="D600" s="143">
        <v>1794</v>
      </c>
      <c r="E600" s="76" t="s">
        <v>655</v>
      </c>
      <c r="F600" s="76">
        <v>1</v>
      </c>
      <c r="G600" s="76" t="s">
        <v>112</v>
      </c>
      <c r="H600" s="77">
        <v>44741</v>
      </c>
      <c r="I600" s="76" t="s">
        <v>757</v>
      </c>
      <c r="J600" s="78" t="s">
        <v>758</v>
      </c>
    </row>
    <row r="601" spans="1:11" x14ac:dyDescent="0.3">
      <c r="A601" s="75">
        <v>1222068629</v>
      </c>
      <c r="B601" s="76">
        <v>17637716</v>
      </c>
      <c r="C601" s="77">
        <v>44739</v>
      </c>
      <c r="D601" s="143">
        <v>94</v>
      </c>
      <c r="E601" s="76" t="s">
        <v>655</v>
      </c>
      <c r="F601" s="76">
        <v>1</v>
      </c>
      <c r="G601" s="76" t="s">
        <v>112</v>
      </c>
      <c r="H601" s="77">
        <v>44741</v>
      </c>
      <c r="I601" s="76" t="s">
        <v>757</v>
      </c>
      <c r="J601" s="78" t="s">
        <v>758</v>
      </c>
    </row>
    <row r="602" spans="1:11" x14ac:dyDescent="0.3">
      <c r="A602" s="75">
        <v>1222068630</v>
      </c>
      <c r="B602" s="76">
        <v>17687027</v>
      </c>
      <c r="C602" s="77">
        <v>44739</v>
      </c>
      <c r="D602" s="143">
        <v>1794</v>
      </c>
      <c r="E602" s="76" t="s">
        <v>655</v>
      </c>
      <c r="F602" s="76">
        <v>1</v>
      </c>
      <c r="G602" s="76" t="s">
        <v>112</v>
      </c>
      <c r="H602" s="77">
        <v>44741</v>
      </c>
      <c r="I602" s="76" t="s">
        <v>757</v>
      </c>
      <c r="J602" s="78" t="s">
        <v>758</v>
      </c>
    </row>
    <row r="603" spans="1:11" x14ac:dyDescent="0.3">
      <c r="A603" s="75">
        <v>1222069186</v>
      </c>
      <c r="B603" s="76">
        <v>6587641</v>
      </c>
      <c r="C603" s="77">
        <v>44739</v>
      </c>
      <c r="D603" s="143">
        <v>844</v>
      </c>
      <c r="E603" s="76" t="s">
        <v>655</v>
      </c>
      <c r="F603" s="76">
        <v>1</v>
      </c>
      <c r="G603" s="76" t="s">
        <v>112</v>
      </c>
      <c r="H603" s="77">
        <v>44741</v>
      </c>
      <c r="I603" s="76" t="s">
        <v>757</v>
      </c>
      <c r="J603" s="78" t="s">
        <v>758</v>
      </c>
    </row>
    <row r="604" spans="1:11" x14ac:dyDescent="0.3">
      <c r="A604" s="75">
        <v>1222069199</v>
      </c>
      <c r="B604" s="76">
        <v>17893614</v>
      </c>
      <c r="C604" s="77">
        <v>44739</v>
      </c>
      <c r="D604" s="143">
        <v>3744</v>
      </c>
      <c r="E604" s="76" t="s">
        <v>655</v>
      </c>
      <c r="F604" s="76">
        <v>1</v>
      </c>
      <c r="G604" s="76" t="s">
        <v>112</v>
      </c>
      <c r="H604" s="77">
        <v>44741</v>
      </c>
      <c r="I604" s="76" t="s">
        <v>757</v>
      </c>
      <c r="J604" s="78" t="s">
        <v>758</v>
      </c>
    </row>
    <row r="605" spans="1:11" x14ac:dyDescent="0.3">
      <c r="A605" s="75">
        <v>1222069200</v>
      </c>
      <c r="B605" s="76">
        <v>17937412</v>
      </c>
      <c r="C605" s="77">
        <v>44739</v>
      </c>
      <c r="D605" s="143">
        <v>78</v>
      </c>
      <c r="E605" s="76" t="s">
        <v>655</v>
      </c>
      <c r="F605" s="76">
        <v>1</v>
      </c>
      <c r="G605" s="76" t="s">
        <v>112</v>
      </c>
      <c r="H605" s="77">
        <v>44741</v>
      </c>
      <c r="I605" s="76" t="s">
        <v>757</v>
      </c>
      <c r="J605" s="78" t="s">
        <v>758</v>
      </c>
    </row>
    <row r="606" spans="1:11" x14ac:dyDescent="0.3">
      <c r="A606" s="75">
        <v>1222069225</v>
      </c>
      <c r="B606" s="76">
        <v>18719088</v>
      </c>
      <c r="C606" s="77">
        <v>44739</v>
      </c>
      <c r="D606" s="143">
        <v>160</v>
      </c>
      <c r="E606" s="76" t="s">
        <v>655</v>
      </c>
      <c r="F606" s="76">
        <v>1</v>
      </c>
      <c r="G606" s="76" t="s">
        <v>112</v>
      </c>
      <c r="H606" s="77">
        <v>44741</v>
      </c>
      <c r="I606" s="76" t="s">
        <v>757</v>
      </c>
      <c r="J606" s="78" t="s">
        <v>758</v>
      </c>
    </row>
    <row r="607" spans="1:11" x14ac:dyDescent="0.3">
      <c r="A607" s="75">
        <v>1222069230</v>
      </c>
      <c r="B607" s="76">
        <v>21571155</v>
      </c>
      <c r="C607" s="77">
        <v>44740</v>
      </c>
      <c r="D607" s="143">
        <v>276</v>
      </c>
      <c r="E607" s="76" t="s">
        <v>655</v>
      </c>
      <c r="F607" s="76">
        <v>1</v>
      </c>
      <c r="G607" s="76" t="s">
        <v>112</v>
      </c>
      <c r="H607" s="77">
        <v>44741</v>
      </c>
      <c r="I607" s="76" t="s">
        <v>757</v>
      </c>
      <c r="J607" s="78" t="s">
        <v>758</v>
      </c>
    </row>
    <row r="608" spans="1:11" x14ac:dyDescent="0.3">
      <c r="A608" s="75">
        <v>1222069235</v>
      </c>
      <c r="B608" s="76">
        <v>77583801</v>
      </c>
      <c r="C608" s="77">
        <v>44740</v>
      </c>
      <c r="D608" s="143">
        <v>276</v>
      </c>
      <c r="E608" s="76" t="s">
        <v>655</v>
      </c>
      <c r="F608" s="76">
        <v>1</v>
      </c>
      <c r="G608" s="76" t="s">
        <v>112</v>
      </c>
      <c r="H608" s="77">
        <v>44741</v>
      </c>
      <c r="I608" s="76" t="s">
        <v>757</v>
      </c>
      <c r="J608" s="78" t="s">
        <v>758</v>
      </c>
    </row>
    <row r="609" spans="1:10" x14ac:dyDescent="0.3">
      <c r="A609" s="75">
        <v>1222069249</v>
      </c>
      <c r="B609" s="76">
        <v>18893680</v>
      </c>
      <c r="C609" s="77">
        <v>44740</v>
      </c>
      <c r="D609" s="143">
        <v>76</v>
      </c>
      <c r="E609" s="76" t="s">
        <v>655</v>
      </c>
      <c r="F609" s="76">
        <v>1</v>
      </c>
      <c r="G609" s="76" t="s">
        <v>112</v>
      </c>
      <c r="H609" s="77">
        <v>44741</v>
      </c>
      <c r="I609" s="76" t="s">
        <v>757</v>
      </c>
      <c r="J609" s="78" t="s">
        <v>758</v>
      </c>
    </row>
    <row r="610" spans="1:10" x14ac:dyDescent="0.3">
      <c r="A610" s="75">
        <v>1222069253</v>
      </c>
      <c r="B610" s="76">
        <v>39578834</v>
      </c>
      <c r="C610" s="77">
        <v>44740</v>
      </c>
      <c r="D610" s="143">
        <v>1276</v>
      </c>
      <c r="E610" s="76" t="s">
        <v>655</v>
      </c>
      <c r="F610" s="76">
        <v>1</v>
      </c>
      <c r="G610" s="76" t="s">
        <v>112</v>
      </c>
      <c r="H610" s="77">
        <v>44741</v>
      </c>
      <c r="I610" s="76" t="s">
        <v>757</v>
      </c>
      <c r="J610" s="78" t="s">
        <v>758</v>
      </c>
    </row>
    <row r="611" spans="1:10" x14ac:dyDescent="0.3">
      <c r="A611" s="75">
        <v>1222069259</v>
      </c>
      <c r="B611" s="76">
        <v>8586944</v>
      </c>
      <c r="C611" s="77">
        <v>44740</v>
      </c>
      <c r="D611" s="143">
        <v>3380</v>
      </c>
      <c r="E611" s="76" t="s">
        <v>655</v>
      </c>
      <c r="F611" s="76">
        <v>1</v>
      </c>
      <c r="G611" s="76" t="s">
        <v>112</v>
      </c>
      <c r="H611" s="77">
        <v>44741</v>
      </c>
      <c r="I611" s="76" t="s">
        <v>757</v>
      </c>
      <c r="J611" s="78" t="s">
        <v>758</v>
      </c>
    </row>
    <row r="612" spans="1:10" x14ac:dyDescent="0.3">
      <c r="A612" s="75">
        <v>1222069269</v>
      </c>
      <c r="B612" s="76">
        <v>22581725</v>
      </c>
      <c r="C612" s="77">
        <v>44740</v>
      </c>
      <c r="D612" s="143">
        <v>580</v>
      </c>
      <c r="E612" s="76" t="s">
        <v>655</v>
      </c>
      <c r="F612" s="76">
        <v>1</v>
      </c>
      <c r="G612" s="76" t="s">
        <v>112</v>
      </c>
      <c r="H612" s="77">
        <v>44741</v>
      </c>
      <c r="I612" s="76" t="s">
        <v>757</v>
      </c>
      <c r="J612" s="78" t="s">
        <v>758</v>
      </c>
    </row>
    <row r="613" spans="1:10" x14ac:dyDescent="0.3">
      <c r="A613" s="75">
        <v>1222069273</v>
      </c>
      <c r="B613" s="76">
        <v>71570827</v>
      </c>
      <c r="C613" s="77">
        <v>44740</v>
      </c>
      <c r="D613" s="143">
        <v>58</v>
      </c>
      <c r="E613" s="76" t="s">
        <v>655</v>
      </c>
      <c r="F613" s="76">
        <v>1</v>
      </c>
      <c r="G613" s="76" t="s">
        <v>112</v>
      </c>
      <c r="H613" s="77">
        <v>44741</v>
      </c>
      <c r="I613" s="76" t="s">
        <v>757</v>
      </c>
      <c r="J613" s="78" t="s">
        <v>758</v>
      </c>
    </row>
    <row r="614" spans="1:10" x14ac:dyDescent="0.3">
      <c r="A614" s="75">
        <v>1222069290</v>
      </c>
      <c r="B614" s="76">
        <v>19828808</v>
      </c>
      <c r="C614" s="77">
        <v>44740</v>
      </c>
      <c r="D614" s="143">
        <v>58</v>
      </c>
      <c r="E614" s="76" t="s">
        <v>655</v>
      </c>
      <c r="F614" s="76">
        <v>1</v>
      </c>
      <c r="G614" s="76" t="s">
        <v>112</v>
      </c>
      <c r="H614" s="77">
        <v>44741</v>
      </c>
      <c r="I614" s="76" t="s">
        <v>757</v>
      </c>
      <c r="J614" s="78" t="s">
        <v>758</v>
      </c>
    </row>
    <row r="615" spans="1:10" x14ac:dyDescent="0.3">
      <c r="A615" s="75">
        <v>1222068385</v>
      </c>
      <c r="B615" s="76">
        <v>3581167</v>
      </c>
      <c r="C615" s="77">
        <v>44741</v>
      </c>
      <c r="D615" s="143">
        <v>58</v>
      </c>
      <c r="E615" s="76" t="s">
        <v>655</v>
      </c>
      <c r="F615" s="76">
        <v>1</v>
      </c>
      <c r="G615" s="76" t="s">
        <v>112</v>
      </c>
      <c r="H615" s="77">
        <v>44741</v>
      </c>
      <c r="I615" s="76" t="s">
        <v>757</v>
      </c>
      <c r="J615" s="78" t="s">
        <v>758</v>
      </c>
    </row>
    <row r="616" spans="1:10" x14ac:dyDescent="0.3">
      <c r="A616" s="75">
        <v>1222068405</v>
      </c>
      <c r="B616" s="76">
        <v>64551438</v>
      </c>
      <c r="C616" s="77">
        <v>44741</v>
      </c>
      <c r="D616" s="143">
        <v>406</v>
      </c>
      <c r="E616" s="76" t="s">
        <v>655</v>
      </c>
      <c r="F616" s="76">
        <v>1</v>
      </c>
      <c r="G616" s="76" t="s">
        <v>112</v>
      </c>
      <c r="H616" s="77">
        <v>44741</v>
      </c>
      <c r="I616" s="76" t="s">
        <v>757</v>
      </c>
      <c r="J616" s="78" t="s">
        <v>758</v>
      </c>
    </row>
    <row r="617" spans="1:10" x14ac:dyDescent="0.3">
      <c r="A617" s="75">
        <v>1222068408</v>
      </c>
      <c r="B617" s="76">
        <v>31558421</v>
      </c>
      <c r="C617" s="77">
        <v>44741</v>
      </c>
      <c r="D617" s="143">
        <v>696</v>
      </c>
      <c r="E617" s="76" t="s">
        <v>655</v>
      </c>
      <c r="F617" s="76">
        <v>1</v>
      </c>
      <c r="G617" s="76" t="s">
        <v>112</v>
      </c>
      <c r="H617" s="77">
        <v>44741</v>
      </c>
      <c r="I617" s="76" t="s">
        <v>757</v>
      </c>
      <c r="J617" s="78" t="s">
        <v>758</v>
      </c>
    </row>
    <row r="618" spans="1:10" x14ac:dyDescent="0.3">
      <c r="A618" s="75">
        <v>1222068410</v>
      </c>
      <c r="B618" s="76">
        <v>16610874</v>
      </c>
      <c r="C618" s="77">
        <v>44741</v>
      </c>
      <c r="D618" s="143">
        <v>348</v>
      </c>
      <c r="E618" s="76" t="s">
        <v>655</v>
      </c>
      <c r="F618" s="76">
        <v>1</v>
      </c>
      <c r="G618" s="76" t="s">
        <v>112</v>
      </c>
      <c r="H618" s="77">
        <v>44741</v>
      </c>
      <c r="I618" s="76" t="s">
        <v>757</v>
      </c>
      <c r="J618" s="78" t="s">
        <v>758</v>
      </c>
    </row>
    <row r="619" spans="1:10" x14ac:dyDescent="0.3">
      <c r="A619" s="75">
        <v>1222068416</v>
      </c>
      <c r="B619" s="76">
        <v>71567658</v>
      </c>
      <c r="C619" s="77">
        <v>44741</v>
      </c>
      <c r="D619" s="143">
        <v>78</v>
      </c>
      <c r="E619" s="76" t="s">
        <v>655</v>
      </c>
      <c r="F619" s="76">
        <v>1</v>
      </c>
      <c r="G619" s="76" t="s">
        <v>112</v>
      </c>
      <c r="H619" s="77">
        <v>44741</v>
      </c>
      <c r="I619" s="76" t="s">
        <v>757</v>
      </c>
      <c r="J619" s="78" t="s">
        <v>758</v>
      </c>
    </row>
    <row r="620" spans="1:10" x14ac:dyDescent="0.3">
      <c r="A620" s="75">
        <v>1222068437</v>
      </c>
      <c r="B620" s="76">
        <v>37575495</v>
      </c>
      <c r="C620" s="77">
        <v>44741</v>
      </c>
      <c r="D620" s="143">
        <v>58</v>
      </c>
      <c r="E620" s="76" t="s">
        <v>655</v>
      </c>
      <c r="F620" s="76">
        <v>1</v>
      </c>
      <c r="G620" s="76" t="s">
        <v>112</v>
      </c>
      <c r="H620" s="77">
        <v>44741</v>
      </c>
      <c r="I620" s="76" t="s">
        <v>757</v>
      </c>
      <c r="J620" s="78" t="s">
        <v>758</v>
      </c>
    </row>
    <row r="621" spans="1:10" x14ac:dyDescent="0.3">
      <c r="A621" s="75">
        <v>1222068439</v>
      </c>
      <c r="B621" s="76">
        <v>9557289</v>
      </c>
      <c r="C621" s="77">
        <v>44741</v>
      </c>
      <c r="D621" s="143">
        <v>174</v>
      </c>
      <c r="E621" s="76" t="s">
        <v>655</v>
      </c>
      <c r="F621" s="76">
        <v>1</v>
      </c>
      <c r="G621" s="76" t="s">
        <v>112</v>
      </c>
      <c r="H621" s="77">
        <v>44741</v>
      </c>
      <c r="I621" s="76" t="s">
        <v>757</v>
      </c>
      <c r="J621" s="78" t="s">
        <v>758</v>
      </c>
    </row>
    <row r="622" spans="1:10" x14ac:dyDescent="0.3">
      <c r="A622" s="75">
        <v>1222068443</v>
      </c>
      <c r="B622" s="76">
        <v>31584410</v>
      </c>
      <c r="C622" s="77">
        <v>44741</v>
      </c>
      <c r="D622" s="143">
        <v>112</v>
      </c>
      <c r="E622" s="76" t="s">
        <v>655</v>
      </c>
      <c r="F622" s="76">
        <v>1</v>
      </c>
      <c r="G622" s="76" t="s">
        <v>112</v>
      </c>
      <c r="H622" s="77">
        <v>44741</v>
      </c>
      <c r="I622" s="76" t="s">
        <v>757</v>
      </c>
      <c r="J622" s="78" t="s">
        <v>758</v>
      </c>
    </row>
    <row r="623" spans="1:10" x14ac:dyDescent="0.3">
      <c r="A623" s="75">
        <v>1222068455</v>
      </c>
      <c r="B623" s="76">
        <v>16966499</v>
      </c>
      <c r="C623" s="77">
        <v>44741</v>
      </c>
      <c r="D623" s="143">
        <v>702</v>
      </c>
      <c r="E623" s="76" t="s">
        <v>655</v>
      </c>
      <c r="F623" s="76">
        <v>1</v>
      </c>
      <c r="G623" s="76" t="s">
        <v>112</v>
      </c>
      <c r="H623" s="77">
        <v>44741</v>
      </c>
      <c r="I623" s="76" t="s">
        <v>757</v>
      </c>
      <c r="J623" s="78" t="s">
        <v>758</v>
      </c>
    </row>
    <row r="624" spans="1:10" x14ac:dyDescent="0.3">
      <c r="A624" s="75">
        <v>1222068457</v>
      </c>
      <c r="B624" s="76">
        <v>1587817</v>
      </c>
      <c r="C624" s="77">
        <v>44741</v>
      </c>
      <c r="D624" s="143">
        <v>546</v>
      </c>
      <c r="E624" s="76" t="s">
        <v>655</v>
      </c>
      <c r="F624" s="76">
        <v>1</v>
      </c>
      <c r="G624" s="76" t="s">
        <v>112</v>
      </c>
      <c r="H624" s="77">
        <v>44741</v>
      </c>
      <c r="I624" s="76" t="s">
        <v>757</v>
      </c>
      <c r="J624" s="78" t="s">
        <v>758</v>
      </c>
    </row>
    <row r="625" spans="1:10" x14ac:dyDescent="0.3">
      <c r="A625" s="75">
        <v>1222068461</v>
      </c>
      <c r="B625" s="76">
        <v>16884286</v>
      </c>
      <c r="C625" s="77">
        <v>44741</v>
      </c>
      <c r="D625" s="143">
        <v>234</v>
      </c>
      <c r="E625" s="76" t="s">
        <v>655</v>
      </c>
      <c r="F625" s="76">
        <v>1</v>
      </c>
      <c r="G625" s="76" t="s">
        <v>112</v>
      </c>
      <c r="H625" s="77">
        <v>44741</v>
      </c>
      <c r="I625" s="76" t="s">
        <v>757</v>
      </c>
      <c r="J625" s="78" t="s">
        <v>758</v>
      </c>
    </row>
    <row r="626" spans="1:10" x14ac:dyDescent="0.3">
      <c r="A626" s="75">
        <v>1222068479</v>
      </c>
      <c r="B626" s="76">
        <v>73587563</v>
      </c>
      <c r="C626" s="77">
        <v>44741</v>
      </c>
      <c r="D626" s="143">
        <v>638</v>
      </c>
      <c r="E626" s="76" t="s">
        <v>655</v>
      </c>
      <c r="F626" s="76">
        <v>1</v>
      </c>
      <c r="G626" s="76" t="s">
        <v>112</v>
      </c>
      <c r="H626" s="77">
        <v>44741</v>
      </c>
      <c r="I626" s="76" t="s">
        <v>757</v>
      </c>
      <c r="J626" s="78" t="s">
        <v>758</v>
      </c>
    </row>
    <row r="627" spans="1:10" x14ac:dyDescent="0.3">
      <c r="A627" s="75">
        <v>1222068573</v>
      </c>
      <c r="B627" s="76">
        <v>17700007</v>
      </c>
      <c r="C627" s="77">
        <v>44741</v>
      </c>
      <c r="D627" s="143">
        <v>3978</v>
      </c>
      <c r="E627" s="76" t="s">
        <v>655</v>
      </c>
      <c r="F627" s="76">
        <v>1</v>
      </c>
      <c r="G627" s="76" t="s">
        <v>112</v>
      </c>
      <c r="H627" s="77">
        <v>44741</v>
      </c>
      <c r="I627" s="76" t="s">
        <v>757</v>
      </c>
      <c r="J627" s="78" t="s">
        <v>758</v>
      </c>
    </row>
    <row r="628" spans="1:10" x14ac:dyDescent="0.3">
      <c r="A628" s="75">
        <v>1222068574</v>
      </c>
      <c r="B628" s="76">
        <v>17675594</v>
      </c>
      <c r="C628" s="77">
        <v>44741</v>
      </c>
      <c r="D628" s="143">
        <v>78</v>
      </c>
      <c r="E628" s="76" t="s">
        <v>655</v>
      </c>
      <c r="F628" s="76">
        <v>1</v>
      </c>
      <c r="G628" s="76" t="s">
        <v>112</v>
      </c>
      <c r="H628" s="77">
        <v>44741</v>
      </c>
      <c r="I628" s="76" t="s">
        <v>757</v>
      </c>
      <c r="J628" s="78" t="s">
        <v>758</v>
      </c>
    </row>
    <row r="629" spans="1:10" x14ac:dyDescent="0.3">
      <c r="A629" s="75">
        <v>1221083093</v>
      </c>
      <c r="B629" s="76" t="s">
        <v>759</v>
      </c>
      <c r="C629" s="77">
        <v>44741</v>
      </c>
      <c r="D629" s="143">
        <v>108</v>
      </c>
      <c r="E629" s="76" t="s">
        <v>655</v>
      </c>
      <c r="F629" s="76">
        <v>1</v>
      </c>
      <c r="G629" s="76" t="s">
        <v>112</v>
      </c>
      <c r="H629" s="77">
        <v>44741</v>
      </c>
      <c r="I629" s="76" t="s">
        <v>757</v>
      </c>
      <c r="J629" s="78" t="s">
        <v>758</v>
      </c>
    </row>
    <row r="630" spans="1:10" x14ac:dyDescent="0.3">
      <c r="A630" s="75">
        <v>1222069671</v>
      </c>
      <c r="B630" s="76" t="s">
        <v>760</v>
      </c>
      <c r="C630" s="77">
        <v>44741</v>
      </c>
      <c r="D630" s="143">
        <v>464</v>
      </c>
      <c r="E630" s="76" t="s">
        <v>655</v>
      </c>
      <c r="F630" s="76">
        <v>1</v>
      </c>
      <c r="G630" s="76" t="s">
        <v>112</v>
      </c>
      <c r="H630" s="77">
        <v>44741</v>
      </c>
      <c r="I630" s="76" t="s">
        <v>757</v>
      </c>
      <c r="J630" s="78" t="s">
        <v>758</v>
      </c>
    </row>
    <row r="631" spans="1:10" x14ac:dyDescent="0.3">
      <c r="A631" s="75">
        <v>1222069120</v>
      </c>
      <c r="B631" s="76" t="s">
        <v>761</v>
      </c>
      <c r="C631" s="77">
        <v>44739</v>
      </c>
      <c r="D631" s="143">
        <v>4812</v>
      </c>
      <c r="E631" s="76" t="s">
        <v>655</v>
      </c>
      <c r="F631" s="76">
        <v>2</v>
      </c>
      <c r="G631" s="76" t="s">
        <v>112</v>
      </c>
      <c r="H631" s="77">
        <v>44742</v>
      </c>
      <c r="I631" s="76" t="s">
        <v>762</v>
      </c>
      <c r="J631" s="78"/>
    </row>
    <row r="632" spans="1:10" x14ac:dyDescent="0.3">
      <c r="A632" s="75">
        <v>1222069125</v>
      </c>
      <c r="B632" s="76" t="s">
        <v>763</v>
      </c>
      <c r="C632" s="77">
        <v>44739</v>
      </c>
      <c r="D632" s="143">
        <v>16946</v>
      </c>
      <c r="E632" s="76" t="s">
        <v>655</v>
      </c>
      <c r="F632" s="76">
        <v>8</v>
      </c>
      <c r="G632" s="76" t="s">
        <v>112</v>
      </c>
      <c r="H632" s="77">
        <v>44742</v>
      </c>
      <c r="I632" s="76" t="s">
        <v>762</v>
      </c>
      <c r="J632" s="78"/>
    </row>
    <row r="633" spans="1:10" x14ac:dyDescent="0.3">
      <c r="A633" s="75">
        <v>1222069130</v>
      </c>
      <c r="B633" s="76" t="s">
        <v>764</v>
      </c>
      <c r="C633" s="77">
        <v>44739</v>
      </c>
      <c r="D633" s="143">
        <v>7946</v>
      </c>
      <c r="E633" s="76" t="s">
        <v>655</v>
      </c>
      <c r="F633" s="76">
        <v>4</v>
      </c>
      <c r="G633" s="76" t="s">
        <v>112</v>
      </c>
      <c r="H633" s="77">
        <v>44742</v>
      </c>
      <c r="I633" s="76" t="s">
        <v>762</v>
      </c>
      <c r="J633" s="78"/>
    </row>
    <row r="634" spans="1:10" x14ac:dyDescent="0.3">
      <c r="A634" s="75">
        <v>1222070099</v>
      </c>
      <c r="B634" s="76">
        <v>22579815</v>
      </c>
      <c r="C634" s="77">
        <v>44743</v>
      </c>
      <c r="D634" s="143">
        <v>58</v>
      </c>
      <c r="E634" s="76" t="s">
        <v>655</v>
      </c>
      <c r="F634" s="76">
        <v>1</v>
      </c>
      <c r="G634" s="76" t="s">
        <v>112</v>
      </c>
      <c r="H634" s="77">
        <v>44742</v>
      </c>
      <c r="I634" s="76" t="s">
        <v>762</v>
      </c>
      <c r="J634" s="78"/>
    </row>
    <row r="635" spans="1:10" x14ac:dyDescent="0.3">
      <c r="A635" s="75">
        <v>1222070103</v>
      </c>
      <c r="B635" s="76">
        <v>22637969</v>
      </c>
      <c r="C635" s="77">
        <v>44743</v>
      </c>
      <c r="D635" s="143">
        <v>312</v>
      </c>
      <c r="E635" s="76" t="s">
        <v>655</v>
      </c>
      <c r="F635" s="76">
        <v>1</v>
      </c>
      <c r="G635" s="76" t="s">
        <v>112</v>
      </c>
      <c r="H635" s="77">
        <v>44742</v>
      </c>
      <c r="I635" s="76" t="s">
        <v>762</v>
      </c>
      <c r="J635" s="78"/>
    </row>
    <row r="636" spans="1:10" x14ac:dyDescent="0.3">
      <c r="A636" s="80">
        <v>1222070105</v>
      </c>
      <c r="B636" s="76">
        <v>34589139</v>
      </c>
      <c r="C636" s="77">
        <v>44743</v>
      </c>
      <c r="D636" s="143">
        <v>174</v>
      </c>
      <c r="E636" s="76" t="s">
        <v>655</v>
      </c>
      <c r="F636" s="76">
        <v>1</v>
      </c>
      <c r="G636" s="76" t="s">
        <v>112</v>
      </c>
      <c r="H636" s="77">
        <v>44742</v>
      </c>
      <c r="I636" s="76" t="s">
        <v>762</v>
      </c>
      <c r="J636" s="78"/>
    </row>
    <row r="637" spans="1:10" x14ac:dyDescent="0.3">
      <c r="A637" s="75">
        <v>1222070106</v>
      </c>
      <c r="B637" s="76">
        <v>38565396</v>
      </c>
      <c r="C637" s="77">
        <v>44743</v>
      </c>
      <c r="D637" s="143">
        <v>406</v>
      </c>
      <c r="E637" s="76" t="s">
        <v>655</v>
      </c>
      <c r="F637" s="76">
        <v>1</v>
      </c>
      <c r="G637" s="76" t="s">
        <v>112</v>
      </c>
      <c r="H637" s="77">
        <v>44742</v>
      </c>
      <c r="I637" s="76" t="s">
        <v>762</v>
      </c>
      <c r="J637" s="78"/>
    </row>
    <row r="638" spans="1:10" x14ac:dyDescent="0.3">
      <c r="A638" s="75">
        <v>1222070109</v>
      </c>
      <c r="B638" s="76">
        <v>67553982</v>
      </c>
      <c r="C638" s="77">
        <v>44743</v>
      </c>
      <c r="D638" s="143">
        <v>702</v>
      </c>
      <c r="E638" s="76" t="s">
        <v>655</v>
      </c>
      <c r="F638" s="76">
        <v>1</v>
      </c>
      <c r="G638" s="76" t="s">
        <v>112</v>
      </c>
      <c r="H638" s="77">
        <v>44742</v>
      </c>
      <c r="I638" s="76" t="s">
        <v>762</v>
      </c>
      <c r="J638" s="78"/>
    </row>
    <row r="639" spans="1:10" x14ac:dyDescent="0.3">
      <c r="A639" s="75">
        <v>1222070110</v>
      </c>
      <c r="B639" s="76">
        <v>77587455</v>
      </c>
      <c r="C639" s="77">
        <v>44743</v>
      </c>
      <c r="D639" s="143">
        <v>638</v>
      </c>
      <c r="E639" s="76" t="s">
        <v>655</v>
      </c>
      <c r="F639" s="76">
        <v>1</v>
      </c>
      <c r="G639" s="76" t="s">
        <v>112</v>
      </c>
      <c r="H639" s="77">
        <v>44742</v>
      </c>
      <c r="I639" s="76" t="s">
        <v>762</v>
      </c>
      <c r="J639" s="78"/>
    </row>
    <row r="640" spans="1:10" x14ac:dyDescent="0.3">
      <c r="A640" s="75">
        <v>1222070115</v>
      </c>
      <c r="B640" s="76" t="s">
        <v>765</v>
      </c>
      <c r="C640" s="77">
        <v>44735</v>
      </c>
      <c r="D640" s="143">
        <v>15600</v>
      </c>
      <c r="E640" s="76" t="s">
        <v>655</v>
      </c>
      <c r="F640" s="76">
        <v>3</v>
      </c>
      <c r="G640" s="76" t="s">
        <v>112</v>
      </c>
      <c r="H640" s="77">
        <v>44742</v>
      </c>
      <c r="I640" s="76" t="s">
        <v>762</v>
      </c>
      <c r="J640" s="78"/>
    </row>
    <row r="641" spans="1:10" x14ac:dyDescent="0.3">
      <c r="A641" s="75">
        <v>1222070123</v>
      </c>
      <c r="B641" s="76" t="s">
        <v>766</v>
      </c>
      <c r="C641" s="77">
        <v>44735</v>
      </c>
      <c r="D641" s="143">
        <v>1276</v>
      </c>
      <c r="E641" s="76" t="s">
        <v>655</v>
      </c>
      <c r="F641" s="76">
        <v>1</v>
      </c>
      <c r="G641" s="76" t="s">
        <v>112</v>
      </c>
      <c r="H641" s="77">
        <v>44742</v>
      </c>
      <c r="I641" s="76" t="s">
        <v>762</v>
      </c>
      <c r="J641" s="78"/>
    </row>
    <row r="642" spans="1:10" x14ac:dyDescent="0.3">
      <c r="A642" s="75">
        <v>1222070124</v>
      </c>
      <c r="B642" s="76" t="s">
        <v>767</v>
      </c>
      <c r="C642" s="77">
        <v>44735</v>
      </c>
      <c r="D642" s="143">
        <v>3190</v>
      </c>
      <c r="E642" s="76" t="s">
        <v>655</v>
      </c>
      <c r="F642" s="76">
        <v>2</v>
      </c>
      <c r="G642" s="76" t="s">
        <v>112</v>
      </c>
      <c r="H642" s="77">
        <v>44742</v>
      </c>
      <c r="I642" s="76" t="s">
        <v>762</v>
      </c>
      <c r="J642" s="78"/>
    </row>
    <row r="643" spans="1:10" x14ac:dyDescent="0.3">
      <c r="A643" s="75">
        <v>1222070129</v>
      </c>
      <c r="B643" s="76" t="s">
        <v>768</v>
      </c>
      <c r="C643" s="77">
        <v>44735</v>
      </c>
      <c r="D643" s="143">
        <v>7800</v>
      </c>
      <c r="E643" s="76" t="s">
        <v>655</v>
      </c>
      <c r="F643" s="76">
        <v>2</v>
      </c>
      <c r="G643" s="76" t="s">
        <v>112</v>
      </c>
      <c r="H643" s="77">
        <v>44742</v>
      </c>
      <c r="I643" s="76" t="s">
        <v>762</v>
      </c>
      <c r="J643" s="78"/>
    </row>
    <row r="644" spans="1:10" x14ac:dyDescent="0.3">
      <c r="A644" s="83">
        <v>1222110669</v>
      </c>
      <c r="B644" s="84">
        <v>41574860</v>
      </c>
      <c r="C644" s="85"/>
      <c r="D644" s="134">
        <v>306</v>
      </c>
      <c r="E644" s="84" t="s">
        <v>655</v>
      </c>
      <c r="F644" s="84">
        <v>1</v>
      </c>
      <c r="G644" s="84" t="s">
        <v>112</v>
      </c>
      <c r="H644" s="85">
        <v>44858</v>
      </c>
      <c r="I644" s="84" t="s">
        <v>769</v>
      </c>
    </row>
    <row r="645" spans="1:10" x14ac:dyDescent="0.3">
      <c r="A645" s="83">
        <v>1222110797</v>
      </c>
      <c r="B645" s="84">
        <v>2588748</v>
      </c>
      <c r="C645" s="85"/>
      <c r="D645" s="134">
        <v>34</v>
      </c>
      <c r="E645" s="84" t="s">
        <v>655</v>
      </c>
      <c r="F645" s="84">
        <v>1</v>
      </c>
      <c r="G645" s="84" t="s">
        <v>112</v>
      </c>
      <c r="H645" s="85">
        <v>44858</v>
      </c>
      <c r="I645" s="84" t="s">
        <v>769</v>
      </c>
    </row>
    <row r="646" spans="1:10" x14ac:dyDescent="0.3">
      <c r="A646" s="83">
        <v>1222110800</v>
      </c>
      <c r="B646" s="84">
        <v>14551676</v>
      </c>
      <c r="C646" s="85"/>
      <c r="D646" s="134">
        <v>170</v>
      </c>
      <c r="E646" s="84" t="s">
        <v>655</v>
      </c>
      <c r="F646" s="84">
        <v>1</v>
      </c>
      <c r="G646" s="84" t="s">
        <v>112</v>
      </c>
      <c r="H646" s="85">
        <v>44858</v>
      </c>
      <c r="I646" s="84" t="s">
        <v>769</v>
      </c>
    </row>
    <row r="647" spans="1:10" x14ac:dyDescent="0.3">
      <c r="A647" s="83">
        <v>1222110806</v>
      </c>
      <c r="B647" s="84">
        <v>22580586</v>
      </c>
      <c r="C647" s="85"/>
      <c r="D647" s="134">
        <v>204</v>
      </c>
      <c r="E647" s="84" t="s">
        <v>655</v>
      </c>
      <c r="F647" s="84">
        <v>1</v>
      </c>
      <c r="G647" s="84" t="s">
        <v>112</v>
      </c>
      <c r="H647" s="85">
        <v>44860</v>
      </c>
      <c r="I647" s="84" t="s">
        <v>770</v>
      </c>
    </row>
    <row r="648" spans="1:10" x14ac:dyDescent="0.3">
      <c r="A648" s="83">
        <v>1222111364</v>
      </c>
      <c r="B648" s="84">
        <v>58884489</v>
      </c>
      <c r="C648" s="85"/>
      <c r="D648" s="134">
        <v>34</v>
      </c>
      <c r="E648" s="84" t="s">
        <v>655</v>
      </c>
      <c r="F648" s="84">
        <v>1</v>
      </c>
      <c r="G648" s="84" t="s">
        <v>112</v>
      </c>
      <c r="H648" s="85">
        <v>44860</v>
      </c>
      <c r="I648" s="84" t="s">
        <v>770</v>
      </c>
    </row>
    <row r="649" spans="1:10" x14ac:dyDescent="0.3">
      <c r="A649" s="83">
        <v>1222111365</v>
      </c>
      <c r="B649" s="84">
        <v>58907490</v>
      </c>
      <c r="C649" s="85"/>
      <c r="D649" s="134">
        <v>34</v>
      </c>
      <c r="E649" s="84" t="s">
        <v>655</v>
      </c>
      <c r="F649" s="84">
        <v>1</v>
      </c>
      <c r="G649" s="84" t="s">
        <v>112</v>
      </c>
      <c r="H649" s="85">
        <v>44860</v>
      </c>
      <c r="I649" s="84" t="s">
        <v>770</v>
      </c>
    </row>
    <row r="650" spans="1:10" x14ac:dyDescent="0.3">
      <c r="A650" s="75">
        <v>1222116079</v>
      </c>
      <c r="B650" s="76">
        <v>64817627</v>
      </c>
      <c r="C650" s="77"/>
      <c r="D650" s="143">
        <v>56</v>
      </c>
      <c r="E650" s="76" t="s">
        <v>655</v>
      </c>
      <c r="F650" s="76">
        <v>1</v>
      </c>
      <c r="G650" s="76" t="s">
        <v>112</v>
      </c>
      <c r="H650" s="77">
        <v>44851</v>
      </c>
      <c r="I650" s="76" t="s">
        <v>771</v>
      </c>
    </row>
    <row r="651" spans="1:10" x14ac:dyDescent="0.3">
      <c r="A651" s="75">
        <v>1222116093</v>
      </c>
      <c r="B651" s="76">
        <v>68577420</v>
      </c>
      <c r="C651" s="77"/>
      <c r="D651" s="143">
        <v>222</v>
      </c>
      <c r="E651" s="76" t="s">
        <v>655</v>
      </c>
      <c r="F651" s="76">
        <v>1</v>
      </c>
      <c r="G651" s="76" t="s">
        <v>112</v>
      </c>
      <c r="H651" s="77">
        <v>44851</v>
      </c>
      <c r="I651" s="76" t="s">
        <v>771</v>
      </c>
    </row>
    <row r="652" spans="1:10" x14ac:dyDescent="0.3">
      <c r="A652" s="83">
        <v>1222116094</v>
      </c>
      <c r="B652" s="84">
        <v>80581181</v>
      </c>
      <c r="C652" s="85"/>
      <c r="D652" s="134">
        <v>168</v>
      </c>
      <c r="E652" s="84" t="s">
        <v>655</v>
      </c>
      <c r="F652" s="84">
        <v>1</v>
      </c>
      <c r="G652" s="84" t="s">
        <v>112</v>
      </c>
      <c r="H652" s="85">
        <v>44851</v>
      </c>
      <c r="I652" s="84" t="s">
        <v>771</v>
      </c>
    </row>
    <row r="653" spans="1:10" x14ac:dyDescent="0.3">
      <c r="A653" s="83">
        <v>1222116099</v>
      </c>
      <c r="B653" s="84">
        <v>5553179</v>
      </c>
      <c r="C653" s="85"/>
      <c r="D653" s="134">
        <v>37</v>
      </c>
      <c r="E653" s="84" t="s">
        <v>655</v>
      </c>
      <c r="F653" s="84">
        <v>1</v>
      </c>
      <c r="G653" s="84" t="s">
        <v>112</v>
      </c>
      <c r="H653" s="85">
        <v>44851</v>
      </c>
      <c r="I653" s="84" t="s">
        <v>771</v>
      </c>
    </row>
    <row r="654" spans="1:10" x14ac:dyDescent="0.3">
      <c r="A654" s="83">
        <v>1222116125</v>
      </c>
      <c r="B654" s="84">
        <v>22584220</v>
      </c>
      <c r="C654" s="85"/>
      <c r="D654" s="134">
        <v>74</v>
      </c>
      <c r="E654" s="84" t="s">
        <v>655</v>
      </c>
      <c r="F654" s="84">
        <v>1</v>
      </c>
      <c r="G654" s="84" t="s">
        <v>112</v>
      </c>
      <c r="H654" s="85">
        <v>44851</v>
      </c>
      <c r="I654" s="84" t="s">
        <v>771</v>
      </c>
    </row>
    <row r="655" spans="1:10" x14ac:dyDescent="0.3">
      <c r="A655" s="83">
        <v>1222116148</v>
      </c>
      <c r="B655" s="84">
        <v>64899381</v>
      </c>
      <c r="C655" s="85"/>
      <c r="D655" s="134">
        <v>78</v>
      </c>
      <c r="E655" s="84" t="s">
        <v>655</v>
      </c>
      <c r="F655" s="84">
        <v>1</v>
      </c>
      <c r="G655" s="84" t="s">
        <v>112</v>
      </c>
      <c r="H655" s="85">
        <v>44851</v>
      </c>
      <c r="I655" s="84" t="s">
        <v>769</v>
      </c>
      <c r="J655" s="96" t="s">
        <v>772</v>
      </c>
    </row>
    <row r="656" spans="1:10" x14ac:dyDescent="0.3">
      <c r="A656" s="83">
        <v>1222116150</v>
      </c>
      <c r="B656" s="84">
        <v>64939980</v>
      </c>
      <c r="C656" s="85"/>
      <c r="D656" s="134">
        <v>185</v>
      </c>
      <c r="E656" s="84" t="s">
        <v>655</v>
      </c>
      <c r="F656" s="84">
        <v>1</v>
      </c>
      <c r="G656" s="84" t="s">
        <v>112</v>
      </c>
      <c r="H656" s="85">
        <v>44851</v>
      </c>
      <c r="I656" s="84" t="s">
        <v>771</v>
      </c>
      <c r="J656" s="96" t="s">
        <v>772</v>
      </c>
    </row>
    <row r="657" spans="1:11" x14ac:dyDescent="0.3">
      <c r="A657" s="83">
        <v>1222116964</v>
      </c>
      <c r="B657" s="84">
        <v>69558276</v>
      </c>
      <c r="C657" s="85"/>
      <c r="D657" s="134">
        <v>858</v>
      </c>
      <c r="E657" s="84" t="s">
        <v>655</v>
      </c>
      <c r="F657" s="84">
        <v>1</v>
      </c>
      <c r="G657" s="84" t="s">
        <v>112</v>
      </c>
      <c r="H657" s="85">
        <v>44858</v>
      </c>
      <c r="I657" s="84" t="s">
        <v>773</v>
      </c>
    </row>
    <row r="658" spans="1:11" x14ac:dyDescent="0.3">
      <c r="A658" s="83">
        <v>1222117594</v>
      </c>
      <c r="B658" s="84">
        <v>45588171</v>
      </c>
      <c r="C658" s="85">
        <v>44853</v>
      </c>
      <c r="D658" s="134">
        <v>148</v>
      </c>
      <c r="E658" s="84" t="s">
        <v>655</v>
      </c>
      <c r="F658" s="84">
        <v>1</v>
      </c>
      <c r="G658" s="84" t="s">
        <v>112</v>
      </c>
      <c r="H658" s="85">
        <v>44853</v>
      </c>
      <c r="I658" s="84" t="s">
        <v>774</v>
      </c>
    </row>
    <row r="659" spans="1:11" x14ac:dyDescent="0.3">
      <c r="A659" s="83">
        <v>1222118120</v>
      </c>
      <c r="B659" s="84">
        <v>33930523</v>
      </c>
      <c r="C659" s="85">
        <v>44853</v>
      </c>
      <c r="D659" s="134">
        <v>15840.27</v>
      </c>
      <c r="E659" s="84" t="s">
        <v>655</v>
      </c>
      <c r="F659" s="84">
        <v>9</v>
      </c>
      <c r="G659" s="84" t="s">
        <v>112</v>
      </c>
      <c r="H659" s="85">
        <v>44853</v>
      </c>
      <c r="I659" s="84" t="s">
        <v>775</v>
      </c>
    </row>
    <row r="660" spans="1:11" x14ac:dyDescent="0.3">
      <c r="A660" s="83">
        <v>1222118122</v>
      </c>
      <c r="B660" s="84">
        <v>35921956</v>
      </c>
      <c r="C660" s="85">
        <v>44853</v>
      </c>
      <c r="D660" s="134">
        <v>15840.27</v>
      </c>
      <c r="E660" s="84" t="s">
        <v>655</v>
      </c>
      <c r="F660" s="84">
        <v>9</v>
      </c>
      <c r="G660" s="84" t="s">
        <v>112</v>
      </c>
      <c r="H660" s="85">
        <v>44853</v>
      </c>
      <c r="I660" s="84" t="s">
        <v>775</v>
      </c>
    </row>
    <row r="661" spans="1:11" x14ac:dyDescent="0.3">
      <c r="A661" s="83">
        <v>1222118182</v>
      </c>
      <c r="B661" s="84">
        <v>66936360</v>
      </c>
      <c r="C661" s="85">
        <v>44853</v>
      </c>
      <c r="D661" s="134">
        <v>74</v>
      </c>
      <c r="E661" s="84" t="s">
        <v>655</v>
      </c>
      <c r="F661" s="84">
        <v>1</v>
      </c>
      <c r="G661" s="84" t="s">
        <v>112</v>
      </c>
      <c r="H661" s="85">
        <v>44853</v>
      </c>
      <c r="I661" s="84" t="s">
        <v>769</v>
      </c>
    </row>
    <row r="662" spans="1:11" x14ac:dyDescent="0.3">
      <c r="A662" s="83">
        <v>1222118701</v>
      </c>
      <c r="B662" s="84">
        <v>10585253</v>
      </c>
      <c r="C662" s="85">
        <v>44854</v>
      </c>
      <c r="D662" s="134">
        <v>407</v>
      </c>
      <c r="E662" s="84" t="s">
        <v>655</v>
      </c>
      <c r="F662" s="84">
        <v>1</v>
      </c>
      <c r="G662" s="84" t="s">
        <v>112</v>
      </c>
      <c r="H662" s="85">
        <v>44854</v>
      </c>
      <c r="I662" s="84" t="s">
        <v>776</v>
      </c>
    </row>
    <row r="663" spans="1:11" x14ac:dyDescent="0.3">
      <c r="A663" s="83">
        <v>1222118704</v>
      </c>
      <c r="B663" s="84">
        <v>20586847</v>
      </c>
      <c r="C663" s="85">
        <v>44854</v>
      </c>
      <c r="D663" s="134">
        <v>407</v>
      </c>
      <c r="E663" s="84" t="s">
        <v>655</v>
      </c>
      <c r="F663" s="84">
        <v>1</v>
      </c>
      <c r="G663" s="84" t="s">
        <v>112</v>
      </c>
      <c r="H663" s="85">
        <v>44854</v>
      </c>
      <c r="I663" s="84" t="s">
        <v>769</v>
      </c>
      <c r="J663" s="76" t="s">
        <v>772</v>
      </c>
      <c r="K663" s="76" t="s">
        <v>774</v>
      </c>
    </row>
    <row r="664" spans="1:11" x14ac:dyDescent="0.3">
      <c r="A664" s="83">
        <v>1222118714</v>
      </c>
      <c r="B664" s="84">
        <v>67724768</v>
      </c>
      <c r="C664" s="85">
        <v>44854</v>
      </c>
      <c r="D664" s="134">
        <v>78</v>
      </c>
      <c r="E664" s="84" t="s">
        <v>655</v>
      </c>
      <c r="F664" s="84">
        <v>1</v>
      </c>
      <c r="G664" s="84" t="s">
        <v>112</v>
      </c>
      <c r="H664" s="85">
        <v>44854</v>
      </c>
      <c r="I664" s="84" t="s">
        <v>769</v>
      </c>
      <c r="J664" s="76" t="s">
        <v>772</v>
      </c>
      <c r="K664" s="76" t="s">
        <v>774</v>
      </c>
    </row>
    <row r="665" spans="1:11" x14ac:dyDescent="0.3">
      <c r="A665" s="83">
        <v>1222118719</v>
      </c>
      <c r="B665" s="84">
        <v>79571170</v>
      </c>
      <c r="C665" s="85">
        <v>44854</v>
      </c>
      <c r="D665" s="134">
        <v>407</v>
      </c>
      <c r="E665" s="84" t="s">
        <v>655</v>
      </c>
      <c r="F665" s="84">
        <v>1</v>
      </c>
      <c r="G665" s="84" t="s">
        <v>112</v>
      </c>
      <c r="H665" s="85">
        <v>44854</v>
      </c>
      <c r="I665" s="84" t="s">
        <v>776</v>
      </c>
      <c r="J665" s="76" t="s">
        <v>772</v>
      </c>
      <c r="K665" s="81" t="s">
        <v>774</v>
      </c>
    </row>
    <row r="666" spans="1:11" x14ac:dyDescent="0.3">
      <c r="A666" s="83">
        <v>1222118725</v>
      </c>
      <c r="B666" s="84">
        <v>81550059</v>
      </c>
      <c r="C666" s="85">
        <v>44854</v>
      </c>
      <c r="D666" s="134">
        <v>224</v>
      </c>
      <c r="E666" s="84" t="s">
        <v>655</v>
      </c>
      <c r="F666" s="84">
        <v>1</v>
      </c>
      <c r="G666" s="84" t="s">
        <v>112</v>
      </c>
      <c r="H666" s="85">
        <v>44854</v>
      </c>
      <c r="I666" s="84" t="s">
        <v>769</v>
      </c>
      <c r="J666" s="76" t="s">
        <v>776</v>
      </c>
    </row>
    <row r="667" spans="1:11" x14ac:dyDescent="0.3">
      <c r="A667" s="83">
        <v>1222119152</v>
      </c>
      <c r="B667" s="84" t="s">
        <v>777</v>
      </c>
      <c r="C667" s="85"/>
      <c r="D667" s="134">
        <v>74</v>
      </c>
      <c r="E667" s="84" t="s">
        <v>655</v>
      </c>
      <c r="F667" s="84">
        <v>1</v>
      </c>
      <c r="G667" s="84" t="s">
        <v>112</v>
      </c>
      <c r="H667" s="85">
        <v>44858</v>
      </c>
      <c r="I667" s="84" t="s">
        <v>773</v>
      </c>
      <c r="J667" s="76" t="s">
        <v>776</v>
      </c>
    </row>
    <row r="668" spans="1:11" x14ac:dyDescent="0.3">
      <c r="A668" s="83">
        <v>1222119154</v>
      </c>
      <c r="B668" s="84">
        <v>3583551</v>
      </c>
      <c r="C668" s="85"/>
      <c r="D668" s="134">
        <v>37</v>
      </c>
      <c r="E668" s="84" t="s">
        <v>655</v>
      </c>
      <c r="F668" s="84">
        <v>1</v>
      </c>
      <c r="G668" s="84" t="s">
        <v>112</v>
      </c>
      <c r="H668" s="85">
        <v>44860</v>
      </c>
      <c r="I668" s="84" t="s">
        <v>770</v>
      </c>
      <c r="J668" s="76" t="s">
        <v>773</v>
      </c>
    </row>
    <row r="669" spans="1:11" x14ac:dyDescent="0.3">
      <c r="A669" s="83">
        <v>1222119165</v>
      </c>
      <c r="B669" s="84">
        <v>65558226</v>
      </c>
      <c r="C669" s="85"/>
      <c r="D669" s="134">
        <v>74</v>
      </c>
      <c r="E669" s="84" t="s">
        <v>655</v>
      </c>
      <c r="F669" s="84">
        <v>1</v>
      </c>
      <c r="G669" s="84" t="s">
        <v>112</v>
      </c>
      <c r="H669" s="85">
        <v>44858</v>
      </c>
      <c r="I669" s="84" t="s">
        <v>769</v>
      </c>
      <c r="J669" s="76" t="s">
        <v>773</v>
      </c>
    </row>
    <row r="670" spans="1:11" x14ac:dyDescent="0.3">
      <c r="A670" s="83">
        <v>1222119166</v>
      </c>
      <c r="B670" s="84">
        <v>66567448</v>
      </c>
      <c r="C670" s="85"/>
      <c r="D670" s="134">
        <v>74</v>
      </c>
      <c r="E670" s="84" t="s">
        <v>655</v>
      </c>
      <c r="F670" s="84">
        <v>1</v>
      </c>
      <c r="G670" s="84" t="s">
        <v>112</v>
      </c>
      <c r="H670" s="85">
        <v>44858</v>
      </c>
      <c r="I670" s="84" t="s">
        <v>769</v>
      </c>
      <c r="J670" s="76" t="s">
        <v>773</v>
      </c>
    </row>
    <row r="671" spans="1:11" x14ac:dyDescent="0.3">
      <c r="A671" s="83">
        <v>1222119167</v>
      </c>
      <c r="B671" s="84">
        <v>67854467</v>
      </c>
      <c r="C671" s="85"/>
      <c r="D671" s="134">
        <v>34</v>
      </c>
      <c r="E671" s="84" t="s">
        <v>655</v>
      </c>
      <c r="F671" s="84">
        <v>1</v>
      </c>
      <c r="G671" s="84" t="s">
        <v>112</v>
      </c>
      <c r="H671" s="85">
        <v>44858</v>
      </c>
      <c r="I671" s="84" t="s">
        <v>769</v>
      </c>
      <c r="J671" s="76" t="s">
        <v>773</v>
      </c>
    </row>
    <row r="672" spans="1:11" x14ac:dyDescent="0.3">
      <c r="A672" s="83">
        <v>1222119382</v>
      </c>
      <c r="B672" s="84">
        <v>8550407</v>
      </c>
      <c r="C672" s="85"/>
      <c r="D672" s="134">
        <v>475</v>
      </c>
      <c r="E672" s="84" t="s">
        <v>655</v>
      </c>
      <c r="F672" s="84">
        <v>1</v>
      </c>
      <c r="G672" s="84" t="s">
        <v>112</v>
      </c>
      <c r="H672" s="85">
        <v>44860</v>
      </c>
      <c r="I672" s="84" t="s">
        <v>770</v>
      </c>
      <c r="J672" s="76" t="s">
        <v>773</v>
      </c>
    </row>
    <row r="673" spans="1:11" x14ac:dyDescent="0.3">
      <c r="A673" s="83">
        <v>1222119383</v>
      </c>
      <c r="B673" s="84">
        <v>8550408</v>
      </c>
      <c r="C673" s="85"/>
      <c r="D673" s="134">
        <v>219</v>
      </c>
      <c r="E673" s="84" t="s">
        <v>655</v>
      </c>
      <c r="F673" s="84">
        <v>1</v>
      </c>
      <c r="G673" s="84" t="s">
        <v>112</v>
      </c>
      <c r="H673" s="85">
        <v>44860</v>
      </c>
      <c r="I673" s="84" t="s">
        <v>770</v>
      </c>
      <c r="J673" s="76" t="s">
        <v>773</v>
      </c>
    </row>
    <row r="674" spans="1:11" x14ac:dyDescent="0.3">
      <c r="A674" s="83">
        <v>1222119387</v>
      </c>
      <c r="B674" s="84">
        <v>22556311</v>
      </c>
      <c r="C674" s="85"/>
      <c r="D674" s="134">
        <v>481</v>
      </c>
      <c r="E674" s="84" t="s">
        <v>655</v>
      </c>
      <c r="F674" s="84">
        <v>1</v>
      </c>
      <c r="G674" s="84" t="s">
        <v>112</v>
      </c>
      <c r="H674" s="85">
        <v>44860</v>
      </c>
      <c r="I674" s="84" t="s">
        <v>770</v>
      </c>
      <c r="J674" s="76" t="s">
        <v>772</v>
      </c>
      <c r="K674" s="76" t="s">
        <v>774</v>
      </c>
    </row>
    <row r="675" spans="1:11" x14ac:dyDescent="0.3">
      <c r="A675" s="83">
        <v>1222119400</v>
      </c>
      <c r="B675" s="84">
        <v>68702003</v>
      </c>
      <c r="C675" s="85"/>
      <c r="D675" s="134">
        <v>384</v>
      </c>
      <c r="E675" s="84" t="s">
        <v>655</v>
      </c>
      <c r="F675" s="84">
        <v>1</v>
      </c>
      <c r="G675" s="84" t="s">
        <v>112</v>
      </c>
      <c r="H675" s="85">
        <v>44860</v>
      </c>
      <c r="I675" s="84" t="s">
        <v>770</v>
      </c>
      <c r="J675" s="76" t="s">
        <v>776</v>
      </c>
    </row>
    <row r="676" spans="1:11" x14ac:dyDescent="0.3">
      <c r="A676" s="83">
        <v>1222119690</v>
      </c>
      <c r="B676" s="84">
        <v>56577387</v>
      </c>
      <c r="C676" s="85"/>
      <c r="D676" s="134">
        <v>148</v>
      </c>
      <c r="E676" s="84" t="s">
        <v>655</v>
      </c>
      <c r="F676" s="84">
        <v>1</v>
      </c>
      <c r="G676" s="84" t="s">
        <v>112</v>
      </c>
      <c r="H676" s="85">
        <v>44859</v>
      </c>
      <c r="I676" s="84" t="s">
        <v>778</v>
      </c>
    </row>
    <row r="677" spans="1:11" x14ac:dyDescent="0.3">
      <c r="A677" s="83">
        <v>1222119694</v>
      </c>
      <c r="B677" s="84">
        <v>68740148</v>
      </c>
      <c r="C677" s="85"/>
      <c r="D677" s="134">
        <v>370</v>
      </c>
      <c r="E677" s="84" t="s">
        <v>655</v>
      </c>
      <c r="F677" s="84">
        <v>1</v>
      </c>
      <c r="G677" s="84" t="s">
        <v>112</v>
      </c>
      <c r="H677" s="85">
        <v>44859</v>
      </c>
      <c r="I677" s="84" t="s">
        <v>778</v>
      </c>
    </row>
    <row r="678" spans="1:11" x14ac:dyDescent="0.3">
      <c r="A678" s="83">
        <v>1222119697</v>
      </c>
      <c r="B678" s="84">
        <v>68789548</v>
      </c>
      <c r="C678" s="85"/>
      <c r="D678" s="134">
        <v>192</v>
      </c>
      <c r="E678" s="84" t="s">
        <v>655</v>
      </c>
      <c r="F678" s="84">
        <v>1</v>
      </c>
      <c r="G678" s="84" t="s">
        <v>112</v>
      </c>
      <c r="H678" s="85">
        <v>44859</v>
      </c>
      <c r="I678" s="84" t="s">
        <v>778</v>
      </c>
    </row>
    <row r="679" spans="1:11" x14ac:dyDescent="0.3">
      <c r="A679" s="83">
        <v>1222119703</v>
      </c>
      <c r="B679" s="84">
        <v>71586911</v>
      </c>
      <c r="C679" s="85"/>
      <c r="D679" s="134">
        <v>148</v>
      </c>
      <c r="E679" s="84" t="s">
        <v>655</v>
      </c>
      <c r="F679" s="84">
        <v>1</v>
      </c>
      <c r="G679" s="84" t="s">
        <v>112</v>
      </c>
      <c r="H679" s="85">
        <v>44859</v>
      </c>
      <c r="I679" s="84" t="s">
        <v>778</v>
      </c>
    </row>
    <row r="680" spans="1:11" x14ac:dyDescent="0.3">
      <c r="A680" s="83">
        <v>1222119704</v>
      </c>
      <c r="B680" s="84">
        <v>71586915</v>
      </c>
      <c r="C680" s="85"/>
      <c r="D680" s="134">
        <v>148</v>
      </c>
      <c r="E680" s="84" t="s">
        <v>655</v>
      </c>
      <c r="F680" s="84">
        <v>1</v>
      </c>
      <c r="G680" s="84" t="s">
        <v>112</v>
      </c>
      <c r="H680" s="85">
        <v>44859</v>
      </c>
      <c r="I680" s="84" t="s">
        <v>778</v>
      </c>
    </row>
    <row r="681" spans="1:11" x14ac:dyDescent="0.3">
      <c r="A681" s="83">
        <v>1222119707</v>
      </c>
      <c r="B681" s="84">
        <v>76586732</v>
      </c>
      <c r="C681" s="85"/>
      <c r="D681" s="134">
        <v>185</v>
      </c>
      <c r="E681" s="84" t="s">
        <v>655</v>
      </c>
      <c r="F681" s="84">
        <v>1</v>
      </c>
      <c r="G681" s="84" t="s">
        <v>112</v>
      </c>
      <c r="H681" s="85">
        <v>44859</v>
      </c>
      <c r="I681" s="84" t="s">
        <v>778</v>
      </c>
    </row>
    <row r="682" spans="1:11" x14ac:dyDescent="0.3">
      <c r="A682" s="83">
        <v>1222120517</v>
      </c>
      <c r="B682" s="84">
        <v>4578011</v>
      </c>
      <c r="C682" s="85"/>
      <c r="D682" s="134">
        <v>1369</v>
      </c>
      <c r="E682" s="84" t="s">
        <v>655</v>
      </c>
      <c r="F682" s="84">
        <v>1</v>
      </c>
      <c r="G682" s="84" t="s">
        <v>112</v>
      </c>
      <c r="H682" s="85">
        <v>44860</v>
      </c>
      <c r="I682" s="84" t="s">
        <v>770</v>
      </c>
    </row>
    <row r="683" spans="1:11" x14ac:dyDescent="0.3">
      <c r="A683" s="83">
        <v>1222120524</v>
      </c>
      <c r="B683" s="84">
        <v>56566919</v>
      </c>
      <c r="C683" s="85">
        <v>44862</v>
      </c>
      <c r="D683" s="134">
        <v>56</v>
      </c>
      <c r="E683" s="84" t="s">
        <v>655</v>
      </c>
      <c r="F683" s="84">
        <v>1</v>
      </c>
      <c r="G683" s="84" t="s">
        <v>112</v>
      </c>
      <c r="H683" s="85">
        <v>44861</v>
      </c>
      <c r="I683" s="84" t="s">
        <v>779</v>
      </c>
    </row>
    <row r="684" spans="1:11" x14ac:dyDescent="0.3">
      <c r="A684" s="83">
        <v>1222120535</v>
      </c>
      <c r="B684" s="84">
        <v>14934097</v>
      </c>
      <c r="C684" s="85"/>
      <c r="D684" s="134">
        <v>7040.12</v>
      </c>
      <c r="E684" s="84" t="s">
        <v>655</v>
      </c>
      <c r="F684" s="84">
        <v>4</v>
      </c>
      <c r="G684" s="84" t="s">
        <v>112</v>
      </c>
      <c r="H684" s="85">
        <v>44860</v>
      </c>
      <c r="I684" s="84" t="s">
        <v>780</v>
      </c>
    </row>
    <row r="685" spans="1:11" x14ac:dyDescent="0.3">
      <c r="A685" s="83">
        <v>1222120556</v>
      </c>
      <c r="B685" s="84">
        <v>68988380</v>
      </c>
      <c r="C685" s="85">
        <v>44862</v>
      </c>
      <c r="D685" s="134">
        <v>74</v>
      </c>
      <c r="E685" s="84" t="s">
        <v>655</v>
      </c>
      <c r="F685" s="84">
        <v>1</v>
      </c>
      <c r="G685" s="84" t="s">
        <v>112</v>
      </c>
      <c r="H685" s="85">
        <v>44861</v>
      </c>
      <c r="I685" s="84" t="s">
        <v>779</v>
      </c>
    </row>
    <row r="686" spans="1:11" x14ac:dyDescent="0.3">
      <c r="A686" s="83">
        <v>1222120590</v>
      </c>
      <c r="B686" s="84" t="s">
        <v>781</v>
      </c>
      <c r="C686" s="85"/>
      <c r="D686" s="134">
        <v>224</v>
      </c>
      <c r="E686" s="84" t="s">
        <v>655</v>
      </c>
      <c r="F686" s="84">
        <v>1</v>
      </c>
      <c r="G686" s="84" t="s">
        <v>112</v>
      </c>
      <c r="H686" s="85">
        <v>44860</v>
      </c>
      <c r="I686" s="84" t="s">
        <v>770</v>
      </c>
    </row>
    <row r="687" spans="1:11" x14ac:dyDescent="0.3">
      <c r="A687" s="83">
        <v>1222121502</v>
      </c>
      <c r="B687" s="84">
        <v>17568971</v>
      </c>
      <c r="C687" s="85">
        <v>44862</v>
      </c>
      <c r="D687" s="134">
        <v>34</v>
      </c>
      <c r="E687" s="84" t="s">
        <v>655</v>
      </c>
      <c r="F687" s="84">
        <v>1</v>
      </c>
      <c r="G687" s="84" t="s">
        <v>112</v>
      </c>
      <c r="H687" s="85">
        <v>44861</v>
      </c>
      <c r="I687" s="84" t="s">
        <v>779</v>
      </c>
    </row>
    <row r="688" spans="1:11" x14ac:dyDescent="0.3">
      <c r="A688" s="83">
        <v>1222121503</v>
      </c>
      <c r="B688" s="84">
        <v>33559449</v>
      </c>
      <c r="C688" s="85">
        <v>44862</v>
      </c>
      <c r="D688" s="134">
        <v>37</v>
      </c>
      <c r="E688" s="84" t="s">
        <v>655</v>
      </c>
      <c r="F688" s="84">
        <v>1</v>
      </c>
      <c r="G688" s="84" t="s">
        <v>112</v>
      </c>
      <c r="H688" s="85">
        <v>44861</v>
      </c>
      <c r="I688" s="84" t="s">
        <v>779</v>
      </c>
    </row>
    <row r="689" spans="1:11" x14ac:dyDescent="0.3">
      <c r="A689" s="83">
        <v>1222121925</v>
      </c>
      <c r="B689" s="84">
        <v>43579413</v>
      </c>
      <c r="C689" s="85"/>
      <c r="D689" s="134">
        <v>74</v>
      </c>
      <c r="E689" s="84" t="s">
        <v>655</v>
      </c>
      <c r="F689" s="84">
        <v>1</v>
      </c>
      <c r="G689" s="84" t="s">
        <v>112</v>
      </c>
      <c r="H689" s="85">
        <v>44865</v>
      </c>
      <c r="I689" s="84" t="s">
        <v>782</v>
      </c>
    </row>
    <row r="690" spans="1:11" x14ac:dyDescent="0.3">
      <c r="A690" s="83">
        <v>1222121935</v>
      </c>
      <c r="B690" s="84">
        <v>95577796</v>
      </c>
      <c r="C690" s="85"/>
      <c r="D690" s="134">
        <v>34</v>
      </c>
      <c r="E690" s="84" t="s">
        <v>655</v>
      </c>
      <c r="F690" s="84">
        <v>1</v>
      </c>
      <c r="G690" s="84" t="s">
        <v>112</v>
      </c>
      <c r="H690" s="85">
        <v>44865</v>
      </c>
      <c r="I690" s="84" t="s">
        <v>782</v>
      </c>
    </row>
    <row r="691" spans="1:11" x14ac:dyDescent="0.3">
      <c r="A691" s="83">
        <v>1222122349</v>
      </c>
      <c r="B691" s="84">
        <v>71967241</v>
      </c>
      <c r="C691" s="85"/>
      <c r="D691" s="134">
        <v>74</v>
      </c>
      <c r="E691" s="84" t="s">
        <v>655</v>
      </c>
      <c r="F691" s="84">
        <v>1</v>
      </c>
      <c r="G691" s="84" t="s">
        <v>112</v>
      </c>
      <c r="H691" s="85">
        <v>44866</v>
      </c>
      <c r="I691" s="84" t="s">
        <v>783</v>
      </c>
    </row>
    <row r="692" spans="1:11" x14ac:dyDescent="0.3">
      <c r="A692" s="83">
        <v>1222122834</v>
      </c>
      <c r="B692" s="84">
        <v>26913709</v>
      </c>
      <c r="C692" s="85"/>
      <c r="D692" s="134">
        <v>14080.24</v>
      </c>
      <c r="E692" s="84" t="s">
        <v>655</v>
      </c>
      <c r="F692" s="84">
        <v>8</v>
      </c>
      <c r="G692" s="84" t="s">
        <v>112</v>
      </c>
      <c r="H692" s="85">
        <v>44867</v>
      </c>
      <c r="I692" s="84" t="s">
        <v>784</v>
      </c>
    </row>
    <row r="693" spans="1:11" x14ac:dyDescent="0.3">
      <c r="A693" s="83">
        <v>1222122835</v>
      </c>
      <c r="B693" s="84">
        <v>35937829</v>
      </c>
      <c r="C693" s="85"/>
      <c r="D693" s="134">
        <v>15840.27</v>
      </c>
      <c r="E693" s="84" t="s">
        <v>655</v>
      </c>
      <c r="F693" s="84">
        <v>9</v>
      </c>
      <c r="G693" s="84" t="s">
        <v>112</v>
      </c>
      <c r="H693" s="85">
        <v>44867</v>
      </c>
      <c r="I693" s="84" t="s">
        <v>784</v>
      </c>
    </row>
    <row r="694" spans="1:11" x14ac:dyDescent="0.3">
      <c r="A694" s="83">
        <v>1222123007</v>
      </c>
      <c r="B694" s="84">
        <v>1551145</v>
      </c>
      <c r="C694" s="85"/>
      <c r="D694" s="134">
        <v>4448</v>
      </c>
      <c r="E694" s="84" t="s">
        <v>655</v>
      </c>
      <c r="F694" s="84">
        <v>2</v>
      </c>
      <c r="G694" s="84" t="s">
        <v>112</v>
      </c>
      <c r="H694" s="85">
        <v>44867</v>
      </c>
      <c r="I694" s="84" t="s">
        <v>785</v>
      </c>
    </row>
    <row r="695" spans="1:11" x14ac:dyDescent="0.3">
      <c r="A695" s="83">
        <v>1222123025</v>
      </c>
      <c r="B695" s="84">
        <v>89587508</v>
      </c>
      <c r="C695" s="85"/>
      <c r="D695" s="134">
        <v>37</v>
      </c>
      <c r="E695" s="84" t="s">
        <v>655</v>
      </c>
      <c r="F695" s="84">
        <v>1</v>
      </c>
      <c r="G695" s="84" t="s">
        <v>112</v>
      </c>
      <c r="H695" s="85">
        <v>44867</v>
      </c>
      <c r="I695" s="84" t="s">
        <v>785</v>
      </c>
      <c r="J695" s="49" t="s">
        <v>772</v>
      </c>
      <c r="K695" s="49" t="s">
        <v>774</v>
      </c>
    </row>
    <row r="696" spans="1:11" x14ac:dyDescent="0.3">
      <c r="A696" s="83">
        <v>1222123026</v>
      </c>
      <c r="B696" s="84">
        <v>1554690</v>
      </c>
      <c r="C696" s="85"/>
      <c r="D696" s="134">
        <v>68</v>
      </c>
      <c r="E696" s="84" t="s">
        <v>655</v>
      </c>
      <c r="F696" s="84">
        <v>1</v>
      </c>
      <c r="G696" s="84" t="s">
        <v>112</v>
      </c>
      <c r="H696" s="85">
        <v>44867</v>
      </c>
      <c r="I696" s="84" t="s">
        <v>785</v>
      </c>
    </row>
    <row r="697" spans="1:11" x14ac:dyDescent="0.3">
      <c r="A697" s="83">
        <v>1222123057</v>
      </c>
      <c r="B697" s="84">
        <v>72848018</v>
      </c>
      <c r="C697" s="85"/>
      <c r="D697" s="134">
        <v>370</v>
      </c>
      <c r="E697" s="84" t="s">
        <v>655</v>
      </c>
      <c r="F697" s="84">
        <v>1</v>
      </c>
      <c r="G697" s="84" t="s">
        <v>112</v>
      </c>
      <c r="H697" s="85">
        <v>44867</v>
      </c>
      <c r="I697" s="84" t="s">
        <v>785</v>
      </c>
      <c r="J697" s="49" t="s">
        <v>771</v>
      </c>
    </row>
    <row r="698" spans="1:11" x14ac:dyDescent="0.3">
      <c r="A698" s="83">
        <v>1222123380</v>
      </c>
      <c r="B698" s="84">
        <v>72644506</v>
      </c>
      <c r="C698" s="85"/>
      <c r="D698" s="134">
        <v>37</v>
      </c>
      <c r="E698" s="84" t="s">
        <v>655</v>
      </c>
      <c r="F698" s="84">
        <v>1</v>
      </c>
      <c r="G698" s="84" t="s">
        <v>112</v>
      </c>
      <c r="H698" s="85">
        <v>44868</v>
      </c>
      <c r="I698" s="84" t="s">
        <v>786</v>
      </c>
    </row>
    <row r="699" spans="1:11" x14ac:dyDescent="0.3">
      <c r="A699" s="83">
        <v>1222123394</v>
      </c>
      <c r="B699" s="84">
        <v>1552269</v>
      </c>
      <c r="C699" s="85"/>
      <c r="D699" s="134">
        <v>111</v>
      </c>
      <c r="E699" s="84" t="s">
        <v>655</v>
      </c>
      <c r="F699" s="84">
        <v>1</v>
      </c>
      <c r="G699" s="84" t="s">
        <v>112</v>
      </c>
      <c r="H699" s="85">
        <v>44868</v>
      </c>
      <c r="I699" s="84" t="s">
        <v>786</v>
      </c>
    </row>
    <row r="700" spans="1:11" x14ac:dyDescent="0.3">
      <c r="A700" s="83">
        <v>1222123400</v>
      </c>
      <c r="B700" s="84">
        <v>2577957</v>
      </c>
      <c r="C700" s="85"/>
      <c r="D700" s="134">
        <v>370</v>
      </c>
      <c r="E700" s="84" t="s">
        <v>655</v>
      </c>
      <c r="F700" s="84">
        <v>1</v>
      </c>
      <c r="G700" s="84" t="s">
        <v>112</v>
      </c>
      <c r="H700" s="85">
        <v>44868</v>
      </c>
      <c r="I700" s="84" t="s">
        <v>786</v>
      </c>
    </row>
    <row r="701" spans="1:11" x14ac:dyDescent="0.3">
      <c r="A701" s="83">
        <v>1222123414</v>
      </c>
      <c r="B701" s="84">
        <v>15560710</v>
      </c>
      <c r="C701" s="85"/>
      <c r="D701" s="134">
        <v>17</v>
      </c>
      <c r="E701" s="84" t="s">
        <v>655</v>
      </c>
      <c r="F701" s="84">
        <v>1</v>
      </c>
      <c r="G701" s="84" t="s">
        <v>112</v>
      </c>
      <c r="H701" s="85">
        <v>44868</v>
      </c>
      <c r="I701" s="84" t="s">
        <v>786</v>
      </c>
    </row>
    <row r="702" spans="1:11" x14ac:dyDescent="0.3">
      <c r="A702" s="83">
        <v>1222123424</v>
      </c>
      <c r="B702" s="84">
        <v>72589681</v>
      </c>
      <c r="C702" s="85"/>
      <c r="D702" s="134">
        <v>333</v>
      </c>
      <c r="E702" s="84" t="s">
        <v>655</v>
      </c>
      <c r="F702" s="84">
        <v>1</v>
      </c>
      <c r="G702" s="84" t="s">
        <v>112</v>
      </c>
      <c r="H702" s="85">
        <v>44868</v>
      </c>
      <c r="I702" s="84" t="s">
        <v>786</v>
      </c>
    </row>
    <row r="703" spans="1:11" x14ac:dyDescent="0.3">
      <c r="A703" s="83">
        <v>1222123441</v>
      </c>
      <c r="B703" s="84">
        <v>10588055</v>
      </c>
      <c r="C703" s="85"/>
      <c r="D703" s="134">
        <v>37</v>
      </c>
      <c r="E703" s="84" t="s">
        <v>655</v>
      </c>
      <c r="F703" s="84">
        <v>1</v>
      </c>
      <c r="G703" s="84" t="s">
        <v>112</v>
      </c>
      <c r="H703" s="85">
        <v>44868</v>
      </c>
      <c r="I703" s="84" t="s">
        <v>786</v>
      </c>
    </row>
    <row r="704" spans="1:11" x14ac:dyDescent="0.3">
      <c r="A704" s="83">
        <v>1222123447</v>
      </c>
      <c r="B704" s="84" t="s">
        <v>787</v>
      </c>
      <c r="C704" s="85"/>
      <c r="D704" s="134">
        <v>185</v>
      </c>
      <c r="E704" s="84" t="s">
        <v>655</v>
      </c>
      <c r="F704" s="84">
        <v>1</v>
      </c>
      <c r="G704" s="84" t="s">
        <v>112</v>
      </c>
      <c r="H704" s="85">
        <v>44868</v>
      </c>
      <c r="I704" s="84" t="s">
        <v>786</v>
      </c>
    </row>
    <row r="705" spans="1:9" x14ac:dyDescent="0.3">
      <c r="A705" s="83">
        <v>1222123458</v>
      </c>
      <c r="B705" s="84">
        <v>73732723</v>
      </c>
      <c r="C705" s="85"/>
      <c r="D705" s="134">
        <v>74</v>
      </c>
      <c r="E705" s="84" t="s">
        <v>655</v>
      </c>
      <c r="F705" s="84">
        <v>1</v>
      </c>
      <c r="G705" s="84" t="s">
        <v>112</v>
      </c>
      <c r="H705" s="85">
        <v>44868</v>
      </c>
      <c r="I705" s="84" t="s">
        <v>786</v>
      </c>
    </row>
    <row r="706" spans="1:9" x14ac:dyDescent="0.3">
      <c r="A706" s="86" t="s">
        <v>788</v>
      </c>
      <c r="B706" s="84">
        <v>66685556</v>
      </c>
      <c r="C706" s="85">
        <v>44853</v>
      </c>
      <c r="D706" s="134">
        <v>1404</v>
      </c>
      <c r="E706" s="84" t="s">
        <v>655</v>
      </c>
      <c r="F706" s="84">
        <v>1</v>
      </c>
      <c r="G706" s="84" t="s">
        <v>112</v>
      </c>
      <c r="H706" s="85">
        <v>44853</v>
      </c>
      <c r="I706" s="84" t="s">
        <v>769</v>
      </c>
    </row>
    <row r="707" spans="1:9" x14ac:dyDescent="0.3">
      <c r="A707" s="86" t="s">
        <v>789</v>
      </c>
      <c r="B707" s="84">
        <v>81589981</v>
      </c>
      <c r="C707" s="85">
        <v>44853</v>
      </c>
      <c r="D707" s="134">
        <v>37</v>
      </c>
      <c r="E707" s="84" t="s">
        <v>655</v>
      </c>
      <c r="F707" s="84">
        <v>1</v>
      </c>
      <c r="G707" s="84" t="s">
        <v>112</v>
      </c>
      <c r="H707" s="85">
        <v>44853</v>
      </c>
      <c r="I707" s="84" t="s">
        <v>774</v>
      </c>
    </row>
    <row r="708" spans="1:9" x14ac:dyDescent="0.3">
      <c r="A708" s="86" t="s">
        <v>790</v>
      </c>
      <c r="B708" s="84">
        <v>8550321</v>
      </c>
      <c r="C708" s="85">
        <v>44853</v>
      </c>
      <c r="D708" s="134">
        <v>1560</v>
      </c>
      <c r="E708" s="84" t="s">
        <v>655</v>
      </c>
      <c r="F708" s="84">
        <v>1</v>
      </c>
      <c r="G708" s="84" t="s">
        <v>112</v>
      </c>
      <c r="H708" s="85">
        <v>44853</v>
      </c>
      <c r="I708" s="84" t="s">
        <v>774</v>
      </c>
    </row>
    <row r="709" spans="1:9" x14ac:dyDescent="0.3">
      <c r="A709" s="86" t="s">
        <v>791</v>
      </c>
      <c r="B709" s="84">
        <v>48574024</v>
      </c>
      <c r="C709" s="85">
        <v>44853</v>
      </c>
      <c r="D709" s="134">
        <v>37</v>
      </c>
      <c r="E709" s="84" t="s">
        <v>655</v>
      </c>
      <c r="F709" s="84">
        <v>1</v>
      </c>
      <c r="G709" s="84" t="s">
        <v>112</v>
      </c>
      <c r="H709" s="85">
        <v>44853</v>
      </c>
      <c r="I709" s="84" t="s">
        <v>774</v>
      </c>
    </row>
    <row r="710" spans="1:9" x14ac:dyDescent="0.3">
      <c r="A710" s="86" t="s">
        <v>792</v>
      </c>
      <c r="B710" s="84">
        <v>66881654</v>
      </c>
      <c r="C710" s="85">
        <v>44853</v>
      </c>
      <c r="D710" s="134">
        <v>34</v>
      </c>
      <c r="E710" s="84" t="s">
        <v>655</v>
      </c>
      <c r="F710" s="84">
        <v>1</v>
      </c>
      <c r="G710" s="84" t="s">
        <v>112</v>
      </c>
      <c r="H710" s="85">
        <v>44853</v>
      </c>
      <c r="I710" s="84" t="s">
        <v>774</v>
      </c>
    </row>
    <row r="711" spans="1:9" x14ac:dyDescent="0.3">
      <c r="A711" s="86" t="s">
        <v>793</v>
      </c>
      <c r="B711" s="84">
        <v>85581112</v>
      </c>
      <c r="C711" s="85">
        <v>44853</v>
      </c>
      <c r="D711" s="134">
        <v>3276</v>
      </c>
      <c r="E711" s="84" t="s">
        <v>655</v>
      </c>
      <c r="F711" s="84">
        <v>1</v>
      </c>
      <c r="G711" s="84" t="s">
        <v>112</v>
      </c>
      <c r="H711" s="85">
        <v>44853</v>
      </c>
      <c r="I711" s="84" t="s">
        <v>774</v>
      </c>
    </row>
    <row r="712" spans="1:9" x14ac:dyDescent="0.3">
      <c r="A712" s="86" t="s">
        <v>794</v>
      </c>
      <c r="B712" s="84">
        <v>54554277</v>
      </c>
      <c r="C712" s="85">
        <v>44853</v>
      </c>
      <c r="D712" s="134">
        <v>185</v>
      </c>
      <c r="E712" s="84" t="s">
        <v>655</v>
      </c>
      <c r="F712" s="84">
        <v>1</v>
      </c>
      <c r="G712" s="84" t="s">
        <v>112</v>
      </c>
      <c r="H712" s="85">
        <v>44853</v>
      </c>
      <c r="I712" s="84" t="s">
        <v>769</v>
      </c>
    </row>
    <row r="713" spans="1:9" x14ac:dyDescent="0.3">
      <c r="A713" s="86" t="s">
        <v>795</v>
      </c>
      <c r="B713" s="84">
        <v>66948441</v>
      </c>
      <c r="C713" s="85">
        <v>44853</v>
      </c>
      <c r="D713" s="134">
        <v>37</v>
      </c>
      <c r="E713" s="84" t="s">
        <v>655</v>
      </c>
      <c r="F713" s="84">
        <v>1</v>
      </c>
      <c r="G713" s="84" t="s">
        <v>112</v>
      </c>
      <c r="H713" s="85">
        <v>44853</v>
      </c>
      <c r="I713" s="84" t="s">
        <v>774</v>
      </c>
    </row>
    <row r="714" spans="1:9" x14ac:dyDescent="0.3">
      <c r="A714" s="86" t="s">
        <v>796</v>
      </c>
      <c r="B714" s="84">
        <v>66994685</v>
      </c>
      <c r="C714" s="85">
        <v>44853</v>
      </c>
      <c r="D714" s="134">
        <v>56</v>
      </c>
      <c r="E714" s="84" t="s">
        <v>655</v>
      </c>
      <c r="F714" s="84">
        <v>1</v>
      </c>
      <c r="G714" s="84" t="s">
        <v>112</v>
      </c>
      <c r="H714" s="85">
        <v>44853</v>
      </c>
      <c r="I714" s="84" t="s">
        <v>769</v>
      </c>
    </row>
    <row r="715" spans="1:9" x14ac:dyDescent="0.3">
      <c r="A715" s="86" t="s">
        <v>797</v>
      </c>
      <c r="B715" s="84">
        <v>67657879</v>
      </c>
      <c r="C715" s="85">
        <v>44853</v>
      </c>
      <c r="D715" s="134">
        <v>78</v>
      </c>
      <c r="E715" s="84" t="s">
        <v>655</v>
      </c>
      <c r="F715" s="84">
        <v>1</v>
      </c>
      <c r="G715" s="84" t="s">
        <v>112</v>
      </c>
      <c r="H715" s="85">
        <v>44853</v>
      </c>
      <c r="I715" s="84" t="s">
        <v>769</v>
      </c>
    </row>
    <row r="716" spans="1:9" x14ac:dyDescent="0.3">
      <c r="A716" s="83">
        <v>1222123430</v>
      </c>
      <c r="B716" s="84">
        <v>8550608</v>
      </c>
      <c r="C716" s="85"/>
      <c r="D716" s="134">
        <v>148</v>
      </c>
      <c r="E716" s="84" t="s">
        <v>655</v>
      </c>
      <c r="F716" s="84">
        <v>1</v>
      </c>
      <c r="G716" s="84" t="s">
        <v>112</v>
      </c>
      <c r="H716" s="85">
        <v>44868</v>
      </c>
      <c r="I716" s="84" t="s">
        <v>786</v>
      </c>
    </row>
    <row r="717" spans="1:9" x14ac:dyDescent="0.3">
      <c r="A717" s="83">
        <v>1222124067</v>
      </c>
      <c r="B717" s="84" t="s">
        <v>798</v>
      </c>
      <c r="C717" s="85"/>
      <c r="D717" s="134">
        <v>896</v>
      </c>
      <c r="E717" s="84" t="s">
        <v>655</v>
      </c>
      <c r="F717" s="84">
        <v>1</v>
      </c>
      <c r="G717" s="84" t="s">
        <v>112</v>
      </c>
      <c r="H717" s="85">
        <v>44872</v>
      </c>
      <c r="I717" s="84" t="s">
        <v>799</v>
      </c>
    </row>
    <row r="718" spans="1:9" x14ac:dyDescent="0.3">
      <c r="A718" s="83">
        <v>1222124080</v>
      </c>
      <c r="B718" s="84" t="s">
        <v>800</v>
      </c>
      <c r="C718" s="85"/>
      <c r="D718" s="134">
        <v>5413</v>
      </c>
      <c r="E718" s="84" t="s">
        <v>655</v>
      </c>
      <c r="F718" s="84">
        <v>5</v>
      </c>
      <c r="G718" s="84" t="s">
        <v>112</v>
      </c>
      <c r="H718" s="85">
        <v>44872</v>
      </c>
      <c r="I718" s="84" t="s">
        <v>799</v>
      </c>
    </row>
    <row r="719" spans="1:9" x14ac:dyDescent="0.3">
      <c r="A719" s="83">
        <v>1222124083</v>
      </c>
      <c r="B719" s="84" t="s">
        <v>801</v>
      </c>
      <c r="C719" s="85"/>
      <c r="D719" s="134">
        <v>1736</v>
      </c>
      <c r="E719" s="84" t="s">
        <v>655</v>
      </c>
      <c r="F719" s="84">
        <v>1</v>
      </c>
      <c r="G719" s="84" t="s">
        <v>112</v>
      </c>
      <c r="H719" s="85">
        <v>44872</v>
      </c>
      <c r="I719" s="84" t="s">
        <v>799</v>
      </c>
    </row>
    <row r="720" spans="1:9" x14ac:dyDescent="0.3">
      <c r="A720" s="83">
        <v>1222124101</v>
      </c>
      <c r="B720" s="84">
        <v>22556723</v>
      </c>
      <c r="C720" s="85"/>
      <c r="D720" s="134">
        <v>333</v>
      </c>
      <c r="E720" s="84" t="s">
        <v>655</v>
      </c>
      <c r="F720" s="84">
        <v>1</v>
      </c>
      <c r="G720" s="84" t="s">
        <v>112</v>
      </c>
      <c r="H720" s="85">
        <v>44872</v>
      </c>
      <c r="I720" s="84" t="s">
        <v>799</v>
      </c>
    </row>
    <row r="721" spans="1:10" x14ac:dyDescent="0.3">
      <c r="A721" s="83">
        <v>1222124129</v>
      </c>
      <c r="B721" s="84">
        <v>74714052</v>
      </c>
      <c r="C721" s="85"/>
      <c r="D721" s="134">
        <v>74</v>
      </c>
      <c r="E721" s="84" t="s">
        <v>655</v>
      </c>
      <c r="F721" s="84">
        <v>1</v>
      </c>
      <c r="G721" s="84" t="s">
        <v>112</v>
      </c>
      <c r="H721" s="85">
        <v>44872</v>
      </c>
      <c r="I721" s="84" t="s">
        <v>799</v>
      </c>
    </row>
    <row r="722" spans="1:10" x14ac:dyDescent="0.3">
      <c r="A722" s="87">
        <v>1222122335</v>
      </c>
      <c r="B722" s="88">
        <v>71941538</v>
      </c>
      <c r="C722" s="89"/>
      <c r="D722" s="144">
        <v>1856</v>
      </c>
      <c r="E722" s="88" t="s">
        <v>655</v>
      </c>
      <c r="F722" s="88">
        <v>1</v>
      </c>
      <c r="G722" s="88" t="s">
        <v>112</v>
      </c>
      <c r="H722" s="89">
        <v>44866</v>
      </c>
      <c r="I722" s="88" t="s">
        <v>783</v>
      </c>
      <c r="J722" s="90" t="s">
        <v>802</v>
      </c>
    </row>
    <row r="723" spans="1:10" x14ac:dyDescent="0.3">
      <c r="A723" s="83">
        <v>1222122001</v>
      </c>
      <c r="B723" s="84">
        <v>47937984</v>
      </c>
      <c r="C723" s="85"/>
      <c r="D723" s="134">
        <v>5280.09</v>
      </c>
      <c r="E723" s="84" t="s">
        <v>655</v>
      </c>
      <c r="F723" s="84">
        <v>3</v>
      </c>
      <c r="G723" s="84" t="s">
        <v>112</v>
      </c>
      <c r="H723" s="85">
        <v>44866</v>
      </c>
      <c r="I723" s="84" t="s">
        <v>803</v>
      </c>
    </row>
    <row r="724" spans="1:10" x14ac:dyDescent="0.3">
      <c r="A724" s="83">
        <v>1222123056</v>
      </c>
      <c r="B724" s="84">
        <v>72825533</v>
      </c>
      <c r="C724" s="85"/>
      <c r="D724" s="134">
        <v>64</v>
      </c>
      <c r="E724" s="84" t="s">
        <v>655</v>
      </c>
      <c r="F724" s="84">
        <v>1</v>
      </c>
      <c r="G724" s="84" t="s">
        <v>112</v>
      </c>
      <c r="H724" s="85">
        <v>44867</v>
      </c>
      <c r="I724" s="84" t="s">
        <v>785</v>
      </c>
      <c r="J724" s="91" t="s">
        <v>804</v>
      </c>
    </row>
    <row r="725" spans="1:10" x14ac:dyDescent="0.3">
      <c r="A725" s="83">
        <v>1222124449</v>
      </c>
      <c r="B725" s="84">
        <v>13584588</v>
      </c>
      <c r="C725" s="85"/>
      <c r="D725" s="134">
        <v>296</v>
      </c>
      <c r="E725" s="84" t="s">
        <v>655</v>
      </c>
      <c r="F725" s="84">
        <v>1</v>
      </c>
      <c r="G725" s="84" t="s">
        <v>112</v>
      </c>
      <c r="H725" s="85">
        <v>44873</v>
      </c>
      <c r="I725" s="84" t="s">
        <v>805</v>
      </c>
      <c r="J725" s="91" t="s">
        <v>804</v>
      </c>
    </row>
    <row r="726" spans="1:10" x14ac:dyDescent="0.3">
      <c r="A726" s="83">
        <v>1222124460</v>
      </c>
      <c r="B726" s="84">
        <v>69571682</v>
      </c>
      <c r="C726" s="85"/>
      <c r="D726" s="134">
        <v>407</v>
      </c>
      <c r="E726" s="84" t="s">
        <v>655</v>
      </c>
      <c r="F726" s="84">
        <v>1</v>
      </c>
      <c r="G726" s="84" t="s">
        <v>112</v>
      </c>
      <c r="H726" s="85">
        <v>44873</v>
      </c>
      <c r="I726" s="84" t="s">
        <v>805</v>
      </c>
      <c r="J726" s="91" t="s">
        <v>804</v>
      </c>
    </row>
    <row r="727" spans="1:10" x14ac:dyDescent="0.3">
      <c r="A727" s="83">
        <v>1222125396</v>
      </c>
      <c r="B727" s="84">
        <v>45911478</v>
      </c>
      <c r="C727" s="85">
        <v>44874</v>
      </c>
      <c r="D727" s="134">
        <v>3520.06</v>
      </c>
      <c r="E727" s="84" t="s">
        <v>655</v>
      </c>
      <c r="F727" s="84">
        <v>2</v>
      </c>
      <c r="G727" s="84" t="s">
        <v>112</v>
      </c>
      <c r="H727" s="85">
        <v>44873</v>
      </c>
      <c r="I727" s="84" t="s">
        <v>806</v>
      </c>
      <c r="J727" s="91" t="s">
        <v>807</v>
      </c>
    </row>
    <row r="728" spans="1:10" x14ac:dyDescent="0.3">
      <c r="A728" s="83">
        <v>1222125393</v>
      </c>
      <c r="B728" s="84">
        <v>14926250</v>
      </c>
      <c r="C728" s="85">
        <v>44874</v>
      </c>
      <c r="D728" s="134">
        <v>12320.21</v>
      </c>
      <c r="E728" s="84" t="s">
        <v>655</v>
      </c>
      <c r="F728" s="84">
        <v>7</v>
      </c>
      <c r="G728" s="84" t="s">
        <v>112</v>
      </c>
      <c r="H728" s="85">
        <v>44873</v>
      </c>
      <c r="I728" s="84" t="s">
        <v>808</v>
      </c>
      <c r="J728" s="91" t="s">
        <v>807</v>
      </c>
    </row>
    <row r="729" spans="1:10" x14ac:dyDescent="0.3">
      <c r="A729" s="83">
        <v>1222125411</v>
      </c>
      <c r="B729" s="84">
        <v>58550710</v>
      </c>
      <c r="C729" s="85">
        <v>44874</v>
      </c>
      <c r="D729" s="134">
        <v>222</v>
      </c>
      <c r="E729" s="84" t="s">
        <v>655</v>
      </c>
      <c r="F729" s="84">
        <v>1</v>
      </c>
      <c r="G729" s="84" t="s">
        <v>112</v>
      </c>
      <c r="H729" s="85">
        <v>44873</v>
      </c>
      <c r="I729" s="84" t="s">
        <v>809</v>
      </c>
      <c r="J729" s="91" t="s">
        <v>804</v>
      </c>
    </row>
    <row r="730" spans="1:10" x14ac:dyDescent="0.3">
      <c r="A730" s="83">
        <v>1222125446</v>
      </c>
      <c r="B730" s="84">
        <v>75679631</v>
      </c>
      <c r="C730" s="85">
        <v>44874</v>
      </c>
      <c r="D730" s="134">
        <v>555</v>
      </c>
      <c r="E730" s="84" t="s">
        <v>655</v>
      </c>
      <c r="F730" s="84">
        <v>1</v>
      </c>
      <c r="G730" s="84" t="s">
        <v>112</v>
      </c>
      <c r="H730" s="85">
        <v>44873</v>
      </c>
      <c r="I730" s="84" t="s">
        <v>809</v>
      </c>
      <c r="J730" s="91" t="s">
        <v>804</v>
      </c>
    </row>
    <row r="731" spans="1:10" x14ac:dyDescent="0.3">
      <c r="A731" s="83">
        <v>1222125460</v>
      </c>
      <c r="B731" s="84">
        <v>84568770</v>
      </c>
      <c r="C731" s="85">
        <v>44874</v>
      </c>
      <c r="D731" s="134">
        <v>370</v>
      </c>
      <c r="E731" s="84" t="s">
        <v>655</v>
      </c>
      <c r="F731" s="84">
        <v>1</v>
      </c>
      <c r="G731" s="84" t="s">
        <v>112</v>
      </c>
      <c r="H731" s="85">
        <v>44873</v>
      </c>
      <c r="I731" s="84" t="s">
        <v>809</v>
      </c>
      <c r="J731" s="91" t="s">
        <v>804</v>
      </c>
    </row>
    <row r="732" spans="1:10" x14ac:dyDescent="0.3">
      <c r="A732" s="83">
        <v>1222125465</v>
      </c>
      <c r="B732" s="84">
        <v>75748651</v>
      </c>
      <c r="C732" s="85">
        <v>44874</v>
      </c>
      <c r="D732" s="134">
        <v>222</v>
      </c>
      <c r="E732" s="84" t="s">
        <v>655</v>
      </c>
      <c r="F732" s="84">
        <v>1</v>
      </c>
      <c r="G732" s="84" t="s">
        <v>112</v>
      </c>
      <c r="H732" s="85">
        <v>44873</v>
      </c>
      <c r="I732" s="84" t="s">
        <v>809</v>
      </c>
      <c r="J732" s="91" t="s">
        <v>804</v>
      </c>
    </row>
    <row r="733" spans="1:10" x14ac:dyDescent="0.3">
      <c r="A733" s="83">
        <v>1222125469</v>
      </c>
      <c r="B733" s="84">
        <v>75833174</v>
      </c>
      <c r="C733" s="85">
        <v>44874</v>
      </c>
      <c r="D733" s="134">
        <v>128</v>
      </c>
      <c r="E733" s="84" t="s">
        <v>655</v>
      </c>
      <c r="F733" s="84">
        <v>1</v>
      </c>
      <c r="G733" s="84" t="s">
        <v>112</v>
      </c>
      <c r="H733" s="85">
        <v>44873</v>
      </c>
      <c r="I733" s="84" t="s">
        <v>809</v>
      </c>
      <c r="J733" s="91" t="s">
        <v>804</v>
      </c>
    </row>
    <row r="734" spans="1:10" x14ac:dyDescent="0.3">
      <c r="A734" s="83">
        <v>1222125475</v>
      </c>
      <c r="B734" s="84">
        <v>10585592</v>
      </c>
      <c r="C734" s="85">
        <v>44874</v>
      </c>
      <c r="D734" s="134">
        <v>518</v>
      </c>
      <c r="E734" s="84" t="s">
        <v>655</v>
      </c>
      <c r="F734" s="84">
        <v>1</v>
      </c>
      <c r="G734" s="84" t="s">
        <v>112</v>
      </c>
      <c r="H734" s="85">
        <v>44873</v>
      </c>
      <c r="I734" s="84" t="s">
        <v>809</v>
      </c>
      <c r="J734" s="91" t="s">
        <v>804</v>
      </c>
    </row>
    <row r="735" spans="1:10" x14ac:dyDescent="0.3">
      <c r="A735" s="83">
        <v>1222125489</v>
      </c>
      <c r="B735" s="84">
        <v>37588679</v>
      </c>
      <c r="C735" s="85">
        <v>44874</v>
      </c>
      <c r="D735" s="134">
        <v>17</v>
      </c>
      <c r="E735" s="84" t="s">
        <v>655</v>
      </c>
      <c r="F735" s="84">
        <v>1</v>
      </c>
      <c r="G735" s="84" t="s">
        <v>112</v>
      </c>
      <c r="H735" s="85">
        <v>44873</v>
      </c>
      <c r="I735" s="84" t="s">
        <v>809</v>
      </c>
      <c r="J735" s="91" t="s">
        <v>804</v>
      </c>
    </row>
    <row r="736" spans="1:10" x14ac:dyDescent="0.3">
      <c r="A736" s="83">
        <v>1222125979</v>
      </c>
      <c r="B736" s="84">
        <v>10560572</v>
      </c>
      <c r="C736" s="85">
        <v>44875</v>
      </c>
      <c r="D736" s="134">
        <v>333</v>
      </c>
      <c r="E736" s="84" t="s">
        <v>655</v>
      </c>
      <c r="F736" s="84">
        <v>1</v>
      </c>
      <c r="G736" s="84" t="s">
        <v>112</v>
      </c>
      <c r="H736" s="85">
        <v>44874</v>
      </c>
      <c r="I736" s="84" t="s">
        <v>810</v>
      </c>
      <c r="J736" s="92" t="s">
        <v>804</v>
      </c>
    </row>
    <row r="737" spans="1:11" x14ac:dyDescent="0.3">
      <c r="A737" s="83">
        <v>1222125985</v>
      </c>
      <c r="B737" s="84">
        <v>41586431</v>
      </c>
      <c r="C737" s="85">
        <v>44875</v>
      </c>
      <c r="D737" s="134">
        <v>333</v>
      </c>
      <c r="E737" s="84" t="s">
        <v>655</v>
      </c>
      <c r="F737" s="84">
        <v>1</v>
      </c>
      <c r="G737" s="84" t="s">
        <v>112</v>
      </c>
      <c r="H737" s="85">
        <v>44874</v>
      </c>
      <c r="I737" s="84" t="s">
        <v>810</v>
      </c>
      <c r="J737" s="92" t="s">
        <v>804</v>
      </c>
    </row>
    <row r="738" spans="1:11" x14ac:dyDescent="0.3">
      <c r="A738" s="83">
        <v>1222126498</v>
      </c>
      <c r="B738" s="84" t="s">
        <v>811</v>
      </c>
      <c r="C738" s="85">
        <v>44876</v>
      </c>
      <c r="D738" s="134">
        <v>3139</v>
      </c>
      <c r="E738" s="84" t="s">
        <v>655</v>
      </c>
      <c r="F738" s="84">
        <v>2</v>
      </c>
      <c r="G738" s="84" t="s">
        <v>112</v>
      </c>
      <c r="H738" s="85">
        <v>44876</v>
      </c>
      <c r="I738" s="84" t="s">
        <v>812</v>
      </c>
      <c r="J738" s="93" t="s">
        <v>804</v>
      </c>
    </row>
    <row r="739" spans="1:11" x14ac:dyDescent="0.3">
      <c r="A739" s="83">
        <v>1222127403</v>
      </c>
      <c r="B739" s="84" t="s">
        <v>813</v>
      </c>
      <c r="C739" s="85">
        <v>44880</v>
      </c>
      <c r="D739" s="134">
        <v>2052</v>
      </c>
      <c r="E739" s="84" t="s">
        <v>655</v>
      </c>
      <c r="F739" s="84">
        <v>2</v>
      </c>
      <c r="G739" s="84" t="s">
        <v>112</v>
      </c>
      <c r="H739" s="85">
        <v>44879</v>
      </c>
      <c r="I739" s="84" t="s">
        <v>814</v>
      </c>
      <c r="J739" s="93" t="s">
        <v>804</v>
      </c>
    </row>
    <row r="740" spans="1:11" x14ac:dyDescent="0.3">
      <c r="A740" s="87">
        <v>1222127411</v>
      </c>
      <c r="B740" s="88">
        <v>24554186</v>
      </c>
      <c r="C740" s="89">
        <v>44880</v>
      </c>
      <c r="D740" s="144">
        <v>17</v>
      </c>
      <c r="E740" s="88" t="s">
        <v>655</v>
      </c>
      <c r="F740" s="88">
        <v>1</v>
      </c>
      <c r="G740" s="88" t="s">
        <v>112</v>
      </c>
      <c r="H740" s="89">
        <v>44879</v>
      </c>
      <c r="I740" s="88" t="s">
        <v>814</v>
      </c>
      <c r="J740" s="97" t="s">
        <v>802</v>
      </c>
    </row>
    <row r="741" spans="1:11" x14ac:dyDescent="0.3">
      <c r="A741" s="87">
        <v>1222127426</v>
      </c>
      <c r="B741" s="88">
        <v>27575338</v>
      </c>
      <c r="C741" s="89">
        <v>44880</v>
      </c>
      <c r="D741" s="144">
        <v>56</v>
      </c>
      <c r="E741" s="88" t="s">
        <v>655</v>
      </c>
      <c r="F741" s="88">
        <v>1</v>
      </c>
      <c r="G741" s="88" t="s">
        <v>112</v>
      </c>
      <c r="H741" s="89">
        <v>44879</v>
      </c>
      <c r="I741" s="88" t="s">
        <v>814</v>
      </c>
      <c r="J741" s="97" t="s">
        <v>802</v>
      </c>
    </row>
    <row r="742" spans="1:11" x14ac:dyDescent="0.3">
      <c r="A742" s="83">
        <v>1222130137</v>
      </c>
      <c r="B742" s="84" t="s">
        <v>815</v>
      </c>
      <c r="C742" s="85">
        <v>44887</v>
      </c>
      <c r="D742" s="134">
        <v>445</v>
      </c>
      <c r="E742" s="84" t="s">
        <v>655</v>
      </c>
      <c r="F742" s="84">
        <v>1</v>
      </c>
      <c r="G742" s="84" t="s">
        <v>112</v>
      </c>
      <c r="H742" s="150">
        <v>44887</v>
      </c>
      <c r="I742" s="84" t="s">
        <v>816</v>
      </c>
      <c r="J742" s="91" t="s">
        <v>804</v>
      </c>
    </row>
    <row r="743" spans="1:11" x14ac:dyDescent="0.3">
      <c r="A743" s="83">
        <v>1222130139</v>
      </c>
      <c r="B743" s="84" t="s">
        <v>817</v>
      </c>
      <c r="C743" s="85">
        <v>44887</v>
      </c>
      <c r="D743" s="134">
        <v>728</v>
      </c>
      <c r="E743" s="84" t="s">
        <v>655</v>
      </c>
      <c r="F743" s="84">
        <v>1</v>
      </c>
      <c r="G743" s="84" t="s">
        <v>112</v>
      </c>
      <c r="H743" s="85">
        <v>44887</v>
      </c>
      <c r="I743" s="84" t="s">
        <v>816</v>
      </c>
      <c r="J743" s="91" t="s">
        <v>804</v>
      </c>
    </row>
    <row r="744" spans="1:11" x14ac:dyDescent="0.3">
      <c r="A744" s="83">
        <v>1222131028</v>
      </c>
      <c r="B744" s="84">
        <v>38946724</v>
      </c>
      <c r="C744" s="85">
        <v>44888</v>
      </c>
      <c r="D744" s="134">
        <v>12320.21</v>
      </c>
      <c r="E744" s="84" t="s">
        <v>655</v>
      </c>
      <c r="F744" s="84">
        <v>7</v>
      </c>
      <c r="G744" s="84" t="s">
        <v>112</v>
      </c>
      <c r="H744" s="85">
        <v>44887</v>
      </c>
      <c r="I744" s="84" t="s">
        <v>818</v>
      </c>
      <c r="J744" s="91" t="s">
        <v>807</v>
      </c>
    </row>
    <row r="745" spans="1:11" x14ac:dyDescent="0.3">
      <c r="A745" s="83">
        <v>1222131029</v>
      </c>
      <c r="B745" s="84">
        <v>12946733</v>
      </c>
      <c r="C745" s="85">
        <v>44888</v>
      </c>
      <c r="D745" s="134">
        <v>15840.27</v>
      </c>
      <c r="E745" s="84" t="s">
        <v>655</v>
      </c>
      <c r="F745" s="84">
        <v>9</v>
      </c>
      <c r="G745" s="84" t="s">
        <v>112</v>
      </c>
      <c r="H745" s="85">
        <v>44887</v>
      </c>
      <c r="I745" s="84" t="s">
        <v>818</v>
      </c>
      <c r="J745" s="91" t="s">
        <v>807</v>
      </c>
    </row>
    <row r="746" spans="1:11" x14ac:dyDescent="0.3">
      <c r="A746" s="83">
        <v>1222131819</v>
      </c>
      <c r="B746" s="84" t="s">
        <v>819</v>
      </c>
      <c r="C746" s="85">
        <v>44893</v>
      </c>
      <c r="D746" s="134">
        <v>1908</v>
      </c>
      <c r="E746" s="84" t="s">
        <v>655</v>
      </c>
      <c r="F746" s="84">
        <v>1</v>
      </c>
      <c r="G746" s="84" t="s">
        <v>112</v>
      </c>
      <c r="H746" s="85">
        <v>44888</v>
      </c>
      <c r="I746" s="84" t="s">
        <v>820</v>
      </c>
      <c r="J746" s="92" t="s">
        <v>804</v>
      </c>
    </row>
    <row r="747" spans="1:11" x14ac:dyDescent="0.3">
      <c r="A747" s="83">
        <v>1222131829</v>
      </c>
      <c r="B747" s="84">
        <v>83884920</v>
      </c>
      <c r="C747" s="85">
        <v>44893</v>
      </c>
      <c r="D747" s="134">
        <v>555</v>
      </c>
      <c r="E747" s="84" t="s">
        <v>655</v>
      </c>
      <c r="F747" s="84">
        <v>1</v>
      </c>
      <c r="G747" s="84" t="s">
        <v>112</v>
      </c>
      <c r="H747" s="85">
        <v>44888</v>
      </c>
      <c r="I747" s="84" t="s">
        <v>820</v>
      </c>
      <c r="J747" s="92" t="s">
        <v>804</v>
      </c>
    </row>
    <row r="748" spans="1:11" x14ac:dyDescent="0.3">
      <c r="A748" s="83">
        <v>1222132860</v>
      </c>
      <c r="B748" s="84">
        <v>46941156</v>
      </c>
      <c r="C748" s="85">
        <v>44895</v>
      </c>
      <c r="D748" s="134">
        <v>1760.03</v>
      </c>
      <c r="E748" s="84" t="s">
        <v>655</v>
      </c>
      <c r="F748" s="84">
        <v>1</v>
      </c>
      <c r="G748" s="84" t="s">
        <v>112</v>
      </c>
      <c r="H748" s="85">
        <v>44895</v>
      </c>
      <c r="I748" s="84" t="s">
        <v>821</v>
      </c>
      <c r="J748" s="93" t="s">
        <v>807</v>
      </c>
    </row>
    <row r="749" spans="1:11" x14ac:dyDescent="0.3">
      <c r="A749" s="83">
        <v>1222132863</v>
      </c>
      <c r="B749" s="84">
        <v>32939946</v>
      </c>
      <c r="C749" s="85">
        <v>44895</v>
      </c>
      <c r="D749" s="134">
        <v>10560.18</v>
      </c>
      <c r="E749" s="84" t="s">
        <v>655</v>
      </c>
      <c r="F749" s="84">
        <v>6</v>
      </c>
      <c r="G749" s="84" t="s">
        <v>112</v>
      </c>
      <c r="H749" s="85">
        <v>44895</v>
      </c>
      <c r="I749" s="84" t="s">
        <v>821</v>
      </c>
      <c r="J749" s="93" t="s">
        <v>807</v>
      </c>
    </row>
    <row r="750" spans="1:11" x14ac:dyDescent="0.3">
      <c r="A750" s="83">
        <v>1222132942</v>
      </c>
      <c r="B750" s="84">
        <v>84638803</v>
      </c>
      <c r="C750" s="85">
        <v>44895</v>
      </c>
      <c r="D750" s="134">
        <v>296</v>
      </c>
      <c r="E750" s="84" t="s">
        <v>655</v>
      </c>
      <c r="F750" s="84">
        <v>1</v>
      </c>
      <c r="G750" s="84" t="s">
        <v>112</v>
      </c>
      <c r="H750" s="85">
        <v>44895</v>
      </c>
      <c r="I750" s="84" t="s">
        <v>822</v>
      </c>
      <c r="J750" s="93" t="s">
        <v>804</v>
      </c>
    </row>
    <row r="751" spans="1:11" x14ac:dyDescent="0.3">
      <c r="A751" s="83">
        <v>1222134895</v>
      </c>
      <c r="B751" s="84">
        <v>36905345</v>
      </c>
      <c r="C751" s="85">
        <v>44901</v>
      </c>
      <c r="D751" s="134">
        <v>14080.24</v>
      </c>
      <c r="E751" s="84" t="s">
        <v>655</v>
      </c>
      <c r="F751" s="84">
        <v>8</v>
      </c>
      <c r="G751" s="84" t="s">
        <v>112</v>
      </c>
      <c r="H751" s="85">
        <v>44900</v>
      </c>
      <c r="I751" s="84" t="s">
        <v>823</v>
      </c>
      <c r="J751" s="93" t="s">
        <v>807</v>
      </c>
    </row>
    <row r="752" spans="1:11" x14ac:dyDescent="0.3">
      <c r="A752" s="94">
        <v>1222134501</v>
      </c>
      <c r="B752" s="88" t="s">
        <v>824</v>
      </c>
      <c r="C752" s="89">
        <v>44900</v>
      </c>
      <c r="D752" s="144">
        <v>742</v>
      </c>
      <c r="E752" s="88" t="s">
        <v>655</v>
      </c>
      <c r="F752" s="88">
        <v>1</v>
      </c>
      <c r="G752" s="88" t="s">
        <v>112</v>
      </c>
      <c r="H752" s="89">
        <v>44900</v>
      </c>
      <c r="I752" s="88" t="s">
        <v>825</v>
      </c>
      <c r="J752" s="97" t="s">
        <v>804</v>
      </c>
      <c r="K752" s="109" t="s">
        <v>676</v>
      </c>
    </row>
    <row r="753" spans="1:11" x14ac:dyDescent="0.3">
      <c r="A753" s="83">
        <v>1222136026</v>
      </c>
      <c r="B753" s="84">
        <v>36907110</v>
      </c>
      <c r="C753" s="85">
        <v>44902</v>
      </c>
      <c r="D753" s="134">
        <v>5280.09</v>
      </c>
      <c r="E753" s="84" t="s">
        <v>655</v>
      </c>
      <c r="F753" s="84">
        <v>3</v>
      </c>
      <c r="G753" s="84" t="s">
        <v>112</v>
      </c>
      <c r="H753" s="85">
        <v>44901</v>
      </c>
      <c r="I753" s="84" t="s">
        <v>826</v>
      </c>
      <c r="J753" s="93" t="s">
        <v>807</v>
      </c>
    </row>
    <row r="754" spans="1:11" x14ac:dyDescent="0.3">
      <c r="A754" s="83">
        <v>1222136074</v>
      </c>
      <c r="B754" s="84" t="s">
        <v>827</v>
      </c>
      <c r="C754" s="85">
        <v>44902</v>
      </c>
      <c r="D754" s="134">
        <v>370</v>
      </c>
      <c r="E754" s="84" t="s">
        <v>655</v>
      </c>
      <c r="F754" s="84">
        <v>1</v>
      </c>
      <c r="G754" s="84" t="s">
        <v>112</v>
      </c>
      <c r="H754" s="85">
        <v>44902</v>
      </c>
      <c r="I754" s="84" t="s">
        <v>828</v>
      </c>
      <c r="J754" s="93" t="s">
        <v>804</v>
      </c>
    </row>
    <row r="755" spans="1:11" x14ac:dyDescent="0.3">
      <c r="A755" s="83">
        <v>1222137850</v>
      </c>
      <c r="B755" s="84" t="s">
        <v>824</v>
      </c>
      <c r="C755" s="85">
        <v>44908</v>
      </c>
      <c r="D755" s="134">
        <v>478</v>
      </c>
      <c r="E755" s="84" t="s">
        <v>655</v>
      </c>
      <c r="F755" s="84">
        <v>1</v>
      </c>
      <c r="G755" s="84" t="s">
        <v>112</v>
      </c>
      <c r="H755" s="85">
        <v>44907</v>
      </c>
      <c r="I755" s="84" t="s">
        <v>829</v>
      </c>
      <c r="J755" s="93" t="s">
        <v>804</v>
      </c>
    </row>
    <row r="756" spans="1:11" x14ac:dyDescent="0.3">
      <c r="A756" s="83">
        <v>1222138892</v>
      </c>
      <c r="B756" s="84">
        <v>46910676</v>
      </c>
      <c r="C756" s="85">
        <v>44909</v>
      </c>
      <c r="D756" s="134">
        <v>12320.21</v>
      </c>
      <c r="E756" s="84" t="s">
        <v>655</v>
      </c>
      <c r="F756" s="84">
        <v>7</v>
      </c>
      <c r="G756" s="84" t="s">
        <v>112</v>
      </c>
      <c r="H756" s="85">
        <v>44907</v>
      </c>
      <c r="I756" s="84" t="s">
        <v>830</v>
      </c>
      <c r="J756" s="93" t="s">
        <v>807</v>
      </c>
    </row>
    <row r="757" spans="1:11" x14ac:dyDescent="0.3">
      <c r="A757" s="83">
        <v>1222140367</v>
      </c>
      <c r="B757" s="84">
        <v>35554289</v>
      </c>
      <c r="C757" s="85">
        <v>44914</v>
      </c>
      <c r="D757" s="134">
        <v>426</v>
      </c>
      <c r="E757" s="84" t="s">
        <v>655</v>
      </c>
      <c r="F757" s="84">
        <v>1</v>
      </c>
      <c r="G757" s="84" t="s">
        <v>112</v>
      </c>
      <c r="H757" s="85">
        <v>44914</v>
      </c>
      <c r="I757" s="84" t="s">
        <v>831</v>
      </c>
      <c r="J757" s="93" t="s">
        <v>804</v>
      </c>
    </row>
    <row r="758" spans="1:11" x14ac:dyDescent="0.3">
      <c r="A758" s="83">
        <v>1222141300</v>
      </c>
      <c r="B758" s="84">
        <v>47918706</v>
      </c>
      <c r="C758" s="85">
        <v>44916</v>
      </c>
      <c r="D758" s="134">
        <v>14080.24</v>
      </c>
      <c r="E758" s="84" t="s">
        <v>655</v>
      </c>
      <c r="F758" s="84">
        <v>8</v>
      </c>
      <c r="G758" s="84" t="s">
        <v>112</v>
      </c>
      <c r="H758" s="85">
        <v>44917</v>
      </c>
      <c r="I758" s="84" t="s">
        <v>832</v>
      </c>
      <c r="J758" s="93" t="s">
        <v>807</v>
      </c>
    </row>
    <row r="759" spans="1:11" x14ac:dyDescent="0.3">
      <c r="A759" s="83">
        <v>1222141302</v>
      </c>
      <c r="B759" s="84">
        <v>46916490</v>
      </c>
      <c r="C759" s="85">
        <v>44916</v>
      </c>
      <c r="D759" s="134">
        <v>12320.21</v>
      </c>
      <c r="E759" s="84" t="s">
        <v>655</v>
      </c>
      <c r="F759" s="84">
        <v>7</v>
      </c>
      <c r="G759" s="84" t="s">
        <v>112</v>
      </c>
      <c r="H759" s="85">
        <v>44917</v>
      </c>
      <c r="I759" s="84" t="s">
        <v>832</v>
      </c>
      <c r="J759" s="93" t="s">
        <v>807</v>
      </c>
    </row>
    <row r="760" spans="1:11" x14ac:dyDescent="0.3">
      <c r="A760" s="83">
        <v>1222141723</v>
      </c>
      <c r="B760" s="84">
        <v>98757845</v>
      </c>
      <c r="C760" s="85">
        <v>44917</v>
      </c>
      <c r="D760" s="134">
        <v>919</v>
      </c>
      <c r="E760" s="84" t="s">
        <v>655</v>
      </c>
      <c r="F760" s="84">
        <v>1</v>
      </c>
      <c r="G760" s="84" t="s">
        <v>112</v>
      </c>
      <c r="H760" s="85">
        <v>44917</v>
      </c>
      <c r="I760" s="84" t="s">
        <v>833</v>
      </c>
      <c r="J760" s="93" t="s">
        <v>804</v>
      </c>
    </row>
    <row r="761" spans="1:11" x14ac:dyDescent="0.3">
      <c r="A761" s="83">
        <v>1222141267</v>
      </c>
      <c r="B761" s="84" t="s">
        <v>834</v>
      </c>
      <c r="C761" s="85">
        <v>44916</v>
      </c>
      <c r="D761" s="134">
        <v>1922</v>
      </c>
      <c r="E761" s="84" t="s">
        <v>655</v>
      </c>
      <c r="F761" s="84">
        <v>1</v>
      </c>
      <c r="G761" s="84" t="s">
        <v>112</v>
      </c>
      <c r="H761" s="85">
        <v>44917</v>
      </c>
      <c r="I761" s="84" t="s">
        <v>833</v>
      </c>
      <c r="J761" s="93" t="s">
        <v>804</v>
      </c>
    </row>
    <row r="762" spans="1:11" x14ac:dyDescent="0.3">
      <c r="A762" s="83">
        <v>1222142260</v>
      </c>
      <c r="B762" s="84" t="s">
        <v>835</v>
      </c>
      <c r="C762" s="85">
        <v>44922</v>
      </c>
      <c r="D762" s="134">
        <v>624</v>
      </c>
      <c r="E762" s="84" t="s">
        <v>655</v>
      </c>
      <c r="F762" s="84">
        <v>1</v>
      </c>
      <c r="G762" s="84" t="s">
        <v>112</v>
      </c>
      <c r="H762" s="85">
        <v>44917</v>
      </c>
      <c r="I762" s="84" t="s">
        <v>836</v>
      </c>
      <c r="J762" s="93" t="s">
        <v>804</v>
      </c>
    </row>
    <row r="763" spans="1:11" x14ac:dyDescent="0.3">
      <c r="A763" s="83">
        <v>1222142262</v>
      </c>
      <c r="B763" s="84" t="s">
        <v>837</v>
      </c>
      <c r="C763" s="85">
        <v>44922</v>
      </c>
      <c r="D763" s="134">
        <v>1686</v>
      </c>
      <c r="E763" s="84" t="s">
        <v>655</v>
      </c>
      <c r="F763" s="84">
        <v>1</v>
      </c>
      <c r="G763" s="84" t="s">
        <v>112</v>
      </c>
      <c r="H763" s="85">
        <v>44917</v>
      </c>
      <c r="I763" s="84" t="s">
        <v>836</v>
      </c>
      <c r="J763" s="93" t="s">
        <v>804</v>
      </c>
    </row>
    <row r="764" spans="1:11" x14ac:dyDescent="0.3">
      <c r="A764" s="83">
        <v>1222142937</v>
      </c>
      <c r="B764" s="84">
        <v>33925905</v>
      </c>
      <c r="C764" s="85">
        <v>44929</v>
      </c>
      <c r="D764" s="134">
        <v>14080.24</v>
      </c>
      <c r="E764" s="84" t="s">
        <v>655</v>
      </c>
      <c r="F764" s="84">
        <v>8</v>
      </c>
      <c r="G764" s="84" t="s">
        <v>112</v>
      </c>
      <c r="H764" s="85">
        <v>44930</v>
      </c>
      <c r="I764" s="84" t="s">
        <v>838</v>
      </c>
      <c r="J764" s="93" t="s">
        <v>807</v>
      </c>
    </row>
    <row r="765" spans="1:11" x14ac:dyDescent="0.3">
      <c r="A765" s="83">
        <v>1222142931</v>
      </c>
      <c r="B765" s="84">
        <v>46911108</v>
      </c>
      <c r="C765" s="85">
        <v>44929</v>
      </c>
      <c r="D765" s="134">
        <v>1760.03</v>
      </c>
      <c r="E765" s="84" t="s">
        <v>655</v>
      </c>
      <c r="F765" s="84">
        <v>1</v>
      </c>
      <c r="G765" s="84" t="s">
        <v>112</v>
      </c>
      <c r="H765" s="85">
        <v>44930</v>
      </c>
      <c r="I765" s="84" t="s">
        <v>838</v>
      </c>
      <c r="J765" s="93" t="s">
        <v>807</v>
      </c>
    </row>
    <row r="766" spans="1:11" x14ac:dyDescent="0.3">
      <c r="A766" s="99">
        <v>1222142542</v>
      </c>
      <c r="B766" s="100" t="s">
        <v>839</v>
      </c>
      <c r="C766" s="101">
        <v>44929</v>
      </c>
      <c r="D766" s="145">
        <v>299</v>
      </c>
      <c r="E766" s="100" t="s">
        <v>655</v>
      </c>
      <c r="F766" s="100">
        <v>1</v>
      </c>
      <c r="G766" s="100" t="s">
        <v>112</v>
      </c>
      <c r="H766" s="101">
        <v>44930</v>
      </c>
      <c r="I766" s="100" t="s">
        <v>840</v>
      </c>
      <c r="J766" s="97" t="s">
        <v>804</v>
      </c>
      <c r="K766" s="109" t="s">
        <v>676</v>
      </c>
    </row>
    <row r="767" spans="1:11" x14ac:dyDescent="0.3">
      <c r="A767" s="83">
        <v>1232000159</v>
      </c>
      <c r="B767" s="84">
        <v>46918353</v>
      </c>
      <c r="C767" s="85">
        <v>44931</v>
      </c>
      <c r="D767" s="134">
        <v>12320.21</v>
      </c>
      <c r="E767" s="84" t="s">
        <v>655</v>
      </c>
      <c r="F767" s="84">
        <v>7</v>
      </c>
      <c r="G767" s="84" t="s">
        <v>112</v>
      </c>
      <c r="H767" s="85">
        <v>44931</v>
      </c>
      <c r="I767" s="84" t="s">
        <v>841</v>
      </c>
      <c r="J767" s="84" t="s">
        <v>807</v>
      </c>
    </row>
    <row r="768" spans="1:11" x14ac:dyDescent="0.3">
      <c r="A768" s="83">
        <v>1232000086</v>
      </c>
      <c r="B768" s="84">
        <v>3942354</v>
      </c>
      <c r="C768" s="85">
        <v>44932</v>
      </c>
      <c r="D768" s="134">
        <v>1826</v>
      </c>
      <c r="E768" s="84" t="s">
        <v>655</v>
      </c>
      <c r="F768" s="84">
        <v>1</v>
      </c>
      <c r="G768" s="84" t="s">
        <v>112</v>
      </c>
      <c r="H768" s="85">
        <v>44932</v>
      </c>
      <c r="I768" s="84" t="s">
        <v>842</v>
      </c>
      <c r="J768" s="84" t="s">
        <v>804</v>
      </c>
    </row>
    <row r="769" spans="1:10" x14ac:dyDescent="0.3">
      <c r="A769" s="83">
        <v>1232000089</v>
      </c>
      <c r="B769" s="84">
        <v>4611157</v>
      </c>
      <c r="C769" s="85">
        <v>44932</v>
      </c>
      <c r="D769" s="134">
        <v>775</v>
      </c>
      <c r="E769" s="84" t="s">
        <v>655</v>
      </c>
      <c r="F769" s="84">
        <v>1</v>
      </c>
      <c r="G769" s="84" t="s">
        <v>112</v>
      </c>
      <c r="H769" s="85">
        <v>44932</v>
      </c>
      <c r="I769" s="84" t="s">
        <v>842</v>
      </c>
      <c r="J769" s="84" t="s">
        <v>804</v>
      </c>
    </row>
    <row r="770" spans="1:10" x14ac:dyDescent="0.3">
      <c r="A770" s="83">
        <v>1232000091</v>
      </c>
      <c r="B770" s="84">
        <v>4645809</v>
      </c>
      <c r="C770" s="85">
        <v>44932</v>
      </c>
      <c r="D770" s="134">
        <v>922</v>
      </c>
      <c r="E770" s="84" t="s">
        <v>655</v>
      </c>
      <c r="F770" s="84">
        <v>1</v>
      </c>
      <c r="G770" s="84" t="s">
        <v>112</v>
      </c>
      <c r="H770" s="85">
        <v>44932</v>
      </c>
      <c r="I770" s="84" t="s">
        <v>842</v>
      </c>
      <c r="J770" s="84" t="s">
        <v>804</v>
      </c>
    </row>
    <row r="771" spans="1:10" x14ac:dyDescent="0.3">
      <c r="A771" s="83">
        <v>1232000114</v>
      </c>
      <c r="B771" s="84">
        <v>17559993</v>
      </c>
      <c r="C771" s="85">
        <v>44932</v>
      </c>
      <c r="D771" s="134">
        <v>370</v>
      </c>
      <c r="E771" s="84" t="s">
        <v>655</v>
      </c>
      <c r="F771" s="84">
        <v>1</v>
      </c>
      <c r="G771" s="84" t="s">
        <v>112</v>
      </c>
      <c r="H771" s="85">
        <v>44932</v>
      </c>
      <c r="I771" s="84" t="s">
        <v>842</v>
      </c>
      <c r="J771" s="84" t="s">
        <v>804</v>
      </c>
    </row>
    <row r="772" spans="1:10" x14ac:dyDescent="0.3">
      <c r="A772" s="83">
        <v>1232000124</v>
      </c>
      <c r="B772" s="84">
        <v>24553990</v>
      </c>
      <c r="C772" s="85">
        <v>44932</v>
      </c>
      <c r="D772" s="134">
        <v>388</v>
      </c>
      <c r="E772" s="84" t="s">
        <v>655</v>
      </c>
      <c r="F772" s="84">
        <v>1</v>
      </c>
      <c r="G772" s="84" t="s">
        <v>112</v>
      </c>
      <c r="H772" s="85">
        <v>44932</v>
      </c>
      <c r="I772" s="84" t="s">
        <v>842</v>
      </c>
      <c r="J772" s="84" t="s">
        <v>804</v>
      </c>
    </row>
    <row r="773" spans="1:10" x14ac:dyDescent="0.3">
      <c r="A773" s="83">
        <v>1232000148</v>
      </c>
      <c r="B773" s="84">
        <v>32552824</v>
      </c>
      <c r="C773" s="85">
        <v>44932</v>
      </c>
      <c r="D773" s="134">
        <v>426</v>
      </c>
      <c r="E773" s="84" t="s">
        <v>655</v>
      </c>
      <c r="F773" s="84">
        <v>1</v>
      </c>
      <c r="G773" s="84" t="s">
        <v>112</v>
      </c>
      <c r="H773" s="85">
        <v>44932</v>
      </c>
      <c r="I773" s="84" t="s">
        <v>842</v>
      </c>
      <c r="J773" s="84" t="s">
        <v>804</v>
      </c>
    </row>
    <row r="774" spans="1:10" x14ac:dyDescent="0.3">
      <c r="A774" s="83">
        <v>1232000156</v>
      </c>
      <c r="B774" s="84" t="s">
        <v>843</v>
      </c>
      <c r="C774" s="85">
        <v>44932</v>
      </c>
      <c r="D774" s="134">
        <v>426</v>
      </c>
      <c r="E774" s="84" t="s">
        <v>655</v>
      </c>
      <c r="F774" s="84">
        <v>1</v>
      </c>
      <c r="G774" s="84" t="s">
        <v>112</v>
      </c>
      <c r="H774" s="85">
        <v>44932</v>
      </c>
      <c r="I774" s="84" t="s">
        <v>842</v>
      </c>
      <c r="J774" s="84" t="s">
        <v>804</v>
      </c>
    </row>
    <row r="775" spans="1:10" x14ac:dyDescent="0.3">
      <c r="A775" s="83">
        <v>1232000194</v>
      </c>
      <c r="B775" s="84">
        <v>79561433</v>
      </c>
      <c r="C775" s="85">
        <v>44932</v>
      </c>
      <c r="D775" s="134">
        <v>314</v>
      </c>
      <c r="E775" s="84" t="s">
        <v>655</v>
      </c>
      <c r="F775" s="84">
        <v>1</v>
      </c>
      <c r="G775" s="84" t="s">
        <v>112</v>
      </c>
      <c r="H775" s="85">
        <v>44932</v>
      </c>
      <c r="I775" s="84" t="s">
        <v>842</v>
      </c>
      <c r="J775" s="84" t="s">
        <v>804</v>
      </c>
    </row>
    <row r="776" spans="1:10" x14ac:dyDescent="0.3">
      <c r="A776" s="83">
        <v>1232000195</v>
      </c>
      <c r="B776" s="84">
        <v>80589601</v>
      </c>
      <c r="C776" s="85">
        <v>44932</v>
      </c>
      <c r="D776" s="134">
        <v>482</v>
      </c>
      <c r="E776" s="84" t="s">
        <v>655</v>
      </c>
      <c r="F776" s="84">
        <v>1</v>
      </c>
      <c r="G776" s="84" t="s">
        <v>112</v>
      </c>
      <c r="H776" s="85">
        <v>44932</v>
      </c>
      <c r="I776" s="84" t="s">
        <v>842</v>
      </c>
      <c r="J776" s="84" t="s">
        <v>804</v>
      </c>
    </row>
    <row r="777" spans="1:10" x14ac:dyDescent="0.3">
      <c r="A777" s="83">
        <v>1232000202</v>
      </c>
      <c r="B777" s="84">
        <v>87553178</v>
      </c>
      <c r="C777" s="85">
        <v>44932</v>
      </c>
      <c r="D777" s="134">
        <v>370</v>
      </c>
      <c r="E777" s="84" t="s">
        <v>655</v>
      </c>
      <c r="F777" s="84">
        <v>1</v>
      </c>
      <c r="G777" s="84" t="s">
        <v>112</v>
      </c>
      <c r="H777" s="85">
        <v>44932</v>
      </c>
      <c r="I777" s="84" t="s">
        <v>842</v>
      </c>
      <c r="J777" s="84" t="s">
        <v>804</v>
      </c>
    </row>
    <row r="778" spans="1:10" x14ac:dyDescent="0.3">
      <c r="A778" s="83">
        <v>1232000841</v>
      </c>
      <c r="B778" s="84">
        <v>38938366</v>
      </c>
      <c r="C778" s="85">
        <v>44937</v>
      </c>
      <c r="D778" s="134">
        <v>7040.12</v>
      </c>
      <c r="E778" s="84" t="s">
        <v>655</v>
      </c>
      <c r="F778" s="84">
        <v>4</v>
      </c>
      <c r="G778" s="84" t="s">
        <v>112</v>
      </c>
      <c r="H778" s="85">
        <v>44937</v>
      </c>
      <c r="I778" s="84" t="s">
        <v>844</v>
      </c>
      <c r="J778" s="84" t="s">
        <v>807</v>
      </c>
    </row>
    <row r="779" spans="1:10" x14ac:dyDescent="0.3">
      <c r="A779" s="83">
        <v>1232000839</v>
      </c>
      <c r="B779" s="84">
        <v>36923580</v>
      </c>
      <c r="C779" s="85">
        <v>44937</v>
      </c>
      <c r="D779" s="134">
        <v>3520.06</v>
      </c>
      <c r="E779" s="84" t="s">
        <v>655</v>
      </c>
      <c r="F779" s="84">
        <v>2</v>
      </c>
      <c r="G779" s="84" t="s">
        <v>112</v>
      </c>
      <c r="H779" s="85">
        <v>44937</v>
      </c>
      <c r="I779" s="84" t="s">
        <v>844</v>
      </c>
      <c r="J779" s="84" t="s">
        <v>807</v>
      </c>
    </row>
    <row r="780" spans="1:10" x14ac:dyDescent="0.3">
      <c r="A780" s="83">
        <v>1232000538</v>
      </c>
      <c r="B780" s="84">
        <v>4579862</v>
      </c>
      <c r="C780" s="85">
        <v>44937</v>
      </c>
      <c r="D780" s="134">
        <v>482</v>
      </c>
      <c r="E780" s="84" t="s">
        <v>655</v>
      </c>
      <c r="F780" s="84">
        <v>1</v>
      </c>
      <c r="G780" s="84" t="s">
        <v>112</v>
      </c>
      <c r="H780" s="85">
        <v>44937</v>
      </c>
      <c r="I780" s="84" t="s">
        <v>845</v>
      </c>
      <c r="J780" s="84" t="s">
        <v>804</v>
      </c>
    </row>
    <row r="781" spans="1:10" x14ac:dyDescent="0.3">
      <c r="A781" s="83">
        <v>1232000545</v>
      </c>
      <c r="B781" s="84" t="s">
        <v>846</v>
      </c>
      <c r="C781" s="85">
        <v>44937</v>
      </c>
      <c r="D781" s="134">
        <v>314</v>
      </c>
      <c r="E781" s="84" t="s">
        <v>655</v>
      </c>
      <c r="F781" s="84">
        <v>1</v>
      </c>
      <c r="G781" s="84" t="s">
        <v>112</v>
      </c>
      <c r="H781" s="85">
        <v>44937</v>
      </c>
      <c r="I781" s="84" t="s">
        <v>845</v>
      </c>
      <c r="J781" s="84" t="s">
        <v>804</v>
      </c>
    </row>
    <row r="782" spans="1:10" x14ac:dyDescent="0.3">
      <c r="A782" s="83">
        <v>1232000546</v>
      </c>
      <c r="B782" s="84">
        <v>28562773</v>
      </c>
      <c r="C782" s="85">
        <v>44937</v>
      </c>
      <c r="D782" s="134">
        <v>511</v>
      </c>
      <c r="E782" s="84" t="s">
        <v>655</v>
      </c>
      <c r="F782" s="84">
        <v>1</v>
      </c>
      <c r="G782" s="84" t="s">
        <v>112</v>
      </c>
      <c r="H782" s="85">
        <v>44937</v>
      </c>
      <c r="I782" s="84" t="s">
        <v>845</v>
      </c>
      <c r="J782" s="84" t="s">
        <v>804</v>
      </c>
    </row>
    <row r="783" spans="1:10" x14ac:dyDescent="0.3">
      <c r="A783" s="83">
        <v>1232000944</v>
      </c>
      <c r="B783" s="84">
        <v>24583796</v>
      </c>
      <c r="C783" s="85">
        <v>44939</v>
      </c>
      <c r="D783" s="134">
        <v>718</v>
      </c>
      <c r="E783" s="84" t="s">
        <v>655</v>
      </c>
      <c r="F783" s="84">
        <v>1</v>
      </c>
      <c r="G783" s="84" t="s">
        <v>112</v>
      </c>
      <c r="H783" s="85">
        <v>44939</v>
      </c>
      <c r="I783" s="84" t="s">
        <v>847</v>
      </c>
      <c r="J783" s="84" t="s">
        <v>804</v>
      </c>
    </row>
    <row r="784" spans="1:10" x14ac:dyDescent="0.3">
      <c r="A784" s="83">
        <v>1232000947</v>
      </c>
      <c r="B784" s="84">
        <v>10560038</v>
      </c>
      <c r="C784" s="85">
        <v>44939</v>
      </c>
      <c r="D784" s="134">
        <v>482</v>
      </c>
      <c r="E784" s="84" t="s">
        <v>655</v>
      </c>
      <c r="F784" s="84">
        <v>1</v>
      </c>
      <c r="G784" s="84" t="s">
        <v>112</v>
      </c>
      <c r="H784" s="85">
        <v>44939</v>
      </c>
      <c r="I784" s="84" t="s">
        <v>847</v>
      </c>
      <c r="J784" s="84" t="s">
        <v>804</v>
      </c>
    </row>
    <row r="785" spans="1:11" x14ac:dyDescent="0.3">
      <c r="A785" s="83">
        <v>1232001646</v>
      </c>
      <c r="B785" s="116" t="s">
        <v>848</v>
      </c>
      <c r="C785" s="85">
        <v>44943</v>
      </c>
      <c r="D785" s="134">
        <v>538</v>
      </c>
      <c r="E785" s="84" t="s">
        <v>655</v>
      </c>
      <c r="F785" s="84">
        <v>1</v>
      </c>
      <c r="G785" s="84" t="s">
        <v>112</v>
      </c>
      <c r="H785" s="85">
        <v>44943</v>
      </c>
      <c r="I785" s="84" t="s">
        <v>849</v>
      </c>
      <c r="J785" s="84" t="s">
        <v>804</v>
      </c>
    </row>
    <row r="786" spans="1:11" x14ac:dyDescent="0.3">
      <c r="A786" s="83">
        <v>1232000886</v>
      </c>
      <c r="B786" s="84" t="s">
        <v>850</v>
      </c>
      <c r="C786" s="85">
        <v>44939</v>
      </c>
      <c r="D786" s="134">
        <v>314</v>
      </c>
      <c r="E786" s="84" t="s">
        <v>655</v>
      </c>
      <c r="F786" s="84">
        <v>1</v>
      </c>
      <c r="G786" s="84" t="s">
        <v>112</v>
      </c>
      <c r="H786" s="85">
        <v>44939</v>
      </c>
      <c r="I786" s="84" t="s">
        <v>851</v>
      </c>
      <c r="J786" s="84" t="s">
        <v>804</v>
      </c>
      <c r="K786" s="98" t="s">
        <v>847</v>
      </c>
    </row>
    <row r="787" spans="1:11" x14ac:dyDescent="0.3">
      <c r="A787" s="83">
        <v>1232002125</v>
      </c>
      <c r="B787" s="84">
        <v>60583579</v>
      </c>
      <c r="C787" s="85">
        <v>44944</v>
      </c>
      <c r="D787" s="134">
        <v>314</v>
      </c>
      <c r="E787" s="84" t="s">
        <v>655</v>
      </c>
      <c r="F787" s="84">
        <v>1</v>
      </c>
      <c r="G787" s="84" t="s">
        <v>112</v>
      </c>
      <c r="H787" s="85">
        <v>44944</v>
      </c>
      <c r="I787" s="84" t="s">
        <v>852</v>
      </c>
      <c r="J787" s="84" t="s">
        <v>804</v>
      </c>
    </row>
    <row r="788" spans="1:11" x14ac:dyDescent="0.3">
      <c r="A788" s="83">
        <v>1232002144</v>
      </c>
      <c r="B788" s="84">
        <v>56578879</v>
      </c>
      <c r="C788" s="85">
        <v>44944</v>
      </c>
      <c r="D788" s="134">
        <v>368</v>
      </c>
      <c r="E788" s="84" t="s">
        <v>655</v>
      </c>
      <c r="F788" s="84">
        <v>1</v>
      </c>
      <c r="G788" s="84" t="s">
        <v>112</v>
      </c>
      <c r="H788" s="85">
        <v>44944</v>
      </c>
      <c r="I788" s="84" t="s">
        <v>852</v>
      </c>
      <c r="J788" s="84" t="s">
        <v>804</v>
      </c>
    </row>
    <row r="789" spans="1:11" x14ac:dyDescent="0.3">
      <c r="A789" s="83">
        <v>1232002027</v>
      </c>
      <c r="B789" s="84">
        <v>26907796</v>
      </c>
      <c r="C789" s="85">
        <v>44944</v>
      </c>
      <c r="D789" s="134">
        <v>12320.21</v>
      </c>
      <c r="E789" s="84" t="s">
        <v>655</v>
      </c>
      <c r="F789" s="84">
        <v>7</v>
      </c>
      <c r="G789" s="84" t="s">
        <v>112</v>
      </c>
      <c r="H789" s="85">
        <v>44944</v>
      </c>
      <c r="I789" s="84" t="s">
        <v>852</v>
      </c>
      <c r="J789" s="84" t="s">
        <v>807</v>
      </c>
    </row>
    <row r="790" spans="1:11" x14ac:dyDescent="0.3">
      <c r="A790" s="83">
        <v>1232000946</v>
      </c>
      <c r="B790" s="84">
        <v>36586039</v>
      </c>
      <c r="C790" s="85">
        <v>44939</v>
      </c>
      <c r="D790" s="134">
        <v>426</v>
      </c>
      <c r="E790" s="84" t="s">
        <v>655</v>
      </c>
      <c r="F790" s="84">
        <v>1</v>
      </c>
      <c r="G790" s="84" t="s">
        <v>112</v>
      </c>
      <c r="H790" s="85">
        <v>44939</v>
      </c>
      <c r="I790" s="84" t="s">
        <v>851</v>
      </c>
      <c r="J790" s="84" t="s">
        <v>804</v>
      </c>
      <c r="K790" s="98" t="s">
        <v>847</v>
      </c>
    </row>
    <row r="791" spans="1:11" x14ac:dyDescent="0.3">
      <c r="A791" s="83">
        <v>1232002442</v>
      </c>
      <c r="B791" s="84">
        <v>55589584</v>
      </c>
      <c r="C791" s="85">
        <v>44945</v>
      </c>
      <c r="D791" s="134">
        <v>668</v>
      </c>
      <c r="E791" s="84" t="s">
        <v>655</v>
      </c>
      <c r="F791" s="84">
        <v>1</v>
      </c>
      <c r="G791" s="84" t="s">
        <v>112</v>
      </c>
      <c r="H791" s="85">
        <v>44945</v>
      </c>
      <c r="I791" s="84" t="s">
        <v>853</v>
      </c>
      <c r="J791" s="84" t="s">
        <v>804</v>
      </c>
    </row>
    <row r="792" spans="1:11" x14ac:dyDescent="0.3">
      <c r="A792" s="83">
        <v>1232002762</v>
      </c>
      <c r="B792" s="84" t="s">
        <v>854</v>
      </c>
      <c r="C792" s="85">
        <v>44946</v>
      </c>
      <c r="D792" s="134">
        <v>480</v>
      </c>
      <c r="E792" s="84" t="s">
        <v>655</v>
      </c>
      <c r="F792" s="84">
        <v>1</v>
      </c>
      <c r="G792" s="84" t="s">
        <v>112</v>
      </c>
      <c r="H792" s="85">
        <v>44946</v>
      </c>
      <c r="I792" s="84" t="s">
        <v>855</v>
      </c>
      <c r="J792" s="84" t="s">
        <v>804</v>
      </c>
    </row>
    <row r="793" spans="1:11" x14ac:dyDescent="0.3">
      <c r="A793" s="83">
        <v>1232003005</v>
      </c>
      <c r="B793" s="84">
        <v>32903323</v>
      </c>
      <c r="C793" s="85">
        <v>44949</v>
      </c>
      <c r="D793" s="134">
        <v>4439.9799999999996</v>
      </c>
      <c r="E793" s="84" t="s">
        <v>655</v>
      </c>
      <c r="F793" s="84">
        <v>2</v>
      </c>
      <c r="G793" s="84" t="s">
        <v>112</v>
      </c>
      <c r="H793" s="85">
        <v>44946</v>
      </c>
      <c r="I793" s="84" t="s">
        <v>856</v>
      </c>
      <c r="J793" s="84" t="s">
        <v>807</v>
      </c>
    </row>
    <row r="794" spans="1:11" x14ac:dyDescent="0.3">
      <c r="A794" s="83">
        <v>1232003304</v>
      </c>
      <c r="B794" s="84">
        <v>69567710</v>
      </c>
      <c r="C794" s="85">
        <v>44950</v>
      </c>
      <c r="D794" s="134">
        <v>297</v>
      </c>
      <c r="E794" s="84" t="s">
        <v>655</v>
      </c>
      <c r="F794" s="84">
        <v>1</v>
      </c>
      <c r="G794" s="84" t="s">
        <v>112</v>
      </c>
      <c r="H794" s="85">
        <v>44949</v>
      </c>
      <c r="I794" s="84" t="s">
        <v>857</v>
      </c>
      <c r="J794" s="84" t="s">
        <v>804</v>
      </c>
    </row>
    <row r="795" spans="1:11" x14ac:dyDescent="0.3">
      <c r="A795" s="83">
        <v>1232003927</v>
      </c>
      <c r="B795" s="84">
        <v>36934549</v>
      </c>
      <c r="C795" s="85">
        <v>44951</v>
      </c>
      <c r="D795" s="134">
        <v>17600.3</v>
      </c>
      <c r="E795" s="84" t="s">
        <v>655</v>
      </c>
      <c r="F795" s="84">
        <v>10</v>
      </c>
      <c r="G795" s="84" t="s">
        <v>112</v>
      </c>
      <c r="H795" s="85">
        <v>44949</v>
      </c>
      <c r="I795" s="84" t="s">
        <v>858</v>
      </c>
      <c r="J795" s="84" t="s">
        <v>807</v>
      </c>
    </row>
    <row r="796" spans="1:11" x14ac:dyDescent="0.3">
      <c r="A796" s="83">
        <v>1232006879</v>
      </c>
      <c r="B796" s="116" t="s">
        <v>859</v>
      </c>
      <c r="C796" s="85">
        <v>44958</v>
      </c>
      <c r="D796" s="134">
        <v>5280.09</v>
      </c>
      <c r="E796" s="84" t="s">
        <v>655</v>
      </c>
      <c r="F796" s="84">
        <v>3</v>
      </c>
      <c r="G796" s="84" t="s">
        <v>112</v>
      </c>
      <c r="H796" s="85">
        <v>44956</v>
      </c>
      <c r="I796" s="84" t="s">
        <v>860</v>
      </c>
      <c r="J796" s="84" t="s">
        <v>807</v>
      </c>
    </row>
    <row r="797" spans="1:11" x14ac:dyDescent="0.3">
      <c r="A797" s="83">
        <v>1232006880</v>
      </c>
      <c r="B797" s="116" t="s">
        <v>861</v>
      </c>
      <c r="C797" s="85">
        <v>44958</v>
      </c>
      <c r="D797" s="134">
        <v>3520.06</v>
      </c>
      <c r="E797" s="84" t="s">
        <v>655</v>
      </c>
      <c r="F797" s="84">
        <v>2</v>
      </c>
      <c r="G797" s="84" t="s">
        <v>112</v>
      </c>
      <c r="H797" s="85">
        <v>44956</v>
      </c>
      <c r="I797" s="84" t="s">
        <v>860</v>
      </c>
      <c r="J797" s="84" t="s">
        <v>807</v>
      </c>
    </row>
    <row r="798" spans="1:11" x14ac:dyDescent="0.3">
      <c r="A798" s="83">
        <v>1232005620</v>
      </c>
      <c r="B798" s="84">
        <v>13688862</v>
      </c>
      <c r="C798" s="85">
        <v>44957</v>
      </c>
      <c r="D798" s="134">
        <v>368</v>
      </c>
      <c r="E798" s="84" t="s">
        <v>655</v>
      </c>
      <c r="F798" s="84">
        <v>1</v>
      </c>
      <c r="G798" s="84" t="s">
        <v>112</v>
      </c>
      <c r="H798" s="85">
        <v>44956</v>
      </c>
      <c r="I798" s="84" t="s">
        <v>862</v>
      </c>
      <c r="J798" s="84" t="s">
        <v>804</v>
      </c>
    </row>
    <row r="799" spans="1:11" x14ac:dyDescent="0.3">
      <c r="A799" s="83">
        <v>1232006104</v>
      </c>
      <c r="B799" s="84">
        <v>15566708</v>
      </c>
      <c r="C799" s="85">
        <v>44958</v>
      </c>
      <c r="D799" s="134">
        <v>480</v>
      </c>
      <c r="E799" s="84" t="s">
        <v>655</v>
      </c>
      <c r="F799" s="84">
        <v>1</v>
      </c>
      <c r="G799" s="84" t="s">
        <v>112</v>
      </c>
      <c r="H799" s="85">
        <v>44956</v>
      </c>
      <c r="I799" s="84" t="s">
        <v>863</v>
      </c>
      <c r="J799" s="84" t="s">
        <v>804</v>
      </c>
    </row>
    <row r="800" spans="1:11" x14ac:dyDescent="0.3">
      <c r="A800" s="87" t="s">
        <v>864</v>
      </c>
      <c r="B800" s="88">
        <v>47580683</v>
      </c>
      <c r="C800" s="89">
        <v>44958</v>
      </c>
      <c r="D800" s="144">
        <v>3142</v>
      </c>
      <c r="E800" s="88" t="s">
        <v>655</v>
      </c>
      <c r="F800" s="88">
        <v>2</v>
      </c>
      <c r="G800" s="88" t="s">
        <v>112</v>
      </c>
      <c r="H800" s="89">
        <v>44956</v>
      </c>
      <c r="I800" s="88" t="s">
        <v>863</v>
      </c>
      <c r="J800" s="88" t="s">
        <v>804</v>
      </c>
      <c r="K800" s="109" t="s">
        <v>676</v>
      </c>
    </row>
    <row r="801" spans="1:11" x14ac:dyDescent="0.3">
      <c r="A801" s="83" t="s">
        <v>865</v>
      </c>
      <c r="B801" s="84">
        <v>37585095</v>
      </c>
      <c r="C801" s="85">
        <v>44958</v>
      </c>
      <c r="D801" s="134">
        <v>1781</v>
      </c>
      <c r="E801" s="84" t="s">
        <v>655</v>
      </c>
      <c r="F801" s="84">
        <v>1</v>
      </c>
      <c r="G801" s="84" t="s">
        <v>112</v>
      </c>
      <c r="H801" s="85">
        <v>44956</v>
      </c>
      <c r="I801" s="84" t="s">
        <v>863</v>
      </c>
      <c r="J801" s="84" t="s">
        <v>804</v>
      </c>
    </row>
    <row r="802" spans="1:11" x14ac:dyDescent="0.3">
      <c r="A802" s="83" t="s">
        <v>866</v>
      </c>
      <c r="B802" s="84">
        <v>8550421</v>
      </c>
      <c r="C802" s="85">
        <v>44958</v>
      </c>
      <c r="D802" s="134">
        <v>368</v>
      </c>
      <c r="E802" s="84" t="s">
        <v>655</v>
      </c>
      <c r="F802" s="84">
        <v>1</v>
      </c>
      <c r="G802" s="84" t="s">
        <v>112</v>
      </c>
      <c r="H802" s="85">
        <v>44956</v>
      </c>
      <c r="I802" s="84" t="s">
        <v>863</v>
      </c>
      <c r="J802" s="84" t="s">
        <v>804</v>
      </c>
    </row>
    <row r="803" spans="1:11" x14ac:dyDescent="0.3">
      <c r="A803" s="83" t="s">
        <v>867</v>
      </c>
      <c r="B803" s="84">
        <v>29550828</v>
      </c>
      <c r="C803" s="85">
        <v>44958</v>
      </c>
      <c r="D803" s="134">
        <v>480</v>
      </c>
      <c r="E803" s="84" t="s">
        <v>655</v>
      </c>
      <c r="F803" s="84">
        <v>1</v>
      </c>
      <c r="G803" s="84" t="s">
        <v>112</v>
      </c>
      <c r="H803" s="85">
        <v>44956</v>
      </c>
      <c r="I803" s="84" t="s">
        <v>863</v>
      </c>
      <c r="J803" s="84" t="s">
        <v>804</v>
      </c>
    </row>
    <row r="804" spans="1:11" x14ac:dyDescent="0.3">
      <c r="A804" s="83" t="s">
        <v>868</v>
      </c>
      <c r="B804" s="84">
        <v>72581748</v>
      </c>
      <c r="C804" s="85">
        <v>44958</v>
      </c>
      <c r="D804" s="134">
        <v>2831</v>
      </c>
      <c r="E804" s="84" t="s">
        <v>655</v>
      </c>
      <c r="F804" s="84">
        <v>2</v>
      </c>
      <c r="G804" s="84" t="s">
        <v>112</v>
      </c>
      <c r="H804" s="85">
        <v>44956</v>
      </c>
      <c r="I804" s="84" t="s">
        <v>863</v>
      </c>
      <c r="J804" s="84" t="s">
        <v>804</v>
      </c>
    </row>
    <row r="805" spans="1:11" x14ac:dyDescent="0.3">
      <c r="A805" s="83" t="s">
        <v>869</v>
      </c>
      <c r="B805" s="84">
        <v>7555040</v>
      </c>
      <c r="C805" s="85">
        <v>44958</v>
      </c>
      <c r="D805" s="134">
        <v>480</v>
      </c>
      <c r="E805" s="84" t="s">
        <v>655</v>
      </c>
      <c r="F805" s="84">
        <v>1</v>
      </c>
      <c r="G805" s="84" t="s">
        <v>112</v>
      </c>
      <c r="H805" s="85">
        <v>44956</v>
      </c>
      <c r="I805" s="84" t="s">
        <v>863</v>
      </c>
      <c r="J805" s="84" t="s">
        <v>804</v>
      </c>
    </row>
    <row r="806" spans="1:11" x14ac:dyDescent="0.3">
      <c r="A806" s="83" t="s">
        <v>870</v>
      </c>
      <c r="B806" s="84">
        <v>14827353</v>
      </c>
      <c r="C806" s="85">
        <v>44958</v>
      </c>
      <c r="D806" s="134">
        <v>314</v>
      </c>
      <c r="E806" s="84" t="s">
        <v>655</v>
      </c>
      <c r="F806" s="84">
        <v>1</v>
      </c>
      <c r="G806" s="84" t="s">
        <v>112</v>
      </c>
      <c r="H806" s="85">
        <v>44956</v>
      </c>
      <c r="I806" s="84" t="s">
        <v>863</v>
      </c>
      <c r="J806" s="84" t="s">
        <v>804</v>
      </c>
    </row>
    <row r="807" spans="1:11" x14ac:dyDescent="0.3">
      <c r="A807" s="83">
        <v>1232006989</v>
      </c>
      <c r="B807" s="84" t="s">
        <v>871</v>
      </c>
      <c r="C807" s="85">
        <v>44958</v>
      </c>
      <c r="D807" s="134">
        <v>314</v>
      </c>
      <c r="E807" s="84" t="s">
        <v>655</v>
      </c>
      <c r="F807" s="84">
        <v>1</v>
      </c>
      <c r="G807" s="84" t="s">
        <v>112</v>
      </c>
      <c r="H807" s="85">
        <v>44956</v>
      </c>
      <c r="I807" s="84" t="s">
        <v>863</v>
      </c>
      <c r="J807" s="84" t="s">
        <v>804</v>
      </c>
    </row>
    <row r="808" spans="1:11" x14ac:dyDescent="0.3">
      <c r="A808" s="87">
        <v>1232007504</v>
      </c>
      <c r="B808" s="88" t="s">
        <v>872</v>
      </c>
      <c r="C808" s="89">
        <v>44959</v>
      </c>
      <c r="D808" s="144">
        <v>592</v>
      </c>
      <c r="E808" s="88" t="s">
        <v>655</v>
      </c>
      <c r="F808" s="88">
        <v>1</v>
      </c>
      <c r="G808" s="88" t="s">
        <v>112</v>
      </c>
      <c r="H808" s="89">
        <v>44957</v>
      </c>
      <c r="I808" s="88" t="s">
        <v>873</v>
      </c>
      <c r="J808" s="88" t="s">
        <v>804</v>
      </c>
      <c r="K808" s="90" t="s">
        <v>676</v>
      </c>
    </row>
    <row r="809" spans="1:11" x14ac:dyDescent="0.3">
      <c r="A809" s="83">
        <v>1232007507</v>
      </c>
      <c r="B809" s="84" t="s">
        <v>874</v>
      </c>
      <c r="C809" s="85">
        <v>44959</v>
      </c>
      <c r="D809" s="134">
        <v>297</v>
      </c>
      <c r="E809" s="84" t="s">
        <v>655</v>
      </c>
      <c r="F809" s="84">
        <v>1</v>
      </c>
      <c r="G809" s="84" t="s">
        <v>112</v>
      </c>
      <c r="H809" s="85">
        <v>44957</v>
      </c>
      <c r="I809" s="84" t="s">
        <v>873</v>
      </c>
      <c r="J809" s="84" t="s">
        <v>804</v>
      </c>
    </row>
    <row r="810" spans="1:11" x14ac:dyDescent="0.3">
      <c r="A810" s="83">
        <v>1232007520</v>
      </c>
      <c r="B810" s="84">
        <v>7566425</v>
      </c>
      <c r="C810" s="85">
        <v>44959</v>
      </c>
      <c r="D810" s="134">
        <v>368</v>
      </c>
      <c r="E810" s="84" t="s">
        <v>655</v>
      </c>
      <c r="F810" s="84">
        <v>1</v>
      </c>
      <c r="G810" s="84" t="s">
        <v>112</v>
      </c>
      <c r="H810" s="85">
        <v>44957</v>
      </c>
      <c r="I810" s="84" t="s">
        <v>873</v>
      </c>
      <c r="J810" s="84" t="s">
        <v>804</v>
      </c>
    </row>
    <row r="811" spans="1:11" x14ac:dyDescent="0.3">
      <c r="A811" s="83">
        <v>1232007531</v>
      </c>
      <c r="B811" s="84">
        <v>14919057</v>
      </c>
      <c r="C811" s="85">
        <v>44959</v>
      </c>
      <c r="D811" s="134">
        <v>368</v>
      </c>
      <c r="E811" s="84" t="s">
        <v>655</v>
      </c>
      <c r="F811" s="84">
        <v>1</v>
      </c>
      <c r="G811" s="84" t="s">
        <v>112</v>
      </c>
      <c r="H811" s="85">
        <v>44957</v>
      </c>
      <c r="I811" s="84" t="s">
        <v>873</v>
      </c>
      <c r="J811" s="84" t="s">
        <v>804</v>
      </c>
    </row>
    <row r="812" spans="1:11" x14ac:dyDescent="0.3">
      <c r="A812" s="83">
        <v>1232007563</v>
      </c>
      <c r="B812" s="84">
        <v>14997615</v>
      </c>
      <c r="C812" s="85">
        <v>44959</v>
      </c>
      <c r="D812" s="134">
        <v>368</v>
      </c>
      <c r="E812" s="84" t="s">
        <v>655</v>
      </c>
      <c r="F812" s="84">
        <v>1</v>
      </c>
      <c r="G812" s="84" t="s">
        <v>112</v>
      </c>
      <c r="H812" s="85">
        <v>44957</v>
      </c>
      <c r="I812" s="84" t="s">
        <v>873</v>
      </c>
      <c r="J812" s="84" t="s">
        <v>804</v>
      </c>
    </row>
    <row r="813" spans="1:11" x14ac:dyDescent="0.3">
      <c r="A813" s="83">
        <v>1232007846</v>
      </c>
      <c r="B813" s="116" t="s">
        <v>875</v>
      </c>
      <c r="C813" s="85">
        <v>44960</v>
      </c>
      <c r="D813" s="134">
        <v>314</v>
      </c>
      <c r="E813" s="84" t="s">
        <v>655</v>
      </c>
      <c r="F813" s="84">
        <v>1</v>
      </c>
      <c r="G813" s="84" t="s">
        <v>112</v>
      </c>
      <c r="H813" s="85">
        <v>44959</v>
      </c>
      <c r="I813" s="84" t="s">
        <v>876</v>
      </c>
      <c r="J813" s="84" t="s">
        <v>804</v>
      </c>
    </row>
    <row r="814" spans="1:11" x14ac:dyDescent="0.3">
      <c r="A814" s="87">
        <v>1232007851</v>
      </c>
      <c r="B814" s="88">
        <v>15698831</v>
      </c>
      <c r="C814" s="89">
        <v>44960</v>
      </c>
      <c r="D814" s="144">
        <v>424</v>
      </c>
      <c r="E814" s="88" t="s">
        <v>655</v>
      </c>
      <c r="F814" s="88">
        <v>1</v>
      </c>
      <c r="G814" s="88" t="s">
        <v>112</v>
      </c>
      <c r="H814" s="89">
        <v>44959</v>
      </c>
      <c r="I814" s="88" t="s">
        <v>876</v>
      </c>
      <c r="J814" s="88" t="s">
        <v>804</v>
      </c>
    </row>
    <row r="815" spans="1:11" x14ac:dyDescent="0.3">
      <c r="A815" s="83">
        <v>1232007865</v>
      </c>
      <c r="B815" s="84">
        <v>71570814</v>
      </c>
      <c r="C815" s="85">
        <v>44960</v>
      </c>
      <c r="D815" s="134">
        <v>314</v>
      </c>
      <c r="E815" s="84" t="s">
        <v>655</v>
      </c>
      <c r="F815" s="84">
        <v>1</v>
      </c>
      <c r="G815" s="84" t="s">
        <v>112</v>
      </c>
      <c r="H815" s="85">
        <v>44959</v>
      </c>
      <c r="I815" s="84" t="s">
        <v>876</v>
      </c>
      <c r="J815" s="84" t="s">
        <v>804</v>
      </c>
    </row>
    <row r="816" spans="1:11" x14ac:dyDescent="0.3">
      <c r="A816" s="83">
        <v>1232008213</v>
      </c>
      <c r="B816" s="84" t="s">
        <v>877</v>
      </c>
      <c r="C816" s="85">
        <v>44963</v>
      </c>
      <c r="D816" s="134">
        <v>592</v>
      </c>
      <c r="E816" s="84" t="s">
        <v>655</v>
      </c>
      <c r="F816" s="84">
        <v>1</v>
      </c>
      <c r="G816" s="84" t="s">
        <v>112</v>
      </c>
      <c r="H816" s="85">
        <v>44959</v>
      </c>
      <c r="I816" s="84" t="s">
        <v>878</v>
      </c>
      <c r="J816" s="84" t="s">
        <v>804</v>
      </c>
    </row>
    <row r="817" spans="1:10" x14ac:dyDescent="0.3">
      <c r="A817" s="83">
        <v>1232008214</v>
      </c>
      <c r="B817" s="84">
        <v>52568992</v>
      </c>
      <c r="C817" s="85">
        <v>44963</v>
      </c>
      <c r="D817" s="134">
        <v>314</v>
      </c>
      <c r="E817" s="84" t="s">
        <v>655</v>
      </c>
      <c r="F817" s="84">
        <v>1</v>
      </c>
      <c r="G817" s="84" t="s">
        <v>112</v>
      </c>
      <c r="H817" s="85">
        <v>44959</v>
      </c>
      <c r="I817" s="84" t="s">
        <v>878</v>
      </c>
      <c r="J817" s="84" t="s">
        <v>804</v>
      </c>
    </row>
    <row r="818" spans="1:10" x14ac:dyDescent="0.3">
      <c r="A818" s="83">
        <v>1232009637</v>
      </c>
      <c r="B818" s="84">
        <v>39580679</v>
      </c>
      <c r="C818" s="85">
        <v>44965</v>
      </c>
      <c r="D818" s="134">
        <v>648</v>
      </c>
      <c r="E818" s="84" t="s">
        <v>655</v>
      </c>
      <c r="F818" s="84">
        <v>1</v>
      </c>
      <c r="G818" s="84" t="s">
        <v>112</v>
      </c>
      <c r="H818" s="85">
        <v>44964</v>
      </c>
      <c r="I818" s="84" t="s">
        <v>879</v>
      </c>
      <c r="J818" s="84" t="s">
        <v>804</v>
      </c>
    </row>
    <row r="819" spans="1:10" x14ac:dyDescent="0.3">
      <c r="A819" s="83">
        <v>1232009712</v>
      </c>
      <c r="B819" s="84">
        <v>15999920</v>
      </c>
      <c r="C819" s="85">
        <v>44965</v>
      </c>
      <c r="D819" s="134">
        <v>984</v>
      </c>
      <c r="E819" s="84" t="s">
        <v>655</v>
      </c>
      <c r="F819" s="84">
        <v>1</v>
      </c>
      <c r="G819" s="84" t="s">
        <v>112</v>
      </c>
      <c r="H819" s="85">
        <v>44964</v>
      </c>
      <c r="I819" s="84" t="s">
        <v>879</v>
      </c>
      <c r="J819" s="84" t="s">
        <v>804</v>
      </c>
    </row>
    <row r="820" spans="1:10" x14ac:dyDescent="0.3">
      <c r="A820" s="83">
        <v>1232009768</v>
      </c>
      <c r="B820" s="84">
        <v>59574625</v>
      </c>
      <c r="C820" s="85">
        <v>44965</v>
      </c>
      <c r="D820" s="134">
        <v>592</v>
      </c>
      <c r="E820" s="84" t="s">
        <v>655</v>
      </c>
      <c r="F820" s="84">
        <v>1</v>
      </c>
      <c r="G820" s="84" t="s">
        <v>112</v>
      </c>
      <c r="H820" s="85">
        <v>44964</v>
      </c>
      <c r="I820" s="84" t="s">
        <v>879</v>
      </c>
      <c r="J820" s="84" t="s">
        <v>804</v>
      </c>
    </row>
    <row r="821" spans="1:10" x14ac:dyDescent="0.3">
      <c r="A821" s="83">
        <v>1232009522</v>
      </c>
      <c r="B821" s="84">
        <v>46931566</v>
      </c>
      <c r="C821" s="85">
        <v>44965</v>
      </c>
      <c r="D821" s="134">
        <v>14080.24</v>
      </c>
      <c r="E821" s="84" t="s">
        <v>655</v>
      </c>
      <c r="F821" s="84">
        <v>8</v>
      </c>
      <c r="G821" s="84" t="s">
        <v>112</v>
      </c>
      <c r="H821" s="85">
        <v>44964</v>
      </c>
      <c r="I821" s="84" t="s">
        <v>880</v>
      </c>
      <c r="J821" s="84" t="s">
        <v>807</v>
      </c>
    </row>
    <row r="822" spans="1:10" x14ac:dyDescent="0.3">
      <c r="A822" s="83">
        <v>1232009623</v>
      </c>
      <c r="B822" s="84">
        <v>18557752</v>
      </c>
      <c r="C822" s="85">
        <v>44965</v>
      </c>
      <c r="D822" s="134">
        <v>368</v>
      </c>
      <c r="E822" s="84" t="s">
        <v>655</v>
      </c>
      <c r="F822" s="84">
        <v>1</v>
      </c>
      <c r="G822" s="84" t="s">
        <v>112</v>
      </c>
      <c r="H822" s="85">
        <v>44964</v>
      </c>
      <c r="I822" s="84" t="s">
        <v>879</v>
      </c>
      <c r="J822" s="84" t="s">
        <v>804</v>
      </c>
    </row>
    <row r="823" spans="1:10" x14ac:dyDescent="0.3">
      <c r="A823" s="83">
        <v>1232009715</v>
      </c>
      <c r="B823" s="84">
        <v>16607846</v>
      </c>
      <c r="C823" s="85">
        <v>44965</v>
      </c>
      <c r="D823" s="134">
        <v>291</v>
      </c>
      <c r="E823" s="84" t="s">
        <v>655</v>
      </c>
      <c r="F823" s="84">
        <v>1</v>
      </c>
      <c r="G823" s="84" t="s">
        <v>112</v>
      </c>
      <c r="H823" s="85">
        <v>44964</v>
      </c>
      <c r="I823" s="84" t="s">
        <v>879</v>
      </c>
      <c r="J823" s="84" t="s">
        <v>804</v>
      </c>
    </row>
    <row r="824" spans="1:10" x14ac:dyDescent="0.3">
      <c r="A824" s="83">
        <v>1232010262</v>
      </c>
      <c r="B824" s="116" t="s">
        <v>881</v>
      </c>
      <c r="C824" s="85">
        <v>44966</v>
      </c>
      <c r="D824" s="134">
        <v>2494</v>
      </c>
      <c r="E824" s="84" t="s">
        <v>655</v>
      </c>
      <c r="F824" s="84">
        <v>2</v>
      </c>
      <c r="G824" s="84" t="s">
        <v>112</v>
      </c>
      <c r="H824" s="85">
        <v>44964</v>
      </c>
      <c r="I824" s="84" t="s">
        <v>882</v>
      </c>
      <c r="J824" s="84" t="s">
        <v>804</v>
      </c>
    </row>
    <row r="825" spans="1:10" x14ac:dyDescent="0.3">
      <c r="A825" s="83">
        <v>1232010641</v>
      </c>
      <c r="B825" s="84" t="s">
        <v>883</v>
      </c>
      <c r="C825" s="85">
        <v>44967</v>
      </c>
      <c r="D825" s="134">
        <v>1152</v>
      </c>
      <c r="E825" s="84" t="s">
        <v>655</v>
      </c>
      <c r="F825" s="84">
        <v>1</v>
      </c>
      <c r="G825" s="84" t="s">
        <v>112</v>
      </c>
      <c r="H825" s="85">
        <v>44965</v>
      </c>
      <c r="I825" s="84" t="s">
        <v>884</v>
      </c>
      <c r="J825" s="84" t="s">
        <v>804</v>
      </c>
    </row>
    <row r="826" spans="1:10" x14ac:dyDescent="0.3">
      <c r="A826" s="83">
        <v>1232011136</v>
      </c>
      <c r="B826" s="116" t="s">
        <v>885</v>
      </c>
      <c r="C826" s="85">
        <v>44971</v>
      </c>
      <c r="D826" s="134">
        <v>668</v>
      </c>
      <c r="E826" s="84" t="s">
        <v>655</v>
      </c>
      <c r="F826" s="84">
        <v>1</v>
      </c>
      <c r="G826" s="84" t="s">
        <v>112</v>
      </c>
      <c r="H826" s="85">
        <v>44967</v>
      </c>
      <c r="I826" s="84" t="s">
        <v>886</v>
      </c>
      <c r="J826" s="84" t="s">
        <v>804</v>
      </c>
    </row>
    <row r="827" spans="1:10" x14ac:dyDescent="0.3">
      <c r="A827" s="83">
        <v>1232011169</v>
      </c>
      <c r="B827" s="84">
        <v>17971784</v>
      </c>
      <c r="C827" s="85">
        <v>44971</v>
      </c>
      <c r="D827" s="134">
        <v>424</v>
      </c>
      <c r="E827" s="84" t="s">
        <v>655</v>
      </c>
      <c r="F827" s="84">
        <v>1</v>
      </c>
      <c r="G827" s="84" t="s">
        <v>112</v>
      </c>
      <c r="H827" s="85">
        <v>44967</v>
      </c>
      <c r="I827" s="84" t="s">
        <v>886</v>
      </c>
      <c r="J827" s="84" t="s">
        <v>804</v>
      </c>
    </row>
    <row r="828" spans="1:10" x14ac:dyDescent="0.3">
      <c r="A828" s="83">
        <v>1232011561</v>
      </c>
      <c r="B828" s="84" t="s">
        <v>887</v>
      </c>
      <c r="C828" s="85">
        <v>44971</v>
      </c>
      <c r="D828" s="134">
        <v>648</v>
      </c>
      <c r="E828" s="84" t="s">
        <v>655</v>
      </c>
      <c r="F828" s="84">
        <v>1</v>
      </c>
      <c r="G828" s="84" t="s">
        <v>112</v>
      </c>
      <c r="H828" s="85">
        <v>44967</v>
      </c>
      <c r="I828" s="84" t="s">
        <v>886</v>
      </c>
      <c r="J828" s="84" t="s">
        <v>804</v>
      </c>
    </row>
    <row r="829" spans="1:10" x14ac:dyDescent="0.3">
      <c r="A829" s="83">
        <v>1232012041</v>
      </c>
      <c r="B829" s="84">
        <v>38916382</v>
      </c>
      <c r="C829" s="85">
        <v>44972</v>
      </c>
      <c r="D829" s="134">
        <v>15840.27</v>
      </c>
      <c r="E829" s="84" t="s">
        <v>655</v>
      </c>
      <c r="F829" s="84">
        <v>9</v>
      </c>
      <c r="G829" s="84" t="s">
        <v>112</v>
      </c>
      <c r="H829" s="85">
        <v>44970</v>
      </c>
      <c r="I829" s="84" t="s">
        <v>888</v>
      </c>
      <c r="J829" s="84" t="s">
        <v>807</v>
      </c>
    </row>
    <row r="830" spans="1:10" x14ac:dyDescent="0.3">
      <c r="A830" s="83">
        <v>1232012046</v>
      </c>
      <c r="B830" s="84">
        <v>45903604</v>
      </c>
      <c r="C830" s="85">
        <v>44972</v>
      </c>
      <c r="D830" s="134">
        <v>14080.24</v>
      </c>
      <c r="E830" s="84" t="s">
        <v>655</v>
      </c>
      <c r="F830" s="84">
        <v>8</v>
      </c>
      <c r="G830" s="84" t="s">
        <v>112</v>
      </c>
      <c r="H830" s="85">
        <v>44970</v>
      </c>
      <c r="I830" s="84" t="s">
        <v>888</v>
      </c>
      <c r="J830" s="84" t="s">
        <v>807</v>
      </c>
    </row>
    <row r="831" spans="1:10" x14ac:dyDescent="0.3">
      <c r="A831" s="83">
        <v>1232012151</v>
      </c>
      <c r="B831" s="84" t="s">
        <v>889</v>
      </c>
      <c r="C831" s="85">
        <v>44972</v>
      </c>
      <c r="D831" s="134">
        <v>592</v>
      </c>
      <c r="E831" s="84" t="s">
        <v>655</v>
      </c>
      <c r="F831" s="84">
        <v>1</v>
      </c>
      <c r="G831" s="84" t="s">
        <v>112</v>
      </c>
      <c r="H831" s="85">
        <v>44970</v>
      </c>
      <c r="I831" s="84" t="s">
        <v>890</v>
      </c>
      <c r="J831" s="84" t="s">
        <v>804</v>
      </c>
    </row>
    <row r="832" spans="1:10" x14ac:dyDescent="0.3">
      <c r="A832" s="83">
        <v>1232012178</v>
      </c>
      <c r="B832" s="84">
        <v>18572081</v>
      </c>
      <c r="C832" s="85">
        <v>44972</v>
      </c>
      <c r="D832" s="134">
        <v>1040</v>
      </c>
      <c r="E832" s="84" t="s">
        <v>655</v>
      </c>
      <c r="F832" s="84">
        <v>1</v>
      </c>
      <c r="G832" s="84" t="s">
        <v>112</v>
      </c>
      <c r="H832" s="85">
        <v>44970</v>
      </c>
      <c r="I832" s="84" t="s">
        <v>890</v>
      </c>
      <c r="J832" s="84" t="s">
        <v>804</v>
      </c>
    </row>
    <row r="833" spans="1:10" x14ac:dyDescent="0.3">
      <c r="A833" s="83">
        <v>1232012225</v>
      </c>
      <c r="B833" s="84">
        <v>21587396</v>
      </c>
      <c r="C833" s="85">
        <v>44972</v>
      </c>
      <c r="D833" s="134">
        <v>368</v>
      </c>
      <c r="E833" s="84" t="s">
        <v>655</v>
      </c>
      <c r="F833" s="84">
        <v>1</v>
      </c>
      <c r="G833" s="84" t="s">
        <v>112</v>
      </c>
      <c r="H833" s="85">
        <v>44970</v>
      </c>
      <c r="I833" s="84" t="s">
        <v>890</v>
      </c>
      <c r="J833" s="84" t="s">
        <v>804</v>
      </c>
    </row>
    <row r="834" spans="1:10" x14ac:dyDescent="0.3">
      <c r="A834" s="83">
        <v>1232012730</v>
      </c>
      <c r="B834" s="84">
        <v>31901417</v>
      </c>
      <c r="C834" s="85">
        <v>44973</v>
      </c>
      <c r="D834" s="134">
        <v>5280.09</v>
      </c>
      <c r="E834" s="84" t="s">
        <v>655</v>
      </c>
      <c r="F834" s="84">
        <v>3</v>
      </c>
      <c r="G834" s="84" t="s">
        <v>112</v>
      </c>
      <c r="H834" s="85">
        <v>44971</v>
      </c>
      <c r="I834" s="84" t="s">
        <v>891</v>
      </c>
      <c r="J834" s="84" t="s">
        <v>807</v>
      </c>
    </row>
    <row r="835" spans="1:10" x14ac:dyDescent="0.3">
      <c r="A835" s="83">
        <v>1232012669</v>
      </c>
      <c r="B835" s="84">
        <v>19794283</v>
      </c>
      <c r="C835" s="85">
        <v>44973</v>
      </c>
      <c r="D835" s="134">
        <v>1152</v>
      </c>
      <c r="E835" s="84" t="s">
        <v>655</v>
      </c>
      <c r="F835" s="84">
        <v>1</v>
      </c>
      <c r="G835" s="84" t="s">
        <v>112</v>
      </c>
      <c r="H835" s="85">
        <v>44971</v>
      </c>
      <c r="I835" s="84" t="s">
        <v>892</v>
      </c>
      <c r="J835" s="84" t="s">
        <v>804</v>
      </c>
    </row>
    <row r="836" spans="1:10" x14ac:dyDescent="0.3">
      <c r="A836" s="83">
        <v>1232013017</v>
      </c>
      <c r="B836" s="84">
        <v>31901882</v>
      </c>
      <c r="C836" s="85">
        <v>44974</v>
      </c>
      <c r="D836" s="134">
        <v>5280.09</v>
      </c>
      <c r="E836" s="84" t="s">
        <v>655</v>
      </c>
      <c r="F836" s="84">
        <v>3</v>
      </c>
      <c r="G836" s="84" t="s">
        <v>112</v>
      </c>
      <c r="H836" s="85">
        <v>44972</v>
      </c>
      <c r="I836" s="84" t="s">
        <v>893</v>
      </c>
      <c r="J836" s="84" t="s">
        <v>807</v>
      </c>
    </row>
    <row r="837" spans="1:10" x14ac:dyDescent="0.3">
      <c r="A837" s="83">
        <v>1232012988</v>
      </c>
      <c r="B837" s="84">
        <v>14586421</v>
      </c>
      <c r="C837" s="85">
        <v>44974</v>
      </c>
      <c r="D837" s="134">
        <v>314</v>
      </c>
      <c r="E837" s="84" t="s">
        <v>655</v>
      </c>
      <c r="F837" s="84">
        <v>1</v>
      </c>
      <c r="G837" s="84" t="s">
        <v>112</v>
      </c>
      <c r="H837" s="85">
        <v>44972</v>
      </c>
      <c r="I837" s="84" t="s">
        <v>894</v>
      </c>
      <c r="J837" s="84" t="s">
        <v>804</v>
      </c>
    </row>
    <row r="838" spans="1:10" x14ac:dyDescent="0.3">
      <c r="A838" s="83">
        <v>1232013378</v>
      </c>
      <c r="B838" s="84">
        <v>78572744</v>
      </c>
      <c r="C838" s="85">
        <v>44977</v>
      </c>
      <c r="D838" s="134">
        <v>536</v>
      </c>
      <c r="E838" s="84" t="s">
        <v>655</v>
      </c>
      <c r="F838" s="84">
        <v>1</v>
      </c>
      <c r="G838" s="84" t="s">
        <v>112</v>
      </c>
      <c r="H838" s="85">
        <v>44976</v>
      </c>
      <c r="I838" s="84"/>
      <c r="J838" s="84" t="s">
        <v>804</v>
      </c>
    </row>
    <row r="839" spans="1:10" x14ac:dyDescent="0.3">
      <c r="A839" s="83">
        <v>1232014729</v>
      </c>
      <c r="B839" s="116" t="s">
        <v>895</v>
      </c>
      <c r="C839" s="85">
        <v>44979</v>
      </c>
      <c r="D839" s="134">
        <v>14080.24</v>
      </c>
      <c r="E839" s="84" t="s">
        <v>655</v>
      </c>
      <c r="F839" s="84">
        <v>8</v>
      </c>
      <c r="G839" s="84" t="s">
        <v>112</v>
      </c>
      <c r="H839" s="85">
        <v>44977</v>
      </c>
      <c r="I839" s="84" t="s">
        <v>896</v>
      </c>
      <c r="J839" s="84" t="s">
        <v>807</v>
      </c>
    </row>
    <row r="840" spans="1:10" x14ac:dyDescent="0.3">
      <c r="A840" s="83">
        <v>1232014849</v>
      </c>
      <c r="B840" s="84" t="s">
        <v>897</v>
      </c>
      <c r="C840" s="85">
        <v>44979</v>
      </c>
      <c r="D840" s="134">
        <v>1096</v>
      </c>
      <c r="E840" s="84" t="s">
        <v>655</v>
      </c>
      <c r="F840" s="84">
        <v>1</v>
      </c>
      <c r="G840" s="84" t="s">
        <v>112</v>
      </c>
      <c r="H840" s="85">
        <v>44977</v>
      </c>
      <c r="I840" s="84" t="s">
        <v>898</v>
      </c>
      <c r="J840" s="84" t="s">
        <v>804</v>
      </c>
    </row>
    <row r="841" spans="1:10" x14ac:dyDescent="0.3">
      <c r="A841" s="83">
        <v>1232014859</v>
      </c>
      <c r="B841" s="84">
        <v>12576241</v>
      </c>
      <c r="C841" s="85">
        <v>44979</v>
      </c>
      <c r="D841" s="134">
        <v>368</v>
      </c>
      <c r="E841" s="84" t="s">
        <v>655</v>
      </c>
      <c r="F841" s="84">
        <v>1</v>
      </c>
      <c r="G841" s="84" t="s">
        <v>112</v>
      </c>
      <c r="H841" s="85">
        <v>44977</v>
      </c>
      <c r="I841" s="84" t="s">
        <v>898</v>
      </c>
      <c r="J841" s="84" t="s">
        <v>804</v>
      </c>
    </row>
    <row r="842" spans="1:10" x14ac:dyDescent="0.3">
      <c r="A842" s="83">
        <v>1232014864</v>
      </c>
      <c r="B842" s="84">
        <v>32553787</v>
      </c>
      <c r="C842" s="85">
        <v>44979</v>
      </c>
      <c r="D842" s="134">
        <v>562</v>
      </c>
      <c r="E842" s="84" t="s">
        <v>655</v>
      </c>
      <c r="F842" s="84">
        <v>1</v>
      </c>
      <c r="G842" s="84" t="s">
        <v>112</v>
      </c>
      <c r="H842" s="85">
        <v>44977</v>
      </c>
      <c r="I842" s="84" t="s">
        <v>898</v>
      </c>
      <c r="J842" s="84" t="s">
        <v>804</v>
      </c>
    </row>
    <row r="843" spans="1:10" x14ac:dyDescent="0.3">
      <c r="A843" s="83">
        <v>1232014863</v>
      </c>
      <c r="B843" s="84" t="s">
        <v>899</v>
      </c>
      <c r="C843" s="85">
        <v>44979</v>
      </c>
      <c r="D843" s="134">
        <v>424</v>
      </c>
      <c r="E843" s="84" t="s">
        <v>655</v>
      </c>
      <c r="F843" s="84">
        <v>1</v>
      </c>
      <c r="G843" s="84" t="s">
        <v>112</v>
      </c>
      <c r="H843" s="85">
        <v>44977</v>
      </c>
      <c r="I843" s="84" t="s">
        <v>898</v>
      </c>
      <c r="J843" s="84" t="s">
        <v>804</v>
      </c>
    </row>
    <row r="844" spans="1:10" x14ac:dyDescent="0.3">
      <c r="A844" s="83">
        <v>1232015625</v>
      </c>
      <c r="B844" s="84">
        <v>14586532</v>
      </c>
      <c r="C844" s="85">
        <v>44980</v>
      </c>
      <c r="D844" s="134">
        <v>314</v>
      </c>
      <c r="E844" s="84" t="s">
        <v>655</v>
      </c>
      <c r="F844" s="84">
        <v>1</v>
      </c>
      <c r="G844" s="84" t="s">
        <v>112</v>
      </c>
      <c r="H844" s="85">
        <v>44978</v>
      </c>
      <c r="I844" s="84" t="s">
        <v>900</v>
      </c>
      <c r="J844" s="84" t="s">
        <v>804</v>
      </c>
    </row>
    <row r="845" spans="1:10" x14ac:dyDescent="0.3">
      <c r="A845" s="83">
        <v>1232015678</v>
      </c>
      <c r="B845" s="84">
        <v>71584483</v>
      </c>
      <c r="C845" s="85">
        <v>44980</v>
      </c>
      <c r="D845" s="134">
        <v>424</v>
      </c>
      <c r="E845" s="84" t="s">
        <v>655</v>
      </c>
      <c r="F845" s="84">
        <v>1</v>
      </c>
      <c r="G845" s="84" t="s">
        <v>112</v>
      </c>
      <c r="H845" s="85">
        <v>44978</v>
      </c>
      <c r="I845" s="84" t="s">
        <v>900</v>
      </c>
      <c r="J845" s="84" t="s">
        <v>804</v>
      </c>
    </row>
    <row r="846" spans="1:10" x14ac:dyDescent="0.3">
      <c r="A846" s="83">
        <v>1232016216</v>
      </c>
      <c r="B846" s="84">
        <v>72582294</v>
      </c>
      <c r="C846" s="85">
        <v>44981</v>
      </c>
      <c r="D846" s="134">
        <v>314</v>
      </c>
      <c r="E846" s="84" t="s">
        <v>655</v>
      </c>
      <c r="F846" s="84">
        <v>1</v>
      </c>
      <c r="G846" s="84" t="s">
        <v>112</v>
      </c>
      <c r="H846" s="85">
        <v>44980</v>
      </c>
      <c r="I846" s="84" t="s">
        <v>901</v>
      </c>
      <c r="J846" s="84" t="s">
        <v>804</v>
      </c>
    </row>
    <row r="847" spans="1:10" x14ac:dyDescent="0.3">
      <c r="A847" s="83">
        <v>1232016244</v>
      </c>
      <c r="B847" s="84">
        <v>88585122</v>
      </c>
      <c r="C847" s="85">
        <v>44981</v>
      </c>
      <c r="D847" s="134">
        <v>592</v>
      </c>
      <c r="E847" s="84" t="s">
        <v>655</v>
      </c>
      <c r="F847" s="84">
        <v>1</v>
      </c>
      <c r="G847" s="84" t="s">
        <v>112</v>
      </c>
      <c r="H847" s="85">
        <v>44980</v>
      </c>
      <c r="I847" s="84" t="s">
        <v>901</v>
      </c>
      <c r="J847" s="84" t="s">
        <v>804</v>
      </c>
    </row>
    <row r="848" spans="1:10" x14ac:dyDescent="0.3">
      <c r="A848" s="83">
        <v>1232016275</v>
      </c>
      <c r="B848" s="84">
        <v>22962801</v>
      </c>
      <c r="C848" s="85">
        <v>44981</v>
      </c>
      <c r="D848" s="134">
        <v>1264</v>
      </c>
      <c r="E848" s="84" t="s">
        <v>655</v>
      </c>
      <c r="F848" s="84">
        <v>1</v>
      </c>
      <c r="G848" s="84" t="s">
        <v>112</v>
      </c>
      <c r="H848" s="85">
        <v>44980</v>
      </c>
      <c r="I848" s="84" t="s">
        <v>901</v>
      </c>
      <c r="J848" s="84" t="s">
        <v>804</v>
      </c>
    </row>
    <row r="849" spans="1:10" x14ac:dyDescent="0.3">
      <c r="A849" s="87">
        <v>1232016742</v>
      </c>
      <c r="B849" s="88" t="s">
        <v>887</v>
      </c>
      <c r="C849" s="89">
        <v>44981</v>
      </c>
      <c r="D849" s="144">
        <v>704</v>
      </c>
      <c r="E849" s="88" t="s">
        <v>655</v>
      </c>
      <c r="F849" s="88">
        <v>1</v>
      </c>
      <c r="G849" s="88" t="s">
        <v>112</v>
      </c>
      <c r="H849" s="89">
        <v>44980</v>
      </c>
      <c r="I849" s="88" t="s">
        <v>901</v>
      </c>
      <c r="J849" s="88" t="s">
        <v>804</v>
      </c>
    </row>
    <row r="850" spans="1:10" x14ac:dyDescent="0.3">
      <c r="A850" s="83">
        <v>1232016646</v>
      </c>
      <c r="B850" s="84">
        <v>23665365</v>
      </c>
      <c r="C850" s="85">
        <v>44984</v>
      </c>
      <c r="D850" s="134">
        <v>2402</v>
      </c>
      <c r="E850" s="84" t="s">
        <v>655</v>
      </c>
      <c r="F850" s="84">
        <v>2</v>
      </c>
      <c r="G850" s="84" t="s">
        <v>112</v>
      </c>
      <c r="H850" s="85">
        <v>44980</v>
      </c>
      <c r="I850" s="84" t="s">
        <v>902</v>
      </c>
      <c r="J850" s="84" t="s">
        <v>804</v>
      </c>
    </row>
    <row r="851" spans="1:10" x14ac:dyDescent="0.3">
      <c r="A851" s="83">
        <v>1232017326</v>
      </c>
      <c r="B851" s="84">
        <v>35902884</v>
      </c>
      <c r="C851" s="85">
        <v>44986</v>
      </c>
      <c r="D851" s="134">
        <v>15840.27</v>
      </c>
      <c r="E851" s="84" t="s">
        <v>655</v>
      </c>
      <c r="F851" s="84">
        <v>9</v>
      </c>
      <c r="G851" s="84" t="s">
        <v>112</v>
      </c>
      <c r="H851" s="85">
        <v>44985</v>
      </c>
      <c r="I851" s="84" t="s">
        <v>903</v>
      </c>
      <c r="J851" s="84" t="s">
        <v>807</v>
      </c>
    </row>
    <row r="852" spans="1:10" x14ac:dyDescent="0.3">
      <c r="A852" s="83">
        <v>1232016963</v>
      </c>
      <c r="B852" s="84">
        <v>85571085</v>
      </c>
      <c r="C852" s="85">
        <v>44986</v>
      </c>
      <c r="D852" s="134">
        <v>314</v>
      </c>
      <c r="E852" s="84" t="s">
        <v>655</v>
      </c>
      <c r="F852" s="84">
        <v>1</v>
      </c>
      <c r="G852" s="84" t="s">
        <v>112</v>
      </c>
      <c r="H852" s="85">
        <v>44985</v>
      </c>
      <c r="I852" s="84" t="s">
        <v>904</v>
      </c>
      <c r="J852" s="84" t="s">
        <v>804</v>
      </c>
    </row>
    <row r="853" spans="1:10" x14ac:dyDescent="0.3">
      <c r="A853" s="83">
        <v>1232016964</v>
      </c>
      <c r="B853" s="84">
        <v>5564178</v>
      </c>
      <c r="C853" s="85">
        <v>44986</v>
      </c>
      <c r="D853" s="134">
        <v>536</v>
      </c>
      <c r="E853" s="84" t="s">
        <v>655</v>
      </c>
      <c r="F853" s="84">
        <v>1</v>
      </c>
      <c r="G853" s="84" t="s">
        <v>112</v>
      </c>
      <c r="H853" s="85">
        <v>44985</v>
      </c>
      <c r="I853" s="84" t="s">
        <v>904</v>
      </c>
      <c r="J853" s="84" t="s">
        <v>804</v>
      </c>
    </row>
    <row r="854" spans="1:10" x14ac:dyDescent="0.3">
      <c r="A854" s="83">
        <v>1232019618</v>
      </c>
      <c r="B854" s="84">
        <v>35906273</v>
      </c>
      <c r="C854" s="85">
        <v>44993</v>
      </c>
      <c r="D854" s="134">
        <v>11480.1</v>
      </c>
      <c r="E854" s="84" t="s">
        <v>655</v>
      </c>
      <c r="F854" s="84">
        <v>6</v>
      </c>
      <c r="G854" s="84" t="s">
        <v>112</v>
      </c>
      <c r="H854" s="85">
        <v>44992</v>
      </c>
      <c r="I854" s="84"/>
      <c r="J854" s="84" t="s">
        <v>807</v>
      </c>
    </row>
    <row r="855" spans="1:10" x14ac:dyDescent="0.3">
      <c r="A855" s="83">
        <v>1232019903</v>
      </c>
      <c r="B855" s="84">
        <v>46943956</v>
      </c>
      <c r="C855" s="85">
        <v>44993</v>
      </c>
      <c r="D855" s="134">
        <v>17600.3</v>
      </c>
      <c r="E855" s="84" t="s">
        <v>655</v>
      </c>
      <c r="F855" s="84">
        <v>10</v>
      </c>
      <c r="G855" s="84" t="s">
        <v>112</v>
      </c>
      <c r="H855" s="85">
        <v>44992</v>
      </c>
      <c r="I855" s="84"/>
      <c r="J855" s="84" t="s">
        <v>807</v>
      </c>
    </row>
    <row r="856" spans="1:10" x14ac:dyDescent="0.3">
      <c r="A856" s="83">
        <v>1232019905</v>
      </c>
      <c r="B856" s="116" t="s">
        <v>905</v>
      </c>
      <c r="C856" s="85">
        <v>44993</v>
      </c>
      <c r="D856" s="134">
        <v>7040.12</v>
      </c>
      <c r="E856" s="84" t="s">
        <v>655</v>
      </c>
      <c r="F856" s="84">
        <v>4</v>
      </c>
      <c r="G856" s="84" t="s">
        <v>112</v>
      </c>
      <c r="H856" s="85">
        <v>44992</v>
      </c>
      <c r="I856" s="84"/>
      <c r="J856" s="84" t="s">
        <v>807</v>
      </c>
    </row>
    <row r="857" spans="1:10" x14ac:dyDescent="0.3">
      <c r="A857" s="83">
        <v>1232019243</v>
      </c>
      <c r="B857" s="84">
        <v>25991455</v>
      </c>
      <c r="C857" s="85">
        <v>44993</v>
      </c>
      <c r="D857" s="134">
        <v>314</v>
      </c>
      <c r="E857" s="84" t="s">
        <v>655</v>
      </c>
      <c r="F857" s="84">
        <v>1</v>
      </c>
      <c r="G857" s="84" t="s">
        <v>112</v>
      </c>
      <c r="H857" s="85">
        <v>44992</v>
      </c>
      <c r="I857" s="84" t="s">
        <v>906</v>
      </c>
      <c r="J857" s="84" t="s">
        <v>804</v>
      </c>
    </row>
    <row r="858" spans="1:10" x14ac:dyDescent="0.3">
      <c r="A858" s="83">
        <v>1232019256</v>
      </c>
      <c r="B858" s="84">
        <v>25975318</v>
      </c>
      <c r="C858" s="85">
        <v>44993</v>
      </c>
      <c r="D858" s="134">
        <v>928</v>
      </c>
      <c r="E858" s="84" t="s">
        <v>655</v>
      </c>
      <c r="F858" s="84">
        <v>1</v>
      </c>
      <c r="G858" s="84" t="s">
        <v>112</v>
      </c>
      <c r="H858" s="85">
        <v>44992</v>
      </c>
      <c r="I858" s="84" t="s">
        <v>906</v>
      </c>
      <c r="J858" s="84" t="s">
        <v>804</v>
      </c>
    </row>
    <row r="859" spans="1:10" x14ac:dyDescent="0.3">
      <c r="A859" s="83">
        <v>1232019964</v>
      </c>
      <c r="B859" s="84">
        <v>78572965</v>
      </c>
      <c r="C859" s="85">
        <v>44993</v>
      </c>
      <c r="D859" s="134">
        <v>495.00900000000001</v>
      </c>
      <c r="E859" s="84" t="s">
        <v>655</v>
      </c>
      <c r="F859" s="84">
        <v>1</v>
      </c>
      <c r="G859" s="84" t="s">
        <v>112</v>
      </c>
      <c r="H859" s="85">
        <v>44992</v>
      </c>
      <c r="I859" s="84" t="s">
        <v>906</v>
      </c>
      <c r="J859" s="84" t="s">
        <v>804</v>
      </c>
    </row>
    <row r="860" spans="1:10" x14ac:dyDescent="0.3">
      <c r="A860" s="83">
        <v>1232019966</v>
      </c>
      <c r="B860" s="84">
        <v>23587427</v>
      </c>
      <c r="C860" s="85">
        <v>44993</v>
      </c>
      <c r="D860" s="134">
        <v>2071.9920000000002</v>
      </c>
      <c r="E860" s="84" t="s">
        <v>655</v>
      </c>
      <c r="F860" s="84">
        <v>2</v>
      </c>
      <c r="G860" s="84" t="s">
        <v>112</v>
      </c>
      <c r="H860" s="85">
        <v>44992</v>
      </c>
      <c r="I860" s="84" t="s">
        <v>906</v>
      </c>
      <c r="J860" s="84" t="s">
        <v>804</v>
      </c>
    </row>
    <row r="861" spans="1:10" x14ac:dyDescent="0.3">
      <c r="A861" s="83">
        <v>1232019972</v>
      </c>
      <c r="B861" s="84">
        <v>26777817</v>
      </c>
      <c r="C861" s="85">
        <v>44993</v>
      </c>
      <c r="D861" s="134">
        <v>7037.1610000000001</v>
      </c>
      <c r="E861" s="84" t="s">
        <v>655</v>
      </c>
      <c r="F861" s="84">
        <v>4</v>
      </c>
      <c r="G861" s="84" t="s">
        <v>112</v>
      </c>
      <c r="H861" s="85">
        <v>44992</v>
      </c>
      <c r="I861" s="84" t="s">
        <v>906</v>
      </c>
      <c r="J861" s="84" t="s">
        <v>804</v>
      </c>
    </row>
    <row r="862" spans="1:10" x14ac:dyDescent="0.3">
      <c r="A862" s="83">
        <v>1232019975</v>
      </c>
      <c r="B862" s="84">
        <v>26791247</v>
      </c>
      <c r="C862" s="85">
        <v>44993</v>
      </c>
      <c r="D862" s="134">
        <v>495.00900000000001</v>
      </c>
      <c r="E862" s="84" t="s">
        <v>655</v>
      </c>
      <c r="F862" s="84">
        <v>1</v>
      </c>
      <c r="G862" s="84" t="s">
        <v>112</v>
      </c>
      <c r="H862" s="85">
        <v>44992</v>
      </c>
      <c r="I862" s="84" t="s">
        <v>906</v>
      </c>
      <c r="J862" s="84" t="s">
        <v>804</v>
      </c>
    </row>
    <row r="863" spans="1:10" x14ac:dyDescent="0.3">
      <c r="A863" s="83">
        <v>1232019982</v>
      </c>
      <c r="B863" s="84">
        <v>39586132</v>
      </c>
      <c r="C863" s="85">
        <v>44993</v>
      </c>
      <c r="D863" s="134">
        <v>330.00599999999997</v>
      </c>
      <c r="E863" s="84" t="s">
        <v>655</v>
      </c>
      <c r="F863" s="84">
        <v>1</v>
      </c>
      <c r="G863" s="84" t="s">
        <v>112</v>
      </c>
      <c r="H863" s="85">
        <v>44992</v>
      </c>
      <c r="I863" s="84" t="s">
        <v>906</v>
      </c>
      <c r="J863" s="84" t="s">
        <v>804</v>
      </c>
    </row>
    <row r="864" spans="1:10" x14ac:dyDescent="0.3">
      <c r="A864" s="83">
        <v>1232020002</v>
      </c>
      <c r="B864" s="84">
        <v>58558486</v>
      </c>
      <c r="C864" s="85">
        <v>44993</v>
      </c>
      <c r="D864" s="134">
        <v>880.01599999999996</v>
      </c>
      <c r="E864" s="84" t="s">
        <v>655</v>
      </c>
      <c r="F864" s="84">
        <v>1</v>
      </c>
      <c r="G864" s="84" t="s">
        <v>112</v>
      </c>
      <c r="H864" s="85">
        <v>44992</v>
      </c>
      <c r="I864" s="84" t="s">
        <v>906</v>
      </c>
      <c r="J864" s="84" t="s">
        <v>804</v>
      </c>
    </row>
    <row r="865" spans="1:11" x14ac:dyDescent="0.3">
      <c r="A865" s="83">
        <v>1232020491</v>
      </c>
      <c r="B865" s="84">
        <v>47918910</v>
      </c>
      <c r="C865" s="85">
        <v>44994</v>
      </c>
      <c r="D865" s="134">
        <v>7040.12</v>
      </c>
      <c r="E865" s="84" t="s">
        <v>655</v>
      </c>
      <c r="F865" s="84">
        <v>4</v>
      </c>
      <c r="G865" s="84" t="s">
        <v>112</v>
      </c>
      <c r="H865" s="85">
        <v>44992</v>
      </c>
      <c r="I865" s="84" t="s">
        <v>907</v>
      </c>
      <c r="J865" s="84" t="s">
        <v>807</v>
      </c>
    </row>
    <row r="866" spans="1:11" x14ac:dyDescent="0.3">
      <c r="A866" s="83">
        <v>1232020868</v>
      </c>
      <c r="B866" s="84">
        <v>38931888</v>
      </c>
      <c r="C866" s="85">
        <v>44998</v>
      </c>
      <c r="D866" s="134">
        <v>8800.15</v>
      </c>
      <c r="E866" s="84" t="s">
        <v>655</v>
      </c>
      <c r="F866" s="84">
        <v>5</v>
      </c>
      <c r="G866" s="84" t="s">
        <v>112</v>
      </c>
      <c r="H866" s="85">
        <v>44998</v>
      </c>
      <c r="I866" s="84" t="s">
        <v>908</v>
      </c>
      <c r="J866" s="84" t="s">
        <v>807</v>
      </c>
    </row>
    <row r="867" spans="1:11" x14ac:dyDescent="0.3">
      <c r="A867" s="83">
        <v>1232024545</v>
      </c>
      <c r="B867" s="84">
        <v>45917942</v>
      </c>
      <c r="C867" s="85">
        <v>45002</v>
      </c>
      <c r="D867" s="134">
        <v>2219.9899999999998</v>
      </c>
      <c r="E867" s="84" t="s">
        <v>655</v>
      </c>
      <c r="F867" s="84">
        <v>1</v>
      </c>
      <c r="G867" s="84" t="s">
        <v>112</v>
      </c>
      <c r="H867" s="85">
        <v>45002</v>
      </c>
      <c r="I867" s="84" t="s">
        <v>909</v>
      </c>
      <c r="J867" s="84" t="s">
        <v>807</v>
      </c>
    </row>
    <row r="868" spans="1:11" x14ac:dyDescent="0.3">
      <c r="A868" s="83">
        <v>1232024001</v>
      </c>
      <c r="B868" s="84">
        <v>29820969</v>
      </c>
      <c r="C868" s="85">
        <v>45002</v>
      </c>
      <c r="D868" s="134">
        <v>3117</v>
      </c>
      <c r="E868" s="84" t="s">
        <v>655</v>
      </c>
      <c r="F868" s="84">
        <v>2</v>
      </c>
      <c r="G868" s="84" t="s">
        <v>112</v>
      </c>
      <c r="H868" s="85">
        <v>45002</v>
      </c>
      <c r="I868" s="84" t="s">
        <v>910</v>
      </c>
      <c r="J868" s="84" t="s">
        <v>804</v>
      </c>
    </row>
    <row r="869" spans="1:11" x14ac:dyDescent="0.3">
      <c r="A869" s="83">
        <v>1232025899</v>
      </c>
      <c r="B869" s="84">
        <v>36917883</v>
      </c>
      <c r="C869" s="85">
        <v>45006</v>
      </c>
      <c r="D869" s="134">
        <v>3520.06</v>
      </c>
      <c r="E869" s="84" t="s">
        <v>655</v>
      </c>
      <c r="F869" s="84">
        <v>2</v>
      </c>
      <c r="G869" s="84" t="s">
        <v>112</v>
      </c>
      <c r="H869" s="85">
        <v>45002</v>
      </c>
      <c r="I869" s="84" t="s">
        <v>911</v>
      </c>
      <c r="J869" s="84" t="s">
        <v>807</v>
      </c>
    </row>
    <row r="870" spans="1:11" x14ac:dyDescent="0.3">
      <c r="A870" s="83">
        <v>1232036835</v>
      </c>
      <c r="B870" s="84">
        <v>23588211</v>
      </c>
      <c r="C870" s="85">
        <v>45033</v>
      </c>
      <c r="D870" s="134">
        <v>424</v>
      </c>
      <c r="E870" s="84" t="s">
        <v>655</v>
      </c>
      <c r="F870" s="84">
        <v>1</v>
      </c>
      <c r="G870" s="84" t="s">
        <v>112</v>
      </c>
      <c r="H870" s="85">
        <v>45033</v>
      </c>
      <c r="I870" s="84" t="s">
        <v>912</v>
      </c>
      <c r="J870" s="84" t="s">
        <v>804</v>
      </c>
    </row>
    <row r="871" spans="1:11" x14ac:dyDescent="0.3">
      <c r="A871" s="83">
        <v>1232036851</v>
      </c>
      <c r="B871" s="84">
        <v>42558706</v>
      </c>
      <c r="C871" s="85">
        <v>45033</v>
      </c>
      <c r="D871" s="134">
        <v>368</v>
      </c>
      <c r="E871" s="84" t="s">
        <v>655</v>
      </c>
      <c r="F871" s="84">
        <v>1</v>
      </c>
      <c r="G871" s="84" t="s">
        <v>112</v>
      </c>
      <c r="H871" s="85">
        <v>45033</v>
      </c>
      <c r="I871" s="84" t="s">
        <v>912</v>
      </c>
      <c r="J871" s="84" t="s">
        <v>804</v>
      </c>
    </row>
    <row r="872" spans="1:11" x14ac:dyDescent="0.3">
      <c r="A872" s="83">
        <v>1232037328</v>
      </c>
      <c r="B872" s="84">
        <v>19589016</v>
      </c>
      <c r="C872" s="85">
        <v>45033</v>
      </c>
      <c r="D872" s="134">
        <v>480</v>
      </c>
      <c r="E872" s="84" t="s">
        <v>655</v>
      </c>
      <c r="F872" s="84">
        <v>1</v>
      </c>
      <c r="G872" s="84" t="s">
        <v>112</v>
      </c>
      <c r="H872" s="85">
        <v>45033</v>
      </c>
      <c r="I872" s="84" t="s">
        <v>912</v>
      </c>
      <c r="J872" s="84" t="s">
        <v>804</v>
      </c>
    </row>
    <row r="873" spans="1:11" x14ac:dyDescent="0.3">
      <c r="A873" s="83">
        <v>1232037374</v>
      </c>
      <c r="B873" s="84">
        <v>1554111</v>
      </c>
      <c r="C873" s="85">
        <v>45033</v>
      </c>
      <c r="D873" s="134">
        <v>480</v>
      </c>
      <c r="E873" s="84" t="s">
        <v>655</v>
      </c>
      <c r="F873" s="84">
        <v>1</v>
      </c>
      <c r="G873" s="84" t="s">
        <v>112</v>
      </c>
      <c r="H873" s="85">
        <v>45033</v>
      </c>
      <c r="I873" s="84" t="s">
        <v>912</v>
      </c>
      <c r="J873" s="84" t="s">
        <v>804</v>
      </c>
    </row>
    <row r="874" spans="1:11" x14ac:dyDescent="0.3">
      <c r="A874" s="83">
        <v>1232037391</v>
      </c>
      <c r="B874" s="84">
        <v>21588624</v>
      </c>
      <c r="C874" s="85">
        <v>45033</v>
      </c>
      <c r="D874" s="134">
        <v>2970</v>
      </c>
      <c r="E874" s="84" t="s">
        <v>655</v>
      </c>
      <c r="F874" s="84">
        <v>2</v>
      </c>
      <c r="G874" s="84" t="s">
        <v>112</v>
      </c>
      <c r="H874" s="85">
        <v>45033</v>
      </c>
      <c r="I874" s="84" t="s">
        <v>912</v>
      </c>
      <c r="J874" s="84" t="s">
        <v>804</v>
      </c>
    </row>
    <row r="875" spans="1:11" x14ac:dyDescent="0.3">
      <c r="A875" s="83">
        <v>1232037401</v>
      </c>
      <c r="B875" s="84">
        <v>31566162</v>
      </c>
      <c r="C875" s="85">
        <v>45033</v>
      </c>
      <c r="D875" s="134">
        <v>536</v>
      </c>
      <c r="E875" s="84" t="s">
        <v>655</v>
      </c>
      <c r="F875" s="84">
        <v>1</v>
      </c>
      <c r="G875" s="84" t="s">
        <v>112</v>
      </c>
      <c r="H875" s="85">
        <v>45033</v>
      </c>
      <c r="I875" s="84" t="s">
        <v>912</v>
      </c>
      <c r="J875" s="84" t="s">
        <v>804</v>
      </c>
    </row>
    <row r="876" spans="1:11" x14ac:dyDescent="0.3">
      <c r="A876" s="83">
        <v>1232037291</v>
      </c>
      <c r="B876" s="84">
        <v>41862511</v>
      </c>
      <c r="C876" s="85">
        <v>45033</v>
      </c>
      <c r="D876" s="134">
        <v>872</v>
      </c>
      <c r="E876" s="84" t="s">
        <v>655</v>
      </c>
      <c r="F876" s="84">
        <v>1</v>
      </c>
      <c r="G876" s="84" t="s">
        <v>112</v>
      </c>
      <c r="H876" s="85">
        <v>45033</v>
      </c>
      <c r="I876" s="84" t="s">
        <v>912</v>
      </c>
      <c r="J876" s="84" t="s">
        <v>804</v>
      </c>
      <c r="K876" s="63" t="s">
        <v>716</v>
      </c>
    </row>
    <row r="877" spans="1:11" x14ac:dyDescent="0.3">
      <c r="A877" s="83">
        <v>1232037294</v>
      </c>
      <c r="B877" s="84">
        <v>41878856</v>
      </c>
      <c r="C877" s="85">
        <v>45033</v>
      </c>
      <c r="D877" s="134">
        <v>6463</v>
      </c>
      <c r="E877" s="84" t="s">
        <v>655</v>
      </c>
      <c r="F877" s="84">
        <v>3</v>
      </c>
      <c r="G877" s="84" t="s">
        <v>112</v>
      </c>
      <c r="H877" s="85">
        <v>45033</v>
      </c>
      <c r="I877" s="84" t="s">
        <v>912</v>
      </c>
      <c r="J877" s="84" t="s">
        <v>804</v>
      </c>
      <c r="K877" s="63" t="s">
        <v>716</v>
      </c>
    </row>
    <row r="878" spans="1:11" x14ac:dyDescent="0.3">
      <c r="A878" s="83">
        <v>1232037336</v>
      </c>
      <c r="B878" s="84">
        <v>41976655</v>
      </c>
      <c r="C878" s="85">
        <v>45033</v>
      </c>
      <c r="D878" s="134">
        <v>536</v>
      </c>
      <c r="E878" s="84" t="s">
        <v>655</v>
      </c>
      <c r="F878" s="84">
        <v>1</v>
      </c>
      <c r="G878" s="84" t="s">
        <v>112</v>
      </c>
      <c r="H878" s="85">
        <v>45033</v>
      </c>
      <c r="I878" s="84" t="s">
        <v>912</v>
      </c>
      <c r="J878" s="84" t="s">
        <v>804</v>
      </c>
      <c r="K878" s="63" t="s">
        <v>716</v>
      </c>
    </row>
    <row r="879" spans="1:11" x14ac:dyDescent="0.3">
      <c r="A879" s="83">
        <v>1232037392</v>
      </c>
      <c r="B879" s="84">
        <v>22561000</v>
      </c>
      <c r="C879" s="85">
        <v>45033</v>
      </c>
      <c r="D879" s="134">
        <v>480</v>
      </c>
      <c r="E879" s="84" t="s">
        <v>655</v>
      </c>
      <c r="F879" s="84">
        <v>1</v>
      </c>
      <c r="G879" s="84" t="s">
        <v>112</v>
      </c>
      <c r="H879" s="85">
        <v>45033</v>
      </c>
      <c r="I879" s="84" t="s">
        <v>912</v>
      </c>
      <c r="J879" s="84" t="s">
        <v>804</v>
      </c>
      <c r="K879" s="64" t="s">
        <v>716</v>
      </c>
    </row>
    <row r="880" spans="1:11" x14ac:dyDescent="0.3">
      <c r="A880" s="83">
        <v>1232039119</v>
      </c>
      <c r="B880" s="84">
        <v>35927853</v>
      </c>
      <c r="C880" s="85">
        <v>45035</v>
      </c>
      <c r="D880" s="134">
        <v>7040.12</v>
      </c>
      <c r="E880" s="84" t="s">
        <v>655</v>
      </c>
      <c r="F880" s="84">
        <v>4</v>
      </c>
      <c r="G880" s="84" t="s">
        <v>112</v>
      </c>
      <c r="H880" s="85">
        <v>45033</v>
      </c>
      <c r="I880" s="84" t="s">
        <v>913</v>
      </c>
      <c r="J880" s="84" t="s">
        <v>807</v>
      </c>
      <c r="K880" s="64" t="s">
        <v>716</v>
      </c>
    </row>
    <row r="881" spans="1:11" x14ac:dyDescent="0.3">
      <c r="A881" s="83">
        <v>1232039082</v>
      </c>
      <c r="B881" s="84" t="s">
        <v>914</v>
      </c>
      <c r="C881" s="85">
        <v>45035</v>
      </c>
      <c r="D881" s="134">
        <v>880</v>
      </c>
      <c r="E881" s="84" t="s">
        <v>655</v>
      </c>
      <c r="F881" s="84">
        <v>1</v>
      </c>
      <c r="G881" s="84" t="s">
        <v>112</v>
      </c>
      <c r="H881" s="85">
        <v>45034</v>
      </c>
      <c r="I881" s="84" t="s">
        <v>915</v>
      </c>
      <c r="J881" s="84" t="s">
        <v>804</v>
      </c>
      <c r="K881" s="64" t="s">
        <v>716</v>
      </c>
    </row>
    <row r="882" spans="1:11" x14ac:dyDescent="0.3">
      <c r="A882" s="83">
        <v>1232039120</v>
      </c>
      <c r="B882" s="84">
        <v>18914323</v>
      </c>
      <c r="C882" s="85">
        <v>45035</v>
      </c>
      <c r="D882" s="134">
        <v>12320.21</v>
      </c>
      <c r="E882" s="84" t="s">
        <v>655</v>
      </c>
      <c r="F882" s="84">
        <v>7</v>
      </c>
      <c r="G882" s="84" t="s">
        <v>112</v>
      </c>
      <c r="H882" s="85">
        <v>45033</v>
      </c>
      <c r="I882" s="84" t="s">
        <v>913</v>
      </c>
      <c r="J882" s="84" t="s">
        <v>807</v>
      </c>
      <c r="K882" s="64" t="s">
        <v>716</v>
      </c>
    </row>
    <row r="883" spans="1:11" x14ac:dyDescent="0.3">
      <c r="A883" s="83">
        <v>1232037989</v>
      </c>
      <c r="B883" s="84">
        <v>17567759</v>
      </c>
      <c r="C883" s="85">
        <v>45035</v>
      </c>
      <c r="D883" s="134">
        <v>297</v>
      </c>
      <c r="E883" s="84" t="s">
        <v>655</v>
      </c>
      <c r="F883" s="84">
        <v>1</v>
      </c>
      <c r="G883" s="84" t="s">
        <v>112</v>
      </c>
      <c r="H883" s="85">
        <v>45034</v>
      </c>
      <c r="I883" s="84" t="s">
        <v>915</v>
      </c>
      <c r="J883" s="84" t="s">
        <v>804</v>
      </c>
      <c r="K883" s="64" t="s">
        <v>716</v>
      </c>
    </row>
    <row r="884" spans="1:11" x14ac:dyDescent="0.3">
      <c r="A884" s="83">
        <v>1232038006</v>
      </c>
      <c r="B884" s="84">
        <v>26566867</v>
      </c>
      <c r="C884" s="85">
        <v>45035</v>
      </c>
      <c r="D884" s="134">
        <v>368</v>
      </c>
      <c r="E884" s="84" t="s">
        <v>655</v>
      </c>
      <c r="F884" s="84">
        <v>1</v>
      </c>
      <c r="G884" s="84" t="s">
        <v>112</v>
      </c>
      <c r="H884" s="85">
        <v>45034</v>
      </c>
      <c r="I884" s="84" t="s">
        <v>915</v>
      </c>
      <c r="J884" s="84" t="s">
        <v>804</v>
      </c>
      <c r="K884" s="64" t="s">
        <v>716</v>
      </c>
    </row>
    <row r="885" spans="1:11" x14ac:dyDescent="0.3">
      <c r="A885" s="83">
        <v>1232038021</v>
      </c>
      <c r="B885" s="84">
        <v>8551577</v>
      </c>
      <c r="C885" s="85">
        <v>45035</v>
      </c>
      <c r="D885" s="134">
        <v>480</v>
      </c>
      <c r="E885" s="84" t="s">
        <v>655</v>
      </c>
      <c r="F885" s="84">
        <v>1</v>
      </c>
      <c r="G885" s="84" t="s">
        <v>112</v>
      </c>
      <c r="H885" s="85">
        <v>45034</v>
      </c>
      <c r="I885" s="84" t="s">
        <v>915</v>
      </c>
      <c r="J885" s="84" t="s">
        <v>804</v>
      </c>
      <c r="K885" s="64" t="s">
        <v>716</v>
      </c>
    </row>
    <row r="886" spans="1:11" x14ac:dyDescent="0.3">
      <c r="A886" s="83">
        <v>1232038095</v>
      </c>
      <c r="B886" s="84">
        <v>43674103</v>
      </c>
      <c r="C886" s="85">
        <v>45035</v>
      </c>
      <c r="D886" s="134">
        <v>314</v>
      </c>
      <c r="E886" s="84" t="s">
        <v>655</v>
      </c>
      <c r="F886" s="84">
        <v>1</v>
      </c>
      <c r="G886" s="84" t="s">
        <v>112</v>
      </c>
      <c r="H886" s="85">
        <v>45034</v>
      </c>
      <c r="I886" s="84" t="s">
        <v>915</v>
      </c>
      <c r="J886" s="84" t="s">
        <v>804</v>
      </c>
      <c r="K886" s="64" t="s">
        <v>716</v>
      </c>
    </row>
    <row r="887" spans="1:11" x14ac:dyDescent="0.3">
      <c r="A887" s="83">
        <v>1232038100</v>
      </c>
      <c r="B887" s="84">
        <v>85581550</v>
      </c>
      <c r="C887" s="85">
        <v>45035</v>
      </c>
      <c r="D887" s="134">
        <v>368</v>
      </c>
      <c r="E887" s="84" t="s">
        <v>655</v>
      </c>
      <c r="F887" s="84">
        <v>1</v>
      </c>
      <c r="G887" s="84" t="s">
        <v>112</v>
      </c>
      <c r="H887" s="85">
        <v>45034</v>
      </c>
      <c r="I887" s="84" t="s">
        <v>915</v>
      </c>
      <c r="J887" s="84" t="s">
        <v>804</v>
      </c>
      <c r="K887" s="64" t="s">
        <v>716</v>
      </c>
    </row>
    <row r="888" spans="1:11" x14ac:dyDescent="0.3">
      <c r="A888" s="83">
        <v>1232042003</v>
      </c>
      <c r="B888" s="84">
        <v>31931183</v>
      </c>
      <c r="C888" s="85">
        <v>45042</v>
      </c>
      <c r="D888" s="134">
        <v>16416</v>
      </c>
      <c r="E888" s="84" t="s">
        <v>655</v>
      </c>
      <c r="F888" s="84">
        <v>9</v>
      </c>
      <c r="G888" s="84" t="s">
        <v>112</v>
      </c>
      <c r="H888" s="85">
        <v>45044</v>
      </c>
      <c r="I888" s="84" t="s">
        <v>916</v>
      </c>
      <c r="J888" s="84" t="s">
        <v>807</v>
      </c>
    </row>
    <row r="889" spans="1:11" x14ac:dyDescent="0.3">
      <c r="A889" s="83" t="s">
        <v>917</v>
      </c>
      <c r="B889" s="84">
        <v>45667596</v>
      </c>
      <c r="C889" s="85"/>
      <c r="D889" s="134">
        <v>314</v>
      </c>
      <c r="E889" s="84" t="s">
        <v>655</v>
      </c>
      <c r="F889" s="84">
        <v>1</v>
      </c>
      <c r="G889" s="84" t="s">
        <v>112</v>
      </c>
      <c r="H889" s="85">
        <v>45044</v>
      </c>
      <c r="I889" s="84" t="s">
        <v>918</v>
      </c>
      <c r="J889" s="84" t="s">
        <v>804</v>
      </c>
    </row>
    <row r="890" spans="1:11" x14ac:dyDescent="0.3">
      <c r="A890" s="83" t="s">
        <v>919</v>
      </c>
      <c r="B890" s="84">
        <v>45717066</v>
      </c>
      <c r="C890" s="85"/>
      <c r="D890" s="134">
        <v>2120</v>
      </c>
      <c r="E890" s="84" t="s">
        <v>655</v>
      </c>
      <c r="F890" s="84">
        <v>1</v>
      </c>
      <c r="G890" s="84" t="s">
        <v>112</v>
      </c>
      <c r="H890" s="85">
        <v>45044</v>
      </c>
      <c r="I890" s="84" t="s">
        <v>918</v>
      </c>
      <c r="J890" s="84" t="s">
        <v>804</v>
      </c>
    </row>
    <row r="891" spans="1:11" x14ac:dyDescent="0.3">
      <c r="A891" s="83">
        <v>1232042149</v>
      </c>
      <c r="B891" s="84">
        <v>76550485</v>
      </c>
      <c r="C891" s="85"/>
      <c r="D891" s="134">
        <v>592</v>
      </c>
      <c r="E891" s="84" t="s">
        <v>655</v>
      </c>
      <c r="F891" s="84">
        <v>1</v>
      </c>
      <c r="G891" s="84" t="s">
        <v>112</v>
      </c>
      <c r="H891" s="85">
        <v>45044</v>
      </c>
      <c r="I891" s="84" t="s">
        <v>920</v>
      </c>
      <c r="J891" s="84" t="s">
        <v>804</v>
      </c>
    </row>
    <row r="892" spans="1:11" x14ac:dyDescent="0.3">
      <c r="A892" s="83">
        <v>1232042159</v>
      </c>
      <c r="B892" s="84">
        <v>32582876</v>
      </c>
      <c r="C892" s="85"/>
      <c r="D892" s="134">
        <v>648</v>
      </c>
      <c r="E892" s="84" t="s">
        <v>655</v>
      </c>
      <c r="F892" s="84">
        <v>1</v>
      </c>
      <c r="G892" s="84" t="s">
        <v>112</v>
      </c>
      <c r="H892" s="85">
        <v>45044</v>
      </c>
      <c r="I892" s="84" t="s">
        <v>920</v>
      </c>
      <c r="J892" s="84" t="s">
        <v>804</v>
      </c>
    </row>
    <row r="893" spans="1:11" x14ac:dyDescent="0.3">
      <c r="A893" s="83">
        <v>1232042006</v>
      </c>
      <c r="B893" s="84">
        <v>31931472</v>
      </c>
      <c r="C893" s="85">
        <v>45042</v>
      </c>
      <c r="D893" s="134">
        <v>18240</v>
      </c>
      <c r="E893" s="84" t="s">
        <v>655</v>
      </c>
      <c r="F893" s="84">
        <v>10</v>
      </c>
      <c r="G893" s="84" t="s">
        <v>112</v>
      </c>
      <c r="H893" s="85">
        <v>45044</v>
      </c>
      <c r="I893" s="93" t="s">
        <v>921</v>
      </c>
      <c r="J893" s="84" t="s">
        <v>807</v>
      </c>
      <c r="K893" s="110" t="s">
        <v>916</v>
      </c>
    </row>
    <row r="894" spans="1:11" x14ac:dyDescent="0.3">
      <c r="A894" s="83">
        <v>1232042117</v>
      </c>
      <c r="B894" s="84">
        <v>23588479</v>
      </c>
      <c r="C894" s="85"/>
      <c r="D894" s="134">
        <v>872</v>
      </c>
      <c r="E894" s="84" t="s">
        <v>655</v>
      </c>
      <c r="F894" s="84">
        <v>1</v>
      </c>
      <c r="G894" s="84" t="s">
        <v>112</v>
      </c>
      <c r="H894" s="85">
        <v>45047</v>
      </c>
      <c r="I894" s="84" t="s">
        <v>922</v>
      </c>
      <c r="J894" s="84" t="s">
        <v>804</v>
      </c>
    </row>
    <row r="895" spans="1:11" x14ac:dyDescent="0.3">
      <c r="A895" s="83">
        <v>1232042118</v>
      </c>
      <c r="B895" s="84">
        <v>31589763</v>
      </c>
      <c r="C895" s="85"/>
      <c r="D895" s="134">
        <v>424</v>
      </c>
      <c r="E895" s="84" t="s">
        <v>655</v>
      </c>
      <c r="F895" s="84">
        <v>1</v>
      </c>
      <c r="G895" s="84" t="s">
        <v>112</v>
      </c>
      <c r="H895" s="85">
        <v>45047</v>
      </c>
      <c r="I895" s="84" t="s">
        <v>922</v>
      </c>
      <c r="J895" s="84" t="s">
        <v>804</v>
      </c>
    </row>
    <row r="896" spans="1:11" x14ac:dyDescent="0.3">
      <c r="A896" s="83">
        <v>1232042126</v>
      </c>
      <c r="B896" s="84">
        <v>50578896</v>
      </c>
      <c r="C896" s="85"/>
      <c r="D896" s="134">
        <v>368</v>
      </c>
      <c r="E896" s="84" t="s">
        <v>655</v>
      </c>
      <c r="F896" s="84">
        <v>1</v>
      </c>
      <c r="G896" s="84" t="s">
        <v>112</v>
      </c>
      <c r="H896" s="85">
        <v>45047</v>
      </c>
      <c r="I896" s="84" t="s">
        <v>922</v>
      </c>
      <c r="J896" s="84" t="s">
        <v>804</v>
      </c>
    </row>
    <row r="897" spans="1:10" x14ac:dyDescent="0.3">
      <c r="A897" s="83">
        <v>1232042135</v>
      </c>
      <c r="B897" s="84">
        <v>17563137</v>
      </c>
      <c r="C897" s="85"/>
      <c r="D897" s="134">
        <v>760</v>
      </c>
      <c r="E897" s="84" t="s">
        <v>655</v>
      </c>
      <c r="F897" s="84">
        <v>1</v>
      </c>
      <c r="G897" s="84" t="s">
        <v>112</v>
      </c>
      <c r="H897" s="85">
        <v>45047</v>
      </c>
      <c r="I897" s="84" t="s">
        <v>922</v>
      </c>
      <c r="J897" s="84" t="s">
        <v>804</v>
      </c>
    </row>
    <row r="898" spans="1:10" x14ac:dyDescent="0.3">
      <c r="A898" s="83">
        <v>1232042150</v>
      </c>
      <c r="B898" s="84">
        <v>81571299</v>
      </c>
      <c r="C898" s="85"/>
      <c r="D898" s="134">
        <v>297</v>
      </c>
      <c r="E898" s="84" t="s">
        <v>655</v>
      </c>
      <c r="F898" s="84">
        <v>1</v>
      </c>
      <c r="G898" s="84" t="s">
        <v>112</v>
      </c>
      <c r="H898" s="85">
        <v>45047</v>
      </c>
      <c r="I898" s="84" t="s">
        <v>922</v>
      </c>
      <c r="J898" s="84" t="s">
        <v>804</v>
      </c>
    </row>
    <row r="899" spans="1:10" x14ac:dyDescent="0.3">
      <c r="A899" s="87">
        <v>1232040508</v>
      </c>
      <c r="B899" s="88">
        <v>44946601</v>
      </c>
      <c r="C899" s="89"/>
      <c r="D899" s="144">
        <v>572</v>
      </c>
      <c r="E899" s="88" t="s">
        <v>655</v>
      </c>
      <c r="F899" s="88">
        <v>1</v>
      </c>
      <c r="G899" s="88" t="s">
        <v>112</v>
      </c>
      <c r="H899" s="89">
        <v>45044</v>
      </c>
      <c r="I899" s="88" t="s">
        <v>923</v>
      </c>
      <c r="J899" s="88" t="s">
        <v>804</v>
      </c>
    </row>
    <row r="900" spans="1:10" x14ac:dyDescent="0.3">
      <c r="A900" s="83">
        <v>1232042142</v>
      </c>
      <c r="B900" s="84">
        <v>46946841</v>
      </c>
      <c r="C900" s="85"/>
      <c r="D900" s="134">
        <v>314</v>
      </c>
      <c r="E900" s="84" t="s">
        <v>655</v>
      </c>
      <c r="F900" s="84">
        <v>1</v>
      </c>
      <c r="G900" s="84" t="s">
        <v>112</v>
      </c>
      <c r="H900" s="85">
        <v>45047</v>
      </c>
      <c r="I900" s="84" t="s">
        <v>922</v>
      </c>
      <c r="J900" s="84" t="s">
        <v>804</v>
      </c>
    </row>
    <row r="901" spans="1:10" x14ac:dyDescent="0.3">
      <c r="A901" s="83">
        <v>1232042545</v>
      </c>
      <c r="B901" s="115">
        <v>9555925</v>
      </c>
      <c r="C901" s="85"/>
      <c r="D901" s="134">
        <v>536</v>
      </c>
      <c r="E901" s="84" t="s">
        <v>655</v>
      </c>
      <c r="F901" s="84">
        <v>1</v>
      </c>
      <c r="G901" s="84" t="s">
        <v>112</v>
      </c>
      <c r="H901" s="85">
        <v>45049</v>
      </c>
      <c r="I901" s="84" t="s">
        <v>924</v>
      </c>
      <c r="J901" s="84" t="s">
        <v>804</v>
      </c>
    </row>
    <row r="902" spans="1:10" x14ac:dyDescent="0.3">
      <c r="A902" s="83">
        <v>1232043498</v>
      </c>
      <c r="B902" s="115">
        <v>1550798</v>
      </c>
      <c r="C902" s="85"/>
      <c r="D902" s="134">
        <v>368</v>
      </c>
      <c r="E902" s="84" t="s">
        <v>655</v>
      </c>
      <c r="F902" s="84">
        <v>1</v>
      </c>
      <c r="G902" s="84" t="s">
        <v>112</v>
      </c>
      <c r="H902" s="85">
        <v>45049</v>
      </c>
      <c r="I902" s="84" t="s">
        <v>924</v>
      </c>
      <c r="J902" s="84" t="s">
        <v>804</v>
      </c>
    </row>
    <row r="903" spans="1:10" x14ac:dyDescent="0.3">
      <c r="A903" s="83">
        <v>1232043510</v>
      </c>
      <c r="B903" s="115">
        <v>12579044</v>
      </c>
      <c r="C903" s="85"/>
      <c r="D903" s="134">
        <v>648</v>
      </c>
      <c r="E903" s="84" t="s">
        <v>655</v>
      </c>
      <c r="F903" s="84">
        <v>1</v>
      </c>
      <c r="G903" s="84" t="s">
        <v>112</v>
      </c>
      <c r="H903" s="85">
        <v>45049</v>
      </c>
      <c r="I903" s="84" t="s">
        <v>924</v>
      </c>
      <c r="J903" s="84" t="s">
        <v>804</v>
      </c>
    </row>
    <row r="904" spans="1:10" x14ac:dyDescent="0.3">
      <c r="A904" s="83">
        <v>1232044545</v>
      </c>
      <c r="B904" s="84">
        <v>45943055</v>
      </c>
      <c r="C904" s="85"/>
      <c r="D904" s="134">
        <v>5472</v>
      </c>
      <c r="E904" s="84" t="s">
        <v>655</v>
      </c>
      <c r="F904" s="84">
        <v>3</v>
      </c>
      <c r="G904" s="84" t="s">
        <v>112</v>
      </c>
      <c r="H904" s="85">
        <v>45049</v>
      </c>
      <c r="I904" s="84" t="s">
        <v>925</v>
      </c>
      <c r="J904" s="84" t="s">
        <v>807</v>
      </c>
    </row>
    <row r="905" spans="1:10" x14ac:dyDescent="0.3">
      <c r="A905" s="83">
        <v>1232044585</v>
      </c>
      <c r="B905" s="84">
        <v>48898798</v>
      </c>
      <c r="C905" s="85"/>
      <c r="D905" s="134">
        <v>5612</v>
      </c>
      <c r="E905" s="84" t="s">
        <v>655</v>
      </c>
      <c r="F905" s="84">
        <v>3</v>
      </c>
      <c r="G905" s="84" t="s">
        <v>112</v>
      </c>
      <c r="H905" s="85">
        <v>45051</v>
      </c>
      <c r="I905" s="84" t="s">
        <v>926</v>
      </c>
      <c r="J905" s="84" t="s">
        <v>804</v>
      </c>
    </row>
    <row r="906" spans="1:10" x14ac:dyDescent="0.3">
      <c r="A906" s="83">
        <v>1232049404</v>
      </c>
      <c r="B906" s="84">
        <v>35940210</v>
      </c>
      <c r="C906" s="85">
        <v>45063</v>
      </c>
      <c r="D906" s="134">
        <v>7296</v>
      </c>
      <c r="E906" s="84" t="s">
        <v>655</v>
      </c>
      <c r="F906" s="84">
        <v>4</v>
      </c>
      <c r="G906" s="84" t="s">
        <v>112</v>
      </c>
      <c r="H906" s="85">
        <v>45061</v>
      </c>
      <c r="I906" s="84" t="s">
        <v>927</v>
      </c>
      <c r="J906" s="84" t="s">
        <v>807</v>
      </c>
    </row>
    <row r="907" spans="1:10" x14ac:dyDescent="0.3">
      <c r="A907" s="83">
        <v>1232052327</v>
      </c>
      <c r="B907" s="84">
        <v>14935465</v>
      </c>
      <c r="C907" s="85">
        <v>45070</v>
      </c>
      <c r="D907" s="134">
        <v>10944</v>
      </c>
      <c r="E907" s="84" t="s">
        <v>655</v>
      </c>
      <c r="F907" s="84">
        <v>6</v>
      </c>
      <c r="G907" s="84" t="s">
        <v>112</v>
      </c>
      <c r="H907" s="85">
        <v>45070</v>
      </c>
      <c r="I907" s="84" t="s">
        <v>928</v>
      </c>
      <c r="J907" s="84" t="s">
        <v>807</v>
      </c>
    </row>
    <row r="908" spans="1:10" x14ac:dyDescent="0.3">
      <c r="A908" s="83">
        <v>1232050986</v>
      </c>
      <c r="B908" s="84">
        <v>14587251</v>
      </c>
      <c r="C908" s="85"/>
      <c r="D908" s="134">
        <v>314</v>
      </c>
      <c r="E908" s="84" t="s">
        <v>655</v>
      </c>
      <c r="F908" s="84">
        <v>1</v>
      </c>
      <c r="G908" s="84" t="s">
        <v>112</v>
      </c>
      <c r="H908" s="85">
        <v>45070</v>
      </c>
      <c r="I908" s="84"/>
      <c r="J908" s="84" t="s">
        <v>804</v>
      </c>
    </row>
    <row r="909" spans="1:10" x14ac:dyDescent="0.3">
      <c r="A909" s="83">
        <v>1232051009</v>
      </c>
      <c r="B909" s="84">
        <v>58578953</v>
      </c>
      <c r="C909" s="85"/>
      <c r="D909" s="134">
        <v>424</v>
      </c>
      <c r="E909" s="84" t="s">
        <v>655</v>
      </c>
      <c r="F909" s="84">
        <v>1</v>
      </c>
      <c r="G909" s="84" t="s">
        <v>112</v>
      </c>
      <c r="H909" s="85">
        <v>45070</v>
      </c>
      <c r="I909" s="84"/>
      <c r="J909" s="84" t="s">
        <v>804</v>
      </c>
    </row>
    <row r="910" spans="1:10" x14ac:dyDescent="0.3">
      <c r="A910" s="83">
        <v>1232051013</v>
      </c>
      <c r="B910" s="84">
        <v>63582380</v>
      </c>
      <c r="C910" s="85"/>
      <c r="D910" s="134">
        <v>928</v>
      </c>
      <c r="E910" s="84" t="s">
        <v>655</v>
      </c>
      <c r="F910" s="84">
        <v>1</v>
      </c>
      <c r="G910" s="84" t="s">
        <v>112</v>
      </c>
      <c r="H910" s="85">
        <v>45070</v>
      </c>
      <c r="I910" s="84"/>
      <c r="J910" s="84" t="s">
        <v>804</v>
      </c>
    </row>
    <row r="911" spans="1:10" x14ac:dyDescent="0.3">
      <c r="A911" s="83">
        <v>1232051018</v>
      </c>
      <c r="B911" s="84">
        <v>71586689</v>
      </c>
      <c r="C911" s="85"/>
      <c r="D911" s="134">
        <v>872</v>
      </c>
      <c r="E911" s="84" t="s">
        <v>655</v>
      </c>
      <c r="F911" s="84">
        <v>1</v>
      </c>
      <c r="G911" s="84" t="s">
        <v>112</v>
      </c>
      <c r="H911" s="85">
        <v>45070</v>
      </c>
      <c r="I911" s="84"/>
      <c r="J911" s="84" t="s">
        <v>804</v>
      </c>
    </row>
    <row r="912" spans="1:10" x14ac:dyDescent="0.3">
      <c r="A912" s="83" t="s">
        <v>929</v>
      </c>
      <c r="B912" s="84">
        <v>15567717</v>
      </c>
      <c r="C912" s="85"/>
      <c r="D912" s="134">
        <v>314</v>
      </c>
      <c r="E912" s="84" t="s">
        <v>655</v>
      </c>
      <c r="F912" s="84">
        <v>1</v>
      </c>
      <c r="G912" s="84" t="s">
        <v>112</v>
      </c>
      <c r="H912" s="85">
        <v>45070</v>
      </c>
      <c r="I912" s="84"/>
      <c r="J912" s="84" t="s">
        <v>804</v>
      </c>
    </row>
    <row r="913" spans="1:11" x14ac:dyDescent="0.3">
      <c r="A913" s="83" t="s">
        <v>930</v>
      </c>
      <c r="B913" s="84">
        <v>18575613</v>
      </c>
      <c r="C913" s="85"/>
      <c r="D913" s="134">
        <v>368</v>
      </c>
      <c r="E913" s="84" t="s">
        <v>655</v>
      </c>
      <c r="F913" s="84">
        <v>1</v>
      </c>
      <c r="G913" s="84" t="s">
        <v>112</v>
      </c>
      <c r="H913" s="85">
        <v>45070</v>
      </c>
      <c r="I913" s="84"/>
      <c r="J913" s="84" t="s">
        <v>804</v>
      </c>
    </row>
    <row r="914" spans="1:11" x14ac:dyDescent="0.3">
      <c r="A914" s="83" t="s">
        <v>931</v>
      </c>
      <c r="B914" s="84">
        <v>31567130</v>
      </c>
      <c r="C914" s="85"/>
      <c r="D914" s="134">
        <v>314</v>
      </c>
      <c r="E914" s="84" t="s">
        <v>655</v>
      </c>
      <c r="F914" s="84">
        <v>1</v>
      </c>
      <c r="G914" s="84" t="s">
        <v>112</v>
      </c>
      <c r="H914" s="85">
        <v>45070</v>
      </c>
      <c r="I914" s="84"/>
      <c r="J914" s="84" t="s">
        <v>804</v>
      </c>
    </row>
    <row r="915" spans="1:11" x14ac:dyDescent="0.3">
      <c r="A915" s="83" t="s">
        <v>932</v>
      </c>
      <c r="B915" s="84">
        <v>57574991</v>
      </c>
      <c r="C915" s="85"/>
      <c r="D915" s="134">
        <v>1096</v>
      </c>
      <c r="E915" s="84" t="s">
        <v>655</v>
      </c>
      <c r="F915" s="84">
        <v>1</v>
      </c>
      <c r="G915" s="84" t="s">
        <v>112</v>
      </c>
      <c r="H915" s="85">
        <v>45070</v>
      </c>
      <c r="I915" s="84"/>
      <c r="J915" s="84" t="s">
        <v>804</v>
      </c>
    </row>
    <row r="916" spans="1:11" x14ac:dyDescent="0.3">
      <c r="A916" s="83" t="s">
        <v>933</v>
      </c>
      <c r="B916" s="84">
        <v>42584183</v>
      </c>
      <c r="C916" s="85"/>
      <c r="D916" s="134">
        <v>2160</v>
      </c>
      <c r="E916" s="84" t="s">
        <v>655</v>
      </c>
      <c r="F916" s="84">
        <v>1</v>
      </c>
      <c r="G916" s="84" t="s">
        <v>112</v>
      </c>
      <c r="H916" s="85">
        <v>45070</v>
      </c>
      <c r="I916" s="84"/>
      <c r="J916" s="84" t="s">
        <v>804</v>
      </c>
    </row>
    <row r="917" spans="1:11" x14ac:dyDescent="0.3">
      <c r="A917" s="83" t="s">
        <v>934</v>
      </c>
      <c r="B917" s="84">
        <v>59678894</v>
      </c>
      <c r="C917" s="85"/>
      <c r="D917" s="134">
        <v>6512</v>
      </c>
      <c r="E917" s="84" t="s">
        <v>655</v>
      </c>
      <c r="F917" s="84">
        <v>3</v>
      </c>
      <c r="G917" s="84" t="s">
        <v>112</v>
      </c>
      <c r="H917" s="85">
        <v>45070</v>
      </c>
      <c r="I917" s="84"/>
      <c r="J917" s="84" t="s">
        <v>804</v>
      </c>
    </row>
    <row r="918" spans="1:11" x14ac:dyDescent="0.3">
      <c r="A918" s="83">
        <v>1232050993</v>
      </c>
      <c r="B918" s="84">
        <v>17568867</v>
      </c>
      <c r="C918" s="85"/>
      <c r="D918" s="134">
        <v>2552</v>
      </c>
      <c r="E918" s="84" t="s">
        <v>655</v>
      </c>
      <c r="F918" s="84">
        <v>2</v>
      </c>
      <c r="G918" s="84" t="s">
        <v>112</v>
      </c>
      <c r="H918" s="85">
        <v>45071</v>
      </c>
      <c r="I918" s="84" t="s">
        <v>935</v>
      </c>
      <c r="J918" s="84" t="s">
        <v>804</v>
      </c>
    </row>
    <row r="919" spans="1:11" x14ac:dyDescent="0.3">
      <c r="A919" s="83">
        <v>1232052461</v>
      </c>
      <c r="B919" s="84">
        <v>22583374</v>
      </c>
      <c r="C919" s="85"/>
      <c r="D919" s="134">
        <v>716</v>
      </c>
      <c r="E919" s="84" t="s">
        <v>655</v>
      </c>
      <c r="F919" s="84">
        <v>1</v>
      </c>
      <c r="G919" s="84" t="s">
        <v>112</v>
      </c>
      <c r="H919" s="85">
        <v>45071</v>
      </c>
      <c r="I919" s="84" t="s">
        <v>935</v>
      </c>
      <c r="J919" s="84" t="s">
        <v>804</v>
      </c>
    </row>
    <row r="920" spans="1:11" x14ac:dyDescent="0.3">
      <c r="A920" s="83">
        <v>1232053337</v>
      </c>
      <c r="B920" s="84">
        <v>58560970</v>
      </c>
      <c r="C920" s="85"/>
      <c r="D920" s="134">
        <v>536</v>
      </c>
      <c r="E920" s="84" t="s">
        <v>655</v>
      </c>
      <c r="F920" s="84">
        <v>1</v>
      </c>
      <c r="G920" s="84" t="s">
        <v>112</v>
      </c>
      <c r="H920" s="85">
        <v>45071</v>
      </c>
      <c r="I920" s="84" t="s">
        <v>935</v>
      </c>
      <c r="J920" s="84" t="s">
        <v>804</v>
      </c>
    </row>
    <row r="921" spans="1:11" x14ac:dyDescent="0.3">
      <c r="A921" s="83">
        <v>1232055540</v>
      </c>
      <c r="B921" s="84">
        <v>47904844</v>
      </c>
      <c r="C921" s="85">
        <v>45078</v>
      </c>
      <c r="D921" s="134">
        <v>14592</v>
      </c>
      <c r="E921" s="84" t="s">
        <v>655</v>
      </c>
      <c r="F921" s="84">
        <v>8</v>
      </c>
      <c r="G921" s="84" t="s">
        <v>112</v>
      </c>
      <c r="H921" s="85">
        <v>45076</v>
      </c>
      <c r="I921" s="84" t="s">
        <v>936</v>
      </c>
      <c r="J921" s="84" t="s">
        <v>807</v>
      </c>
    </row>
    <row r="922" spans="1:11" x14ac:dyDescent="0.3">
      <c r="A922" s="83">
        <v>1232058185</v>
      </c>
      <c r="B922" s="84">
        <v>25922675</v>
      </c>
      <c r="C922" s="85">
        <v>45085</v>
      </c>
      <c r="D922" s="134">
        <v>10944</v>
      </c>
      <c r="E922" s="84" t="s">
        <v>655</v>
      </c>
      <c r="F922" s="84">
        <v>6</v>
      </c>
      <c r="G922" s="84" t="s">
        <v>112</v>
      </c>
      <c r="H922" s="85">
        <v>45085</v>
      </c>
      <c r="I922" s="84" t="s">
        <v>937</v>
      </c>
      <c r="J922" s="84" t="s">
        <v>807</v>
      </c>
    </row>
    <row r="923" spans="1:11" x14ac:dyDescent="0.3">
      <c r="A923" s="83">
        <v>1232058186</v>
      </c>
      <c r="B923" s="84">
        <v>32928057</v>
      </c>
      <c r="C923" s="85">
        <v>45085</v>
      </c>
      <c r="D923" s="134">
        <v>3648</v>
      </c>
      <c r="E923" s="84" t="s">
        <v>655</v>
      </c>
      <c r="F923" s="84">
        <v>2</v>
      </c>
      <c r="G923" s="84" t="s">
        <v>112</v>
      </c>
      <c r="H923" s="85">
        <v>45085</v>
      </c>
      <c r="I923" s="84" t="s">
        <v>937</v>
      </c>
      <c r="J923" s="84" t="s">
        <v>807</v>
      </c>
    </row>
    <row r="924" spans="1:11" x14ac:dyDescent="0.3">
      <c r="A924" s="83">
        <v>1232060963</v>
      </c>
      <c r="B924" s="84">
        <v>7927031</v>
      </c>
      <c r="C924" s="85">
        <v>45092</v>
      </c>
      <c r="D924" s="134">
        <v>14976</v>
      </c>
      <c r="E924" s="84" t="s">
        <v>655</v>
      </c>
      <c r="F924" s="84">
        <v>12</v>
      </c>
      <c r="G924" s="84" t="s">
        <v>112</v>
      </c>
      <c r="H924" s="85">
        <v>45097</v>
      </c>
      <c r="I924" s="84" t="s">
        <v>938</v>
      </c>
      <c r="J924" s="84" t="s">
        <v>807</v>
      </c>
    </row>
    <row r="925" spans="1:11" x14ac:dyDescent="0.3">
      <c r="A925" s="83">
        <v>1232063143</v>
      </c>
      <c r="B925" s="84">
        <v>7927013</v>
      </c>
      <c r="C925" s="85">
        <v>45097</v>
      </c>
      <c r="D925" s="134">
        <v>12480</v>
      </c>
      <c r="E925" s="84" t="s">
        <v>655</v>
      </c>
      <c r="F925" s="84">
        <v>13</v>
      </c>
      <c r="G925" s="84" t="s">
        <v>112</v>
      </c>
      <c r="H925" s="85">
        <v>45097</v>
      </c>
      <c r="I925" s="84" t="s">
        <v>938</v>
      </c>
      <c r="J925" s="84" t="s">
        <v>807</v>
      </c>
    </row>
    <row r="926" spans="1:11" x14ac:dyDescent="0.3">
      <c r="A926" s="83">
        <v>1232063134</v>
      </c>
      <c r="B926" s="84">
        <v>7927026</v>
      </c>
      <c r="C926" s="85">
        <v>45097</v>
      </c>
      <c r="D926" s="134">
        <v>18624</v>
      </c>
      <c r="E926" s="84" t="s">
        <v>655</v>
      </c>
      <c r="F926" s="84">
        <v>14</v>
      </c>
      <c r="G926" s="84" t="s">
        <v>112</v>
      </c>
      <c r="H926" s="85">
        <v>45097</v>
      </c>
      <c r="I926" s="93" t="s">
        <v>939</v>
      </c>
      <c r="J926" s="84" t="s">
        <v>807</v>
      </c>
      <c r="K926" s="84" t="s">
        <v>938</v>
      </c>
    </row>
    <row r="927" spans="1:11" x14ac:dyDescent="0.3">
      <c r="A927" s="83">
        <v>1232063831</v>
      </c>
      <c r="B927" s="84">
        <v>32933267</v>
      </c>
      <c r="C927" s="85"/>
      <c r="D927" s="134">
        <v>16416</v>
      </c>
      <c r="E927" s="84" t="s">
        <v>655</v>
      </c>
      <c r="F927" s="84">
        <v>9</v>
      </c>
      <c r="G927" s="84" t="s">
        <v>112</v>
      </c>
      <c r="H927" s="85">
        <v>45097</v>
      </c>
      <c r="I927" s="84" t="s">
        <v>940</v>
      </c>
      <c r="J927" s="84" t="s">
        <v>807</v>
      </c>
    </row>
    <row r="928" spans="1:11" x14ac:dyDescent="0.3">
      <c r="A928" s="83">
        <v>1232063830</v>
      </c>
      <c r="B928" s="84">
        <v>25928625</v>
      </c>
      <c r="C928" s="85"/>
      <c r="D928" s="134">
        <v>3648</v>
      </c>
      <c r="E928" s="84" t="s">
        <v>655</v>
      </c>
      <c r="F928" s="84">
        <v>2</v>
      </c>
      <c r="G928" s="84" t="s">
        <v>112</v>
      </c>
      <c r="H928" s="85">
        <v>45097</v>
      </c>
      <c r="I928" s="84" t="s">
        <v>940</v>
      </c>
      <c r="J928" s="84" t="s">
        <v>807</v>
      </c>
    </row>
    <row r="929" spans="1:10" x14ac:dyDescent="0.3">
      <c r="A929" s="83">
        <v>1232064442</v>
      </c>
      <c r="B929" s="84">
        <v>7927010</v>
      </c>
      <c r="C929" s="85"/>
      <c r="D929" s="134">
        <v>12027</v>
      </c>
      <c r="E929" s="84" t="s">
        <v>655</v>
      </c>
      <c r="F929" s="84">
        <v>7</v>
      </c>
      <c r="G929" s="84" t="s">
        <v>112</v>
      </c>
      <c r="H929" s="85">
        <v>45103</v>
      </c>
      <c r="I929" s="84" t="s">
        <v>941</v>
      </c>
      <c r="J929" s="84" t="s">
        <v>807</v>
      </c>
    </row>
    <row r="930" spans="1:10" x14ac:dyDescent="0.3">
      <c r="A930" s="83">
        <v>1232067041</v>
      </c>
      <c r="B930" s="84">
        <v>47917689</v>
      </c>
      <c r="C930" s="85">
        <v>45105</v>
      </c>
      <c r="D930" s="134">
        <v>5472</v>
      </c>
      <c r="E930" s="84" t="s">
        <v>655</v>
      </c>
      <c r="F930" s="84">
        <v>3</v>
      </c>
      <c r="G930" s="84" t="s">
        <v>112</v>
      </c>
      <c r="H930" s="85">
        <v>45104</v>
      </c>
      <c r="I930" s="84" t="s">
        <v>942</v>
      </c>
      <c r="J930" s="84" t="s">
        <v>807</v>
      </c>
    </row>
    <row r="931" spans="1:10" x14ac:dyDescent="0.3">
      <c r="A931" s="83">
        <v>1232067042</v>
      </c>
      <c r="B931" s="84">
        <v>14903335</v>
      </c>
      <c r="C931" s="85">
        <v>45105</v>
      </c>
      <c r="D931" s="134">
        <v>12768</v>
      </c>
      <c r="E931" s="84" t="s">
        <v>655</v>
      </c>
      <c r="F931" s="84">
        <v>7</v>
      </c>
      <c r="G931" s="84" t="s">
        <v>112</v>
      </c>
      <c r="H931" s="85">
        <v>45104</v>
      </c>
      <c r="I931" s="84" t="s">
        <v>942</v>
      </c>
      <c r="J931" s="84" t="s">
        <v>807</v>
      </c>
    </row>
    <row r="932" spans="1:10" x14ac:dyDescent="0.3">
      <c r="A932" s="83">
        <v>1232066890</v>
      </c>
      <c r="B932" s="84">
        <v>79563037</v>
      </c>
      <c r="C932" s="85">
        <v>45106</v>
      </c>
      <c r="D932" s="134">
        <v>368</v>
      </c>
      <c r="E932" s="84" t="s">
        <v>655</v>
      </c>
      <c r="F932" s="84">
        <v>1</v>
      </c>
      <c r="G932" s="84" t="s">
        <v>112</v>
      </c>
      <c r="H932" s="85">
        <v>45106</v>
      </c>
      <c r="I932" s="84" t="s">
        <v>943</v>
      </c>
      <c r="J932" s="84" t="s">
        <v>804</v>
      </c>
    </row>
    <row r="933" spans="1:10" x14ac:dyDescent="0.3">
      <c r="A933" s="83">
        <v>1232067666</v>
      </c>
      <c r="B933" s="84">
        <v>15568705</v>
      </c>
      <c r="C933" s="85">
        <v>45106</v>
      </c>
      <c r="D933" s="134">
        <v>368</v>
      </c>
      <c r="E933" s="84" t="s">
        <v>655</v>
      </c>
      <c r="F933" s="84">
        <v>1</v>
      </c>
      <c r="G933" s="84" t="s">
        <v>112</v>
      </c>
      <c r="H933" s="85">
        <v>45106</v>
      </c>
      <c r="I933" s="84" t="s">
        <v>943</v>
      </c>
      <c r="J933" s="84" t="s">
        <v>804</v>
      </c>
    </row>
    <row r="934" spans="1:10" x14ac:dyDescent="0.3">
      <c r="A934" s="83">
        <v>1232067667</v>
      </c>
      <c r="B934" s="84">
        <v>16550368</v>
      </c>
      <c r="C934" s="85">
        <v>45106</v>
      </c>
      <c r="D934" s="134">
        <v>816</v>
      </c>
      <c r="E934" s="84" t="s">
        <v>655</v>
      </c>
      <c r="F934" s="84">
        <v>1</v>
      </c>
      <c r="G934" s="84" t="s">
        <v>112</v>
      </c>
      <c r="H934" s="85">
        <v>45106</v>
      </c>
      <c r="I934" s="84" t="s">
        <v>943</v>
      </c>
      <c r="J934" s="84" t="s">
        <v>804</v>
      </c>
    </row>
    <row r="935" spans="1:10" x14ac:dyDescent="0.3">
      <c r="A935" s="83">
        <v>1232067724</v>
      </c>
      <c r="B935" s="84">
        <v>88569254</v>
      </c>
      <c r="C935" s="85">
        <v>45106</v>
      </c>
      <c r="D935" s="134">
        <v>1152</v>
      </c>
      <c r="E935" s="84" t="s">
        <v>655</v>
      </c>
      <c r="F935" s="84">
        <v>1</v>
      </c>
      <c r="G935" s="84" t="s">
        <v>112</v>
      </c>
      <c r="H935" s="85">
        <v>45106</v>
      </c>
      <c r="I935" s="84" t="s">
        <v>943</v>
      </c>
      <c r="J935" s="84" t="s">
        <v>804</v>
      </c>
    </row>
    <row r="936" spans="1:10" x14ac:dyDescent="0.3">
      <c r="A936" s="83">
        <v>1232067761</v>
      </c>
      <c r="B936" s="84">
        <v>29577162</v>
      </c>
      <c r="C936" s="85">
        <v>45106</v>
      </c>
      <c r="D936" s="134">
        <v>536</v>
      </c>
      <c r="E936" s="84" t="s">
        <v>655</v>
      </c>
      <c r="F936" s="84">
        <v>1</v>
      </c>
      <c r="G936" s="84" t="s">
        <v>112</v>
      </c>
      <c r="H936" s="85">
        <v>45106</v>
      </c>
      <c r="I936" s="84" t="s">
        <v>943</v>
      </c>
      <c r="J936" s="84" t="s">
        <v>804</v>
      </c>
    </row>
    <row r="937" spans="1:10" x14ac:dyDescent="0.3">
      <c r="A937" s="83">
        <v>1232067744</v>
      </c>
      <c r="B937" s="84" t="s">
        <v>944</v>
      </c>
      <c r="C937" s="85">
        <v>45106</v>
      </c>
      <c r="D937" s="134">
        <v>6872</v>
      </c>
      <c r="E937" s="84" t="s">
        <v>655</v>
      </c>
      <c r="F937" s="84">
        <v>4</v>
      </c>
      <c r="G937" s="84" t="s">
        <v>112</v>
      </c>
      <c r="H937" s="85">
        <v>45106</v>
      </c>
      <c r="I937" s="84" t="s">
        <v>943</v>
      </c>
      <c r="J937" s="84" t="s">
        <v>804</v>
      </c>
    </row>
    <row r="938" spans="1:10" x14ac:dyDescent="0.3">
      <c r="A938" s="83">
        <v>1232069171</v>
      </c>
      <c r="B938" s="84">
        <v>66580658</v>
      </c>
      <c r="C938" s="85"/>
      <c r="D938" s="134">
        <v>480</v>
      </c>
      <c r="E938" s="84" t="s">
        <v>655</v>
      </c>
      <c r="F938" s="84">
        <v>1</v>
      </c>
      <c r="G938" s="84" t="s">
        <v>112</v>
      </c>
      <c r="H938" s="85">
        <v>45113</v>
      </c>
      <c r="I938" s="84" t="s">
        <v>945</v>
      </c>
      <c r="J938" s="84" t="s">
        <v>804</v>
      </c>
    </row>
    <row r="939" spans="1:10" x14ac:dyDescent="0.3">
      <c r="A939" s="83">
        <v>1232069194</v>
      </c>
      <c r="B939" s="84">
        <v>77745158</v>
      </c>
      <c r="C939" s="85"/>
      <c r="D939" s="134">
        <v>536</v>
      </c>
      <c r="E939" s="84" t="s">
        <v>655</v>
      </c>
      <c r="F939" s="84">
        <v>1</v>
      </c>
      <c r="G939" s="84" t="s">
        <v>112</v>
      </c>
      <c r="H939" s="85">
        <v>45114</v>
      </c>
      <c r="I939" s="84" t="s">
        <v>945</v>
      </c>
      <c r="J939" s="84" t="s">
        <v>804</v>
      </c>
    </row>
    <row r="940" spans="1:10" x14ac:dyDescent="0.3">
      <c r="A940" s="83">
        <v>1232069197</v>
      </c>
      <c r="B940" s="84">
        <v>16550491</v>
      </c>
      <c r="C940" s="85"/>
      <c r="D940" s="134">
        <v>896</v>
      </c>
      <c r="E940" s="84" t="s">
        <v>655</v>
      </c>
      <c r="F940" s="84">
        <v>1</v>
      </c>
      <c r="G940" s="84" t="s">
        <v>112</v>
      </c>
      <c r="H940" s="85">
        <v>45115</v>
      </c>
      <c r="I940" s="84" t="s">
        <v>945</v>
      </c>
      <c r="J940" s="84" t="s">
        <v>804</v>
      </c>
    </row>
    <row r="941" spans="1:10" x14ac:dyDescent="0.3">
      <c r="A941" s="83">
        <v>1232070375</v>
      </c>
      <c r="B941" s="84">
        <v>32938798</v>
      </c>
      <c r="C941" s="85">
        <v>45117</v>
      </c>
      <c r="D941" s="134">
        <v>10944</v>
      </c>
      <c r="E941" s="84" t="s">
        <v>655</v>
      </c>
      <c r="F941" s="84">
        <v>6</v>
      </c>
      <c r="G941" s="84" t="s">
        <v>112</v>
      </c>
      <c r="H941" s="85">
        <v>45117</v>
      </c>
      <c r="I941" s="84" t="s">
        <v>946</v>
      </c>
      <c r="J941" s="84" t="s">
        <v>807</v>
      </c>
    </row>
    <row r="942" spans="1:10" x14ac:dyDescent="0.3">
      <c r="A942" s="83">
        <v>1232070376</v>
      </c>
      <c r="B942" s="84">
        <v>33945756</v>
      </c>
      <c r="C942" s="85">
        <v>45117</v>
      </c>
      <c r="D942" s="134">
        <v>3648</v>
      </c>
      <c r="E942" s="84" t="s">
        <v>655</v>
      </c>
      <c r="F942" s="84">
        <v>2</v>
      </c>
      <c r="G942" s="84" t="s">
        <v>112</v>
      </c>
      <c r="H942" s="85">
        <v>45117</v>
      </c>
      <c r="I942" s="84" t="s">
        <v>946</v>
      </c>
      <c r="J942" s="84" t="s">
        <v>807</v>
      </c>
    </row>
    <row r="943" spans="1:10" x14ac:dyDescent="0.3">
      <c r="A943" s="83">
        <v>1232070377</v>
      </c>
      <c r="B943" s="84">
        <v>35912860</v>
      </c>
      <c r="C943" s="85">
        <v>45117</v>
      </c>
      <c r="D943" s="134">
        <v>9120</v>
      </c>
      <c r="E943" s="84" t="s">
        <v>655</v>
      </c>
      <c r="F943" s="84">
        <v>5</v>
      </c>
      <c r="G943" s="84" t="s">
        <v>112</v>
      </c>
      <c r="H943" s="85">
        <v>45117</v>
      </c>
      <c r="I943" s="84" t="s">
        <v>946</v>
      </c>
      <c r="J943" s="84" t="s">
        <v>807</v>
      </c>
    </row>
    <row r="944" spans="1:10" x14ac:dyDescent="0.3">
      <c r="A944" s="83">
        <v>1232072579</v>
      </c>
      <c r="B944" s="84">
        <v>18900172</v>
      </c>
      <c r="C944" s="85">
        <v>45118</v>
      </c>
      <c r="D944" s="134">
        <v>9216</v>
      </c>
      <c r="E944" s="84" t="s">
        <v>655</v>
      </c>
      <c r="F944" s="84">
        <v>6</v>
      </c>
      <c r="G944" s="84" t="s">
        <v>112</v>
      </c>
      <c r="H944" s="85">
        <v>45117</v>
      </c>
      <c r="I944" s="84" t="s">
        <v>947</v>
      </c>
      <c r="J944" s="84" t="s">
        <v>807</v>
      </c>
    </row>
    <row r="945" spans="1:11" x14ac:dyDescent="0.3">
      <c r="A945" s="83">
        <v>1232072585</v>
      </c>
      <c r="B945" s="84">
        <v>38941521</v>
      </c>
      <c r="C945" s="85">
        <v>45118</v>
      </c>
      <c r="D945" s="134">
        <v>8256</v>
      </c>
      <c r="E945" s="84" t="s">
        <v>655</v>
      </c>
      <c r="F945" s="84">
        <v>5</v>
      </c>
      <c r="G945" s="84" t="s">
        <v>112</v>
      </c>
      <c r="H945" s="85">
        <v>45117</v>
      </c>
      <c r="I945" s="84" t="s">
        <v>947</v>
      </c>
      <c r="J945" s="84" t="s">
        <v>807</v>
      </c>
    </row>
    <row r="946" spans="1:11" x14ac:dyDescent="0.3">
      <c r="A946" s="83">
        <v>1232074498</v>
      </c>
      <c r="B946" s="93">
        <v>34276071</v>
      </c>
      <c r="C946" s="85">
        <v>45124</v>
      </c>
      <c r="D946" s="134">
        <v>3648</v>
      </c>
      <c r="E946" s="84" t="s">
        <v>655</v>
      </c>
      <c r="F946" s="84">
        <v>2</v>
      </c>
      <c r="G946" s="84" t="s">
        <v>112</v>
      </c>
      <c r="H946" s="85">
        <v>45124</v>
      </c>
      <c r="I946" s="84" t="s">
        <v>948</v>
      </c>
      <c r="J946" s="84" t="s">
        <v>807</v>
      </c>
    </row>
    <row r="947" spans="1:11" x14ac:dyDescent="0.3">
      <c r="A947" s="83">
        <v>1232074795</v>
      </c>
      <c r="B947" s="84">
        <v>45924084</v>
      </c>
      <c r="C947" s="85">
        <v>45125</v>
      </c>
      <c r="D947" s="134">
        <v>16320</v>
      </c>
      <c r="E947" s="84" t="s">
        <v>655</v>
      </c>
      <c r="F947" s="84">
        <v>17</v>
      </c>
      <c r="G947" s="84" t="s">
        <v>112</v>
      </c>
      <c r="H947" s="85">
        <v>45124</v>
      </c>
      <c r="I947" s="84" t="s">
        <v>949</v>
      </c>
      <c r="J947" s="84" t="s">
        <v>807</v>
      </c>
    </row>
    <row r="948" spans="1:11" x14ac:dyDescent="0.3">
      <c r="A948" s="83">
        <v>1232075917</v>
      </c>
      <c r="B948" s="84">
        <v>25939301</v>
      </c>
      <c r="C948" s="85">
        <v>45126</v>
      </c>
      <c r="D948" s="134">
        <v>18624</v>
      </c>
      <c r="E948" s="84" t="s">
        <v>655</v>
      </c>
      <c r="F948" s="84">
        <v>14</v>
      </c>
      <c r="G948" s="84" t="s">
        <v>112</v>
      </c>
      <c r="H948" s="85">
        <v>45125</v>
      </c>
      <c r="I948" s="84" t="s">
        <v>950</v>
      </c>
      <c r="J948" s="84" t="s">
        <v>807</v>
      </c>
    </row>
    <row r="949" spans="1:11" x14ac:dyDescent="0.3">
      <c r="A949" s="83">
        <v>1232075914</v>
      </c>
      <c r="B949" s="84">
        <v>45926208</v>
      </c>
      <c r="C949" s="85">
        <v>45126</v>
      </c>
      <c r="D949" s="134">
        <v>16416</v>
      </c>
      <c r="E949" s="84" t="s">
        <v>655</v>
      </c>
      <c r="F949" s="84">
        <v>9</v>
      </c>
      <c r="G949" s="84" t="s">
        <v>112</v>
      </c>
      <c r="H949" s="85">
        <v>45125</v>
      </c>
      <c r="I949" s="84" t="s">
        <v>950</v>
      </c>
      <c r="J949" s="84" t="s">
        <v>807</v>
      </c>
    </row>
    <row r="950" spans="1:11" x14ac:dyDescent="0.3">
      <c r="A950" s="83">
        <v>1232079179</v>
      </c>
      <c r="B950" s="84">
        <v>38900520</v>
      </c>
      <c r="C950" s="85">
        <v>45133</v>
      </c>
      <c r="D950" s="134">
        <v>14592</v>
      </c>
      <c r="E950" s="84" t="s">
        <v>655</v>
      </c>
      <c r="F950" s="84">
        <v>8</v>
      </c>
      <c r="G950" s="84" t="s">
        <v>112</v>
      </c>
      <c r="H950" s="85">
        <v>45138</v>
      </c>
      <c r="I950" s="84" t="s">
        <v>951</v>
      </c>
      <c r="J950" s="84" t="s">
        <v>807</v>
      </c>
    </row>
    <row r="951" spans="1:11" x14ac:dyDescent="0.3">
      <c r="A951" s="83">
        <v>1232079185</v>
      </c>
      <c r="B951" s="84">
        <v>38900250</v>
      </c>
      <c r="C951" s="85">
        <v>45133</v>
      </c>
      <c r="D951" s="134">
        <v>19200</v>
      </c>
      <c r="E951" s="84" t="s">
        <v>655</v>
      </c>
      <c r="F951" s="84">
        <v>20</v>
      </c>
      <c r="G951" s="84" t="s">
        <v>112</v>
      </c>
      <c r="H951" s="85">
        <v>45138</v>
      </c>
      <c r="I951" s="84" t="s">
        <v>951</v>
      </c>
      <c r="J951" s="84" t="s">
        <v>807</v>
      </c>
    </row>
    <row r="952" spans="1:11" x14ac:dyDescent="0.3">
      <c r="A952" s="83">
        <v>1232079934</v>
      </c>
      <c r="B952" s="84">
        <v>38900245</v>
      </c>
      <c r="C952" s="85">
        <v>45134</v>
      </c>
      <c r="D952" s="134">
        <v>960</v>
      </c>
      <c r="E952" s="84" t="s">
        <v>655</v>
      </c>
      <c r="F952" s="84">
        <v>1</v>
      </c>
      <c r="G952" s="84" t="s">
        <v>112</v>
      </c>
      <c r="H952" s="85">
        <v>45138</v>
      </c>
      <c r="I952" s="84" t="s">
        <v>951</v>
      </c>
      <c r="J952" s="84" t="s">
        <v>807</v>
      </c>
    </row>
    <row r="953" spans="1:11" x14ac:dyDescent="0.3">
      <c r="A953" s="83">
        <v>1232080525</v>
      </c>
      <c r="B953" s="84">
        <v>25943250</v>
      </c>
      <c r="C953" s="85">
        <v>45135</v>
      </c>
      <c r="D953" s="134">
        <v>18240</v>
      </c>
      <c r="E953" s="84" t="s">
        <v>655</v>
      </c>
      <c r="F953" s="84">
        <v>10</v>
      </c>
      <c r="G953" s="84" t="s">
        <v>112</v>
      </c>
      <c r="H953" s="85">
        <v>45138</v>
      </c>
      <c r="I953" s="84" t="s">
        <v>951</v>
      </c>
      <c r="J953" s="84" t="s">
        <v>807</v>
      </c>
    </row>
    <row r="954" spans="1:11" x14ac:dyDescent="0.3">
      <c r="A954" s="83">
        <v>1232079180</v>
      </c>
      <c r="B954" s="84">
        <v>36927265</v>
      </c>
      <c r="C954" s="85">
        <v>45133</v>
      </c>
      <c r="D954" s="134">
        <v>5472</v>
      </c>
      <c r="E954" s="84" t="s">
        <v>655</v>
      </c>
      <c r="F954" s="84">
        <v>3</v>
      </c>
      <c r="G954" s="84" t="s">
        <v>112</v>
      </c>
      <c r="H954" s="85">
        <v>45138</v>
      </c>
      <c r="I954" s="84" t="s">
        <v>952</v>
      </c>
      <c r="J954" s="84" t="s">
        <v>807</v>
      </c>
      <c r="K954" t="s">
        <v>951</v>
      </c>
    </row>
    <row r="955" spans="1:11" x14ac:dyDescent="0.3">
      <c r="A955" s="87">
        <v>1232079183</v>
      </c>
      <c r="B955" s="88">
        <v>38900244</v>
      </c>
      <c r="C955" s="89">
        <v>45133</v>
      </c>
      <c r="D955" s="144">
        <v>18240</v>
      </c>
      <c r="E955" s="88" t="s">
        <v>655</v>
      </c>
      <c r="F955" s="88">
        <v>19</v>
      </c>
      <c r="G955" s="88" t="s">
        <v>112</v>
      </c>
      <c r="H955" s="89">
        <v>45138</v>
      </c>
      <c r="I955" s="88" t="s">
        <v>952</v>
      </c>
      <c r="J955" s="88" t="s">
        <v>807</v>
      </c>
      <c r="K955" s="109" t="s">
        <v>951</v>
      </c>
    </row>
    <row r="956" spans="1:11" x14ac:dyDescent="0.3">
      <c r="A956" s="83">
        <v>1232079909</v>
      </c>
      <c r="B956" s="84">
        <v>33906822</v>
      </c>
      <c r="C956" s="85">
        <v>45134</v>
      </c>
      <c r="D956" s="134">
        <v>19031.98</v>
      </c>
      <c r="E956" s="84" t="s">
        <v>655</v>
      </c>
      <c r="F956" s="84">
        <v>10</v>
      </c>
      <c r="G956" s="84" t="s">
        <v>112</v>
      </c>
      <c r="H956" s="85">
        <v>45138</v>
      </c>
      <c r="I956" s="84" t="s">
        <v>952</v>
      </c>
      <c r="J956" s="84" t="s">
        <v>807</v>
      </c>
      <c r="K956" t="s">
        <v>951</v>
      </c>
    </row>
    <row r="957" spans="1:11" x14ac:dyDescent="0.3">
      <c r="A957" s="83">
        <v>1232081785</v>
      </c>
      <c r="B957" s="84">
        <v>35923652</v>
      </c>
      <c r="C957" s="85">
        <v>45139</v>
      </c>
      <c r="D957" s="134">
        <v>7680</v>
      </c>
      <c r="E957" s="84" t="s">
        <v>655</v>
      </c>
      <c r="F957" s="84">
        <v>8</v>
      </c>
      <c r="G957" s="84" t="s">
        <v>112</v>
      </c>
      <c r="H957" s="85">
        <v>45139</v>
      </c>
      <c r="I957" s="84" t="s">
        <v>953</v>
      </c>
      <c r="J957" s="84" t="s">
        <v>807</v>
      </c>
      <c r="K957" t="s">
        <v>954</v>
      </c>
    </row>
    <row r="958" spans="1:11" x14ac:dyDescent="0.3">
      <c r="A958" s="83">
        <v>1232081786</v>
      </c>
      <c r="B958" s="84">
        <v>35923653</v>
      </c>
      <c r="C958" s="85">
        <v>45139</v>
      </c>
      <c r="D958" s="134">
        <v>960</v>
      </c>
      <c r="E958" s="84" t="s">
        <v>655</v>
      </c>
      <c r="F958" s="84">
        <v>1</v>
      </c>
      <c r="G958" s="84" t="s">
        <v>112</v>
      </c>
      <c r="H958" s="85">
        <v>45139</v>
      </c>
      <c r="I958" s="84" t="s">
        <v>953</v>
      </c>
      <c r="J958" s="84" t="s">
        <v>807</v>
      </c>
      <c r="K958" t="s">
        <v>954</v>
      </c>
    </row>
    <row r="959" spans="1:11" x14ac:dyDescent="0.3">
      <c r="A959" s="83">
        <v>1232081780</v>
      </c>
      <c r="B959" s="84">
        <v>31922237</v>
      </c>
      <c r="C959" s="85">
        <v>45139</v>
      </c>
      <c r="D959" s="134">
        <v>12768</v>
      </c>
      <c r="E959" s="84" t="s">
        <v>655</v>
      </c>
      <c r="F959" s="84">
        <v>7</v>
      </c>
      <c r="G959" s="84" t="s">
        <v>112</v>
      </c>
      <c r="H959" s="85">
        <v>45139</v>
      </c>
      <c r="I959" s="84" t="s">
        <v>953</v>
      </c>
      <c r="J959" s="84" t="s">
        <v>807</v>
      </c>
      <c r="K959" t="s">
        <v>954</v>
      </c>
    </row>
    <row r="960" spans="1:11" x14ac:dyDescent="0.3">
      <c r="A960" s="83">
        <v>1232083531</v>
      </c>
      <c r="B960" s="84">
        <v>33909630</v>
      </c>
      <c r="C960" s="85">
        <v>45142</v>
      </c>
      <c r="D960" s="134">
        <v>9120</v>
      </c>
      <c r="E960" s="84" t="s">
        <v>655</v>
      </c>
      <c r="F960" s="84">
        <v>5</v>
      </c>
      <c r="G960" s="84" t="s">
        <v>112</v>
      </c>
      <c r="H960" s="85">
        <v>45145</v>
      </c>
      <c r="I960" s="84" t="s">
        <v>955</v>
      </c>
      <c r="J960" s="84" t="s">
        <v>807</v>
      </c>
    </row>
    <row r="961" spans="1:11" x14ac:dyDescent="0.3">
      <c r="A961" s="83">
        <v>1232083534</v>
      </c>
      <c r="B961" s="84">
        <v>35923659</v>
      </c>
      <c r="C961" s="85">
        <v>45142</v>
      </c>
      <c r="D961" s="134">
        <v>6720</v>
      </c>
      <c r="E961" s="84" t="s">
        <v>655</v>
      </c>
      <c r="F961" s="84">
        <v>7</v>
      </c>
      <c r="G961" s="84" t="s">
        <v>112</v>
      </c>
      <c r="H961" s="85">
        <v>45146</v>
      </c>
      <c r="I961" s="84" t="s">
        <v>955</v>
      </c>
      <c r="J961" s="84" t="s">
        <v>807</v>
      </c>
    </row>
    <row r="962" spans="1:11" x14ac:dyDescent="0.3">
      <c r="A962" s="83">
        <v>1232086482</v>
      </c>
      <c r="B962" s="84">
        <v>25945985</v>
      </c>
      <c r="C962" s="85">
        <v>45148</v>
      </c>
      <c r="D962" s="134">
        <v>1920</v>
      </c>
      <c r="E962" s="84" t="s">
        <v>655</v>
      </c>
      <c r="F962" s="84">
        <v>2</v>
      </c>
      <c r="G962" s="84" t="s">
        <v>112</v>
      </c>
      <c r="H962" s="85">
        <v>45148</v>
      </c>
      <c r="I962" s="84" t="s">
        <v>956</v>
      </c>
      <c r="J962" s="84" t="s">
        <v>807</v>
      </c>
    </row>
    <row r="963" spans="1:11" x14ac:dyDescent="0.3">
      <c r="A963" s="83">
        <v>1232086485</v>
      </c>
      <c r="B963" s="84">
        <v>25945986</v>
      </c>
      <c r="C963" s="85">
        <v>45148</v>
      </c>
      <c r="D963" s="134">
        <v>1920</v>
      </c>
      <c r="E963" s="84" t="s">
        <v>655</v>
      </c>
      <c r="F963" s="84">
        <v>2</v>
      </c>
      <c r="G963" s="84" t="s">
        <v>112</v>
      </c>
      <c r="H963" s="85">
        <v>45148</v>
      </c>
      <c r="I963" s="84" t="s">
        <v>956</v>
      </c>
      <c r="J963" s="84" t="s">
        <v>807</v>
      </c>
    </row>
    <row r="964" spans="1:11" x14ac:dyDescent="0.3">
      <c r="A964" s="83">
        <v>1232087160</v>
      </c>
      <c r="B964" s="84">
        <v>26941923</v>
      </c>
      <c r="C964" s="85">
        <v>45154</v>
      </c>
      <c r="D964" s="134">
        <v>6720</v>
      </c>
      <c r="E964" s="84" t="s">
        <v>655</v>
      </c>
      <c r="F964" s="84">
        <v>7</v>
      </c>
      <c r="G964" s="84" t="s">
        <v>112</v>
      </c>
      <c r="H964" s="85">
        <v>45153</v>
      </c>
      <c r="I964" s="84" t="s">
        <v>957</v>
      </c>
      <c r="J964" s="84" t="s">
        <v>807</v>
      </c>
    </row>
    <row r="965" spans="1:11" x14ac:dyDescent="0.3">
      <c r="A965" s="83">
        <v>1232088996</v>
      </c>
      <c r="B965" s="84">
        <v>32907384</v>
      </c>
      <c r="C965" s="85">
        <v>45154</v>
      </c>
      <c r="D965" s="134">
        <v>13440</v>
      </c>
      <c r="E965" s="84" t="s">
        <v>655</v>
      </c>
      <c r="F965" s="84">
        <v>14</v>
      </c>
      <c r="G965" s="84" t="s">
        <v>112</v>
      </c>
      <c r="H965" s="85">
        <v>45153</v>
      </c>
      <c r="I965" s="84" t="s">
        <v>958</v>
      </c>
      <c r="J965" s="84" t="s">
        <v>807</v>
      </c>
      <c r="K965" t="s">
        <v>957</v>
      </c>
    </row>
    <row r="966" spans="1:11" x14ac:dyDescent="0.3">
      <c r="A966" s="83">
        <v>1232088999</v>
      </c>
      <c r="B966" s="84">
        <v>26944499</v>
      </c>
      <c r="C966" s="85">
        <v>45154</v>
      </c>
      <c r="D966" s="134">
        <v>3840</v>
      </c>
      <c r="E966" s="84" t="s">
        <v>655</v>
      </c>
      <c r="F966" s="84">
        <v>4</v>
      </c>
      <c r="G966" s="84" t="s">
        <v>112</v>
      </c>
      <c r="H966" s="85">
        <v>45153</v>
      </c>
      <c r="I966" s="84" t="s">
        <v>959</v>
      </c>
      <c r="J966" s="84" t="s">
        <v>807</v>
      </c>
      <c r="K966" t="s">
        <v>957</v>
      </c>
    </row>
    <row r="967" spans="1:11" x14ac:dyDescent="0.3">
      <c r="A967" s="83">
        <v>1232087161</v>
      </c>
      <c r="B967" s="84">
        <v>26941924</v>
      </c>
      <c r="C967" s="85">
        <v>45159</v>
      </c>
      <c r="D967" s="134">
        <v>3840</v>
      </c>
      <c r="E967" s="84" t="s">
        <v>655</v>
      </c>
      <c r="F967" s="84">
        <v>4</v>
      </c>
      <c r="G967" s="84" t="s">
        <v>112</v>
      </c>
      <c r="H967" s="85">
        <v>45159</v>
      </c>
      <c r="I967" s="84" t="s">
        <v>960</v>
      </c>
      <c r="J967" s="84" t="s">
        <v>807</v>
      </c>
    </row>
    <row r="968" spans="1:11" x14ac:dyDescent="0.3">
      <c r="A968" s="83">
        <v>1232087156</v>
      </c>
      <c r="B968" s="84">
        <v>26941918</v>
      </c>
      <c r="C968" s="85">
        <v>45156</v>
      </c>
      <c r="D968" s="134">
        <v>1920</v>
      </c>
      <c r="E968" s="84" t="s">
        <v>655</v>
      </c>
      <c r="F968" s="84">
        <v>2</v>
      </c>
      <c r="G968" s="84" t="s">
        <v>112</v>
      </c>
      <c r="H968" s="85">
        <v>45159</v>
      </c>
      <c r="I968" s="84" t="s">
        <v>960</v>
      </c>
      <c r="J968" s="84" t="s">
        <v>807</v>
      </c>
    </row>
    <row r="969" spans="1:11" x14ac:dyDescent="0.3">
      <c r="A969" s="83">
        <v>1232089301</v>
      </c>
      <c r="B969" s="84">
        <v>86550199</v>
      </c>
      <c r="C969" s="85"/>
      <c r="D969" s="134">
        <v>1600</v>
      </c>
      <c r="E969" s="84" t="s">
        <v>655</v>
      </c>
      <c r="F969" s="84">
        <v>1</v>
      </c>
      <c r="G969" s="84" t="s">
        <v>112</v>
      </c>
      <c r="H969" s="85">
        <v>45159</v>
      </c>
      <c r="I969" s="84" t="s">
        <v>961</v>
      </c>
      <c r="J969" s="84" t="s">
        <v>804</v>
      </c>
    </row>
    <row r="970" spans="1:11" x14ac:dyDescent="0.3">
      <c r="A970" s="83">
        <v>1232089324</v>
      </c>
      <c r="B970" s="84">
        <v>40574821</v>
      </c>
      <c r="C970" s="85"/>
      <c r="D970" s="134">
        <v>704</v>
      </c>
      <c r="E970" s="84" t="s">
        <v>655</v>
      </c>
      <c r="F970" s="84">
        <v>1</v>
      </c>
      <c r="G970" s="84" t="s">
        <v>112</v>
      </c>
      <c r="H970" s="85">
        <v>45159</v>
      </c>
      <c r="I970" s="84" t="s">
        <v>961</v>
      </c>
      <c r="J970" s="84" t="s">
        <v>804</v>
      </c>
    </row>
    <row r="971" spans="1:11" x14ac:dyDescent="0.3">
      <c r="A971" s="83">
        <v>1232089334</v>
      </c>
      <c r="B971" s="84">
        <v>95820903</v>
      </c>
      <c r="C971" s="85"/>
      <c r="D971" s="134">
        <v>872</v>
      </c>
      <c r="E971" s="84" t="s">
        <v>655</v>
      </c>
      <c r="F971" s="84">
        <v>1</v>
      </c>
      <c r="G971" s="84" t="s">
        <v>112</v>
      </c>
      <c r="H971" s="85">
        <v>45159</v>
      </c>
      <c r="I971" s="84" t="s">
        <v>961</v>
      </c>
      <c r="J971" s="84" t="s">
        <v>804</v>
      </c>
    </row>
    <row r="972" spans="1:11" x14ac:dyDescent="0.3">
      <c r="A972" s="83">
        <v>1232089335</v>
      </c>
      <c r="B972" s="84">
        <v>95827087</v>
      </c>
      <c r="C972" s="85"/>
      <c r="D972" s="134">
        <v>536</v>
      </c>
      <c r="E972" s="84" t="s">
        <v>655</v>
      </c>
      <c r="F972" s="84">
        <v>1</v>
      </c>
      <c r="G972" s="84" t="s">
        <v>112</v>
      </c>
      <c r="H972" s="85">
        <v>45159</v>
      </c>
      <c r="I972" s="84" t="s">
        <v>961</v>
      </c>
      <c r="J972" s="84" t="s">
        <v>804</v>
      </c>
    </row>
    <row r="973" spans="1:11" x14ac:dyDescent="0.3">
      <c r="A973" s="83">
        <v>1232090219</v>
      </c>
      <c r="B973" s="84">
        <v>59584481</v>
      </c>
      <c r="C973" s="85"/>
      <c r="D973" s="134">
        <v>592</v>
      </c>
      <c r="E973" s="84" t="s">
        <v>655</v>
      </c>
      <c r="F973" s="84">
        <v>1</v>
      </c>
      <c r="G973" s="84" t="s">
        <v>112</v>
      </c>
      <c r="H973" s="85">
        <v>45159</v>
      </c>
      <c r="I973" s="84" t="s">
        <v>961</v>
      </c>
      <c r="J973" s="84" t="s">
        <v>804</v>
      </c>
    </row>
    <row r="974" spans="1:11" x14ac:dyDescent="0.3">
      <c r="A974" s="83">
        <v>1232090244</v>
      </c>
      <c r="B974" s="84">
        <v>11557201</v>
      </c>
      <c r="C974" s="85"/>
      <c r="D974" s="134">
        <v>1152</v>
      </c>
      <c r="E974" s="84" t="s">
        <v>655</v>
      </c>
      <c r="F974" s="84">
        <v>1</v>
      </c>
      <c r="G974" s="84" t="s">
        <v>112</v>
      </c>
      <c r="H974" s="85">
        <v>45159</v>
      </c>
      <c r="I974" s="84" t="s">
        <v>961</v>
      </c>
      <c r="J974" s="84" t="s">
        <v>804</v>
      </c>
    </row>
    <row r="975" spans="1:11" x14ac:dyDescent="0.3">
      <c r="A975" s="83">
        <v>1232090245</v>
      </c>
      <c r="B975" s="84">
        <v>13557930</v>
      </c>
      <c r="C975" s="85"/>
      <c r="D975" s="134">
        <v>536</v>
      </c>
      <c r="E975" s="84" t="s">
        <v>655</v>
      </c>
      <c r="F975" s="84">
        <v>1</v>
      </c>
      <c r="G975" s="84" t="s">
        <v>112</v>
      </c>
      <c r="H975" s="85">
        <v>45159</v>
      </c>
      <c r="I975" s="84" t="s">
        <v>961</v>
      </c>
      <c r="J975" s="84" t="s">
        <v>804</v>
      </c>
    </row>
    <row r="976" spans="1:11" x14ac:dyDescent="0.3">
      <c r="A976" s="83">
        <v>1232094890</v>
      </c>
      <c r="B976" s="84">
        <v>32912952</v>
      </c>
      <c r="C976" s="85">
        <v>45170</v>
      </c>
      <c r="D976" s="134">
        <v>12768</v>
      </c>
      <c r="E976" s="84" t="s">
        <v>655</v>
      </c>
      <c r="F976" s="84">
        <v>7</v>
      </c>
      <c r="G976" s="84" t="s">
        <v>112</v>
      </c>
      <c r="H976" s="85">
        <v>45169</v>
      </c>
      <c r="I976" s="84" t="s">
        <v>962</v>
      </c>
      <c r="J976" s="84" t="s">
        <v>807</v>
      </c>
    </row>
    <row r="977" spans="1:11" x14ac:dyDescent="0.3">
      <c r="A977" s="83">
        <v>1232094894</v>
      </c>
      <c r="B977" s="84">
        <v>32913183</v>
      </c>
      <c r="C977" s="85">
        <v>45170</v>
      </c>
      <c r="D977" s="134">
        <v>9120</v>
      </c>
      <c r="E977" s="84" t="s">
        <v>655</v>
      </c>
      <c r="F977" s="84">
        <v>5</v>
      </c>
      <c r="G977" s="84" t="s">
        <v>112</v>
      </c>
      <c r="H977" s="85">
        <v>45169</v>
      </c>
      <c r="I977" s="84" t="s">
        <v>962</v>
      </c>
      <c r="J977" s="84" t="s">
        <v>807</v>
      </c>
    </row>
    <row r="978" spans="1:11" x14ac:dyDescent="0.3">
      <c r="A978" s="83">
        <v>1232092649</v>
      </c>
      <c r="B978" s="84">
        <v>46915759</v>
      </c>
      <c r="C978" s="85">
        <v>45174</v>
      </c>
      <c r="D978" s="134">
        <v>7680</v>
      </c>
      <c r="E978" s="84" t="s">
        <v>655</v>
      </c>
      <c r="F978" s="84">
        <v>8</v>
      </c>
      <c r="G978" s="84" t="s">
        <v>112</v>
      </c>
      <c r="H978" s="85">
        <v>45174</v>
      </c>
      <c r="I978" s="84" t="s">
        <v>963</v>
      </c>
      <c r="J978" s="84" t="s">
        <v>807</v>
      </c>
    </row>
    <row r="979" spans="1:11" x14ac:dyDescent="0.3">
      <c r="A979" s="83">
        <v>1232092652</v>
      </c>
      <c r="B979" s="84">
        <v>46915765</v>
      </c>
      <c r="C979" s="85">
        <v>45174</v>
      </c>
      <c r="D979" s="134">
        <v>5760</v>
      </c>
      <c r="E979" s="84" t="s">
        <v>655</v>
      </c>
      <c r="F979" s="84">
        <v>6</v>
      </c>
      <c r="G979" s="84" t="s">
        <v>112</v>
      </c>
      <c r="H979" s="85">
        <v>45174</v>
      </c>
      <c r="I979" s="84" t="s">
        <v>963</v>
      </c>
      <c r="J979" s="84" t="s">
        <v>807</v>
      </c>
    </row>
    <row r="980" spans="1:11" x14ac:dyDescent="0.3">
      <c r="A980" s="83">
        <v>1232096880</v>
      </c>
      <c r="B980" s="84">
        <v>18920891</v>
      </c>
      <c r="C980" s="85">
        <v>45175</v>
      </c>
      <c r="D980" s="134">
        <v>8640</v>
      </c>
      <c r="E980" s="84" t="s">
        <v>655</v>
      </c>
      <c r="F980" s="84">
        <v>9</v>
      </c>
      <c r="G980" s="84" t="s">
        <v>112</v>
      </c>
      <c r="H980" s="85">
        <v>45174</v>
      </c>
      <c r="I980" s="84" t="s">
        <v>964</v>
      </c>
      <c r="J980" s="84" t="s">
        <v>807</v>
      </c>
    </row>
    <row r="981" spans="1:11" x14ac:dyDescent="0.3">
      <c r="A981" s="83">
        <v>1232096885</v>
      </c>
      <c r="B981" s="84">
        <v>18920892</v>
      </c>
      <c r="C981" s="85">
        <v>45175</v>
      </c>
      <c r="D981" s="134">
        <v>2880</v>
      </c>
      <c r="E981" s="84" t="s">
        <v>655</v>
      </c>
      <c r="F981" s="84">
        <v>3</v>
      </c>
      <c r="G981" s="84" t="s">
        <v>112</v>
      </c>
      <c r="H981" s="85">
        <v>45174</v>
      </c>
      <c r="I981" s="84" t="s">
        <v>964</v>
      </c>
      <c r="J981" s="84" t="s">
        <v>807</v>
      </c>
    </row>
    <row r="982" spans="1:11" x14ac:dyDescent="0.3">
      <c r="A982" s="83">
        <v>1232097732</v>
      </c>
      <c r="B982" s="84">
        <v>25911591</v>
      </c>
      <c r="C982" s="85">
        <v>45176</v>
      </c>
      <c r="D982" s="134">
        <v>10944</v>
      </c>
      <c r="E982" s="84" t="s">
        <v>655</v>
      </c>
      <c r="F982" s="84">
        <v>6</v>
      </c>
      <c r="G982" s="84" t="s">
        <v>112</v>
      </c>
      <c r="H982" s="85">
        <v>45177</v>
      </c>
      <c r="I982" s="84" t="s">
        <v>965</v>
      </c>
      <c r="J982" s="84" t="s">
        <v>807</v>
      </c>
    </row>
    <row r="983" spans="1:11" x14ac:dyDescent="0.3">
      <c r="A983" s="83">
        <v>1232097735</v>
      </c>
      <c r="B983" s="84">
        <v>31934568</v>
      </c>
      <c r="C983" s="85">
        <v>45176</v>
      </c>
      <c r="D983" s="134">
        <v>14880</v>
      </c>
      <c r="E983" s="84" t="s">
        <v>655</v>
      </c>
      <c r="F983" s="84">
        <v>11</v>
      </c>
      <c r="G983" s="84" t="s">
        <v>112</v>
      </c>
      <c r="H983" s="85">
        <v>45177</v>
      </c>
      <c r="I983" s="84" t="s">
        <v>965</v>
      </c>
      <c r="J983" s="84" t="s">
        <v>807</v>
      </c>
    </row>
    <row r="984" spans="1:11" x14ac:dyDescent="0.3">
      <c r="A984" s="83">
        <v>1232098941</v>
      </c>
      <c r="B984" s="84">
        <v>45943257</v>
      </c>
      <c r="C984" s="85">
        <v>45181</v>
      </c>
      <c r="D984" s="134">
        <v>6720</v>
      </c>
      <c r="E984" s="84" t="s">
        <v>655</v>
      </c>
      <c r="F984" s="84">
        <v>7</v>
      </c>
      <c r="G984" s="84" t="s">
        <v>112</v>
      </c>
      <c r="H984" s="85">
        <v>45181</v>
      </c>
      <c r="I984" s="84" t="s">
        <v>966</v>
      </c>
      <c r="J984" s="84" t="s">
        <v>807</v>
      </c>
    </row>
    <row r="985" spans="1:11" x14ac:dyDescent="0.3">
      <c r="A985" s="83">
        <v>1232098943</v>
      </c>
      <c r="B985" s="84">
        <v>45943259</v>
      </c>
      <c r="C985" s="85">
        <v>45181</v>
      </c>
      <c r="D985" s="134">
        <v>4800</v>
      </c>
      <c r="E985" s="84" t="s">
        <v>655</v>
      </c>
      <c r="F985" s="84">
        <v>5</v>
      </c>
      <c r="G985" s="84" t="s">
        <v>112</v>
      </c>
      <c r="H985" s="85">
        <v>45181</v>
      </c>
      <c r="I985" s="84" t="s">
        <v>966</v>
      </c>
      <c r="J985" s="84" t="s">
        <v>807</v>
      </c>
    </row>
    <row r="986" spans="1:11" x14ac:dyDescent="0.3">
      <c r="A986" s="83">
        <v>1232100026</v>
      </c>
      <c r="B986" s="84">
        <v>36945908</v>
      </c>
      <c r="C986" s="85">
        <v>45182</v>
      </c>
      <c r="D986" s="134">
        <v>1824</v>
      </c>
      <c r="E986" s="84" t="s">
        <v>655</v>
      </c>
      <c r="F986" s="84">
        <v>1</v>
      </c>
      <c r="G986" s="84" t="s">
        <v>112</v>
      </c>
      <c r="H986" s="85">
        <v>45182</v>
      </c>
      <c r="I986" s="84" t="s">
        <v>967</v>
      </c>
      <c r="J986" s="84" t="s">
        <v>807</v>
      </c>
    </row>
    <row r="987" spans="1:11" x14ac:dyDescent="0.3">
      <c r="A987" s="83">
        <v>1232098953</v>
      </c>
      <c r="B987" s="84">
        <v>45943267</v>
      </c>
      <c r="C987" s="85">
        <v>45182</v>
      </c>
      <c r="D987" s="134">
        <v>3840</v>
      </c>
      <c r="E987" s="84" t="s">
        <v>655</v>
      </c>
      <c r="F987" s="84">
        <v>4</v>
      </c>
      <c r="G987" s="84" t="s">
        <v>112</v>
      </c>
      <c r="H987" s="85">
        <v>45182</v>
      </c>
      <c r="I987" s="84" t="s">
        <v>967</v>
      </c>
      <c r="J987" s="84" t="s">
        <v>807</v>
      </c>
    </row>
    <row r="988" spans="1:11" x14ac:dyDescent="0.3">
      <c r="A988" s="83">
        <v>1232100025</v>
      </c>
      <c r="B988" s="84">
        <v>31936403</v>
      </c>
      <c r="C988" s="85">
        <v>45182</v>
      </c>
      <c r="D988" s="134">
        <v>17472</v>
      </c>
      <c r="E988" s="84" t="s">
        <v>655</v>
      </c>
      <c r="F988" s="84">
        <v>11</v>
      </c>
      <c r="G988" s="84" t="s">
        <v>112</v>
      </c>
      <c r="H988" s="85">
        <v>45182</v>
      </c>
      <c r="I988" s="84" t="s">
        <v>967</v>
      </c>
      <c r="J988" s="84" t="s">
        <v>807</v>
      </c>
    </row>
    <row r="989" spans="1:11" x14ac:dyDescent="0.3">
      <c r="A989" s="83">
        <v>1232100748</v>
      </c>
      <c r="B989" s="84">
        <v>45945059</v>
      </c>
      <c r="C989" s="85">
        <v>45184</v>
      </c>
      <c r="D989" s="134">
        <v>5760</v>
      </c>
      <c r="E989" s="84" t="s">
        <v>655</v>
      </c>
      <c r="F989" s="84">
        <v>6</v>
      </c>
      <c r="G989" s="84" t="s">
        <v>112</v>
      </c>
      <c r="H989" s="85">
        <v>45182</v>
      </c>
      <c r="I989" s="84" t="s">
        <v>968</v>
      </c>
      <c r="J989" s="84" t="s">
        <v>807</v>
      </c>
    </row>
    <row r="990" spans="1:11" x14ac:dyDescent="0.3">
      <c r="A990" s="83">
        <v>1232101243</v>
      </c>
      <c r="B990" s="84">
        <v>45945054</v>
      </c>
      <c r="C990" s="85">
        <v>45191</v>
      </c>
      <c r="D990" s="134">
        <v>1920</v>
      </c>
      <c r="E990" s="84" t="s">
        <v>655</v>
      </c>
      <c r="F990" s="84">
        <v>2</v>
      </c>
      <c r="G990" s="84" t="s">
        <v>112</v>
      </c>
      <c r="H990" s="85">
        <v>45191</v>
      </c>
      <c r="I990" s="84" t="s">
        <v>969</v>
      </c>
      <c r="J990" s="84" t="s">
        <v>807</v>
      </c>
    </row>
    <row r="991" spans="1:11" x14ac:dyDescent="0.3">
      <c r="A991" s="83">
        <v>1232102403</v>
      </c>
      <c r="B991" s="84">
        <v>11945141</v>
      </c>
      <c r="C991" s="85">
        <v>45191</v>
      </c>
      <c r="D991" s="134">
        <v>5472</v>
      </c>
      <c r="E991" s="84" t="s">
        <v>655</v>
      </c>
      <c r="F991" s="84">
        <v>3</v>
      </c>
      <c r="G991" s="84" t="s">
        <v>112</v>
      </c>
      <c r="H991" s="85">
        <v>45191</v>
      </c>
      <c r="I991" s="93" t="s">
        <v>970</v>
      </c>
      <c r="J991" s="84" t="s">
        <v>807</v>
      </c>
      <c r="K991" s="148" t="s">
        <v>969</v>
      </c>
    </row>
    <row r="992" spans="1:11" x14ac:dyDescent="0.3">
      <c r="A992" s="83">
        <v>1232101247</v>
      </c>
      <c r="B992" s="84">
        <v>45945060</v>
      </c>
      <c r="C992" s="85">
        <v>45194</v>
      </c>
      <c r="D992" s="134">
        <v>960</v>
      </c>
      <c r="E992" s="84" t="s">
        <v>655</v>
      </c>
      <c r="F992" s="84">
        <v>1</v>
      </c>
      <c r="G992" s="84" t="s">
        <v>112</v>
      </c>
      <c r="H992" s="85">
        <v>45193</v>
      </c>
      <c r="I992" s="84" t="s">
        <v>971</v>
      </c>
      <c r="J992" s="84" t="s">
        <v>807</v>
      </c>
    </row>
    <row r="993" spans="1:11" x14ac:dyDescent="0.3">
      <c r="A993" s="83">
        <v>1232104062</v>
      </c>
      <c r="B993" s="84">
        <v>31940176</v>
      </c>
      <c r="C993" s="85">
        <v>45195</v>
      </c>
      <c r="D993" s="134">
        <v>17280</v>
      </c>
      <c r="E993" s="84" t="s">
        <v>655</v>
      </c>
      <c r="F993" s="84">
        <v>18</v>
      </c>
      <c r="G993" s="84" t="s">
        <v>112</v>
      </c>
      <c r="H993" s="85">
        <v>45194</v>
      </c>
      <c r="I993" s="84" t="s">
        <v>972</v>
      </c>
      <c r="J993" s="84" t="s">
        <v>807</v>
      </c>
    </row>
    <row r="994" spans="1:11" x14ac:dyDescent="0.3">
      <c r="A994" s="83">
        <v>1232105550</v>
      </c>
      <c r="B994" s="84">
        <v>14936957</v>
      </c>
      <c r="C994" s="85">
        <v>45196</v>
      </c>
      <c r="D994" s="134">
        <v>9600</v>
      </c>
      <c r="E994" s="84" t="s">
        <v>655</v>
      </c>
      <c r="F994" s="84">
        <v>10</v>
      </c>
      <c r="G994" s="84" t="s">
        <v>112</v>
      </c>
      <c r="H994" s="85">
        <v>45196</v>
      </c>
      <c r="I994" s="84" t="s">
        <v>973</v>
      </c>
      <c r="J994" s="84" t="s">
        <v>807</v>
      </c>
    </row>
    <row r="995" spans="1:11" x14ac:dyDescent="0.3">
      <c r="A995" s="83">
        <v>1232105554</v>
      </c>
      <c r="B995" s="84">
        <v>31943485</v>
      </c>
      <c r="C995" s="85">
        <v>45196</v>
      </c>
      <c r="D995" s="134">
        <v>5760</v>
      </c>
      <c r="E995" s="84" t="s">
        <v>655</v>
      </c>
      <c r="F995" s="84">
        <v>6</v>
      </c>
      <c r="G995" s="84" t="s">
        <v>112</v>
      </c>
      <c r="H995" s="85">
        <v>45196</v>
      </c>
      <c r="I995" s="84" t="s">
        <v>973</v>
      </c>
      <c r="J995" s="84" t="s">
        <v>807</v>
      </c>
    </row>
    <row r="996" spans="1:11" x14ac:dyDescent="0.3">
      <c r="A996" s="83">
        <v>1232105482</v>
      </c>
      <c r="B996" s="116" t="s">
        <v>974</v>
      </c>
      <c r="C996" s="85">
        <v>45196</v>
      </c>
      <c r="D996" s="134">
        <v>960</v>
      </c>
      <c r="E996" s="84" t="s">
        <v>655</v>
      </c>
      <c r="F996" s="84">
        <v>1</v>
      </c>
      <c r="G996" s="84" t="s">
        <v>112</v>
      </c>
      <c r="H996" s="85">
        <v>45196</v>
      </c>
      <c r="I996" s="84" t="s">
        <v>973</v>
      </c>
      <c r="J996" s="84" t="s">
        <v>807</v>
      </c>
    </row>
    <row r="997" spans="1:11" x14ac:dyDescent="0.3">
      <c r="A997" s="83">
        <v>1232105480</v>
      </c>
      <c r="B997" s="116" t="s">
        <v>975</v>
      </c>
      <c r="C997" s="85">
        <v>45196</v>
      </c>
      <c r="D997" s="134">
        <v>3840</v>
      </c>
      <c r="E997" s="84" t="s">
        <v>655</v>
      </c>
      <c r="F997" s="84">
        <v>4</v>
      </c>
      <c r="G997" s="84" t="s">
        <v>112</v>
      </c>
      <c r="H997" s="85">
        <v>45196</v>
      </c>
      <c r="I997" s="93" t="s">
        <v>976</v>
      </c>
      <c r="J997" s="84" t="s">
        <v>807</v>
      </c>
      <c r="K997" s="81" t="s">
        <v>973</v>
      </c>
    </row>
    <row r="998" spans="1:11" x14ac:dyDescent="0.3">
      <c r="A998" s="83">
        <v>1232106041</v>
      </c>
      <c r="B998" s="84">
        <v>26913379</v>
      </c>
      <c r="C998" s="85">
        <v>45197</v>
      </c>
      <c r="D998" s="134">
        <v>960</v>
      </c>
      <c r="E998" s="84" t="s">
        <v>655</v>
      </c>
      <c r="F998" s="84">
        <v>1</v>
      </c>
      <c r="G998" s="84" t="s">
        <v>112</v>
      </c>
      <c r="H998" s="85">
        <v>45197</v>
      </c>
      <c r="I998" s="84" t="s">
        <v>977</v>
      </c>
      <c r="J998" s="84" t="s">
        <v>807</v>
      </c>
    </row>
    <row r="999" spans="1:11" x14ac:dyDescent="0.3">
      <c r="A999" s="83">
        <v>1232105486</v>
      </c>
      <c r="B999" s="116" t="s">
        <v>978</v>
      </c>
      <c r="C999" s="85">
        <v>45197</v>
      </c>
      <c r="D999" s="134">
        <v>3840</v>
      </c>
      <c r="E999" s="84" t="s">
        <v>655</v>
      </c>
      <c r="F999" s="84">
        <v>4</v>
      </c>
      <c r="G999" s="84" t="s">
        <v>112</v>
      </c>
      <c r="H999" s="85">
        <v>45197</v>
      </c>
      <c r="I999" s="84" t="s">
        <v>977</v>
      </c>
      <c r="J999" s="84" t="s">
        <v>807</v>
      </c>
    </row>
    <row r="1000" spans="1:11" x14ac:dyDescent="0.3">
      <c r="A1000" s="83">
        <v>1232106046</v>
      </c>
      <c r="B1000" s="84">
        <v>26913384</v>
      </c>
      <c r="C1000" s="85">
        <v>45197</v>
      </c>
      <c r="D1000" s="134">
        <v>4800</v>
      </c>
      <c r="E1000" s="84" t="s">
        <v>655</v>
      </c>
      <c r="F1000" s="84">
        <v>5</v>
      </c>
      <c r="G1000" s="84" t="s">
        <v>112</v>
      </c>
      <c r="H1000" s="85">
        <v>45197</v>
      </c>
      <c r="I1000" s="84" t="s">
        <v>977</v>
      </c>
      <c r="J1000" s="84" t="s">
        <v>807</v>
      </c>
    </row>
    <row r="1001" spans="1:11" x14ac:dyDescent="0.3">
      <c r="A1001" s="83">
        <v>1232104072</v>
      </c>
      <c r="B1001" s="84">
        <v>31940170</v>
      </c>
      <c r="C1001" s="85">
        <v>45198</v>
      </c>
      <c r="D1001" s="134">
        <v>6720</v>
      </c>
      <c r="E1001" s="84" t="s">
        <v>655</v>
      </c>
      <c r="F1001" s="84">
        <v>7</v>
      </c>
      <c r="G1001" s="84" t="s">
        <v>112</v>
      </c>
      <c r="H1001" s="85">
        <v>45198</v>
      </c>
      <c r="I1001" s="84" t="s">
        <v>979</v>
      </c>
      <c r="J1001" s="84" t="s">
        <v>807</v>
      </c>
    </row>
    <row r="1002" spans="1:11" x14ac:dyDescent="0.3">
      <c r="A1002" s="83">
        <v>1232106310</v>
      </c>
      <c r="B1002" s="93">
        <v>26913853</v>
      </c>
      <c r="C1002" s="85">
        <v>45198</v>
      </c>
      <c r="D1002" s="134">
        <v>9600</v>
      </c>
      <c r="E1002" s="84" t="s">
        <v>655</v>
      </c>
      <c r="F1002" s="84">
        <v>10</v>
      </c>
      <c r="G1002" s="84" t="s">
        <v>112</v>
      </c>
      <c r="H1002" s="85">
        <v>45198</v>
      </c>
      <c r="I1002" s="84" t="s">
        <v>979</v>
      </c>
      <c r="J1002" s="84" t="s">
        <v>807</v>
      </c>
    </row>
    <row r="1003" spans="1:11" x14ac:dyDescent="0.3">
      <c r="A1003" s="83">
        <v>1232105493</v>
      </c>
      <c r="B1003" s="84">
        <v>3943986</v>
      </c>
      <c r="C1003" s="85">
        <v>45201</v>
      </c>
      <c r="D1003" s="134">
        <v>6720</v>
      </c>
      <c r="E1003" s="84" t="s">
        <v>655</v>
      </c>
      <c r="F1003" s="84">
        <v>7</v>
      </c>
      <c r="G1003" s="84" t="s">
        <v>112</v>
      </c>
      <c r="H1003" s="85">
        <v>45201</v>
      </c>
      <c r="I1003" s="84" t="s">
        <v>980</v>
      </c>
      <c r="J1003" s="84" t="s">
        <v>807</v>
      </c>
    </row>
    <row r="1004" spans="1:11" x14ac:dyDescent="0.3">
      <c r="A1004" s="83">
        <v>1232104081</v>
      </c>
      <c r="B1004" s="84">
        <v>31940171</v>
      </c>
      <c r="C1004" s="85">
        <v>45201</v>
      </c>
      <c r="D1004" s="134">
        <v>1920</v>
      </c>
      <c r="E1004" s="84" t="s">
        <v>655</v>
      </c>
      <c r="F1004" s="84">
        <v>2</v>
      </c>
      <c r="G1004" s="84" t="s">
        <v>112</v>
      </c>
      <c r="H1004" s="85">
        <v>45201</v>
      </c>
      <c r="I1004" s="84" t="s">
        <v>980</v>
      </c>
      <c r="J1004" s="84" t="s">
        <v>807</v>
      </c>
    </row>
    <row r="1005" spans="1:11" x14ac:dyDescent="0.3">
      <c r="A1005" s="83">
        <v>1232104083</v>
      </c>
      <c r="B1005" s="84">
        <v>31940177</v>
      </c>
      <c r="C1005" s="85">
        <v>45201</v>
      </c>
      <c r="D1005" s="134">
        <v>1920</v>
      </c>
      <c r="E1005" s="84" t="s">
        <v>655</v>
      </c>
      <c r="F1005" s="84">
        <v>2</v>
      </c>
      <c r="G1005" s="84" t="s">
        <v>112</v>
      </c>
      <c r="H1005" s="85">
        <v>45201</v>
      </c>
      <c r="I1005" s="84" t="s">
        <v>980</v>
      </c>
      <c r="J1005" s="84" t="s">
        <v>807</v>
      </c>
    </row>
    <row r="1006" spans="1:11" x14ac:dyDescent="0.3">
      <c r="A1006" s="83">
        <v>1232107130</v>
      </c>
      <c r="B1006" s="84">
        <v>46928552</v>
      </c>
      <c r="C1006" s="85">
        <v>45202</v>
      </c>
      <c r="D1006" s="134">
        <v>18240</v>
      </c>
      <c r="E1006" s="84" t="s">
        <v>655</v>
      </c>
      <c r="F1006" s="84">
        <v>10</v>
      </c>
      <c r="G1006" s="84" t="s">
        <v>112</v>
      </c>
      <c r="H1006" s="85">
        <v>45201</v>
      </c>
      <c r="I1006" s="84" t="s">
        <v>981</v>
      </c>
      <c r="J1006" s="84" t="s">
        <v>807</v>
      </c>
    </row>
    <row r="1007" spans="1:11" x14ac:dyDescent="0.3">
      <c r="A1007" s="83">
        <v>1232108146</v>
      </c>
      <c r="B1007" s="84">
        <v>38926376</v>
      </c>
      <c r="C1007" s="85">
        <v>45203</v>
      </c>
      <c r="D1007" s="134">
        <v>12768</v>
      </c>
      <c r="E1007" s="84" t="s">
        <v>655</v>
      </c>
      <c r="F1007" s="84">
        <v>7</v>
      </c>
      <c r="G1007" s="84" t="s">
        <v>112</v>
      </c>
      <c r="H1007" s="85">
        <v>45203</v>
      </c>
      <c r="I1007" s="84" t="s">
        <v>982</v>
      </c>
      <c r="J1007" s="84" t="s">
        <v>807</v>
      </c>
    </row>
    <row r="1008" spans="1:11" x14ac:dyDescent="0.3">
      <c r="A1008" s="83">
        <v>1232108147</v>
      </c>
      <c r="B1008" s="84">
        <v>3950739</v>
      </c>
      <c r="C1008" s="85">
        <v>45203</v>
      </c>
      <c r="D1008" s="134">
        <v>16416</v>
      </c>
      <c r="E1008" s="84" t="s">
        <v>655</v>
      </c>
      <c r="F1008" s="84">
        <v>9</v>
      </c>
      <c r="G1008" s="84" t="s">
        <v>112</v>
      </c>
      <c r="H1008" s="85">
        <v>45203</v>
      </c>
      <c r="I1008" s="84" t="s">
        <v>982</v>
      </c>
      <c r="J1008" s="84" t="s">
        <v>807</v>
      </c>
    </row>
    <row r="1009" spans="1:10" x14ac:dyDescent="0.3">
      <c r="A1009" s="83">
        <v>1232108726</v>
      </c>
      <c r="B1009" s="84">
        <v>38926812</v>
      </c>
      <c r="C1009" s="85">
        <v>45204</v>
      </c>
      <c r="D1009" s="134">
        <v>8640</v>
      </c>
      <c r="E1009" s="84" t="s">
        <v>655</v>
      </c>
      <c r="F1009" s="84">
        <v>9</v>
      </c>
      <c r="G1009" s="84" t="s">
        <v>112</v>
      </c>
      <c r="H1009" s="85">
        <v>45203</v>
      </c>
      <c r="I1009" s="84" t="s">
        <v>983</v>
      </c>
      <c r="J1009" s="84" t="s">
        <v>807</v>
      </c>
    </row>
    <row r="1010" spans="1:10" x14ac:dyDescent="0.3">
      <c r="A1010" s="83">
        <v>1232108717</v>
      </c>
      <c r="B1010" s="84">
        <v>31945788</v>
      </c>
      <c r="C1010" s="85">
        <v>45204</v>
      </c>
      <c r="D1010" s="134">
        <v>10944</v>
      </c>
      <c r="E1010" s="84" t="s">
        <v>655</v>
      </c>
      <c r="F1010" s="84">
        <v>6</v>
      </c>
      <c r="G1010" s="84" t="s">
        <v>112</v>
      </c>
      <c r="H1010" s="85">
        <v>45203</v>
      </c>
      <c r="I1010" s="84" t="s">
        <v>983</v>
      </c>
      <c r="J1010" s="84" t="s">
        <v>807</v>
      </c>
    </row>
    <row r="1011" spans="1:10" x14ac:dyDescent="0.3">
      <c r="A1011" s="83">
        <v>1232109293</v>
      </c>
      <c r="B1011" s="84">
        <v>38926822</v>
      </c>
      <c r="C1011" s="85">
        <v>45205</v>
      </c>
      <c r="D1011" s="134">
        <v>5760</v>
      </c>
      <c r="E1011" s="84" t="s">
        <v>655</v>
      </c>
      <c r="F1011" s="84">
        <v>6</v>
      </c>
      <c r="G1011" s="84" t="s">
        <v>112</v>
      </c>
      <c r="H1011" s="85">
        <v>45205</v>
      </c>
      <c r="I1011" s="84" t="s">
        <v>984</v>
      </c>
      <c r="J1011" s="84" t="s">
        <v>807</v>
      </c>
    </row>
    <row r="1012" spans="1:10" x14ac:dyDescent="0.3">
      <c r="A1012" s="83">
        <v>1232111013</v>
      </c>
      <c r="B1012" s="84">
        <v>25922631</v>
      </c>
      <c r="C1012" s="85">
        <v>45210</v>
      </c>
      <c r="D1012" s="134">
        <v>9120</v>
      </c>
      <c r="E1012" s="84" t="s">
        <v>655</v>
      </c>
      <c r="F1012" s="84">
        <v>5</v>
      </c>
      <c r="G1012" s="84" t="s">
        <v>112</v>
      </c>
      <c r="H1012" s="85">
        <v>45209</v>
      </c>
      <c r="I1012" s="84" t="s">
        <v>985</v>
      </c>
      <c r="J1012" s="84" t="s">
        <v>807</v>
      </c>
    </row>
    <row r="1013" spans="1:10" x14ac:dyDescent="0.3">
      <c r="A1013" s="83">
        <v>1232111014</v>
      </c>
      <c r="B1013" s="84">
        <v>18933889</v>
      </c>
      <c r="C1013" s="85">
        <v>45210</v>
      </c>
      <c r="D1013" s="134">
        <v>12768</v>
      </c>
      <c r="E1013" s="84" t="s">
        <v>655</v>
      </c>
      <c r="F1013" s="84">
        <v>7</v>
      </c>
      <c r="G1013" s="84" t="s">
        <v>112</v>
      </c>
      <c r="H1013" s="85">
        <v>45209</v>
      </c>
      <c r="I1013" s="84" t="s">
        <v>985</v>
      </c>
      <c r="J1013" s="84" t="s">
        <v>807</v>
      </c>
    </row>
    <row r="1014" spans="1:10" x14ac:dyDescent="0.3">
      <c r="A1014" s="83">
        <v>1232111411</v>
      </c>
      <c r="B1014" s="93">
        <v>26916981</v>
      </c>
      <c r="C1014" s="85">
        <v>45211</v>
      </c>
      <c r="D1014" s="134">
        <v>9600</v>
      </c>
      <c r="E1014" s="84" t="s">
        <v>655</v>
      </c>
      <c r="F1014" s="84">
        <v>10</v>
      </c>
      <c r="G1014" s="84" t="s">
        <v>112</v>
      </c>
      <c r="H1014" s="85">
        <v>45210</v>
      </c>
      <c r="I1014" s="84" t="s">
        <v>986</v>
      </c>
      <c r="J1014" s="84" t="s">
        <v>807</v>
      </c>
    </row>
    <row r="1015" spans="1:10" x14ac:dyDescent="0.3">
      <c r="A1015" s="83">
        <v>1232111412</v>
      </c>
      <c r="B1015" s="84">
        <v>26916982</v>
      </c>
      <c r="C1015" s="85">
        <v>45211</v>
      </c>
      <c r="D1015" s="134">
        <v>5760</v>
      </c>
      <c r="E1015" s="84" t="s">
        <v>655</v>
      </c>
      <c r="F1015" s="84">
        <v>6</v>
      </c>
      <c r="G1015" s="84" t="s">
        <v>112</v>
      </c>
      <c r="H1015" s="85">
        <v>45210</v>
      </c>
      <c r="I1015" s="84" t="s">
        <v>986</v>
      </c>
      <c r="J1015" s="84" t="s">
        <v>807</v>
      </c>
    </row>
    <row r="1016" spans="1:10" x14ac:dyDescent="0.3">
      <c r="A1016" s="83">
        <v>1232111426</v>
      </c>
      <c r="B1016" s="84">
        <v>26916990</v>
      </c>
      <c r="C1016" s="85">
        <v>45211</v>
      </c>
      <c r="D1016" s="134">
        <v>12480</v>
      </c>
      <c r="E1016" s="84" t="s">
        <v>655</v>
      </c>
      <c r="F1016" s="84">
        <v>13</v>
      </c>
      <c r="G1016" s="84" t="s">
        <v>112</v>
      </c>
      <c r="H1016" s="85">
        <v>45210</v>
      </c>
      <c r="I1016" s="84" t="s">
        <v>986</v>
      </c>
      <c r="J1016" s="84" t="s">
        <v>807</v>
      </c>
    </row>
    <row r="1017" spans="1:10" x14ac:dyDescent="0.3">
      <c r="A1017" s="83">
        <v>1232109289</v>
      </c>
      <c r="B1017" s="84">
        <v>38926820</v>
      </c>
      <c r="C1017" s="85">
        <v>45212</v>
      </c>
      <c r="D1017" s="134">
        <v>19200</v>
      </c>
      <c r="E1017" s="84" t="s">
        <v>655</v>
      </c>
      <c r="F1017" s="84">
        <v>20</v>
      </c>
      <c r="G1017" s="84" t="s">
        <v>112</v>
      </c>
      <c r="H1017" s="85">
        <v>45212</v>
      </c>
      <c r="I1017" s="84" t="s">
        <v>987</v>
      </c>
      <c r="J1017" s="84" t="s">
        <v>807</v>
      </c>
    </row>
    <row r="1018" spans="1:10" x14ac:dyDescent="0.3">
      <c r="A1018" s="83">
        <v>1232111784</v>
      </c>
      <c r="B1018" s="93">
        <v>26916992</v>
      </c>
      <c r="C1018" s="85">
        <v>45212</v>
      </c>
      <c r="D1018" s="134">
        <v>7680</v>
      </c>
      <c r="E1018" s="84" t="s">
        <v>655</v>
      </c>
      <c r="F1018" s="84">
        <v>8</v>
      </c>
      <c r="G1018" s="84" t="s">
        <v>112</v>
      </c>
      <c r="H1018" s="85">
        <v>45212</v>
      </c>
      <c r="I1018" s="84" t="s">
        <v>988</v>
      </c>
      <c r="J1018" s="84" t="s">
        <v>807</v>
      </c>
    </row>
    <row r="1019" spans="1:10" x14ac:dyDescent="0.3">
      <c r="A1019" s="83">
        <v>225064990</v>
      </c>
      <c r="B1019" s="84">
        <v>60436</v>
      </c>
      <c r="C1019" s="85">
        <v>45212</v>
      </c>
      <c r="D1019" s="134">
        <v>14400</v>
      </c>
      <c r="E1019" s="84"/>
      <c r="F1019" s="84">
        <v>15</v>
      </c>
      <c r="G1019" s="84" t="s">
        <v>184</v>
      </c>
      <c r="H1019" s="85">
        <v>45212</v>
      </c>
      <c r="I1019" s="84"/>
      <c r="J1019" s="84" t="s">
        <v>807</v>
      </c>
    </row>
    <row r="1020" spans="1:10" x14ac:dyDescent="0.3">
      <c r="A1020" s="83">
        <v>225065005</v>
      </c>
      <c r="B1020" s="116" t="s">
        <v>989</v>
      </c>
      <c r="C1020" s="85">
        <v>45212</v>
      </c>
      <c r="D1020" s="134">
        <v>10560</v>
      </c>
      <c r="E1020" s="84"/>
      <c r="F1020" s="84">
        <v>11</v>
      </c>
      <c r="G1020" s="84" t="s">
        <v>184</v>
      </c>
      <c r="H1020" s="85">
        <v>45212</v>
      </c>
      <c r="I1020" s="84"/>
      <c r="J1020" s="84" t="s">
        <v>807</v>
      </c>
    </row>
    <row r="1021" spans="1:10" x14ac:dyDescent="0.3">
      <c r="A1021" s="83">
        <v>225065037</v>
      </c>
      <c r="B1021" s="84">
        <v>95304</v>
      </c>
      <c r="C1021" s="85">
        <v>45212</v>
      </c>
      <c r="D1021" s="134">
        <v>8640</v>
      </c>
      <c r="E1021" s="84"/>
      <c r="F1021" s="84">
        <v>9</v>
      </c>
      <c r="G1021" s="84" t="s">
        <v>184</v>
      </c>
      <c r="H1021" s="85">
        <v>45212</v>
      </c>
      <c r="I1021" s="84"/>
      <c r="J1021" s="84" t="s">
        <v>807</v>
      </c>
    </row>
    <row r="1022" spans="1:10" x14ac:dyDescent="0.3">
      <c r="A1022" s="83">
        <v>225065038</v>
      </c>
      <c r="B1022" s="84">
        <v>85353</v>
      </c>
      <c r="C1022" s="85">
        <v>45212</v>
      </c>
      <c r="D1022" s="134">
        <v>960</v>
      </c>
      <c r="E1022" s="84"/>
      <c r="F1022" s="84">
        <v>1</v>
      </c>
      <c r="G1022" s="84" t="s">
        <v>184</v>
      </c>
      <c r="H1022" s="85">
        <v>45212</v>
      </c>
      <c r="I1022" s="84"/>
      <c r="J1022" s="84" t="s">
        <v>807</v>
      </c>
    </row>
    <row r="1023" spans="1:10" x14ac:dyDescent="0.3">
      <c r="A1023" s="83">
        <v>225065039</v>
      </c>
      <c r="B1023" s="84">
        <v>91764</v>
      </c>
      <c r="C1023" s="85">
        <v>45212</v>
      </c>
      <c r="D1023" s="134">
        <v>12480</v>
      </c>
      <c r="E1023" s="84"/>
      <c r="F1023" s="84">
        <v>13</v>
      </c>
      <c r="G1023" s="84" t="s">
        <v>184</v>
      </c>
      <c r="H1023" s="85">
        <v>45212</v>
      </c>
      <c r="I1023" s="84"/>
      <c r="J1023" s="84" t="s">
        <v>807</v>
      </c>
    </row>
    <row r="1024" spans="1:10" x14ac:dyDescent="0.3">
      <c r="A1024" s="83">
        <v>1232115003</v>
      </c>
      <c r="B1024" s="84">
        <v>18935884</v>
      </c>
      <c r="C1024" s="85">
        <v>45218</v>
      </c>
      <c r="D1024" s="134">
        <v>3648</v>
      </c>
      <c r="E1024" s="84"/>
      <c r="F1024" s="84">
        <v>2</v>
      </c>
      <c r="G1024" s="84" t="s">
        <v>112</v>
      </c>
      <c r="H1024" s="85">
        <v>45218</v>
      </c>
      <c r="I1024" s="84" t="s">
        <v>990</v>
      </c>
      <c r="J1024" s="84" t="s">
        <v>807</v>
      </c>
    </row>
    <row r="1025" spans="1:11" x14ac:dyDescent="0.3">
      <c r="A1025" s="83">
        <v>1232116206</v>
      </c>
      <c r="B1025" s="84">
        <v>35903211</v>
      </c>
      <c r="C1025" s="85">
        <v>45222</v>
      </c>
      <c r="D1025" s="134">
        <v>3840</v>
      </c>
      <c r="E1025" s="84"/>
      <c r="F1025" s="84">
        <v>4</v>
      </c>
      <c r="G1025" s="84" t="s">
        <v>112</v>
      </c>
      <c r="H1025" s="85">
        <v>45221</v>
      </c>
      <c r="I1025" s="84" t="s">
        <v>991</v>
      </c>
      <c r="J1025" s="84" t="s">
        <v>807</v>
      </c>
    </row>
    <row r="1026" spans="1:11" x14ac:dyDescent="0.3">
      <c r="A1026" s="83">
        <v>1232116213</v>
      </c>
      <c r="B1026" s="84">
        <v>35903216</v>
      </c>
      <c r="C1026" s="85">
        <v>45223</v>
      </c>
      <c r="D1026" s="134">
        <v>4800</v>
      </c>
      <c r="E1026" s="84" t="s">
        <v>655</v>
      </c>
      <c r="F1026" s="84">
        <v>5</v>
      </c>
      <c r="G1026" s="84" t="s">
        <v>112</v>
      </c>
      <c r="H1026" s="85">
        <v>45223</v>
      </c>
      <c r="I1026" s="84" t="s">
        <v>992</v>
      </c>
      <c r="J1026" s="84" t="s">
        <v>807</v>
      </c>
    </row>
    <row r="1027" spans="1:11" x14ac:dyDescent="0.3">
      <c r="A1027" s="83">
        <v>1232117661</v>
      </c>
      <c r="B1027" s="84">
        <v>46933050</v>
      </c>
      <c r="C1027" s="85">
        <v>45224</v>
      </c>
      <c r="D1027" s="134">
        <v>7561</v>
      </c>
      <c r="E1027" s="84" t="s">
        <v>655</v>
      </c>
      <c r="F1027" s="84">
        <v>4</v>
      </c>
      <c r="G1027" s="84" t="s">
        <v>112</v>
      </c>
      <c r="H1027" s="85">
        <v>45224</v>
      </c>
      <c r="I1027" s="84" t="s">
        <v>993</v>
      </c>
      <c r="J1027" s="84"/>
    </row>
    <row r="1028" spans="1:11" x14ac:dyDescent="0.3">
      <c r="A1028" s="83">
        <v>1232118044</v>
      </c>
      <c r="B1028" s="84">
        <v>32930238</v>
      </c>
      <c r="C1028" s="85">
        <v>45224</v>
      </c>
      <c r="D1028" s="134">
        <v>14592</v>
      </c>
      <c r="E1028" s="84" t="s">
        <v>655</v>
      </c>
      <c r="F1028" s="84">
        <v>8</v>
      </c>
      <c r="G1028" s="84" t="s">
        <v>112</v>
      </c>
      <c r="H1028" s="85">
        <v>45224</v>
      </c>
      <c r="I1028" s="84" t="s">
        <v>993</v>
      </c>
      <c r="J1028" s="22"/>
    </row>
    <row r="1029" spans="1:11" x14ac:dyDescent="0.3">
      <c r="A1029" s="83">
        <v>1232116215</v>
      </c>
      <c r="B1029" s="84">
        <v>35903217</v>
      </c>
      <c r="C1029" s="85">
        <v>45224</v>
      </c>
      <c r="D1029" s="134">
        <v>6720</v>
      </c>
      <c r="E1029" s="84" t="s">
        <v>655</v>
      </c>
      <c r="F1029" s="84">
        <v>7</v>
      </c>
      <c r="G1029" s="84" t="s">
        <v>112</v>
      </c>
      <c r="H1029" s="85">
        <v>45224</v>
      </c>
      <c r="I1029" s="84" t="s">
        <v>993</v>
      </c>
      <c r="J1029" s="22"/>
    </row>
    <row r="1030" spans="1:11" x14ac:dyDescent="0.3">
      <c r="A1030" s="83">
        <v>1232118206</v>
      </c>
      <c r="B1030" s="84">
        <v>46933046</v>
      </c>
      <c r="C1030" s="85">
        <v>45225</v>
      </c>
      <c r="D1030" s="134">
        <v>16712</v>
      </c>
      <c r="E1030" s="84" t="s">
        <v>655</v>
      </c>
      <c r="F1030" s="84">
        <v>8</v>
      </c>
      <c r="G1030" s="84" t="s">
        <v>112</v>
      </c>
      <c r="H1030" s="85">
        <v>45230</v>
      </c>
      <c r="I1030" s="84" t="s">
        <v>994</v>
      </c>
      <c r="J1030" s="22"/>
    </row>
    <row r="1031" spans="1:11" x14ac:dyDescent="0.3">
      <c r="A1031" s="83">
        <v>1232121330</v>
      </c>
      <c r="B1031" s="84">
        <v>50370583</v>
      </c>
      <c r="C1031" s="85">
        <v>45231</v>
      </c>
      <c r="D1031" s="134">
        <v>10944</v>
      </c>
      <c r="E1031" s="84" t="s">
        <v>655</v>
      </c>
      <c r="F1031" s="84">
        <v>6</v>
      </c>
      <c r="G1031" s="84" t="s">
        <v>112</v>
      </c>
      <c r="H1031" s="85">
        <v>45231</v>
      </c>
      <c r="I1031" s="84" t="s">
        <v>995</v>
      </c>
      <c r="J1031" s="22"/>
    </row>
    <row r="1032" spans="1:11" x14ac:dyDescent="0.3">
      <c r="A1032" s="83">
        <v>1232122072</v>
      </c>
      <c r="B1032" s="84">
        <v>50373707</v>
      </c>
      <c r="C1032" s="85">
        <v>45232</v>
      </c>
      <c r="D1032" s="134">
        <v>9600</v>
      </c>
      <c r="E1032" s="84" t="s">
        <v>655</v>
      </c>
      <c r="F1032" s="84">
        <v>10</v>
      </c>
      <c r="G1032" s="84" t="s">
        <v>112</v>
      </c>
      <c r="H1032" s="85">
        <v>45232</v>
      </c>
      <c r="I1032" s="84" t="s">
        <v>996</v>
      </c>
      <c r="J1032" s="22"/>
    </row>
    <row r="1033" spans="1:11" x14ac:dyDescent="0.3">
      <c r="A1033" s="83">
        <v>1232118954</v>
      </c>
      <c r="B1033" s="84">
        <v>46933069</v>
      </c>
      <c r="C1033" s="85">
        <v>45232</v>
      </c>
      <c r="D1033" s="134">
        <v>14738</v>
      </c>
      <c r="E1033" s="84" t="s">
        <v>655</v>
      </c>
      <c r="F1033" s="84">
        <v>13</v>
      </c>
      <c r="G1033" s="84" t="s">
        <v>112</v>
      </c>
      <c r="H1033" s="85">
        <v>45232</v>
      </c>
      <c r="I1033" s="84" t="s">
        <v>996</v>
      </c>
      <c r="J1033" s="22"/>
    </row>
    <row r="1034" spans="1:11" x14ac:dyDescent="0.3">
      <c r="A1034" s="83">
        <v>1232121333</v>
      </c>
      <c r="B1034" s="84">
        <v>50370844</v>
      </c>
      <c r="C1034" s="85">
        <v>45231</v>
      </c>
      <c r="D1034" s="134">
        <v>7296</v>
      </c>
      <c r="E1034" s="84" t="s">
        <v>655</v>
      </c>
      <c r="F1034" s="84">
        <v>4</v>
      </c>
      <c r="G1034" s="84" t="s">
        <v>112</v>
      </c>
      <c r="H1034" s="85">
        <v>45231</v>
      </c>
      <c r="I1034" s="84" t="s">
        <v>997</v>
      </c>
      <c r="J1034" s="84" t="s">
        <v>995</v>
      </c>
      <c r="K1034" s="155" t="s">
        <v>998</v>
      </c>
    </row>
    <row r="1035" spans="1:11" x14ac:dyDescent="0.3">
      <c r="A1035" s="83">
        <v>1232123755</v>
      </c>
      <c r="B1035" s="84">
        <v>50397361</v>
      </c>
      <c r="C1035" s="85">
        <v>45238</v>
      </c>
      <c r="D1035" s="134">
        <v>5472</v>
      </c>
      <c r="E1035" s="84" t="s">
        <v>655</v>
      </c>
      <c r="F1035" s="84">
        <v>3</v>
      </c>
      <c r="G1035" s="84" t="s">
        <v>112</v>
      </c>
      <c r="H1035" s="85">
        <v>45238</v>
      </c>
      <c r="I1035" s="84" t="s">
        <v>999</v>
      </c>
      <c r="J1035" s="156" t="s">
        <v>1000</v>
      </c>
    </row>
    <row r="1036" spans="1:11" x14ac:dyDescent="0.3">
      <c r="A1036" s="83">
        <v>1232123756</v>
      </c>
      <c r="B1036" s="84">
        <v>50397576</v>
      </c>
      <c r="C1036" s="85">
        <v>45238</v>
      </c>
      <c r="D1036" s="134">
        <v>9120</v>
      </c>
      <c r="E1036" s="84" t="s">
        <v>655</v>
      </c>
      <c r="F1036" s="84">
        <v>5</v>
      </c>
      <c r="G1036" s="84" t="s">
        <v>112</v>
      </c>
      <c r="H1036" s="85">
        <v>45238</v>
      </c>
      <c r="I1036" s="84" t="s">
        <v>1000</v>
      </c>
      <c r="J1036" s="84"/>
    </row>
    <row r="1037" spans="1:11" x14ac:dyDescent="0.3">
      <c r="A1037" s="83">
        <v>1232126044</v>
      </c>
      <c r="B1037" s="84">
        <v>52313125</v>
      </c>
      <c r="C1037" s="85">
        <v>45244</v>
      </c>
      <c r="D1037" s="134">
        <v>18240</v>
      </c>
      <c r="E1037" s="84" t="s">
        <v>655</v>
      </c>
      <c r="F1037" s="84">
        <v>19</v>
      </c>
      <c r="G1037" s="84" t="s">
        <v>112</v>
      </c>
      <c r="H1037" s="85">
        <v>45243</v>
      </c>
      <c r="I1037" s="84" t="s">
        <v>1001</v>
      </c>
      <c r="J1037" s="84"/>
    </row>
    <row r="1038" spans="1:11" x14ac:dyDescent="0.3">
      <c r="A1038" s="83">
        <v>1232126673</v>
      </c>
      <c r="B1038" s="84">
        <v>52318267</v>
      </c>
      <c r="C1038" s="85">
        <v>45245</v>
      </c>
      <c r="D1038" s="134">
        <v>3648</v>
      </c>
      <c r="E1038" s="84" t="s">
        <v>655</v>
      </c>
      <c r="F1038" s="84">
        <v>2</v>
      </c>
      <c r="G1038" s="84" t="s">
        <v>112</v>
      </c>
      <c r="H1038" s="85">
        <v>45244</v>
      </c>
      <c r="I1038" s="93" t="s">
        <v>1002</v>
      </c>
      <c r="J1038" s="84"/>
    </row>
    <row r="1039" spans="1:11" x14ac:dyDescent="0.3">
      <c r="A1039" s="83">
        <v>1232126667</v>
      </c>
      <c r="B1039" s="84">
        <v>52319057</v>
      </c>
      <c r="C1039" s="85">
        <v>45245</v>
      </c>
      <c r="D1039" s="134">
        <v>12768</v>
      </c>
      <c r="E1039" s="84" t="s">
        <v>655</v>
      </c>
      <c r="F1039" s="84">
        <v>7</v>
      </c>
      <c r="G1039" s="84" t="s">
        <v>112</v>
      </c>
      <c r="H1039" s="85">
        <v>45244</v>
      </c>
      <c r="I1039" s="84" t="s">
        <v>1003</v>
      </c>
      <c r="J1039" s="81" t="s">
        <v>1002</v>
      </c>
    </row>
    <row r="1040" spans="1:11" x14ac:dyDescent="0.3">
      <c r="A1040" s="83">
        <v>1232127301</v>
      </c>
      <c r="B1040" s="84">
        <v>52323452</v>
      </c>
      <c r="C1040" s="85">
        <v>45246</v>
      </c>
      <c r="D1040" s="134">
        <v>19200</v>
      </c>
      <c r="E1040" s="84" t="s">
        <v>655</v>
      </c>
      <c r="F1040" s="84">
        <v>19</v>
      </c>
      <c r="G1040" s="84" t="s">
        <v>112</v>
      </c>
      <c r="H1040" s="85">
        <v>45245</v>
      </c>
      <c r="I1040" s="84" t="s">
        <v>1004</v>
      </c>
      <c r="J1040" s="22"/>
    </row>
    <row r="1041" spans="1:10" x14ac:dyDescent="0.3">
      <c r="A1041" s="83">
        <v>1232127304</v>
      </c>
      <c r="B1041" s="84">
        <v>52323484</v>
      </c>
      <c r="C1041" s="85">
        <v>45246</v>
      </c>
      <c r="D1041" s="134">
        <v>3840</v>
      </c>
      <c r="E1041" s="84" t="s">
        <v>655</v>
      </c>
      <c r="F1041" s="84">
        <v>4</v>
      </c>
      <c r="G1041" s="84" t="s">
        <v>112</v>
      </c>
      <c r="H1041" s="85">
        <v>45245</v>
      </c>
      <c r="I1041" s="84" t="s">
        <v>1004</v>
      </c>
      <c r="J1041" s="22"/>
    </row>
    <row r="1042" spans="1:10" x14ac:dyDescent="0.3">
      <c r="A1042" s="83">
        <v>1232127641</v>
      </c>
      <c r="B1042" s="84">
        <v>52323479</v>
      </c>
      <c r="C1042" s="85">
        <v>45247</v>
      </c>
      <c r="D1042" s="134">
        <v>6720</v>
      </c>
      <c r="E1042" s="84" t="s">
        <v>655</v>
      </c>
      <c r="F1042" s="84">
        <v>7</v>
      </c>
      <c r="G1042" s="84" t="s">
        <v>112</v>
      </c>
      <c r="H1042" s="85">
        <v>45247</v>
      </c>
      <c r="I1042" s="84" t="s">
        <v>1005</v>
      </c>
      <c r="J1042" s="22"/>
    </row>
    <row r="1043" spans="1:10" x14ac:dyDescent="0.3">
      <c r="A1043" s="83">
        <v>1232128150</v>
      </c>
      <c r="B1043" s="84">
        <v>52323457</v>
      </c>
      <c r="C1043" s="85">
        <v>45250</v>
      </c>
      <c r="D1043" s="134">
        <v>3840</v>
      </c>
      <c r="E1043" s="84" t="s">
        <v>655</v>
      </c>
      <c r="F1043" s="84">
        <v>4</v>
      </c>
      <c r="G1043" s="84" t="s">
        <v>112</v>
      </c>
      <c r="H1043" s="85">
        <v>45250</v>
      </c>
      <c r="I1043" s="84" t="s">
        <v>1006</v>
      </c>
      <c r="J1043" s="22"/>
    </row>
    <row r="1044" spans="1:10" x14ac:dyDescent="0.3">
      <c r="A1044" s="83">
        <v>1232128151</v>
      </c>
      <c r="B1044" s="84">
        <v>52323456</v>
      </c>
      <c r="C1044" s="85">
        <v>45250</v>
      </c>
      <c r="D1044" s="134">
        <v>6720</v>
      </c>
      <c r="E1044" s="84" t="s">
        <v>655</v>
      </c>
      <c r="F1044" s="84">
        <v>7</v>
      </c>
      <c r="G1044" s="84" t="s">
        <v>112</v>
      </c>
      <c r="H1044" s="85">
        <v>45250</v>
      </c>
      <c r="I1044" s="84" t="s">
        <v>1006</v>
      </c>
      <c r="J1044" s="22"/>
    </row>
    <row r="1045" spans="1:10" x14ac:dyDescent="0.3">
      <c r="A1045" s="83">
        <v>1232130634</v>
      </c>
      <c r="B1045" s="93">
        <v>52382291</v>
      </c>
      <c r="C1045" s="85">
        <v>45259</v>
      </c>
      <c r="D1045" s="134">
        <v>3648</v>
      </c>
      <c r="E1045" s="84" t="s">
        <v>655</v>
      </c>
      <c r="F1045" s="84">
        <v>2</v>
      </c>
      <c r="G1045" s="84" t="s">
        <v>112</v>
      </c>
      <c r="H1045" s="85">
        <v>45259</v>
      </c>
      <c r="I1045" s="84" t="s">
        <v>1007</v>
      </c>
      <c r="J1045" s="22"/>
    </row>
    <row r="1046" spans="1:10" x14ac:dyDescent="0.3">
      <c r="A1046" s="83">
        <v>1232132265</v>
      </c>
      <c r="B1046" s="84">
        <v>52399907</v>
      </c>
      <c r="C1046" s="85">
        <v>45264</v>
      </c>
      <c r="D1046" s="134">
        <v>9600</v>
      </c>
      <c r="E1046" s="84" t="s">
        <v>655</v>
      </c>
      <c r="F1046" s="84">
        <v>10</v>
      </c>
      <c r="G1046" s="84" t="s">
        <v>112</v>
      </c>
      <c r="H1046" s="85">
        <v>45264</v>
      </c>
      <c r="I1046" s="84" t="s">
        <v>1008</v>
      </c>
      <c r="J1046" s="22"/>
    </row>
    <row r="1047" spans="1:10" x14ac:dyDescent="0.3">
      <c r="A1047" s="83">
        <v>1232132274</v>
      </c>
      <c r="B1047" s="84">
        <v>52399905</v>
      </c>
      <c r="C1047" s="85">
        <v>45264</v>
      </c>
      <c r="D1047" s="134">
        <v>1920</v>
      </c>
      <c r="E1047" s="84" t="s">
        <v>655</v>
      </c>
      <c r="F1047" s="84">
        <v>2</v>
      </c>
      <c r="G1047" s="84" t="s">
        <v>112</v>
      </c>
      <c r="H1047" s="85">
        <v>45264</v>
      </c>
      <c r="I1047" s="84" t="s">
        <v>1008</v>
      </c>
      <c r="J1047" s="22"/>
    </row>
    <row r="1048" spans="1:10" x14ac:dyDescent="0.3">
      <c r="A1048" s="83">
        <v>1232132258</v>
      </c>
      <c r="B1048" s="84">
        <v>53308577</v>
      </c>
      <c r="C1048" s="85">
        <v>45264</v>
      </c>
      <c r="D1048" s="134">
        <v>7849</v>
      </c>
      <c r="E1048" s="84" t="s">
        <v>655</v>
      </c>
      <c r="F1048" s="84">
        <v>7</v>
      </c>
      <c r="G1048" s="84" t="s">
        <v>112</v>
      </c>
      <c r="H1048" s="85">
        <v>45264</v>
      </c>
      <c r="I1048" s="84" t="s">
        <v>1008</v>
      </c>
      <c r="J1048" s="22"/>
    </row>
    <row r="1049" spans="1:10" x14ac:dyDescent="0.3">
      <c r="A1049" s="83">
        <v>1232132291</v>
      </c>
      <c r="B1049" s="84">
        <v>53300130</v>
      </c>
      <c r="C1049" s="85">
        <v>45264</v>
      </c>
      <c r="D1049" s="134">
        <v>4800</v>
      </c>
      <c r="E1049" s="84" t="s">
        <v>655</v>
      </c>
      <c r="F1049" s="84">
        <v>5</v>
      </c>
      <c r="G1049" s="84" t="s">
        <v>112</v>
      </c>
      <c r="H1049" s="85">
        <v>45264</v>
      </c>
      <c r="I1049" s="84" t="s">
        <v>1008</v>
      </c>
      <c r="J1049" s="22"/>
    </row>
    <row r="1050" spans="1:10" x14ac:dyDescent="0.3">
      <c r="A1050" s="157">
        <v>1232134677</v>
      </c>
      <c r="B1050" s="158">
        <v>54319927</v>
      </c>
      <c r="C1050" s="159">
        <v>45271</v>
      </c>
      <c r="D1050" s="160">
        <v>6720</v>
      </c>
      <c r="E1050" s="158" t="s">
        <v>655</v>
      </c>
      <c r="F1050" s="158">
        <v>7</v>
      </c>
      <c r="G1050" s="158" t="s">
        <v>112</v>
      </c>
      <c r="H1050" s="159">
        <v>45270</v>
      </c>
      <c r="I1050" s="158" t="s">
        <v>1009</v>
      </c>
      <c r="J1050" s="22"/>
    </row>
    <row r="1051" spans="1:10" x14ac:dyDescent="0.3">
      <c r="A1051" s="157">
        <v>1232134674</v>
      </c>
      <c r="B1051" s="158">
        <v>54319922</v>
      </c>
      <c r="C1051" s="159">
        <v>45271</v>
      </c>
      <c r="D1051" s="160">
        <v>8640</v>
      </c>
      <c r="E1051" s="158" t="s">
        <v>655</v>
      </c>
      <c r="F1051" s="158">
        <v>9</v>
      </c>
      <c r="G1051" s="158" t="s">
        <v>112</v>
      </c>
      <c r="H1051" s="159">
        <v>45270</v>
      </c>
      <c r="I1051" s="158" t="s">
        <v>1009</v>
      </c>
      <c r="J1051" s="22"/>
    </row>
    <row r="1052" spans="1:10" x14ac:dyDescent="0.3">
      <c r="C1052" s="27"/>
      <c r="D1052" s="133"/>
      <c r="E1052" s="22"/>
      <c r="F1052" s="22"/>
      <c r="G1052" s="22"/>
      <c r="H1052" s="27"/>
      <c r="I1052" s="22"/>
      <c r="J1052" s="22"/>
    </row>
    <row r="1053" spans="1:10" x14ac:dyDescent="0.3">
      <c r="A1053" s="25"/>
      <c r="B1053" s="22"/>
      <c r="C1053" s="27"/>
      <c r="D1053" s="133"/>
      <c r="E1053" s="22"/>
      <c r="F1053" s="22"/>
      <c r="G1053" s="22"/>
      <c r="H1053" s="27"/>
      <c r="I1053" s="22"/>
      <c r="J1053" s="22"/>
    </row>
    <row r="1054" spans="1:10" x14ac:dyDescent="0.3">
      <c r="A1054" s="25"/>
      <c r="B1054" s="22"/>
      <c r="C1054" s="27"/>
      <c r="D1054" s="133"/>
      <c r="E1054" s="22"/>
      <c r="F1054" s="22"/>
      <c r="G1054" s="22"/>
      <c r="H1054" s="27"/>
      <c r="I1054" s="22"/>
      <c r="J1054" s="22"/>
    </row>
    <row r="1055" spans="1:10" x14ac:dyDescent="0.3">
      <c r="A1055" s="25"/>
      <c r="B1055" s="22"/>
      <c r="C1055" s="27"/>
      <c r="D1055" s="133"/>
      <c r="E1055" s="22"/>
      <c r="F1055" s="22"/>
      <c r="G1055" s="22"/>
      <c r="H1055" s="27"/>
      <c r="I1055" s="22"/>
      <c r="J1055" s="22"/>
    </row>
    <row r="1056" spans="1:10" x14ac:dyDescent="0.3">
      <c r="A1056" s="25"/>
      <c r="B1056" s="22"/>
      <c r="C1056" s="27"/>
      <c r="D1056" s="133"/>
      <c r="E1056" s="22"/>
      <c r="F1056" s="22"/>
      <c r="G1056" s="22"/>
      <c r="H1056" s="27"/>
      <c r="I1056" s="22"/>
      <c r="J1056" s="22"/>
    </row>
    <row r="1057" spans="1:10" x14ac:dyDescent="0.3">
      <c r="A1057" s="25"/>
      <c r="B1057" s="22"/>
      <c r="C1057" s="27"/>
      <c r="D1057" s="133"/>
      <c r="E1057" s="22"/>
      <c r="F1057" s="22"/>
      <c r="G1057" s="22"/>
      <c r="H1057" s="27"/>
      <c r="I1057" s="22"/>
      <c r="J1057" s="22"/>
    </row>
    <row r="1058" spans="1:10" x14ac:dyDescent="0.3">
      <c r="A1058" s="25"/>
      <c r="B1058" s="22"/>
      <c r="C1058" s="27"/>
      <c r="D1058" s="133"/>
      <c r="E1058" s="22"/>
      <c r="F1058" s="22"/>
      <c r="G1058" s="22"/>
      <c r="H1058" s="27"/>
      <c r="I1058" s="22"/>
      <c r="J1058" s="22"/>
    </row>
    <row r="1059" spans="1:10" x14ac:dyDescent="0.3">
      <c r="A1059" s="25"/>
      <c r="B1059" s="22"/>
      <c r="C1059" s="27"/>
      <c r="D1059" s="133"/>
      <c r="E1059" s="22"/>
      <c r="F1059" s="22"/>
      <c r="G1059" s="22"/>
      <c r="H1059" s="27"/>
      <c r="I1059" s="22"/>
      <c r="J1059" s="22"/>
    </row>
    <row r="1060" spans="1:10" x14ac:dyDescent="0.3">
      <c r="A1060" s="25"/>
      <c r="B1060" s="22"/>
      <c r="C1060" s="27"/>
      <c r="D1060" s="133"/>
      <c r="E1060" s="22"/>
      <c r="F1060" s="22"/>
      <c r="G1060" s="22"/>
      <c r="H1060" s="27"/>
      <c r="I1060" s="22"/>
      <c r="J1060" s="22"/>
    </row>
    <row r="1061" spans="1:10" x14ac:dyDescent="0.3">
      <c r="A1061" s="25"/>
      <c r="B1061" s="22"/>
      <c r="C1061" s="27"/>
      <c r="D1061" s="133"/>
      <c r="E1061" s="22"/>
      <c r="F1061" s="22"/>
      <c r="G1061" s="22"/>
      <c r="H1061" s="27"/>
      <c r="I1061" s="22"/>
      <c r="J1061" s="22"/>
    </row>
    <row r="1062" spans="1:10" x14ac:dyDescent="0.3">
      <c r="A1062" s="25"/>
      <c r="B1062" s="22"/>
      <c r="C1062" s="27"/>
      <c r="D1062" s="133"/>
      <c r="E1062" s="22"/>
      <c r="F1062" s="22"/>
      <c r="G1062" s="22"/>
      <c r="H1062" s="27"/>
      <c r="I1062" s="22"/>
      <c r="J1062" s="22"/>
    </row>
    <row r="1063" spans="1:10" x14ac:dyDescent="0.3">
      <c r="A1063" s="25"/>
      <c r="B1063" s="22"/>
      <c r="C1063" s="27"/>
      <c r="D1063" s="133"/>
      <c r="E1063" s="22"/>
      <c r="F1063" s="22"/>
      <c r="G1063" s="22"/>
      <c r="H1063" s="27"/>
      <c r="I1063" s="22"/>
      <c r="J1063" s="22"/>
    </row>
    <row r="1064" spans="1:10" x14ac:dyDescent="0.3">
      <c r="A1064" s="25"/>
      <c r="B1064" s="22"/>
      <c r="C1064" s="27"/>
      <c r="D1064" s="133"/>
      <c r="E1064" s="22"/>
      <c r="F1064" s="22"/>
      <c r="G1064" s="22"/>
      <c r="H1064" s="27"/>
      <c r="I1064" s="22"/>
      <c r="J1064" s="22"/>
    </row>
    <row r="1065" spans="1:10" x14ac:dyDescent="0.3">
      <c r="A1065" s="25"/>
      <c r="B1065" s="22"/>
      <c r="C1065" s="27"/>
      <c r="D1065" s="133"/>
      <c r="E1065" s="22"/>
      <c r="F1065" s="22"/>
      <c r="G1065" s="22"/>
      <c r="H1065" s="27"/>
      <c r="I1065" s="22"/>
      <c r="J1065" s="22"/>
    </row>
    <row r="1066" spans="1:10" x14ac:dyDescent="0.3">
      <c r="A1066" s="25"/>
      <c r="B1066" s="22"/>
      <c r="C1066" s="27"/>
      <c r="D1066" s="133"/>
      <c r="E1066" s="22"/>
      <c r="F1066" s="22"/>
      <c r="G1066" s="22"/>
      <c r="H1066" s="27"/>
      <c r="I1066" s="22"/>
      <c r="J1066" s="22"/>
    </row>
    <row r="1067" spans="1:10" x14ac:dyDescent="0.3">
      <c r="A1067" s="25"/>
      <c r="B1067" s="22"/>
      <c r="C1067" s="27"/>
      <c r="D1067" s="133"/>
      <c r="E1067" s="22"/>
      <c r="F1067" s="22"/>
      <c r="G1067" s="22"/>
      <c r="H1067" s="27"/>
      <c r="I1067" s="22"/>
      <c r="J1067" s="22"/>
    </row>
    <row r="1068" spans="1:10" x14ac:dyDescent="0.3">
      <c r="A1068" s="25"/>
      <c r="B1068" s="22"/>
      <c r="C1068" s="27"/>
      <c r="D1068" s="133"/>
      <c r="E1068" s="22"/>
      <c r="F1068" s="22"/>
      <c r="G1068" s="22"/>
      <c r="H1068" s="27"/>
      <c r="I1068" s="22"/>
      <c r="J1068" s="22"/>
    </row>
    <row r="1069" spans="1:10" x14ac:dyDescent="0.3">
      <c r="A1069" s="25"/>
      <c r="B1069" s="22"/>
      <c r="C1069" s="27"/>
      <c r="D1069" s="133"/>
      <c r="E1069" s="22"/>
      <c r="F1069" s="22"/>
      <c r="G1069" s="22"/>
      <c r="H1069" s="27"/>
      <c r="I1069" s="22"/>
      <c r="J1069" s="22"/>
    </row>
    <row r="1070" spans="1:10" x14ac:dyDescent="0.3">
      <c r="A1070" s="25"/>
      <c r="B1070" s="22"/>
      <c r="C1070" s="27"/>
      <c r="D1070" s="133"/>
      <c r="E1070" s="22"/>
      <c r="F1070" s="22"/>
      <c r="G1070" s="22"/>
      <c r="H1070" s="27"/>
      <c r="I1070" s="22"/>
      <c r="J1070" s="22"/>
    </row>
    <row r="1071" spans="1:10" x14ac:dyDescent="0.3">
      <c r="A1071" s="25"/>
      <c r="B1071" s="22"/>
      <c r="C1071" s="27"/>
      <c r="D1071" s="133"/>
      <c r="E1071" s="22"/>
      <c r="F1071" s="22"/>
      <c r="G1071" s="22"/>
      <c r="H1071" s="27"/>
      <c r="I1071" s="22"/>
      <c r="J1071" s="22"/>
    </row>
    <row r="1072" spans="1:10" x14ac:dyDescent="0.3">
      <c r="A1072" s="25"/>
      <c r="B1072" s="22"/>
      <c r="C1072" s="27"/>
      <c r="D1072" s="133"/>
      <c r="E1072" s="22"/>
      <c r="F1072" s="22"/>
      <c r="G1072" s="22"/>
      <c r="H1072" s="27"/>
      <c r="I1072" s="22"/>
      <c r="J1072" s="22"/>
    </row>
    <row r="1073" spans="1:10" x14ac:dyDescent="0.3">
      <c r="A1073" s="25"/>
      <c r="B1073" s="22"/>
      <c r="C1073" s="27"/>
      <c r="D1073" s="133"/>
      <c r="E1073" s="22"/>
      <c r="F1073" s="22"/>
      <c r="G1073" s="22"/>
      <c r="H1073" s="27"/>
      <c r="I1073" s="22"/>
      <c r="J1073" s="22"/>
    </row>
    <row r="1074" spans="1:10" x14ac:dyDescent="0.3">
      <c r="A1074" s="25"/>
      <c r="B1074" s="22"/>
      <c r="C1074" s="27"/>
      <c r="D1074" s="133"/>
      <c r="E1074" s="22"/>
      <c r="F1074" s="22"/>
      <c r="G1074" s="22"/>
      <c r="H1074" s="27"/>
      <c r="I1074" s="22"/>
      <c r="J1074" s="22"/>
    </row>
    <row r="1075" spans="1:10" x14ac:dyDescent="0.3">
      <c r="A1075" s="25"/>
      <c r="B1075" s="22"/>
      <c r="C1075" s="27"/>
      <c r="D1075" s="133"/>
      <c r="E1075" s="22"/>
      <c r="F1075" s="22"/>
      <c r="G1075" s="22"/>
      <c r="H1075" s="27"/>
      <c r="I1075" s="22"/>
      <c r="J1075" s="22"/>
    </row>
    <row r="1076" spans="1:10" x14ac:dyDescent="0.3">
      <c r="A1076" s="25"/>
      <c r="B1076" s="22"/>
      <c r="C1076" s="27"/>
      <c r="D1076" s="133"/>
      <c r="E1076" s="22"/>
      <c r="F1076" s="22"/>
      <c r="G1076" s="22"/>
      <c r="H1076" s="27"/>
      <c r="I1076" s="22"/>
      <c r="J1076" s="22"/>
    </row>
    <row r="1077" spans="1:10" x14ac:dyDescent="0.3">
      <c r="A1077" s="25"/>
      <c r="B1077" s="22"/>
      <c r="C1077" s="27"/>
      <c r="D1077" s="133"/>
      <c r="E1077" s="22"/>
      <c r="F1077" s="22"/>
      <c r="G1077" s="22"/>
      <c r="H1077" s="27"/>
      <c r="I1077" s="22"/>
      <c r="J1077" s="22"/>
    </row>
    <row r="1078" spans="1:10" x14ac:dyDescent="0.3">
      <c r="A1078" s="25"/>
      <c r="B1078" s="22"/>
      <c r="C1078" s="27"/>
      <c r="D1078" s="133"/>
      <c r="E1078" s="22"/>
      <c r="F1078" s="22"/>
      <c r="G1078" s="22"/>
      <c r="H1078" s="27"/>
      <c r="I1078" s="22"/>
      <c r="J1078" s="22"/>
    </row>
    <row r="1079" spans="1:10" x14ac:dyDescent="0.3">
      <c r="A1079" s="25"/>
      <c r="B1079" s="22"/>
      <c r="C1079" s="27"/>
      <c r="D1079" s="133"/>
      <c r="E1079" s="22"/>
      <c r="F1079" s="22"/>
      <c r="G1079" s="22"/>
      <c r="H1079" s="27"/>
      <c r="I1079" s="22"/>
      <c r="J1079" s="22"/>
    </row>
    <row r="1080" spans="1:10" x14ac:dyDescent="0.3">
      <c r="A1080" s="25"/>
      <c r="B1080" s="22"/>
      <c r="C1080" s="27"/>
      <c r="D1080" s="133"/>
      <c r="E1080" s="22"/>
      <c r="F1080" s="22"/>
      <c r="G1080" s="22"/>
      <c r="H1080" s="27"/>
      <c r="I1080" s="22"/>
      <c r="J1080" s="22"/>
    </row>
    <row r="1081" spans="1:10" x14ac:dyDescent="0.3">
      <c r="A1081" s="25"/>
      <c r="B1081" s="22"/>
      <c r="C1081" s="27"/>
      <c r="D1081" s="133"/>
      <c r="E1081" s="22"/>
      <c r="F1081" s="22"/>
      <c r="G1081" s="22"/>
      <c r="H1081" s="27"/>
      <c r="I1081" s="22"/>
      <c r="J1081" s="22"/>
    </row>
    <row r="1082" spans="1:10" x14ac:dyDescent="0.3">
      <c r="A1082" s="25"/>
      <c r="B1082" s="22"/>
      <c r="C1082" s="27"/>
      <c r="D1082" s="133"/>
      <c r="E1082" s="22"/>
      <c r="F1082" s="22"/>
      <c r="G1082" s="22"/>
      <c r="H1082" s="27"/>
      <c r="I1082" s="22"/>
      <c r="J1082" s="22"/>
    </row>
    <row r="1083" spans="1:10" x14ac:dyDescent="0.3">
      <c r="A1083" s="25"/>
      <c r="B1083" s="22"/>
      <c r="C1083" s="27"/>
      <c r="D1083" s="133"/>
      <c r="E1083" s="22"/>
      <c r="F1083" s="22"/>
      <c r="G1083" s="22"/>
      <c r="H1083" s="27"/>
      <c r="I1083" s="22"/>
      <c r="J1083" s="22"/>
    </row>
    <row r="1084" spans="1:10" x14ac:dyDescent="0.3">
      <c r="A1084" s="25"/>
      <c r="B1084" s="22"/>
      <c r="C1084" s="27"/>
      <c r="D1084" s="133"/>
      <c r="E1084" s="22"/>
      <c r="F1084" s="22"/>
      <c r="G1084" s="22"/>
      <c r="H1084" s="27"/>
      <c r="I1084" s="22"/>
      <c r="J1084" s="22"/>
    </row>
    <row r="1085" spans="1:10" x14ac:dyDescent="0.3">
      <c r="A1085" s="25"/>
      <c r="B1085" s="22"/>
      <c r="C1085" s="27"/>
      <c r="D1085" s="133"/>
      <c r="E1085" s="22"/>
      <c r="F1085" s="22"/>
      <c r="G1085" s="22"/>
      <c r="H1085" s="27"/>
      <c r="I1085" s="22"/>
      <c r="J1085" s="22"/>
    </row>
    <row r="1086" spans="1:10" x14ac:dyDescent="0.3">
      <c r="A1086" s="25"/>
      <c r="B1086" s="22"/>
      <c r="C1086" s="27"/>
      <c r="D1086" s="133"/>
      <c r="E1086" s="22"/>
      <c r="F1086" s="22"/>
      <c r="G1086" s="22"/>
      <c r="H1086" s="27"/>
      <c r="I1086" s="22"/>
      <c r="J1086" s="22"/>
    </row>
    <row r="1087" spans="1:10" x14ac:dyDescent="0.3">
      <c r="A1087" s="25"/>
      <c r="B1087" s="22"/>
      <c r="C1087" s="27"/>
      <c r="D1087" s="133"/>
      <c r="E1087" s="22"/>
      <c r="F1087" s="22"/>
      <c r="G1087" s="22"/>
      <c r="H1087" s="27"/>
      <c r="I1087" s="22"/>
      <c r="J1087" s="22"/>
    </row>
    <row r="1088" spans="1:10" x14ac:dyDescent="0.3">
      <c r="A1088" s="25"/>
      <c r="B1088" s="22"/>
      <c r="C1088" s="27"/>
      <c r="D1088" s="133"/>
      <c r="E1088" s="22"/>
      <c r="F1088" s="22"/>
      <c r="G1088" s="22"/>
      <c r="H1088" s="27"/>
      <c r="I1088" s="22"/>
      <c r="J1088" s="22"/>
    </row>
    <row r="1089" spans="1:10" x14ac:dyDescent="0.3">
      <c r="A1089" s="25"/>
      <c r="B1089" s="22"/>
      <c r="C1089" s="27"/>
      <c r="D1089" s="133"/>
      <c r="E1089" s="22"/>
      <c r="F1089" s="22"/>
      <c r="G1089" s="22"/>
      <c r="H1089" s="27"/>
      <c r="I1089" s="22"/>
      <c r="J1089" s="22"/>
    </row>
    <row r="1090" spans="1:10" x14ac:dyDescent="0.3">
      <c r="A1090" s="25"/>
      <c r="B1090" s="22"/>
      <c r="C1090" s="27"/>
      <c r="D1090" s="133"/>
      <c r="E1090" s="22"/>
      <c r="F1090" s="22"/>
      <c r="G1090" s="22"/>
      <c r="H1090" s="27"/>
      <c r="I1090" s="22"/>
      <c r="J1090" s="22"/>
    </row>
    <row r="1091" spans="1:10" x14ac:dyDescent="0.3">
      <c r="A1091" s="25"/>
      <c r="B1091" s="22"/>
      <c r="C1091" s="27"/>
      <c r="D1091" s="133"/>
      <c r="E1091" s="22"/>
      <c r="F1091" s="22"/>
      <c r="G1091" s="22"/>
      <c r="H1091" s="27"/>
      <c r="I1091" s="22"/>
      <c r="J1091" s="22"/>
    </row>
    <row r="1092" spans="1:10" x14ac:dyDescent="0.3">
      <c r="A1092" s="25"/>
      <c r="B1092" s="22"/>
      <c r="C1092" s="27"/>
      <c r="D1092" s="133"/>
      <c r="E1092" s="22"/>
      <c r="F1092" s="22"/>
      <c r="G1092" s="22"/>
      <c r="H1092" s="27"/>
      <c r="I1092" s="22"/>
      <c r="J1092" s="22"/>
    </row>
    <row r="1093" spans="1:10" x14ac:dyDescent="0.3">
      <c r="A1093" s="25"/>
      <c r="B1093" s="22"/>
      <c r="C1093" s="27"/>
      <c r="D1093" s="133"/>
      <c r="E1093" s="22"/>
      <c r="F1093" s="22"/>
      <c r="G1093" s="22"/>
      <c r="H1093" s="27"/>
      <c r="I1093" s="22"/>
      <c r="J1093" s="22"/>
    </row>
    <row r="1094" spans="1:10" x14ac:dyDescent="0.3">
      <c r="A1094" s="25"/>
      <c r="B1094" s="22"/>
      <c r="C1094" s="27"/>
      <c r="D1094" s="133"/>
      <c r="E1094" s="22"/>
      <c r="F1094" s="22"/>
      <c r="G1094" s="22"/>
      <c r="H1094" s="27"/>
      <c r="I1094" s="22"/>
      <c r="J1094" s="22"/>
    </row>
    <row r="1095" spans="1:10" x14ac:dyDescent="0.3">
      <c r="A1095" s="25"/>
      <c r="B1095" s="22"/>
      <c r="C1095" s="27"/>
      <c r="D1095" s="133"/>
      <c r="E1095" s="22"/>
      <c r="F1095" s="22"/>
      <c r="G1095" s="22"/>
      <c r="H1095" s="27"/>
      <c r="I1095" s="22"/>
      <c r="J1095" s="22"/>
    </row>
    <row r="1096" spans="1:10" x14ac:dyDescent="0.3">
      <c r="A1096" s="25"/>
      <c r="B1096" s="22"/>
      <c r="C1096" s="27"/>
      <c r="D1096" s="133"/>
      <c r="E1096" s="22"/>
      <c r="F1096" s="22"/>
      <c r="G1096" s="22"/>
      <c r="H1096" s="27"/>
      <c r="I1096" s="22"/>
      <c r="J1096" s="22"/>
    </row>
    <row r="1097" spans="1:10" x14ac:dyDescent="0.3">
      <c r="A1097" s="25"/>
      <c r="B1097" s="22"/>
      <c r="C1097" s="27"/>
      <c r="D1097" s="133"/>
      <c r="E1097" s="22"/>
      <c r="F1097" s="22"/>
      <c r="G1097" s="22"/>
      <c r="H1097" s="27"/>
      <c r="I1097" s="22"/>
      <c r="J1097" s="22"/>
    </row>
    <row r="1098" spans="1:10" x14ac:dyDescent="0.3">
      <c r="A1098" s="25"/>
      <c r="B1098" s="22"/>
      <c r="C1098" s="27"/>
      <c r="D1098" s="133"/>
      <c r="E1098" s="22"/>
      <c r="F1098" s="22"/>
      <c r="G1098" s="22"/>
      <c r="H1098" s="27"/>
      <c r="I1098" s="22"/>
      <c r="J1098" s="22"/>
    </row>
    <row r="1099" spans="1:10" x14ac:dyDescent="0.3">
      <c r="A1099" s="25"/>
      <c r="B1099" s="22"/>
      <c r="C1099" s="27"/>
      <c r="D1099" s="133"/>
      <c r="E1099" s="22"/>
      <c r="F1099" s="22"/>
      <c r="G1099" s="22"/>
      <c r="H1099" s="27"/>
      <c r="I1099" s="22"/>
      <c r="J1099" s="22"/>
    </row>
    <row r="1100" spans="1:10" x14ac:dyDescent="0.3">
      <c r="A1100" s="25"/>
      <c r="B1100" s="22"/>
      <c r="C1100" s="27"/>
      <c r="D1100" s="133"/>
      <c r="E1100" s="22"/>
      <c r="F1100" s="22"/>
      <c r="G1100" s="22"/>
      <c r="H1100" s="27"/>
      <c r="I1100" s="22"/>
      <c r="J1100" s="22"/>
    </row>
    <row r="1101" spans="1:10" x14ac:dyDescent="0.3">
      <c r="A1101" s="25"/>
      <c r="B1101" s="22"/>
      <c r="C1101" s="27"/>
      <c r="D1101" s="133"/>
      <c r="E1101" s="22"/>
      <c r="F1101" s="22"/>
      <c r="G1101" s="22"/>
      <c r="H1101" s="27"/>
      <c r="I1101" s="22"/>
      <c r="J1101" s="22"/>
    </row>
    <row r="1102" spans="1:10" x14ac:dyDescent="0.3">
      <c r="A1102" s="25"/>
      <c r="B1102" s="22"/>
      <c r="C1102" s="27"/>
      <c r="D1102" s="133"/>
      <c r="E1102" s="22"/>
      <c r="F1102" s="22"/>
      <c r="G1102" s="22"/>
      <c r="H1102" s="27"/>
      <c r="I1102" s="22"/>
      <c r="J1102" s="22"/>
    </row>
    <row r="1103" spans="1:10" x14ac:dyDescent="0.3">
      <c r="A1103" s="25"/>
      <c r="B1103" s="22"/>
      <c r="C1103" s="27"/>
      <c r="D1103" s="133"/>
      <c r="E1103" s="22"/>
      <c r="F1103" s="22"/>
      <c r="G1103" s="22"/>
      <c r="H1103" s="27"/>
      <c r="I1103" s="22"/>
      <c r="J1103" s="22"/>
    </row>
    <row r="1104" spans="1:10" x14ac:dyDescent="0.3">
      <c r="A1104" s="25"/>
      <c r="B1104" s="22"/>
      <c r="C1104" s="27"/>
      <c r="D1104" s="133"/>
      <c r="E1104" s="22"/>
      <c r="F1104" s="22"/>
      <c r="G1104" s="22"/>
      <c r="H1104" s="27"/>
      <c r="I1104" s="22"/>
      <c r="J1104" s="22"/>
    </row>
    <row r="1105" spans="1:10" x14ac:dyDescent="0.3">
      <c r="A1105" s="25"/>
      <c r="B1105" s="22"/>
      <c r="C1105" s="27"/>
      <c r="D1105" s="133"/>
      <c r="E1105" s="22"/>
      <c r="F1105" s="22"/>
      <c r="G1105" s="22"/>
      <c r="H1105" s="27"/>
      <c r="I1105" s="22"/>
      <c r="J1105" s="22"/>
    </row>
  </sheetData>
  <sortState xmlns:xlrd2="http://schemas.microsoft.com/office/spreadsheetml/2017/richdata2" ref="A581:A607">
    <sortCondition ref="A581:A607"/>
  </sortState>
  <phoneticPr fontId="9" type="noConversion"/>
  <pageMargins left="0.7" right="0.7" top="0.75" bottom="0.75" header="0.3" footer="0.3"/>
  <pageSetup orientation="portrait" r:id="rId1"/>
  <ignoredErrors>
    <ignoredError sqref="B117 B785 B813 B824 B826 B839 B856 B999 B996:B997 B1020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F5D05406A3DA44AE2786798D619E3C" ma:contentTypeVersion="12" ma:contentTypeDescription="Create a new document." ma:contentTypeScope="" ma:versionID="7da65a1e0c10505a3998dc76ccb3894d">
  <xsd:schema xmlns:xsd="http://www.w3.org/2001/XMLSchema" xmlns:xs="http://www.w3.org/2001/XMLSchema" xmlns:p="http://schemas.microsoft.com/office/2006/metadata/properties" xmlns:ns2="acb39fbd-1bf3-440b-8c4c-d4dc28c25cfe" xmlns:ns3="223c32a2-ca9d-4b0e-b8bc-b859b2b1f67b" targetNamespace="http://schemas.microsoft.com/office/2006/metadata/properties" ma:root="true" ma:fieldsID="e8ec450ac0d22b892da48cec5e9e5e14" ns2:_="" ns3:_="">
    <xsd:import namespace="acb39fbd-1bf3-440b-8c4c-d4dc28c25cfe"/>
    <xsd:import namespace="223c32a2-ca9d-4b0e-b8bc-b859b2b1f6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b39fbd-1bf3-440b-8c4c-d4dc28c25cf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d21afdb-c730-4d6b-a27a-ed74e909d6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3c32a2-ca9d-4b0e-b8bc-b859b2b1f67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b39fbd-1bf3-440b-8c4c-d4dc28c25cf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4C12546-74DB-494F-9ADB-EA797031279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92E0B69-C55D-48D2-99C6-7859B68658D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b39fbd-1bf3-440b-8c4c-d4dc28c25cfe"/>
    <ds:schemaRef ds:uri="223c32a2-ca9d-4b0e-b8bc-b859b2b1f6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7D0C2C-47DA-4615-8121-FEF6B7DB76CA}">
  <ds:schemaRefs>
    <ds:schemaRef ds:uri="http://schemas.microsoft.com/office/2006/metadata/properties"/>
    <ds:schemaRef ds:uri="http://schemas.microsoft.com/office/infopath/2007/PartnerControls"/>
    <ds:schemaRef ds:uri="acb39fbd-1bf3-440b-8c4c-d4dc28c25c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Carrier Codes</vt:lpstr>
      <vt:lpstr>Pallet&amp;Carton count</vt:lpstr>
      <vt:lpstr>Prep sheet for LTLs</vt:lpstr>
      <vt:lpstr>'Carrier Codes'!Print_Area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Taylor Counts</dc:creator>
  <cp:keywords/>
  <dc:description/>
  <cp:lastModifiedBy>Giovanni Ghedini</cp:lastModifiedBy>
  <cp:revision/>
  <dcterms:created xsi:type="dcterms:W3CDTF">2017-01-10T16:26:37Z</dcterms:created>
  <dcterms:modified xsi:type="dcterms:W3CDTF">2026-03-17T19:33:59Z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0x0101007CF5D05406A3DA44AE2786798D619E3C</vt:lpwstr>
  </property>
  <property fmtid="{D5CDD505-2E9C-101B-9397-08002B2CF9AE}" pid="3" name="MediaServiceImageTags">
    <vt:lpwstr/>
  </property>
</Properties>
</file>